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815"/>
  <workbookPr/>
  <mc:AlternateContent xmlns:mc="http://schemas.openxmlformats.org/markup-compatibility/2006">
    <mc:Choice Requires="x15">
      <x15ac:absPath xmlns:x15ac="http://schemas.microsoft.com/office/spreadsheetml/2010/11/ac" url="/Users/jarad/"/>
    </mc:Choice>
  </mc:AlternateContent>
  <bookViews>
    <workbookView xWindow="240" yWindow="460" windowWidth="29360" windowHeight="23020"/>
  </bookViews>
  <sheets>
    <sheet name="Overview" sheetId="1" r:id="rId1"/>
    <sheet name="Services" sheetId="2" r:id="rId2"/>
    <sheet name="Charges" sheetId="3" r:id="rId3"/>
    <sheet name="Free_Shipping" sheetId="4" r:id="rId4"/>
    <sheet name="Overcharges" sheetId="5" r:id="rId5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<sst xmlns="http://schemas.openxmlformats.org/spreadsheetml/2006/main" count="669" uniqueCount="97">
  <si>
    <t>Shipping Revenue</t>
  </si>
  <si>
    <t>UPS Charge</t>
  </si>
  <si>
    <t>USPS Charge</t>
  </si>
  <si>
    <t>UPS and USPS</t>
  </si>
  <si>
    <t>Shipping Profit</t>
  </si>
  <si>
    <t>Shipping Profit Margin</t>
  </si>
  <si>
    <t>Service</t>
  </si>
  <si>
    <t>Late Count</t>
  </si>
  <si>
    <t>% of Total</t>
  </si>
  <si>
    <t>Potential Refund</t>
  </si>
  <si>
    <t>UPS Worldwide Expedited</t>
  </si>
  <si>
    <t>UPS Worldwide Express</t>
  </si>
  <si>
    <t>UPS Worldwide Saver</t>
  </si>
  <si>
    <t>UPS Next Day Air</t>
  </si>
  <si>
    <t>UPS Ground</t>
  </si>
  <si>
    <t>UPS 2nd Day Air</t>
  </si>
  <si>
    <t>UPS 3 Day Select</t>
  </si>
  <si>
    <t>Total</t>
  </si>
  <si>
    <t>Year</t>
  </si>
  <si>
    <t>Month</t>
  </si>
  <si>
    <t>Misc</t>
  </si>
  <si>
    <t>UPS</t>
  </si>
  <si>
    <t>USPS</t>
  </si>
  <si>
    <t>Total Order Count</t>
  </si>
  <si>
    <t>UPS % Change</t>
  </si>
  <si>
    <t>USPS % Change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</si>
  <si>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</si>
  <si>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</si>
  <si>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</si>
  <si>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</si>
  <si>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</si>
  <si>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</si>
  <si>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</si>
  <si>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</si>
  <si>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</si>
  <si>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</si>
  <si>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</si>
  <si>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</si>
  <si>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OID Count</t>
  </si>
  <si>
    <t>Ship Revenue</t>
  </si>
  <si>
    <t>Avg Ship Revenue</t>
  </si>
  <si>
    <t>Ground</t>
  </si>
  <si>
    <t>2nd Day Air</t>
  </si>
  <si>
    <t>Worldwide Expedited</t>
  </si>
  <si>
    <t>3 Day Select</t>
  </si>
  <si>
    <t>Next Day Air</t>
  </si>
  <si>
    <t>Worldwide Saver</t>
  </si>
  <si>
    <t>Worldwide Express</t>
  </si>
  <si>
    <t>Reseller Shipping/Gift Cert</t>
  </si>
  <si>
    <t>% Change Rev</t>
  </si>
  <si>
    <t>% Change OID</t>
  </si>
  <si>
    <t>% Change Avg Rev</t>
  </si>
  <si>
    <t>2015</t>
  </si>
  <si>
    <t>2016</t>
  </si>
  <si>
    <t>Year Over Year</t>
  </si>
  <si>
    <t>Service Count</t>
  </si>
  <si>
    <t>Shipping Charge Correction</t>
  </si>
  <si>
    <t>Address Correction</t>
  </si>
  <si>
    <t>Delivery/Extended/Remote Charge</t>
  </si>
  <si>
    <t>Residential Charge</t>
  </si>
  <si>
    <t>UPS Free Count</t>
  </si>
  <si>
    <t>USPS Free Count</t>
  </si>
  <si>
    <t>Total Count</t>
  </si>
  <si>
    <t>As % of Total Count</t>
  </si>
  <si>
    <t>Total Free Shipping Cost</t>
  </si>
  <si>
    <t>As % of Total Shipping Revenue</t>
  </si>
  <si>
    <t>Count of Overcharges</t>
  </si>
  <si>
    <t>% of Total Count</t>
  </si>
  <si>
    <t>Amount Overcharged</t>
  </si>
  <si>
    <t>% of Total Revenue</t>
  </si>
  <si>
    <t>Overview</t>
  </si>
  <si>
    <t>Overall Stats</t>
  </si>
  <si>
    <t>Late Shipments</t>
  </si>
  <si>
    <t>Current Month Shipments</t>
  </si>
  <si>
    <t>Shipping Overall (including Free Shipping)</t>
  </si>
  <si>
    <t>Shipping Overall (excluding Free Shipping)</t>
  </si>
  <si>
    <t>Number of Packages</t>
  </si>
  <si>
    <t>Shipping Revenue and Profit (including Free Shipping)</t>
  </si>
  <si>
    <t>Shipping Revenue and Profit (excluding Free Shipping)</t>
  </si>
  <si>
    <t>Services</t>
  </si>
  <si>
    <t>Ground Percent Change</t>
  </si>
  <si>
    <t>Next Day Air Percent Change</t>
  </si>
  <si>
    <t>2nd Day Air Percent Change</t>
  </si>
  <si>
    <t>3 Day Select Percent Change</t>
  </si>
  <si>
    <t>Worldwide Expedited Percent Change</t>
  </si>
  <si>
    <t>Worldwide Express Percent Change</t>
  </si>
  <si>
    <t>Worldwide Saver Percent Change</t>
  </si>
  <si>
    <t>USPS Change</t>
  </si>
  <si>
    <t>Charges</t>
  </si>
  <si>
    <t>Charges Counts</t>
  </si>
  <si>
    <t>Free Shipping</t>
  </si>
  <si>
    <t>Free Shipping Counts</t>
  </si>
  <si>
    <t>Free Shipping Costs</t>
  </si>
  <si>
    <t>Overcharges</t>
  </si>
  <si>
    <t>Current Month Overcharges</t>
  </si>
  <si>
    <t>Count</t>
  </si>
  <si>
    <t>Overcharges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</si>
</sst>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#,##0.00"/>
    <numFmt numFmtId="165" formatCode="##,##0"/>
    <numFmt numFmtId="166" formatCode="0.00&quot;%&quot;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Package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Package Count</c:v>
          </c:tx>
          <c:marker>
            <c:symbol val="x"/>
            <c:size val="5"/>
          </c:marker>
          <c:cat>
            <c:strRef>
              <c:f>Overview!$K$9:$K$21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Overview!$M$9:$M$21</c:f>
              <c:numCache>
                <c:formatCode>##,##0</c:formatCode>
                <c:ptCount val="13"/>
                <c:pt idx="0">
                  <c:v>27481.0</c:v>
                </c:pt>
                <c:pt idx="1">
                  <c:v>25318.0</c:v>
                </c:pt>
                <c:pt idx="2">
                  <c:v>23517.0</c:v>
                </c:pt>
                <c:pt idx="3">
                  <c:v>24001.0</c:v>
                </c:pt>
                <c:pt idx="4">
                  <c:v>27620.0</c:v>
                </c:pt>
                <c:pt idx="5">
                  <c:v>24029.0</c:v>
                </c:pt>
                <c:pt idx="6">
                  <c:v>21459.0</c:v>
                </c:pt>
                <c:pt idx="7">
                  <c:v>21377.0</c:v>
                </c:pt>
                <c:pt idx="8">
                  <c:v>22386.0</c:v>
                </c:pt>
                <c:pt idx="9">
                  <c:v>22764.0</c:v>
                </c:pt>
                <c:pt idx="10">
                  <c:v>21754.0</c:v>
                </c:pt>
                <c:pt idx="11">
                  <c:v>22508.0</c:v>
                </c:pt>
                <c:pt idx="12">
                  <c:v>27198.0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520608"/>
        <c:axId val="920506432"/>
      </c:lineChart>
      <c:lineChart>
        <c:grouping val="standard"/>
        <c:varyColors val="0"/>
        <c:ser>
          <c:idx val="1"/>
          <c:order val="1"/>
          <c:tx>
            <c:v>USPS Package Count</c:v>
          </c:tx>
          <c:marker>
            <c:symbol val="x"/>
            <c:size val="5"/>
          </c:marker>
          <c:val>
            <c:numRef>
              <c:f>Overview!$N$9:$N$21</c:f>
              <c:numCache>
                <c:formatCode>##,##0</c:formatCode>
                <c:ptCount val="13"/>
                <c:pt idx="0">
                  <c:v>4266.0</c:v>
                </c:pt>
                <c:pt idx="1">
                  <c:v>3969.0</c:v>
                </c:pt>
                <c:pt idx="2">
                  <c:v>4166.0</c:v>
                </c:pt>
                <c:pt idx="3">
                  <c:v>3574.0</c:v>
                </c:pt>
                <c:pt idx="4">
                  <c:v>5163.0</c:v>
                </c:pt>
                <c:pt idx="5">
                  <c:v>3832.0</c:v>
                </c:pt>
                <c:pt idx="6">
                  <c:v>3841.0</c:v>
                </c:pt>
                <c:pt idx="7">
                  <c:v>4015.0</c:v>
                </c:pt>
                <c:pt idx="8">
                  <c:v>4786.0</c:v>
                </c:pt>
                <c:pt idx="9">
                  <c:v>4121.0</c:v>
                </c:pt>
                <c:pt idx="10">
                  <c:v>3922.0</c:v>
                </c:pt>
                <c:pt idx="11">
                  <c:v>3869.0</c:v>
                </c:pt>
                <c:pt idx="12">
                  <c:v>5348.0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488688"/>
        <c:axId val="920497200"/>
      </c:lineChart>
      <c:catAx>
        <c:axId val="920520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0506432"/>
        <c:crosses val="autoZero"/>
        <c:auto val="1"/>
        <c:lblAlgn val="ctr"/>
        <c:lblOffset val="100"/>
        <c:noMultiLvlLbl val="0"/>
      </c:catAx>
      <c:valAx>
        <c:axId val="920506432"/>
        <c:scaling>
          <c:orientation val="minMax"/>
          <c:max val="27620.0"/>
          <c:min val="21377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20520608"/>
        <c:crosses val="autoZero"/>
        <c:crossBetween val="between"/>
      </c:valAx>
      <c:valAx>
        <c:axId val="920497200"/>
        <c:scaling>
          <c:orientation val="minMax"/>
          <c:max val="5348.0"/>
          <c:min val="3574.0"/>
        </c:scaling>
        <c:delete val="0"/>
        <c:axPos val="r"/>
        <c:numFmt formatCode="###,##0" sourceLinked="0"/>
        <c:majorTickMark val="out"/>
        <c:minorTickMark val="none"/>
        <c:tickLblPos val="nextTo"/>
        <c:crossAx val="920488688"/>
        <c:crosses val="max"/>
        <c:crossBetween val="between"/>
      </c:valAx>
      <c:catAx>
        <c:axId val="920488688"/>
        <c:scaling>
          <c:orientation val="minMax"/>
        </c:scaling>
        <c:delete val="1"/>
        <c:axPos val="b"/>
        <c:majorTickMark val="out"/>
        <c:minorTickMark val="none"/>
        <c:tickLblPos val="none"/>
        <c:crossAx val="92049720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Proportions</a:t>
            </a:r>
          </a:p>
        </c:rich>
      </c:tx>
      <c:layout/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Overview!$M$8</c:f>
              <c:strCache>
                <c:ptCount val="1"/>
                <c:pt idx="0">
                  <c:v>UPS</c:v>
                </c:pt>
              </c:strCache>
            </c:strRef>
          </c:tx>
          <c:invertIfNegative val="0"/>
          <c:cat>
            <c:strRef>
              <c:f>Overview!$K$9:$K$21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Overview!$M$9:$M$21</c:f>
              <c:numCache>
                <c:formatCode>##,##0</c:formatCode>
                <c:ptCount val="13"/>
                <c:pt idx="0">
                  <c:v>27481.0</c:v>
                </c:pt>
                <c:pt idx="1">
                  <c:v>25318.0</c:v>
                </c:pt>
                <c:pt idx="2">
                  <c:v>23517.0</c:v>
                </c:pt>
                <c:pt idx="3">
                  <c:v>24001.0</c:v>
                </c:pt>
                <c:pt idx="4">
                  <c:v>27620.0</c:v>
                </c:pt>
                <c:pt idx="5">
                  <c:v>24029.0</c:v>
                </c:pt>
                <c:pt idx="6">
                  <c:v>21459.0</c:v>
                </c:pt>
                <c:pt idx="7">
                  <c:v>21377.0</c:v>
                </c:pt>
                <c:pt idx="8">
                  <c:v>22386.0</c:v>
                </c:pt>
                <c:pt idx="9">
                  <c:v>22764.0</c:v>
                </c:pt>
                <c:pt idx="10">
                  <c:v>21754.0</c:v>
                </c:pt>
                <c:pt idx="11">
                  <c:v>22508.0</c:v>
                </c:pt>
                <c:pt idx="12">
                  <c:v>27198.0</c:v>
                </c:pt>
              </c:numCache>
            </c:numRef>
          </c:val>
        </c:ser>
        <c:ser>
          <c:idx val="1"/>
          <c:order val="1"/>
          <c:tx>
            <c:strRef>
              <c:f>Overview!$N$8</c:f>
              <c:strCache>
                <c:ptCount val="1"/>
                <c:pt idx="0">
                  <c:v>USPS</c:v>
                </c:pt>
              </c:strCache>
            </c:strRef>
          </c:tx>
          <c:invertIfNegative val="0"/>
          <c:cat>
            <c:strRef>
              <c:f>Overview!$K$9:$K$21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Overview!$N$9:$N$21</c:f>
              <c:numCache>
                <c:formatCode>##,##0</c:formatCode>
                <c:ptCount val="13"/>
                <c:pt idx="0">
                  <c:v>4266.0</c:v>
                </c:pt>
                <c:pt idx="1">
                  <c:v>3969.0</c:v>
                </c:pt>
                <c:pt idx="2">
                  <c:v>4166.0</c:v>
                </c:pt>
                <c:pt idx="3">
                  <c:v>3574.0</c:v>
                </c:pt>
                <c:pt idx="4">
                  <c:v>5163.0</c:v>
                </c:pt>
                <c:pt idx="5">
                  <c:v>3832.0</c:v>
                </c:pt>
                <c:pt idx="6">
                  <c:v>3841.0</c:v>
                </c:pt>
                <c:pt idx="7">
                  <c:v>4015.0</c:v>
                </c:pt>
                <c:pt idx="8">
                  <c:v>4786.0</c:v>
                </c:pt>
                <c:pt idx="9">
                  <c:v>4121.0</c:v>
                </c:pt>
                <c:pt idx="10">
                  <c:v>3922.0</c:v>
                </c:pt>
                <c:pt idx="11">
                  <c:v>3869.0</c:v>
                </c:pt>
                <c:pt idx="12">
                  <c:v>5348.0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609344"/>
        <c:axId val="930848720"/>
      </c:barChart>
      <c:catAx>
        <c:axId val="919609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30848720"/>
        <c:crosses val="autoZero"/>
        <c:auto val="1"/>
        <c:lblAlgn val="ctr"/>
        <c:lblOffset val="100"/>
        <c:noMultiLvlLbl val="0"/>
      </c:catAx>
      <c:valAx>
        <c:axId val="9308487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9609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Charges (including Free Shipping)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=UPS Charge</c:v>
          </c:tx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Overview!$W$9:$W$21</c:f>
              <c:numCache>
                <c:formatCode>"$"#,###,##0.00</c:formatCode>
                <c:ptCount val="13"/>
                <c:pt idx="0">
                  <c:v>374593.470422808</c:v>
                </c:pt>
                <c:pt idx="1">
                  <c:v>346148.799981359</c:v>
                </c:pt>
                <c:pt idx="2">
                  <c:v>332445.629732026</c:v>
                </c:pt>
                <c:pt idx="3">
                  <c:v>330266.549726542</c:v>
                </c:pt>
                <c:pt idx="4">
                  <c:v>368254.789745746</c:v>
                </c:pt>
                <c:pt idx="5">
                  <c:v>328829.859623123</c:v>
                </c:pt>
                <c:pt idx="6">
                  <c:v>306108.939738993</c:v>
                </c:pt>
                <c:pt idx="7">
                  <c:v>293424.370013753</c:v>
                </c:pt>
                <c:pt idx="8">
                  <c:v>287043.201650521</c:v>
                </c:pt>
                <c:pt idx="9">
                  <c:v>300158.351942094</c:v>
                </c:pt>
                <c:pt idx="10">
                  <c:v>295788.612122325</c:v>
                </c:pt>
                <c:pt idx="11">
                  <c:v>303403.452125834</c:v>
                </c:pt>
                <c:pt idx="12">
                  <c:v>355821.472553492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668896"/>
        <c:axId val="925617936"/>
      </c:lineChart>
      <c:lineChart>
        <c:grouping val="standard"/>
        <c:varyColors val="0"/>
        <c:ser>
          <c:idx val="1"/>
          <c:order val="1"/>
          <c:tx>
            <c:v>=USPS Charge</c:v>
          </c:tx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Overview!$X$9:$X$21</c:f>
              <c:numCache>
                <c:formatCode>"$"#,###,##0.00</c:formatCode>
                <c:ptCount val="13"/>
                <c:pt idx="0">
                  <c:v>22568.7101020813</c:v>
                </c:pt>
                <c:pt idx="1">
                  <c:v>20189.3400998116</c:v>
                </c:pt>
                <c:pt idx="2">
                  <c:v>23256.2399041653</c:v>
                </c:pt>
                <c:pt idx="3">
                  <c:v>22040.0298748016</c:v>
                </c:pt>
                <c:pt idx="4">
                  <c:v>29255.1298413277</c:v>
                </c:pt>
                <c:pt idx="5">
                  <c:v>22663.2999837399</c:v>
                </c:pt>
                <c:pt idx="6">
                  <c:v>22959.3700408936</c:v>
                </c:pt>
                <c:pt idx="7">
                  <c:v>22966.4200909138</c:v>
                </c:pt>
                <c:pt idx="8">
                  <c:v>25049.0901429653</c:v>
                </c:pt>
                <c:pt idx="9">
                  <c:v>23569.5900313854</c:v>
                </c:pt>
                <c:pt idx="10">
                  <c:v>23036.8397555351</c:v>
                </c:pt>
                <c:pt idx="11">
                  <c:v>24035.2397582531</c:v>
                </c:pt>
                <c:pt idx="12">
                  <c:v>32432.9696509838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595424"/>
        <c:axId val="925600096"/>
      </c:lineChart>
      <c:catAx>
        <c:axId val="925668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5617936"/>
        <c:crosses val="autoZero"/>
        <c:auto val="1"/>
        <c:lblAlgn val="ctr"/>
        <c:lblOffset val="100"/>
        <c:noMultiLvlLbl val="0"/>
      </c:catAx>
      <c:valAx>
        <c:axId val="925617936"/>
        <c:scaling>
          <c:orientation val="minMax"/>
          <c:max val="374693.470423"/>
          <c:min val="286943.201651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925668896"/>
        <c:crosses val="autoZero"/>
        <c:crossBetween val="between"/>
      </c:valAx>
      <c:valAx>
        <c:axId val="925600096"/>
        <c:scaling>
          <c:orientation val="minMax"/>
          <c:max val="32532.969651"/>
          <c:min val="20089.3400998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25595424"/>
        <c:crosses val="max"/>
        <c:crossBetween val="between"/>
      </c:valAx>
      <c:catAx>
        <c:axId val="92559542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92560009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Shipping Profit (including Free Shipping)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Overview!$Z$9:$Z$21</c:f>
              <c:numCache>
                <c:formatCode>"$"#,###,##0.00</c:formatCode>
                <c:ptCount val="13"/>
                <c:pt idx="0">
                  <c:v>15481.359475108</c:v>
                </c:pt>
                <c:pt idx="1">
                  <c:v>18131.3399188499</c:v>
                </c:pt>
                <c:pt idx="2">
                  <c:v>15839.9703638321</c:v>
                </c:pt>
                <c:pt idx="3">
                  <c:v>13082.2803986312</c:v>
                </c:pt>
                <c:pt idx="4">
                  <c:v>15820.3404129501</c:v>
                </c:pt>
                <c:pt idx="5">
                  <c:v>13882.9203931144</c:v>
                </c:pt>
                <c:pt idx="6">
                  <c:v>10335.1202201354</c:v>
                </c:pt>
                <c:pt idx="7">
                  <c:v>13046.0198953177</c:v>
                </c:pt>
                <c:pt idx="8">
                  <c:v>10227.4882065346</c:v>
                </c:pt>
                <c:pt idx="9">
                  <c:v>5343.97802646941</c:v>
                </c:pt>
                <c:pt idx="10">
                  <c:v>11373.058122177</c:v>
                </c:pt>
                <c:pt idx="11">
                  <c:v>10727.0381159586</c:v>
                </c:pt>
                <c:pt idx="12">
                  <c:v>15969.8277956395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825200"/>
        <c:axId val="926758784"/>
      </c:lineChart>
      <c:catAx>
        <c:axId val="926825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6758784"/>
        <c:crosses val="autoZero"/>
        <c:auto val="1"/>
        <c:lblAlgn val="ctr"/>
        <c:lblOffset val="100"/>
        <c:noMultiLvlLbl val="0"/>
      </c:catAx>
      <c:valAx>
        <c:axId val="926758784"/>
        <c:scaling>
          <c:orientation val="minMax"/>
          <c:max val="18231.33991879999"/>
          <c:min val="5243.97802647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926825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Charges (excluding Free Shipping)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=UPS Charge</c:v>
          </c:tx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Overview!$W$55:$W$67</c:f>
              <c:numCache>
                <c:formatCode>"$"#,###,##0.00</c:formatCode>
                <c:ptCount val="13"/>
                <c:pt idx="0">
                  <c:v>356363.540262435</c:v>
                </c:pt>
                <c:pt idx="1">
                  <c:v>330859.239893556</c:v>
                </c:pt>
                <c:pt idx="2">
                  <c:v>316750.72978593</c:v>
                </c:pt>
                <c:pt idx="3">
                  <c:v>312952.799782472</c:v>
                </c:pt>
                <c:pt idx="4">
                  <c:v>350013.739820588</c:v>
                </c:pt>
                <c:pt idx="5">
                  <c:v>311147.609690072</c:v>
                </c:pt>
                <c:pt idx="6">
                  <c:v>288450.579816798</c:v>
                </c:pt>
                <c:pt idx="7">
                  <c:v>276205.120045142</c:v>
                </c:pt>
                <c:pt idx="8">
                  <c:v>272674.411540492</c:v>
                </c:pt>
                <c:pt idx="9">
                  <c:v>280086.16176657</c:v>
                </c:pt>
                <c:pt idx="10">
                  <c:v>279798.322023604</c:v>
                </c:pt>
                <c:pt idx="11">
                  <c:v>287336.342018114</c:v>
                </c:pt>
                <c:pt idx="12">
                  <c:v>336761.062410761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660992"/>
        <c:axId val="926461120"/>
      </c:lineChart>
      <c:lineChart>
        <c:grouping val="standard"/>
        <c:varyColors val="0"/>
        <c:ser>
          <c:idx val="1"/>
          <c:order val="1"/>
          <c:tx>
            <c:v>=USPS Charge</c:v>
          </c:tx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Overview!$X$55:$X$67</c:f>
              <c:numCache>
                <c:formatCode>"$"#,###,##0.00</c:formatCode>
                <c:ptCount val="13"/>
                <c:pt idx="0">
                  <c:v>22217.460101366</c:v>
                </c:pt>
                <c:pt idx="1">
                  <c:v>19936.1400990486</c:v>
                </c:pt>
                <c:pt idx="2">
                  <c:v>22926.2399065495</c:v>
                </c:pt>
                <c:pt idx="3">
                  <c:v>21556.8098859787</c:v>
                </c:pt>
                <c:pt idx="4">
                  <c:v>28830.32984972</c:v>
                </c:pt>
                <c:pt idx="5">
                  <c:v>22267.8999893665</c:v>
                </c:pt>
                <c:pt idx="6">
                  <c:v>22589.2700476646</c:v>
                </c:pt>
                <c:pt idx="7">
                  <c:v>22568.9200980663</c:v>
                </c:pt>
                <c:pt idx="8">
                  <c:v>24661.800150156</c:v>
                </c:pt>
                <c:pt idx="9">
                  <c:v>23258.4300353527</c:v>
                </c:pt>
                <c:pt idx="10">
                  <c:v>22752.6297602654</c:v>
                </c:pt>
                <c:pt idx="11">
                  <c:v>23391.2997648716</c:v>
                </c:pt>
                <c:pt idx="12">
                  <c:v>31913.5796587467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436112"/>
        <c:axId val="926459376"/>
      </c:lineChart>
      <c:catAx>
        <c:axId val="926660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6461120"/>
        <c:crosses val="autoZero"/>
        <c:auto val="1"/>
        <c:lblAlgn val="ctr"/>
        <c:lblOffset val="100"/>
        <c:noMultiLvlLbl val="0"/>
      </c:catAx>
      <c:valAx>
        <c:axId val="926461120"/>
        <c:scaling>
          <c:orientation val="minMax"/>
          <c:max val="356463.540262"/>
          <c:min val="272574.41154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926660992"/>
        <c:crosses val="autoZero"/>
        <c:crossBetween val="between"/>
      </c:valAx>
      <c:valAx>
        <c:axId val="926459376"/>
        <c:scaling>
          <c:orientation val="minMax"/>
          <c:max val="32013.5796587"/>
          <c:min val="19836.140099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26436112"/>
        <c:crosses val="max"/>
        <c:crossBetween val="between"/>
      </c:valAx>
      <c:catAx>
        <c:axId val="92643611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92645937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Shipping Profit (excluding Free Shipping)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Overview!$Z$55:$Z$67</c:f>
              <c:numCache>
                <c:formatCode>"$"#,###,##0.00</c:formatCode>
                <c:ptCount val="13"/>
                <c:pt idx="0">
                  <c:v>34062.5396361967</c:v>
                </c:pt>
                <c:pt idx="1">
                  <c:v>33674.1000074166</c:v>
                </c:pt>
                <c:pt idx="2">
                  <c:v>31864.8703075433</c:v>
                </c:pt>
                <c:pt idx="3">
                  <c:v>30879.2503315245</c:v>
                </c:pt>
                <c:pt idx="4">
                  <c:v>34486.1903297156</c:v>
                </c:pt>
                <c:pt idx="5">
                  <c:v>31960.5703205387</c:v>
                </c:pt>
                <c:pt idx="6">
                  <c:v>28363.5801355592</c:v>
                </c:pt>
                <c:pt idx="7">
                  <c:v>30662.7698567759</c:v>
                </c:pt>
                <c:pt idx="8">
                  <c:v>24983.5683093732</c:v>
                </c:pt>
                <c:pt idx="9">
                  <c:v>25727.3281980261</c:v>
                </c:pt>
                <c:pt idx="10">
                  <c:v>27647.5582161679</c:v>
                </c:pt>
                <c:pt idx="11">
                  <c:v>27438.08821706</c:v>
                </c:pt>
                <c:pt idx="12">
                  <c:v>35549.6279306075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484864"/>
        <c:axId val="926442208"/>
      </c:lineChart>
      <c:catAx>
        <c:axId val="926484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6442208"/>
        <c:crosses val="autoZero"/>
        <c:auto val="1"/>
        <c:lblAlgn val="ctr"/>
        <c:lblOffset val="100"/>
        <c:noMultiLvlLbl val="0"/>
      </c:catAx>
      <c:valAx>
        <c:axId val="926442208"/>
        <c:scaling>
          <c:orientation val="minMax"/>
          <c:max val="35649.62793059999"/>
          <c:min val="24883.5683094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926484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Month OID Count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Overview!$C$28:$C$36</c:f>
              <c:strCache>
                <c:ptCount val="9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Worldwide Expedited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  <c:pt idx="8">
                  <c:v>Reseller Shipping/Gift Cert</c:v>
                </c:pt>
              </c:strCache>
            </c:strRef>
          </c:cat>
          <c:val>
            <c:numRef>
              <c:f>Overview!$D$28:$D$36</c:f>
              <c:numCache>
                <c:formatCode>##,##0</c:formatCode>
                <c:ptCount val="9"/>
                <c:pt idx="0">
                  <c:v>19277.0</c:v>
                </c:pt>
                <c:pt idx="1">
                  <c:v>5328.0</c:v>
                </c:pt>
                <c:pt idx="2">
                  <c:v>2663.0</c:v>
                </c:pt>
                <c:pt idx="3">
                  <c:v>1849.0</c:v>
                </c:pt>
                <c:pt idx="4">
                  <c:v>1442.0</c:v>
                </c:pt>
                <c:pt idx="5">
                  <c:v>1104.0</c:v>
                </c:pt>
                <c:pt idx="6">
                  <c:v>475.0</c:v>
                </c:pt>
                <c:pt idx="7">
                  <c:v>408.0</c:v>
                </c:pt>
                <c:pt idx="8">
                  <c:v>177.0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Month Shipping Revenue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Overview!$C$28:$C$36</c:f>
              <c:strCache>
                <c:ptCount val="9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Worldwide Expedited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  <c:pt idx="8">
                  <c:v>Reseller Shipping/Gift Cert</c:v>
                </c:pt>
              </c:strCache>
            </c:strRef>
          </c:cat>
          <c:val>
            <c:numRef>
              <c:f>Overview!$E$28:$E$35</c:f>
              <c:numCache>
                <c:formatCode>"$"#,###,##0.00</c:formatCode>
                <c:ptCount val="8"/>
                <c:pt idx="0">
                  <c:v>150926.109999972</c:v>
                </c:pt>
                <c:pt idx="1">
                  <c:v>44478.8499999991</c:v>
                </c:pt>
                <c:pt idx="2">
                  <c:v>38748.0099999999</c:v>
                </c:pt>
                <c:pt idx="3">
                  <c:v>78500.2500000003</c:v>
                </c:pt>
                <c:pt idx="4">
                  <c:v>18064.1799999998</c:v>
                </c:pt>
                <c:pt idx="5">
                  <c:v>26938.9900000002</c:v>
                </c:pt>
                <c:pt idx="6">
                  <c:v>26035.88</c:v>
                </c:pt>
                <c:pt idx="7">
                  <c:v>20352.0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Services!$D$8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Services!$D$9:$D$21</c:f>
              <c:numCache>
                <c:formatCode>##,##0</c:formatCode>
                <c:ptCount val="13"/>
                <c:pt idx="0">
                  <c:v>15621.0</c:v>
                </c:pt>
                <c:pt idx="1">
                  <c:v>13816.0</c:v>
                </c:pt>
                <c:pt idx="2">
                  <c:v>14393.0</c:v>
                </c:pt>
                <c:pt idx="3">
                  <c:v>14517.0</c:v>
                </c:pt>
                <c:pt idx="4">
                  <c:v>17205.0</c:v>
                </c:pt>
                <c:pt idx="5">
                  <c:v>14185.0</c:v>
                </c:pt>
                <c:pt idx="6">
                  <c:v>12914.0</c:v>
                </c:pt>
                <c:pt idx="7">
                  <c:v>13482.0</c:v>
                </c:pt>
                <c:pt idx="8">
                  <c:v>15005.0</c:v>
                </c:pt>
                <c:pt idx="9">
                  <c:v>15525.0</c:v>
                </c:pt>
                <c:pt idx="10">
                  <c:v>14914.0</c:v>
                </c:pt>
                <c:pt idx="11">
                  <c:v>15090.0</c:v>
                </c:pt>
                <c:pt idx="12">
                  <c:v>19277.0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389920"/>
        <c:axId val="931108912"/>
      </c:lineChart>
      <c:lineChart>
        <c:grouping val="standard"/>
        <c:varyColors val="0"/>
        <c:ser>
          <c:idx val="1"/>
          <c:order val="1"/>
          <c:tx>
            <c:strRef>
              <c:f>Services!$E$8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Services!$E$9:$E$21</c:f>
              <c:numCache>
                <c:formatCode>"$"#,###,##0.00</c:formatCode>
                <c:ptCount val="13"/>
                <c:pt idx="0">
                  <c:v>126581.209999984</c:v>
                </c:pt>
                <c:pt idx="1">
                  <c:v>115542.140000002</c:v>
                </c:pt>
                <c:pt idx="2">
                  <c:v>123941.470000018</c:v>
                </c:pt>
                <c:pt idx="3">
                  <c:v>121779.380000007</c:v>
                </c:pt>
                <c:pt idx="4">
                  <c:v>146203.469999993</c:v>
                </c:pt>
                <c:pt idx="5">
                  <c:v>118048.449999999</c:v>
                </c:pt>
                <c:pt idx="6">
                  <c:v>107791.109999996</c:v>
                </c:pt>
                <c:pt idx="7">
                  <c:v>109673.439999996</c:v>
                </c:pt>
                <c:pt idx="8">
                  <c:v>117064.109999986</c:v>
                </c:pt>
                <c:pt idx="9">
                  <c:v>116313.560000008</c:v>
                </c:pt>
                <c:pt idx="10">
                  <c:v>114568.939999985</c:v>
                </c:pt>
                <c:pt idx="11">
                  <c:v>115610.389999985</c:v>
                </c:pt>
                <c:pt idx="12">
                  <c:v>150926.109999972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062304"/>
        <c:axId val="931076928"/>
      </c:lineChart>
      <c:catAx>
        <c:axId val="920389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31108912"/>
        <c:crosses val="autoZero"/>
        <c:auto val="1"/>
        <c:lblAlgn val="ctr"/>
        <c:lblOffset val="100"/>
        <c:noMultiLvlLbl val="0"/>
      </c:catAx>
      <c:valAx>
        <c:axId val="931108912"/>
        <c:scaling>
          <c:orientation val="minMax"/>
          <c:max val="19377.0"/>
          <c:min val="12814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20389920"/>
        <c:crosses val="autoZero"/>
        <c:crossBetween val="between"/>
      </c:valAx>
      <c:valAx>
        <c:axId val="931076928"/>
        <c:scaling>
          <c:orientation val="minMax"/>
          <c:max val="151026.11"/>
          <c:min val="107691.11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31062304"/>
        <c:crosses val="max"/>
        <c:crossBetween val="between"/>
      </c:valAx>
      <c:catAx>
        <c:axId val="931062304"/>
        <c:scaling>
          <c:orientation val="minMax"/>
        </c:scaling>
        <c:delete val="1"/>
        <c:axPos val="b"/>
        <c:majorTickMark val="out"/>
        <c:minorTickMark val="none"/>
        <c:tickLblPos val="none"/>
        <c:crossAx val="9310769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Services!$K$8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Services!$K$9:$K$21</c:f>
              <c:numCache>
                <c:formatCode>##,##0</c:formatCode>
                <c:ptCount val="13"/>
                <c:pt idx="0">
                  <c:v>1981.0</c:v>
                </c:pt>
                <c:pt idx="1">
                  <c:v>1848.0</c:v>
                </c:pt>
                <c:pt idx="2">
                  <c:v>1431.0</c:v>
                </c:pt>
                <c:pt idx="3">
                  <c:v>1649.0</c:v>
                </c:pt>
                <c:pt idx="4">
                  <c:v>1796.0</c:v>
                </c:pt>
                <c:pt idx="5">
                  <c:v>1940.0</c:v>
                </c:pt>
                <c:pt idx="6">
                  <c:v>1607.0</c:v>
                </c:pt>
                <c:pt idx="7">
                  <c:v>1406.0</c:v>
                </c:pt>
                <c:pt idx="8">
                  <c:v>1279.0</c:v>
                </c:pt>
                <c:pt idx="9">
                  <c:v>1276.0</c:v>
                </c:pt>
                <c:pt idx="10">
                  <c:v>1006.0</c:v>
                </c:pt>
                <c:pt idx="11">
                  <c:v>1111.0</c:v>
                </c:pt>
                <c:pt idx="12">
                  <c:v>1104.0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457216"/>
        <c:axId val="926760592"/>
      </c:lineChart>
      <c:lineChart>
        <c:grouping val="standard"/>
        <c:varyColors val="0"/>
        <c:ser>
          <c:idx val="1"/>
          <c:order val="1"/>
          <c:tx>
            <c:strRef>
              <c:f>Services!$L$8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Services!$L$9:$L$21</c:f>
              <c:numCache>
                <c:formatCode>"$"#,###,##0.00</c:formatCode>
                <c:ptCount val="13"/>
                <c:pt idx="0">
                  <c:v>35882.7400000002</c:v>
                </c:pt>
                <c:pt idx="1">
                  <c:v>33749.65</c:v>
                </c:pt>
                <c:pt idx="2">
                  <c:v>27737.8400000001</c:v>
                </c:pt>
                <c:pt idx="3">
                  <c:v>31829.2699999998</c:v>
                </c:pt>
                <c:pt idx="4">
                  <c:v>33934.13</c:v>
                </c:pt>
                <c:pt idx="5">
                  <c:v>37381.78</c:v>
                </c:pt>
                <c:pt idx="6">
                  <c:v>30689.9399999999</c:v>
                </c:pt>
                <c:pt idx="7">
                  <c:v>30907.19</c:v>
                </c:pt>
                <c:pt idx="8">
                  <c:v>25583.9</c:v>
                </c:pt>
                <c:pt idx="9">
                  <c:v>27791.42</c:v>
                </c:pt>
                <c:pt idx="10">
                  <c:v>25990.06</c:v>
                </c:pt>
                <c:pt idx="11">
                  <c:v>26708.4600000002</c:v>
                </c:pt>
                <c:pt idx="12">
                  <c:v>26938.9900000002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440784"/>
        <c:axId val="926637808"/>
      </c:lineChart>
      <c:catAx>
        <c:axId val="930457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6760592"/>
        <c:crosses val="autoZero"/>
        <c:auto val="1"/>
        <c:lblAlgn val="ctr"/>
        <c:lblOffset val="100"/>
        <c:noMultiLvlLbl val="0"/>
      </c:catAx>
      <c:valAx>
        <c:axId val="926760592"/>
        <c:scaling>
          <c:orientation val="minMax"/>
          <c:max val="2081.0"/>
          <c:min val="906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30457216"/>
        <c:crosses val="autoZero"/>
        <c:crossBetween val="between"/>
      </c:valAx>
      <c:valAx>
        <c:axId val="926637808"/>
        <c:scaling>
          <c:orientation val="minMax"/>
          <c:max val="37481.78"/>
          <c:min val="25483.9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26440784"/>
        <c:crosses val="max"/>
        <c:crossBetween val="between"/>
      </c:valAx>
      <c:catAx>
        <c:axId val="926440784"/>
        <c:scaling>
          <c:orientation val="minMax"/>
        </c:scaling>
        <c:delete val="1"/>
        <c:axPos val="b"/>
        <c:majorTickMark val="out"/>
        <c:minorTickMark val="none"/>
        <c:tickLblPos val="none"/>
        <c:crossAx val="92663780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Count and Ship Rev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Services!$R$8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Services!$R$9:$R$21</c:f>
              <c:numCache>
                <c:formatCode>##,##0</c:formatCode>
                <c:ptCount val="13"/>
                <c:pt idx="0">
                  <c:v>3971.0</c:v>
                </c:pt>
                <c:pt idx="1">
                  <c:v>3956.0</c:v>
                </c:pt>
                <c:pt idx="2">
                  <c:v>3050.0</c:v>
                </c:pt>
                <c:pt idx="3">
                  <c:v>3378.0</c:v>
                </c:pt>
                <c:pt idx="4">
                  <c:v>3783.0</c:v>
                </c:pt>
                <c:pt idx="5">
                  <c:v>3386.0</c:v>
                </c:pt>
                <c:pt idx="6">
                  <c:v>2863.0</c:v>
                </c:pt>
                <c:pt idx="7">
                  <c:v>2676.0</c:v>
                </c:pt>
                <c:pt idx="8">
                  <c:v>2560.0</c:v>
                </c:pt>
                <c:pt idx="9">
                  <c:v>2431.0</c:v>
                </c:pt>
                <c:pt idx="10">
                  <c:v>2278.0</c:v>
                </c:pt>
                <c:pt idx="11">
                  <c:v>2534.0</c:v>
                </c:pt>
                <c:pt idx="12">
                  <c:v>2663.0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900016"/>
        <c:axId val="926839200"/>
      </c:lineChart>
      <c:lineChart>
        <c:grouping val="standard"/>
        <c:varyColors val="0"/>
        <c:ser>
          <c:idx val="1"/>
          <c:order val="1"/>
          <c:tx>
            <c:strRef>
              <c:f>Services!$S$8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Services!$S$9:$S$21</c:f>
              <c:numCache>
                <c:formatCode>"$"#,###,##0.00</c:formatCode>
                <c:ptCount val="13"/>
                <c:pt idx="0">
                  <c:v>48808.9599999982</c:v>
                </c:pt>
                <c:pt idx="1">
                  <c:v>50736.1699999977</c:v>
                </c:pt>
                <c:pt idx="2">
                  <c:v>40916.3499999991</c:v>
                </c:pt>
                <c:pt idx="3">
                  <c:v>44781.2899999998</c:v>
                </c:pt>
                <c:pt idx="4">
                  <c:v>49603.6500000004</c:v>
                </c:pt>
                <c:pt idx="5">
                  <c:v>45130.3300000003</c:v>
                </c:pt>
                <c:pt idx="6">
                  <c:v>38911.5599999986</c:v>
                </c:pt>
                <c:pt idx="7">
                  <c:v>36055.3600000005</c:v>
                </c:pt>
                <c:pt idx="8">
                  <c:v>33725.3499999999</c:v>
                </c:pt>
                <c:pt idx="9">
                  <c:v>33664.6700000003</c:v>
                </c:pt>
                <c:pt idx="10">
                  <c:v>33427.4200000007</c:v>
                </c:pt>
                <c:pt idx="11">
                  <c:v>36757.9099999999</c:v>
                </c:pt>
                <c:pt idx="12">
                  <c:v>38748.0099999999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804256"/>
        <c:axId val="926826448"/>
      </c:lineChart>
      <c:catAx>
        <c:axId val="926900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6839200"/>
        <c:crosses val="autoZero"/>
        <c:auto val="1"/>
        <c:lblAlgn val="ctr"/>
        <c:lblOffset val="100"/>
        <c:noMultiLvlLbl val="0"/>
      </c:catAx>
      <c:valAx>
        <c:axId val="926839200"/>
        <c:scaling>
          <c:orientation val="minMax"/>
          <c:max val="4071.0"/>
          <c:min val="2178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26900016"/>
        <c:crosses val="autoZero"/>
        <c:crossBetween val="between"/>
      </c:valAx>
      <c:valAx>
        <c:axId val="926826448"/>
        <c:scaling>
          <c:orientation val="minMax"/>
          <c:max val="50836.17"/>
          <c:min val="33327.42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26804256"/>
        <c:crosses val="max"/>
        <c:crossBetween val="between"/>
      </c:valAx>
      <c:catAx>
        <c:axId val="926804256"/>
        <c:scaling>
          <c:orientation val="minMax"/>
        </c:scaling>
        <c:delete val="1"/>
        <c:axPos val="b"/>
        <c:majorTickMark val="out"/>
        <c:minorTickMark val="none"/>
        <c:tickLblPos val="none"/>
        <c:crossAx val="92682644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Count and Ship Rev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Services!$Y$8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Services!$Y$9:$Y$21</c:f>
              <c:numCache>
                <c:formatCode>##,##0</c:formatCode>
                <c:ptCount val="13"/>
                <c:pt idx="0">
                  <c:v>2361.0</c:v>
                </c:pt>
                <c:pt idx="1">
                  <c:v>2835.0</c:v>
                </c:pt>
                <c:pt idx="2">
                  <c:v>1835.0</c:v>
                </c:pt>
                <c:pt idx="3">
                  <c:v>1815.0</c:v>
                </c:pt>
                <c:pt idx="4">
                  <c:v>2058.0</c:v>
                </c:pt>
                <c:pt idx="5">
                  <c:v>1907.0</c:v>
                </c:pt>
                <c:pt idx="6">
                  <c:v>1493.0</c:v>
                </c:pt>
                <c:pt idx="7">
                  <c:v>1440.0</c:v>
                </c:pt>
                <c:pt idx="8">
                  <c:v>1207.0</c:v>
                </c:pt>
                <c:pt idx="9">
                  <c:v>1141.0</c:v>
                </c:pt>
                <c:pt idx="10">
                  <c:v>1160.0</c:v>
                </c:pt>
                <c:pt idx="11">
                  <c:v>1403.0</c:v>
                </c:pt>
                <c:pt idx="12">
                  <c:v>1442.0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220672"/>
        <c:axId val="930829040"/>
      </c:lineChart>
      <c:lineChart>
        <c:grouping val="standard"/>
        <c:varyColors val="0"/>
        <c:ser>
          <c:idx val="1"/>
          <c:order val="1"/>
          <c:tx>
            <c:strRef>
              <c:f>Services!$Z$8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Services!$Z$9:$Z$21</c:f>
              <c:numCache>
                <c:formatCode>"$"#,###,##0.00</c:formatCode>
                <c:ptCount val="13"/>
                <c:pt idx="0">
                  <c:v>26105.4299999997</c:v>
                </c:pt>
                <c:pt idx="1">
                  <c:v>33068.4099999994</c:v>
                </c:pt>
                <c:pt idx="2">
                  <c:v>22018.0899999999</c:v>
                </c:pt>
                <c:pt idx="3">
                  <c:v>21450.8899999999</c:v>
                </c:pt>
                <c:pt idx="4">
                  <c:v>23980.6500000005</c:v>
                </c:pt>
                <c:pt idx="5">
                  <c:v>22391.7700000004</c:v>
                </c:pt>
                <c:pt idx="6">
                  <c:v>18540.1200000002</c:v>
                </c:pt>
                <c:pt idx="7">
                  <c:v>17245.0599999998</c:v>
                </c:pt>
                <c:pt idx="8">
                  <c:v>14317.0599999998</c:v>
                </c:pt>
                <c:pt idx="9">
                  <c:v>14019.7000000001</c:v>
                </c:pt>
                <c:pt idx="10">
                  <c:v>14982.0400000001</c:v>
                </c:pt>
                <c:pt idx="11">
                  <c:v>18125.9699999998</c:v>
                </c:pt>
                <c:pt idx="12">
                  <c:v>18064.1799999998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045648"/>
        <c:axId val="946814128"/>
      </c:lineChart>
      <c:catAx>
        <c:axId val="926220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30829040"/>
        <c:crosses val="autoZero"/>
        <c:auto val="1"/>
        <c:lblAlgn val="ctr"/>
        <c:lblOffset val="100"/>
        <c:noMultiLvlLbl val="0"/>
      </c:catAx>
      <c:valAx>
        <c:axId val="930829040"/>
        <c:scaling>
          <c:orientation val="minMax"/>
          <c:max val="2935.0"/>
          <c:min val="1041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26220672"/>
        <c:crosses val="autoZero"/>
        <c:crossBetween val="between"/>
      </c:valAx>
      <c:valAx>
        <c:axId val="946814128"/>
        <c:scaling>
          <c:orientation val="minMax"/>
          <c:max val="33168.41"/>
          <c:min val="13919.7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31045648"/>
        <c:crosses val="max"/>
        <c:crossBetween val="between"/>
      </c:valAx>
      <c:catAx>
        <c:axId val="931045648"/>
        <c:scaling>
          <c:orientation val="minMax"/>
        </c:scaling>
        <c:delete val="1"/>
        <c:axPos val="b"/>
        <c:majorTickMark val="out"/>
        <c:minorTickMark val="none"/>
        <c:tickLblPos val="none"/>
        <c:crossAx val="9468141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Expedited Count and Ship Rev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Services!$AF$8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Services!$AF$9:$AF$21</c:f>
              <c:numCache>
                <c:formatCode>##,##0</c:formatCode>
                <c:ptCount val="13"/>
                <c:pt idx="0">
                  <c:v>2188.0</c:v>
                </c:pt>
                <c:pt idx="1">
                  <c:v>1734.0</c:v>
                </c:pt>
                <c:pt idx="2">
                  <c:v>1988.0</c:v>
                </c:pt>
                <c:pt idx="3">
                  <c:v>1815.0</c:v>
                </c:pt>
                <c:pt idx="4">
                  <c:v>1960.0</c:v>
                </c:pt>
                <c:pt idx="5">
                  <c:v>1813.0</c:v>
                </c:pt>
                <c:pt idx="6">
                  <c:v>1732.0</c:v>
                </c:pt>
                <c:pt idx="7">
                  <c:v>1606.0</c:v>
                </c:pt>
                <c:pt idx="8">
                  <c:v>1616.0</c:v>
                </c:pt>
                <c:pt idx="9">
                  <c:v>1624.0</c:v>
                </c:pt>
                <c:pt idx="10">
                  <c:v>1611.0</c:v>
                </c:pt>
                <c:pt idx="11">
                  <c:v>1582.0</c:v>
                </c:pt>
                <c:pt idx="12">
                  <c:v>1849.0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743936"/>
        <c:axId val="944503280"/>
      </c:lineChart>
      <c:lineChart>
        <c:grouping val="standard"/>
        <c:varyColors val="0"/>
        <c:ser>
          <c:idx val="1"/>
          <c:order val="1"/>
          <c:tx>
            <c:strRef>
              <c:f>Services!$AG$8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Services!$AG$9:$AG$21</c:f>
              <c:numCache>
                <c:formatCode>"$"#,###,##0.00</c:formatCode>
                <c:ptCount val="13"/>
                <c:pt idx="0">
                  <c:v>80066.3499999996</c:v>
                </c:pt>
                <c:pt idx="1">
                  <c:v>68059.5600000001</c:v>
                </c:pt>
                <c:pt idx="2">
                  <c:v>80574.199999999</c:v>
                </c:pt>
                <c:pt idx="3">
                  <c:v>71833.66</c:v>
                </c:pt>
                <c:pt idx="4">
                  <c:v>75333.1900000004</c:v>
                </c:pt>
                <c:pt idx="5">
                  <c:v>69423.67</c:v>
                </c:pt>
                <c:pt idx="6">
                  <c:v>68176.6099999999</c:v>
                </c:pt>
                <c:pt idx="7">
                  <c:v>62829.8999999999</c:v>
                </c:pt>
                <c:pt idx="8">
                  <c:v>60574.0300000005</c:v>
                </c:pt>
                <c:pt idx="9">
                  <c:v>64718.7000000006</c:v>
                </c:pt>
                <c:pt idx="10">
                  <c:v>67110.2300000004</c:v>
                </c:pt>
                <c:pt idx="11">
                  <c:v>66304.51000000061</c:v>
                </c:pt>
                <c:pt idx="12">
                  <c:v>78500.2500000003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252944"/>
        <c:axId val="944484368"/>
      </c:lineChart>
      <c:catAx>
        <c:axId val="944743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4503280"/>
        <c:crosses val="autoZero"/>
        <c:auto val="1"/>
        <c:lblAlgn val="ctr"/>
        <c:lblOffset val="100"/>
        <c:noMultiLvlLbl val="0"/>
      </c:catAx>
      <c:valAx>
        <c:axId val="944503280"/>
        <c:scaling>
          <c:orientation val="minMax"/>
          <c:max val="2288.0"/>
          <c:min val="1482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44743936"/>
        <c:crosses val="autoZero"/>
        <c:crossBetween val="between"/>
      </c:valAx>
      <c:valAx>
        <c:axId val="944484368"/>
        <c:scaling>
          <c:orientation val="minMax"/>
          <c:max val="80674.2"/>
          <c:min val="60474.03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44252944"/>
        <c:crosses val="max"/>
        <c:crossBetween val="between"/>
      </c:valAx>
      <c:catAx>
        <c:axId val="944252944"/>
        <c:scaling>
          <c:orientation val="minMax"/>
        </c:scaling>
        <c:delete val="1"/>
        <c:axPos val="b"/>
        <c:majorTickMark val="out"/>
        <c:minorTickMark val="none"/>
        <c:tickLblPos val="none"/>
        <c:crossAx val="9444843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Count and Ship Rev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Services!$AM$8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Services!$AM$9:$AM$21</c:f>
              <c:numCache>
                <c:formatCode>##,##0</c:formatCode>
                <c:ptCount val="13"/>
                <c:pt idx="0">
                  <c:v>463.0</c:v>
                </c:pt>
                <c:pt idx="1">
                  <c:v>430.0</c:v>
                </c:pt>
                <c:pt idx="2">
                  <c:v>374.0</c:v>
                </c:pt>
                <c:pt idx="3">
                  <c:v>358.0</c:v>
                </c:pt>
                <c:pt idx="4">
                  <c:v>360.0</c:v>
                </c:pt>
                <c:pt idx="5">
                  <c:v>351.0</c:v>
                </c:pt>
                <c:pt idx="6">
                  <c:v>369.0</c:v>
                </c:pt>
                <c:pt idx="7">
                  <c:v>336.0</c:v>
                </c:pt>
                <c:pt idx="8">
                  <c:v>294.0</c:v>
                </c:pt>
                <c:pt idx="9">
                  <c:v>327.0</c:v>
                </c:pt>
                <c:pt idx="10">
                  <c:v>311.0</c:v>
                </c:pt>
                <c:pt idx="11">
                  <c:v>330.0</c:v>
                </c:pt>
                <c:pt idx="12">
                  <c:v>408.0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126576"/>
        <c:axId val="943917088"/>
      </c:lineChart>
      <c:lineChart>
        <c:grouping val="standard"/>
        <c:varyColors val="0"/>
        <c:ser>
          <c:idx val="1"/>
          <c:order val="1"/>
          <c:tx>
            <c:strRef>
              <c:f>Services!$AN$8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Services!$AN$9:$AN$21</c:f>
              <c:numCache>
                <c:formatCode>"$"#,###,##0.00</c:formatCode>
                <c:ptCount val="13"/>
                <c:pt idx="0">
                  <c:v>20021.74</c:v>
                </c:pt>
                <c:pt idx="1">
                  <c:v>19129.93</c:v>
                </c:pt>
                <c:pt idx="2">
                  <c:v>17417.92</c:v>
                </c:pt>
                <c:pt idx="3">
                  <c:v>17842.14</c:v>
                </c:pt>
                <c:pt idx="4">
                  <c:v>17738.08</c:v>
                </c:pt>
                <c:pt idx="5">
                  <c:v>16427.22</c:v>
                </c:pt>
                <c:pt idx="6">
                  <c:v>17209.18</c:v>
                </c:pt>
                <c:pt idx="7">
                  <c:v>16781.11</c:v>
                </c:pt>
                <c:pt idx="8">
                  <c:v>13947.26</c:v>
                </c:pt>
                <c:pt idx="9">
                  <c:v>15848.14</c:v>
                </c:pt>
                <c:pt idx="10">
                  <c:v>14809.56</c:v>
                </c:pt>
                <c:pt idx="11">
                  <c:v>16344.49</c:v>
                </c:pt>
                <c:pt idx="12">
                  <c:v>20352.0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849328"/>
        <c:axId val="943912992"/>
      </c:lineChart>
      <c:catAx>
        <c:axId val="944126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3917088"/>
        <c:crosses val="autoZero"/>
        <c:auto val="1"/>
        <c:lblAlgn val="ctr"/>
        <c:lblOffset val="100"/>
        <c:noMultiLvlLbl val="0"/>
      </c:catAx>
      <c:valAx>
        <c:axId val="943917088"/>
        <c:scaling>
          <c:orientation val="minMax"/>
          <c:max val="563.0"/>
          <c:min val="194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44126576"/>
        <c:crosses val="autoZero"/>
        <c:crossBetween val="between"/>
      </c:valAx>
      <c:valAx>
        <c:axId val="943912992"/>
        <c:scaling>
          <c:orientation val="minMax"/>
          <c:max val="20452.0"/>
          <c:min val="13847.26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43849328"/>
        <c:crosses val="max"/>
        <c:crossBetween val="between"/>
      </c:valAx>
      <c:catAx>
        <c:axId val="943849328"/>
        <c:scaling>
          <c:orientation val="minMax"/>
        </c:scaling>
        <c:delete val="1"/>
        <c:axPos val="b"/>
        <c:majorTickMark val="out"/>
        <c:minorTickMark val="none"/>
        <c:tickLblPos val="none"/>
        <c:crossAx val="94391299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Saver Count and Ship Rev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Services!$AT$8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Services!$AT$9:$AT$21</c:f>
              <c:numCache>
                <c:formatCode>##,##0</c:formatCode>
                <c:ptCount val="13"/>
                <c:pt idx="0">
                  <c:v>921.0</c:v>
                </c:pt>
                <c:pt idx="1">
                  <c:v>725.0</c:v>
                </c:pt>
                <c:pt idx="2">
                  <c:v>472.0</c:v>
                </c:pt>
                <c:pt idx="3">
                  <c:v>481.0</c:v>
                </c:pt>
                <c:pt idx="4">
                  <c:v>487.0</c:v>
                </c:pt>
                <c:pt idx="5">
                  <c:v>462.0</c:v>
                </c:pt>
                <c:pt idx="6">
                  <c:v>495.0</c:v>
                </c:pt>
                <c:pt idx="7">
                  <c:v>445.0</c:v>
                </c:pt>
                <c:pt idx="8">
                  <c:v>433.0</c:v>
                </c:pt>
                <c:pt idx="9">
                  <c:v>457.0</c:v>
                </c:pt>
                <c:pt idx="10">
                  <c:v>492.0</c:v>
                </c:pt>
                <c:pt idx="11">
                  <c:v>475.0</c:v>
                </c:pt>
                <c:pt idx="12">
                  <c:v>475.0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726560"/>
        <c:axId val="943850176"/>
      </c:lineChart>
      <c:lineChart>
        <c:grouping val="standard"/>
        <c:varyColors val="0"/>
        <c:ser>
          <c:idx val="1"/>
          <c:order val="1"/>
          <c:tx>
            <c:strRef>
              <c:f>Services!$AU$8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Services!$AU$9:$AU$21</c:f>
              <c:numCache>
                <c:formatCode>"$"#,###,##0.00</c:formatCode>
                <c:ptCount val="13"/>
                <c:pt idx="0">
                  <c:v>38378.0299999998</c:v>
                </c:pt>
                <c:pt idx="1">
                  <c:v>31919.86</c:v>
                </c:pt>
                <c:pt idx="2">
                  <c:v>24628.95</c:v>
                </c:pt>
                <c:pt idx="3">
                  <c:v>24772.49</c:v>
                </c:pt>
                <c:pt idx="4">
                  <c:v>24420.81</c:v>
                </c:pt>
                <c:pt idx="5">
                  <c:v>23983.14</c:v>
                </c:pt>
                <c:pt idx="6">
                  <c:v>25082.3799999999</c:v>
                </c:pt>
                <c:pt idx="7">
                  <c:v>23188.59</c:v>
                </c:pt>
                <c:pt idx="8">
                  <c:v>20199.68</c:v>
                </c:pt>
                <c:pt idx="9">
                  <c:v>22737.89</c:v>
                </c:pt>
                <c:pt idx="10">
                  <c:v>26529.82</c:v>
                </c:pt>
                <c:pt idx="11">
                  <c:v>24632.86</c:v>
                </c:pt>
                <c:pt idx="12">
                  <c:v>26035.88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139872"/>
        <c:axId val="943911472"/>
      </c:lineChart>
      <c:catAx>
        <c:axId val="943726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3850176"/>
        <c:crosses val="autoZero"/>
        <c:auto val="1"/>
        <c:lblAlgn val="ctr"/>
        <c:lblOffset val="100"/>
        <c:noMultiLvlLbl val="0"/>
      </c:catAx>
      <c:valAx>
        <c:axId val="943850176"/>
        <c:scaling>
          <c:orientation val="minMax"/>
          <c:max val="1021.0"/>
          <c:min val="333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43726560"/>
        <c:crosses val="autoZero"/>
        <c:crossBetween val="between"/>
      </c:valAx>
      <c:valAx>
        <c:axId val="943911472"/>
        <c:scaling>
          <c:orientation val="minMax"/>
          <c:max val="38478.03"/>
          <c:min val="20099.68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44139872"/>
        <c:crosses val="max"/>
        <c:crossBetween val="between"/>
      </c:valAx>
      <c:catAx>
        <c:axId val="944139872"/>
        <c:scaling>
          <c:orientation val="minMax"/>
        </c:scaling>
        <c:delete val="1"/>
        <c:axPos val="b"/>
        <c:majorTickMark val="out"/>
        <c:minorTickMark val="none"/>
        <c:tickLblPos val="none"/>
        <c:crossAx val="9439114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USPS Count and Ship Rev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Services!$BA$8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Services!$BA$9:$BA$21</c:f>
              <c:numCache>
                <c:formatCode>##,##0</c:formatCode>
                <c:ptCount val="13"/>
                <c:pt idx="0">
                  <c:v>4242.0</c:v>
                </c:pt>
                <c:pt idx="1">
                  <c:v>3943.0</c:v>
                </c:pt>
                <c:pt idx="2">
                  <c:v>4140.0</c:v>
                </c:pt>
                <c:pt idx="3">
                  <c:v>3562.0</c:v>
                </c:pt>
                <c:pt idx="4">
                  <c:v>5134.0</c:v>
                </c:pt>
                <c:pt idx="5">
                  <c:v>3817.0</c:v>
                </c:pt>
                <c:pt idx="6">
                  <c:v>3827.0</c:v>
                </c:pt>
                <c:pt idx="7">
                  <c:v>4001.0</c:v>
                </c:pt>
                <c:pt idx="8">
                  <c:v>4778.0</c:v>
                </c:pt>
                <c:pt idx="9">
                  <c:v>4104.0</c:v>
                </c:pt>
                <c:pt idx="10">
                  <c:v>3904.0</c:v>
                </c:pt>
                <c:pt idx="11">
                  <c:v>3852.0</c:v>
                </c:pt>
                <c:pt idx="12">
                  <c:v>5328.0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81328"/>
        <c:axId val="943996192"/>
      </c:lineChart>
      <c:lineChart>
        <c:grouping val="standard"/>
        <c:varyColors val="0"/>
        <c:ser>
          <c:idx val="1"/>
          <c:order val="1"/>
          <c:tx>
            <c:strRef>
              <c:f>Services!$BB$8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Services!$BB$9:$BB$21</c:f>
              <c:numCache>
                <c:formatCode>"$"#,###,##0.00</c:formatCode>
                <c:ptCount val="13"/>
                <c:pt idx="0">
                  <c:v>36654.4999999997</c:v>
                </c:pt>
                <c:pt idx="1">
                  <c:v>32173.7600000004</c:v>
                </c:pt>
                <c:pt idx="2">
                  <c:v>34307.0200000011</c:v>
                </c:pt>
                <c:pt idx="3">
                  <c:v>31039.740000001</c:v>
                </c:pt>
                <c:pt idx="4">
                  <c:v>41966.2800000009</c:v>
                </c:pt>
                <c:pt idx="5">
                  <c:v>32559.7200000006</c:v>
                </c:pt>
                <c:pt idx="6">
                  <c:v>32762.5300000005</c:v>
                </c:pt>
                <c:pt idx="7">
                  <c:v>32486.1600000005</c:v>
                </c:pt>
                <c:pt idx="8">
                  <c:v>36818.3900000007</c:v>
                </c:pt>
                <c:pt idx="9">
                  <c:v>33827.8400000003</c:v>
                </c:pt>
                <c:pt idx="10">
                  <c:v>32655.4399999994</c:v>
                </c:pt>
                <c:pt idx="11">
                  <c:v>33321.1399999997</c:v>
                </c:pt>
                <c:pt idx="12">
                  <c:v>44478.8499999991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99872"/>
        <c:axId val="944305376"/>
      </c:lineChart>
      <c:catAx>
        <c:axId val="943981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3996192"/>
        <c:crosses val="autoZero"/>
        <c:auto val="1"/>
        <c:lblAlgn val="ctr"/>
        <c:lblOffset val="100"/>
        <c:noMultiLvlLbl val="0"/>
      </c:catAx>
      <c:valAx>
        <c:axId val="943996192"/>
        <c:scaling>
          <c:orientation val="minMax"/>
          <c:max val="5428.0"/>
          <c:min val="3462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43981328"/>
        <c:crosses val="autoZero"/>
        <c:crossBetween val="between"/>
      </c:valAx>
      <c:valAx>
        <c:axId val="944305376"/>
        <c:scaling>
          <c:orientation val="minMax"/>
          <c:max val="44578.85"/>
          <c:min val="30939.74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43999872"/>
        <c:crosses val="max"/>
        <c:crossBetween val="between"/>
      </c:valAx>
      <c:catAx>
        <c:axId val="943999872"/>
        <c:scaling>
          <c:orientation val="minMax"/>
        </c:scaling>
        <c:delete val="1"/>
        <c:axPos val="b"/>
        <c:majorTickMark val="out"/>
        <c:minorTickMark val="none"/>
        <c:tickLblPos val="none"/>
        <c:crossAx val="94430537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Services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Charges!$D$9:$D$21</c:f>
              <c:numCache>
                <c:formatCode>##,##0</c:formatCode>
                <c:ptCount val="13"/>
                <c:pt idx="0">
                  <c:v>27571.0</c:v>
                </c:pt>
                <c:pt idx="1">
                  <c:v>25373.0</c:v>
                </c:pt>
                <c:pt idx="2">
                  <c:v>23564.0</c:v>
                </c:pt>
                <c:pt idx="3">
                  <c:v>24014.0</c:v>
                </c:pt>
                <c:pt idx="4">
                  <c:v>27640.0</c:v>
                </c:pt>
                <c:pt idx="5">
                  <c:v>24056.0</c:v>
                </c:pt>
                <c:pt idx="6">
                  <c:v>21488.0</c:v>
                </c:pt>
                <c:pt idx="7">
                  <c:v>21417.0</c:v>
                </c:pt>
                <c:pt idx="8">
                  <c:v>22408.0</c:v>
                </c:pt>
                <c:pt idx="9">
                  <c:v>22787.0</c:v>
                </c:pt>
                <c:pt idx="10">
                  <c:v>21769.0</c:v>
                </c:pt>
                <c:pt idx="11">
                  <c:v>22518.0</c:v>
                </c:pt>
                <c:pt idx="12">
                  <c:v>27233.0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105920"/>
        <c:axId val="789095424"/>
      </c:barChart>
      <c:catAx>
        <c:axId val="7891059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89095424"/>
        <c:crosses val="autoZero"/>
        <c:auto val="1"/>
        <c:lblAlgn val="ctr"/>
        <c:lblOffset val="100"/>
        <c:noMultiLvlLbl val="0"/>
      </c:catAx>
      <c:valAx>
        <c:axId val="789095424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789105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Shipping Charge Correction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Charges!$E$9:$E$21</c:f>
              <c:numCache>
                <c:formatCode>##,##0</c:formatCode>
                <c:ptCount val="13"/>
                <c:pt idx="0">
                  <c:v>1166.0</c:v>
                </c:pt>
                <c:pt idx="1">
                  <c:v>1332.0</c:v>
                </c:pt>
                <c:pt idx="2">
                  <c:v>969.0</c:v>
                </c:pt>
                <c:pt idx="3">
                  <c:v>1142.0</c:v>
                </c:pt>
                <c:pt idx="4">
                  <c:v>990.0</c:v>
                </c:pt>
                <c:pt idx="5">
                  <c:v>961.0</c:v>
                </c:pt>
                <c:pt idx="6">
                  <c:v>1120.0</c:v>
                </c:pt>
                <c:pt idx="7">
                  <c:v>1041.0</c:v>
                </c:pt>
                <c:pt idx="8">
                  <c:v>1051.0</c:v>
                </c:pt>
                <c:pt idx="9">
                  <c:v>1357.0</c:v>
                </c:pt>
                <c:pt idx="10">
                  <c:v>1223.0</c:v>
                </c:pt>
                <c:pt idx="11">
                  <c:v>1403.0</c:v>
                </c:pt>
                <c:pt idx="12">
                  <c:v>1587.0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131904"/>
        <c:axId val="789126368"/>
      </c:barChart>
      <c:catAx>
        <c:axId val="789131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89126368"/>
        <c:crosses val="autoZero"/>
        <c:auto val="1"/>
        <c:lblAlgn val="ctr"/>
        <c:lblOffset val="100"/>
        <c:noMultiLvlLbl val="0"/>
      </c:catAx>
      <c:valAx>
        <c:axId val="789126368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789131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Address Correction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Charges!$F$9:$F$21</c:f>
              <c:numCache>
                <c:formatCode>##,##0</c:formatCode>
                <c:ptCount val="13"/>
                <c:pt idx="0">
                  <c:v>107.0</c:v>
                </c:pt>
                <c:pt idx="1">
                  <c:v>89.0</c:v>
                </c:pt>
                <c:pt idx="2">
                  <c:v>72.0</c:v>
                </c:pt>
                <c:pt idx="3">
                  <c:v>71.0</c:v>
                </c:pt>
                <c:pt idx="4">
                  <c:v>86.0</c:v>
                </c:pt>
                <c:pt idx="5">
                  <c:v>69.0</c:v>
                </c:pt>
                <c:pt idx="6">
                  <c:v>71.0</c:v>
                </c:pt>
                <c:pt idx="7">
                  <c:v>81.0</c:v>
                </c:pt>
                <c:pt idx="8">
                  <c:v>59.0</c:v>
                </c:pt>
                <c:pt idx="9">
                  <c:v>60.0</c:v>
                </c:pt>
                <c:pt idx="10">
                  <c:v>60.0</c:v>
                </c:pt>
                <c:pt idx="11">
                  <c:v>68.0</c:v>
                </c:pt>
                <c:pt idx="12">
                  <c:v>84.0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084576"/>
        <c:axId val="788931952"/>
      </c:barChart>
      <c:catAx>
        <c:axId val="789084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88931952"/>
        <c:crosses val="autoZero"/>
        <c:auto val="1"/>
        <c:lblAlgn val="ctr"/>
        <c:lblOffset val="100"/>
        <c:noMultiLvlLbl val="0"/>
      </c:catAx>
      <c:valAx>
        <c:axId val="788931952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789084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Delivery/Remote/ Extended Area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Charges!$G$9:$G$21</c:f>
              <c:numCache>
                <c:formatCode>##,##0</c:formatCode>
                <c:ptCount val="13"/>
                <c:pt idx="0">
                  <c:v>3074.0</c:v>
                </c:pt>
                <c:pt idx="1">
                  <c:v>3209.0</c:v>
                </c:pt>
                <c:pt idx="2">
                  <c:v>2728.0</c:v>
                </c:pt>
                <c:pt idx="3">
                  <c:v>2756.0</c:v>
                </c:pt>
                <c:pt idx="4">
                  <c:v>3108.0</c:v>
                </c:pt>
                <c:pt idx="5">
                  <c:v>2701.0</c:v>
                </c:pt>
                <c:pt idx="6">
                  <c:v>2600.0</c:v>
                </c:pt>
                <c:pt idx="7">
                  <c:v>2573.0</c:v>
                </c:pt>
                <c:pt idx="8">
                  <c:v>2668.0</c:v>
                </c:pt>
                <c:pt idx="9">
                  <c:v>2691.0</c:v>
                </c:pt>
                <c:pt idx="10">
                  <c:v>2528.0</c:v>
                </c:pt>
                <c:pt idx="11">
                  <c:v>2535.0</c:v>
                </c:pt>
                <c:pt idx="12">
                  <c:v>3253.0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627008"/>
        <c:axId val="926624720"/>
      </c:barChart>
      <c:catAx>
        <c:axId val="926627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26624720"/>
        <c:crosses val="autoZero"/>
        <c:auto val="1"/>
        <c:lblAlgn val="ctr"/>
        <c:lblOffset val="100"/>
        <c:noMultiLvlLbl val="0"/>
      </c:catAx>
      <c:valAx>
        <c:axId val="926624720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926627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Residential Charge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Charges!$H$9:$H$21</c:f>
              <c:numCache>
                <c:formatCode>##,##0</c:formatCode>
                <c:ptCount val="13"/>
                <c:pt idx="0">
                  <c:v>17724.0</c:v>
                </c:pt>
                <c:pt idx="1">
                  <c:v>17521.0</c:v>
                </c:pt>
                <c:pt idx="2">
                  <c:v>14880.0</c:v>
                </c:pt>
                <c:pt idx="3">
                  <c:v>14437.0</c:v>
                </c:pt>
                <c:pt idx="4">
                  <c:v>17268.0</c:v>
                </c:pt>
                <c:pt idx="5">
                  <c:v>14480.0</c:v>
                </c:pt>
                <c:pt idx="6">
                  <c:v>13105.0</c:v>
                </c:pt>
                <c:pt idx="7">
                  <c:v>12801.0</c:v>
                </c:pt>
                <c:pt idx="8">
                  <c:v>14152.0</c:v>
                </c:pt>
                <c:pt idx="9">
                  <c:v>14303.0</c:v>
                </c:pt>
                <c:pt idx="10">
                  <c:v>13498.0</c:v>
                </c:pt>
                <c:pt idx="11">
                  <c:v>13816.0</c:v>
                </c:pt>
                <c:pt idx="12">
                  <c:v>18130.0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564448"/>
        <c:axId val="919534992"/>
      </c:barChart>
      <c:catAx>
        <c:axId val="919564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19534992"/>
        <c:crosses val="autoZero"/>
        <c:auto val="1"/>
        <c:lblAlgn val="ctr"/>
        <c:lblOffset val="100"/>
        <c:noMultiLvlLbl val="0"/>
      </c:catAx>
      <c:valAx>
        <c:axId val="919534992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919564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Counts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Free Shipping Count</c:v>
          </c:tx>
          <c:marker>
            <c:symbol val="x"/>
            <c:size val="5"/>
          </c:marker>
          <c:cat>
            <c:strRef>
              <c:f>Free_Shipping!$C$9:$C$21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Free_Shipping!$D$9:$D$21</c:f>
              <c:numCache>
                <c:formatCode>##,##0</c:formatCode>
                <c:ptCount val="13"/>
                <c:pt idx="0">
                  <c:v>1859.0</c:v>
                </c:pt>
                <c:pt idx="1">
                  <c:v>1500.0</c:v>
                </c:pt>
                <c:pt idx="2">
                  <c:v>1504.0</c:v>
                </c:pt>
                <c:pt idx="3">
                  <c:v>1693.0</c:v>
                </c:pt>
                <c:pt idx="4">
                  <c:v>1818.0</c:v>
                </c:pt>
                <c:pt idx="5">
                  <c:v>1710.0</c:v>
                </c:pt>
                <c:pt idx="6">
                  <c:v>1690.0</c:v>
                </c:pt>
                <c:pt idx="7">
                  <c:v>1678.0</c:v>
                </c:pt>
                <c:pt idx="8">
                  <c:v>1488.0</c:v>
                </c:pt>
                <c:pt idx="9">
                  <c:v>2093.0</c:v>
                </c:pt>
                <c:pt idx="10">
                  <c:v>1672.0</c:v>
                </c:pt>
                <c:pt idx="11">
                  <c:v>1666.0</c:v>
                </c:pt>
                <c:pt idx="12">
                  <c:v>1995.0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099504"/>
        <c:axId val="918987424"/>
      </c:lineChart>
      <c:lineChart>
        <c:grouping val="standard"/>
        <c:varyColors val="0"/>
        <c:ser>
          <c:idx val="1"/>
          <c:order val="1"/>
          <c:tx>
            <c:v>USPS Free Shipping Count</c:v>
          </c:tx>
          <c:marker>
            <c:symbol val="x"/>
            <c:size val="5"/>
          </c:marker>
          <c:val>
            <c:numRef>
              <c:f>Free_Shipping!$E$9:$E$21</c:f>
              <c:numCache>
                <c:formatCode>##,##0</c:formatCode>
                <c:ptCount val="13"/>
                <c:pt idx="0">
                  <c:v>206.0</c:v>
                </c:pt>
                <c:pt idx="1">
                  <c:v>618.0</c:v>
                </c:pt>
                <c:pt idx="2">
                  <c:v>195.0</c:v>
                </c:pt>
                <c:pt idx="3">
                  <c:v>198.0</c:v>
                </c:pt>
                <c:pt idx="4">
                  <c:v>227.0</c:v>
                </c:pt>
                <c:pt idx="5">
                  <c:v>227.0</c:v>
                </c:pt>
                <c:pt idx="6">
                  <c:v>191.0</c:v>
                </c:pt>
                <c:pt idx="7">
                  <c:v>224.0</c:v>
                </c:pt>
                <c:pt idx="8">
                  <c:v>176.0</c:v>
                </c:pt>
                <c:pt idx="9">
                  <c:v>665.0</c:v>
                </c:pt>
                <c:pt idx="10">
                  <c:v>1156.0</c:v>
                </c:pt>
                <c:pt idx="11">
                  <c:v>290.0</c:v>
                </c:pt>
                <c:pt idx="12">
                  <c:v>271.0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715536"/>
        <c:axId val="918826848"/>
      </c:lineChart>
      <c:catAx>
        <c:axId val="919099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8987424"/>
        <c:crosses val="autoZero"/>
        <c:auto val="1"/>
        <c:lblAlgn val="ctr"/>
        <c:lblOffset val="100"/>
        <c:noMultiLvlLbl val="0"/>
      </c:catAx>
      <c:valAx>
        <c:axId val="918987424"/>
        <c:scaling>
          <c:orientation val="minMax"/>
          <c:max val="2093.0"/>
          <c:min val="1488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19099504"/>
        <c:crosses val="autoZero"/>
        <c:crossBetween val="between"/>
      </c:valAx>
      <c:valAx>
        <c:axId val="918826848"/>
        <c:scaling>
          <c:orientation val="minMax"/>
          <c:max val="1156.0"/>
          <c:min val="176.0"/>
        </c:scaling>
        <c:delete val="0"/>
        <c:axPos val="r"/>
        <c:numFmt formatCode="###,##0" sourceLinked="0"/>
        <c:majorTickMark val="out"/>
        <c:minorTickMark val="none"/>
        <c:tickLblPos val="nextTo"/>
        <c:crossAx val="918715536"/>
        <c:crosses val="max"/>
        <c:crossBetween val="between"/>
      </c:valAx>
      <c:catAx>
        <c:axId val="918715536"/>
        <c:scaling>
          <c:orientation val="minMax"/>
        </c:scaling>
        <c:delete val="1"/>
        <c:axPos val="b"/>
        <c:majorTickMark val="out"/>
        <c:minorTickMark val="none"/>
        <c:tickLblPos val="none"/>
        <c:crossAx val="91882684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Costs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Free Shipping Cost</c:v>
          </c:tx>
          <c:marker>
            <c:symbol val="x"/>
            <c:size val="5"/>
          </c:marker>
          <c:cat>
            <c:strRef>
              <c:f>Free_Shipping!$K$9:$K$21</c:f>
              <c:strCache>
                <c:ptCount val="13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  <c:pt idx="12">
                  <c:v>November</c:v>
                </c:pt>
              </c:strCache>
            </c:strRef>
          </c:cat>
          <c:val>
            <c:numRef>
              <c:f>Free_Shipping!$L$9:$L$21</c:f>
              <c:numCache>
                <c:formatCode>"$"#,###,##0.00</c:formatCode>
                <c:ptCount val="13"/>
                <c:pt idx="0">
                  <c:v>18512.9901625067</c:v>
                </c:pt>
                <c:pt idx="1">
                  <c:v>15780.0000843871</c:v>
                </c:pt>
                <c:pt idx="2">
                  <c:v>17554.6999484375</c:v>
                </c:pt>
                <c:pt idx="3">
                  <c:v>17916.4599459283</c:v>
                </c:pt>
                <c:pt idx="4">
                  <c:v>18759.1299257893</c:v>
                </c:pt>
                <c:pt idx="5">
                  <c:v>18683.7699340824</c:v>
                </c:pt>
                <c:pt idx="6">
                  <c:v>19342.5199159607</c:v>
                </c:pt>
                <c:pt idx="7">
                  <c:v>20478.4499517698</c:v>
                </c:pt>
                <c:pt idx="8">
                  <c:v>16354.5101154335</c:v>
                </c:pt>
                <c:pt idx="9">
                  <c:v>21252.7001757026</c:v>
                </c:pt>
                <c:pt idx="10">
                  <c:v>17493.6801047716</c:v>
                </c:pt>
                <c:pt idx="11">
                  <c:v>19680.8000823725</c:v>
                </c:pt>
                <c:pt idx="12">
                  <c:v>19897.7801421117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558528"/>
        <c:axId val="919507584"/>
      </c:lineChart>
      <c:lineChart>
        <c:grouping val="standard"/>
        <c:varyColors val="0"/>
        <c:ser>
          <c:idx val="1"/>
          <c:order val="1"/>
          <c:tx>
            <c:v>USPS Free Shipping Cost</c:v>
          </c:tx>
          <c:marker>
            <c:symbol val="x"/>
            <c:size val="5"/>
          </c:marker>
          <c:val>
            <c:numRef>
              <c:f>Free_Shipping!$M$9:$M$21</c:f>
              <c:numCache>
                <c:formatCode>"$"#,###,##0.00</c:formatCode>
                <c:ptCount val="13"/>
                <c:pt idx="0">
                  <c:v>371.250000715256</c:v>
                </c:pt>
                <c:pt idx="1">
                  <c:v>283.000000953674</c:v>
                </c:pt>
                <c:pt idx="2">
                  <c:v>351.999998092651</c:v>
                </c:pt>
                <c:pt idx="3">
                  <c:v>483.219988822937</c:v>
                </c:pt>
                <c:pt idx="4">
                  <c:v>424.799991607666</c:v>
                </c:pt>
                <c:pt idx="5">
                  <c:v>395.399994373322</c:v>
                </c:pt>
                <c:pt idx="6">
                  <c:v>384.599993228912</c:v>
                </c:pt>
                <c:pt idx="7">
                  <c:v>421.299992084503</c:v>
                </c:pt>
                <c:pt idx="8">
                  <c:v>418.969992160797</c:v>
                </c:pt>
                <c:pt idx="9">
                  <c:v>712.85000038147</c:v>
                </c:pt>
                <c:pt idx="10">
                  <c:v>310.249995231628</c:v>
                </c:pt>
                <c:pt idx="11">
                  <c:v>1010.15999650955</c:v>
                </c:pt>
                <c:pt idx="12">
                  <c:v>712.519993305206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152448"/>
        <c:axId val="919157024"/>
      </c:lineChart>
      <c:catAx>
        <c:axId val="919558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9507584"/>
        <c:crosses val="autoZero"/>
        <c:auto val="1"/>
        <c:lblAlgn val="ctr"/>
        <c:lblOffset val="100"/>
        <c:noMultiLvlLbl val="0"/>
      </c:catAx>
      <c:valAx>
        <c:axId val="919507584"/>
        <c:scaling>
          <c:orientation val="minMax"/>
          <c:max val="21252.7001757"/>
          <c:min val="15780.0000844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919558528"/>
        <c:crosses val="autoZero"/>
        <c:crossBetween val="between"/>
      </c:valAx>
      <c:valAx>
        <c:axId val="919157024"/>
        <c:scaling>
          <c:orientation val="minMax"/>
          <c:max val="1010.15999651"/>
          <c:min val="283.000000954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919152448"/>
        <c:crosses val="max"/>
        <c:crossBetween val="between"/>
      </c:valAx>
      <c:catAx>
        <c:axId val="919152448"/>
        <c:scaling>
          <c:orientation val="minMax"/>
        </c:scaling>
        <c:delete val="1"/>
        <c:axPos val="b"/>
        <c:majorTickMark val="out"/>
        <c:minorTickMark val="none"/>
        <c:tickLblPos val="none"/>
        <c:crossAx val="91915702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Overcharges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2nd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Overcharges!$N$9:$N$21</c:f>
              <c:numCache>
                <c:formatCode>##,##0</c:formatCode>
                <c:ptCount val="13"/>
                <c:pt idx="0">
                  <c:v>179.0</c:v>
                </c:pt>
                <c:pt idx="1">
                  <c:v>216.0</c:v>
                </c:pt>
                <c:pt idx="2">
                  <c:v>65.0</c:v>
                </c:pt>
                <c:pt idx="3">
                  <c:v>81.0</c:v>
                </c:pt>
                <c:pt idx="4">
                  <c:v>83.0</c:v>
                </c:pt>
                <c:pt idx="5">
                  <c:v>70.0</c:v>
                </c:pt>
                <c:pt idx="6">
                  <c:v>122.0</c:v>
                </c:pt>
                <c:pt idx="7">
                  <c:v>130.0</c:v>
                </c:pt>
                <c:pt idx="8">
                  <c:v>158.0</c:v>
                </c:pt>
                <c:pt idx="9">
                  <c:v>140.0</c:v>
                </c:pt>
                <c:pt idx="10">
                  <c:v>85.0</c:v>
                </c:pt>
                <c:pt idx="11">
                  <c:v>91.0</c:v>
                </c:pt>
                <c:pt idx="12">
                  <c:v>138.0</c:v>
                </c:pt>
              </c:numCache>
            </c:numRef>
          </c:val>
          <c:smooth val="0"/>
        </c:ser>
        <c:ser>
          <c:idx val="1"/>
          <c:order val="1"/>
          <c:tx>
            <c:v>3 Day Select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Overcharges!$M$9:$M$21</c:f>
              <c:numCache>
                <c:formatCode>General</c:formatCode>
                <c:ptCount val="13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v>Ground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Overcharges!$P$9:$P$21</c:f>
              <c:numCache>
                <c:formatCode>##,##0</c:formatCode>
                <c:ptCount val="13"/>
                <c:pt idx="0">
                  <c:v>220.0</c:v>
                </c:pt>
                <c:pt idx="1">
                  <c:v>556.0</c:v>
                </c:pt>
                <c:pt idx="2">
                  <c:v>135.0</c:v>
                </c:pt>
                <c:pt idx="3">
                  <c:v>149.0</c:v>
                </c:pt>
                <c:pt idx="4">
                  <c:v>129.0</c:v>
                </c:pt>
                <c:pt idx="5">
                  <c:v>104.0</c:v>
                </c:pt>
                <c:pt idx="6">
                  <c:v>119.0</c:v>
                </c:pt>
                <c:pt idx="7">
                  <c:v>140.0</c:v>
                </c:pt>
                <c:pt idx="8">
                  <c:v>223.0</c:v>
                </c:pt>
                <c:pt idx="9">
                  <c:v>177.0</c:v>
                </c:pt>
                <c:pt idx="10">
                  <c:v>217.0</c:v>
                </c:pt>
                <c:pt idx="11">
                  <c:v>283.0</c:v>
                </c:pt>
                <c:pt idx="12">
                  <c:v>322.0</c:v>
                </c:pt>
              </c:numCache>
            </c:numRef>
          </c:val>
          <c:smooth val="0"/>
        </c:ser>
        <c:ser>
          <c:idx val="3"/>
          <c:order val="3"/>
          <c:tx>
            <c:v>Next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Overcharges!$Q$9:$Q$21</c:f>
              <c:numCache>
                <c:formatCode>##,##0</c:formatCode>
                <c:ptCount val="13"/>
                <c:pt idx="0">
                  <c:v>100.0</c:v>
                </c:pt>
                <c:pt idx="1">
                  <c:v>92.0</c:v>
                </c:pt>
                <c:pt idx="2">
                  <c:v>32.0</c:v>
                </c:pt>
                <c:pt idx="3">
                  <c:v>55.0</c:v>
                </c:pt>
                <c:pt idx="4">
                  <c:v>55.0</c:v>
                </c:pt>
                <c:pt idx="5">
                  <c:v>45.0</c:v>
                </c:pt>
                <c:pt idx="6">
                  <c:v>95.0</c:v>
                </c:pt>
                <c:pt idx="7">
                  <c:v>63.0</c:v>
                </c:pt>
                <c:pt idx="8">
                  <c:v>67.0</c:v>
                </c:pt>
                <c:pt idx="9">
                  <c:v>73.0</c:v>
                </c:pt>
                <c:pt idx="10">
                  <c:v>41.0</c:v>
                </c:pt>
                <c:pt idx="11">
                  <c:v>55.0</c:v>
                </c:pt>
                <c:pt idx="12">
                  <c:v>73.0</c:v>
                </c:pt>
              </c:numCache>
            </c:numRef>
          </c:val>
          <c:smooth val="0"/>
        </c:ser>
        <c:ser>
          <c:idx val="4"/>
          <c:order val="4"/>
          <c:tx>
            <c:v>USPS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Overcharges!$R$9:$R$21</c:f>
              <c:numCache>
                <c:formatCode>##,##0</c:formatCode>
                <c:ptCount val="13"/>
                <c:pt idx="0">
                  <c:v>8.0</c:v>
                </c:pt>
                <c:pt idx="1">
                  <c:v>9.0</c:v>
                </c:pt>
                <c:pt idx="2">
                  <c:v>20.0</c:v>
                </c:pt>
                <c:pt idx="3">
                  <c:v>6.0</c:v>
                </c:pt>
                <c:pt idx="4">
                  <c:v>7.0</c:v>
                </c:pt>
                <c:pt idx="5">
                  <c:v>9.0</c:v>
                </c:pt>
                <c:pt idx="6">
                  <c:v>18.0</c:v>
                </c:pt>
                <c:pt idx="7">
                  <c:v>14.0</c:v>
                </c:pt>
                <c:pt idx="8">
                  <c:v>15.0</c:v>
                </c:pt>
                <c:pt idx="9">
                  <c:v>13.0</c:v>
                </c:pt>
                <c:pt idx="10">
                  <c:v>18.0</c:v>
                </c:pt>
                <c:pt idx="11">
                  <c:v>14.0</c:v>
                </c:pt>
                <c:pt idx="12">
                  <c:v>20.0</c:v>
                </c:pt>
              </c:numCache>
            </c:numRef>
          </c:val>
          <c:smooth val="0"/>
        </c:ser>
        <c:ser>
          <c:idx val="5"/>
          <c:order val="5"/>
          <c:tx>
            <c:v>Worldwide Expedited</c:v>
          </c:tx>
          <c:marker>
            <c:symbol val="x"/>
            <c:size val="5"/>
          </c:marker>
          <c:cat>
            <c:numRef>
              <c:f>Overcharges!$L$9:$L$21</c:f>
              <c:numCache>
                <c:formatCode>General</c:formatCode>
                <c:ptCount val="13"/>
                <c:pt idx="0">
                  <c:v>2015.0</c:v>
                </c:pt>
                <c:pt idx="1">
                  <c:v>2015.0</c:v>
                </c:pt>
                <c:pt idx="2">
                  <c:v>2016.0</c:v>
                </c:pt>
                <c:pt idx="3">
                  <c:v>2016.0</c:v>
                </c:pt>
                <c:pt idx="4">
                  <c:v>2016.0</c:v>
                </c:pt>
                <c:pt idx="5">
                  <c:v>2016.0</c:v>
                </c:pt>
                <c:pt idx="6">
                  <c:v>2016.0</c:v>
                </c:pt>
                <c:pt idx="7">
                  <c:v>2016.0</c:v>
                </c:pt>
                <c:pt idx="8">
                  <c:v>2016.0</c:v>
                </c:pt>
                <c:pt idx="9">
                  <c:v>2016.0</c:v>
                </c:pt>
                <c:pt idx="10">
                  <c:v>2016.0</c:v>
                </c:pt>
                <c:pt idx="11">
                  <c:v>2016.0</c:v>
                </c:pt>
                <c:pt idx="12">
                  <c:v>2016.0</c:v>
                </c:pt>
              </c:numCache>
            </c:numRef>
          </c:cat>
          <c:val>
            <c:numRef>
              <c:f>Overcharges!$S$9:$S$21</c:f>
              <c:numCache>
                <c:formatCode>##,##0</c:formatCode>
                <c:ptCount val="13"/>
                <c:pt idx="0">
                  <c:v>269.0</c:v>
                </c:pt>
                <c:pt idx="1">
                  <c:v>228.0</c:v>
                </c:pt>
                <c:pt idx="2">
                  <c:v>106.0</c:v>
                </c:pt>
                <c:pt idx="3">
                  <c:v>103.0</c:v>
                </c:pt>
                <c:pt idx="4">
                  <c:v>103.0</c:v>
                </c:pt>
                <c:pt idx="5">
                  <c:v>169.0</c:v>
                </c:pt>
                <c:pt idx="6">
                  <c:v>160.0</c:v>
                </c:pt>
                <c:pt idx="7">
                  <c:v>198.0</c:v>
                </c:pt>
                <c:pt idx="8">
                  <c:v>241.0</c:v>
                </c:pt>
                <c:pt idx="9">
                  <c:v>161.0</c:v>
                </c:pt>
                <c:pt idx="10">
                  <c:v>236.0</c:v>
                </c:pt>
                <c:pt idx="11">
                  <c:v>229.0</c:v>
                </c:pt>
                <c:pt idx="12">
                  <c:v>242.0</c:v>
                </c:pt>
              </c:numCache>
            </c:numRef>
          </c:val>
          <c:smooth val="0"/>
        </c:ser>
        <c:ser>
          <c:idx val="6"/>
          <c:order val="6"/>
          <c:tx>
            <c:v>Worldwide Express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Overcharges!$T$9:$T$21</c:f>
              <c:numCache>
                <c:formatCode>##,##0</c:formatCode>
                <c:ptCount val="13"/>
                <c:pt idx="0">
                  <c:v>52.0</c:v>
                </c:pt>
                <c:pt idx="1">
                  <c:v>43.0</c:v>
                </c:pt>
                <c:pt idx="2">
                  <c:v>41.0</c:v>
                </c:pt>
                <c:pt idx="3">
                  <c:v>33.0</c:v>
                </c:pt>
                <c:pt idx="4">
                  <c:v>23.0</c:v>
                </c:pt>
                <c:pt idx="5">
                  <c:v>32.0</c:v>
                </c:pt>
                <c:pt idx="6">
                  <c:v>36.0</c:v>
                </c:pt>
                <c:pt idx="7">
                  <c:v>42.0</c:v>
                </c:pt>
                <c:pt idx="8">
                  <c:v>39.0</c:v>
                </c:pt>
                <c:pt idx="9">
                  <c:v>42.0</c:v>
                </c:pt>
                <c:pt idx="10">
                  <c:v>53.0</c:v>
                </c:pt>
                <c:pt idx="11">
                  <c:v>45.0</c:v>
                </c:pt>
                <c:pt idx="12">
                  <c:v>58.0</c:v>
                </c:pt>
              </c:numCache>
            </c:numRef>
          </c:val>
          <c:smooth val="0"/>
        </c:ser>
        <c:ser>
          <c:idx val="7"/>
          <c:order val="7"/>
          <c:tx>
            <c:v>Worldwide Saver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Overcharges!$U$9:$U$21</c:f>
              <c:numCache>
                <c:formatCode>##,##0</c:formatCode>
                <c:ptCount val="13"/>
                <c:pt idx="0">
                  <c:v>118.0</c:v>
                </c:pt>
                <c:pt idx="1">
                  <c:v>95.0</c:v>
                </c:pt>
                <c:pt idx="2">
                  <c:v>51.0</c:v>
                </c:pt>
                <c:pt idx="3">
                  <c:v>48.0</c:v>
                </c:pt>
                <c:pt idx="4">
                  <c:v>58.0</c:v>
                </c:pt>
                <c:pt idx="5">
                  <c:v>53.0</c:v>
                </c:pt>
                <c:pt idx="6">
                  <c:v>80.0</c:v>
                </c:pt>
                <c:pt idx="7">
                  <c:v>60.0</c:v>
                </c:pt>
                <c:pt idx="8">
                  <c:v>69.0</c:v>
                </c:pt>
                <c:pt idx="9">
                  <c:v>77.0</c:v>
                </c:pt>
                <c:pt idx="10">
                  <c:v>68.0</c:v>
                </c:pt>
                <c:pt idx="11">
                  <c:v>90.0</c:v>
                </c:pt>
                <c:pt idx="12">
                  <c:v>76.0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595552"/>
        <c:axId val="919192176"/>
      </c:lineChart>
      <c:catAx>
        <c:axId val="91859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9192176"/>
        <c:crosses val="autoZero"/>
        <c:auto val="1"/>
        <c:lblAlgn val="ctr"/>
        <c:lblOffset val="100"/>
        <c:noMultiLvlLbl val="0"/>
      </c:catAx>
      <c:valAx>
        <c:axId val="919192176"/>
        <c:scaling>
          <c:orientation val="minMax"/>
          <c:max val="600.0"/>
          <c:min val="0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918595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 Overcharged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2nd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Overcharges!$Z$9:$Z$21</c:f>
              <c:numCache>
                <c:formatCode>"$"#,###,##0.00</c:formatCode>
                <c:ptCount val="13"/>
                <c:pt idx="0">
                  <c:v>340.679970859438</c:v>
                </c:pt>
                <c:pt idx="1">
                  <c:v>737.63998292588</c:v>
                </c:pt>
                <c:pt idx="2">
                  <c:v>175.219998223558</c:v>
                </c:pt>
                <c:pt idx="3">
                  <c:v>322.03000052549</c:v>
                </c:pt>
                <c:pt idx="4">
                  <c:v>325.810004184991</c:v>
                </c:pt>
                <c:pt idx="5">
                  <c:v>319.060000078306</c:v>
                </c:pt>
                <c:pt idx="6">
                  <c:v>305.049995393976</c:v>
                </c:pt>
                <c:pt idx="7">
                  <c:v>413.94000564374</c:v>
                </c:pt>
                <c:pt idx="8">
                  <c:v>311.219995496869</c:v>
                </c:pt>
                <c:pt idx="9">
                  <c:v>439.190005092696</c:v>
                </c:pt>
                <c:pt idx="10">
                  <c:v>321.640009319931</c:v>
                </c:pt>
                <c:pt idx="11">
                  <c:v>403.890010234415</c:v>
                </c:pt>
                <c:pt idx="12">
                  <c:v>474.150014169365</c:v>
                </c:pt>
              </c:numCache>
            </c:numRef>
          </c:val>
          <c:smooth val="0"/>
        </c:ser>
        <c:ser>
          <c:idx val="1"/>
          <c:order val="1"/>
          <c:tx>
            <c:v>3 Day Select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Overcharges!$AA$9:$AA$21</c:f>
              <c:numCache>
                <c:formatCode>"$"#,###,##0.00</c:formatCode>
                <c:ptCount val="13"/>
                <c:pt idx="0">
                  <c:v>229.589980254695</c:v>
                </c:pt>
                <c:pt idx="1">
                  <c:v>247.53998891294</c:v>
                </c:pt>
                <c:pt idx="2">
                  <c:v>176.690000082925</c:v>
                </c:pt>
                <c:pt idx="3">
                  <c:v>145.29000028573</c:v>
                </c:pt>
                <c:pt idx="4">
                  <c:v>138.080001086965</c:v>
                </c:pt>
                <c:pt idx="5">
                  <c:v>157.959998925552</c:v>
                </c:pt>
                <c:pt idx="6">
                  <c:v>211.379998361468</c:v>
                </c:pt>
                <c:pt idx="7">
                  <c:v>121.099997714832</c:v>
                </c:pt>
                <c:pt idx="8">
                  <c:v>138.030001093596</c:v>
                </c:pt>
                <c:pt idx="9">
                  <c:v>134.300004203692</c:v>
                </c:pt>
                <c:pt idx="10">
                  <c:v>126.910006677508</c:v>
                </c:pt>
                <c:pt idx="11">
                  <c:v>192.000008757413</c:v>
                </c:pt>
                <c:pt idx="12">
                  <c:v>202.140009881109</c:v>
                </c:pt>
              </c:numCache>
            </c:numRef>
          </c:val>
          <c:smooth val="0"/>
        </c:ser>
        <c:ser>
          <c:idx val="2"/>
          <c:order val="2"/>
          <c:tx>
            <c:v>Ground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Overcharges!$AB$9:$AB$21</c:f>
              <c:numCache>
                <c:formatCode>"$"#,###,##0.00</c:formatCode>
                <c:ptCount val="13"/>
                <c:pt idx="0">
                  <c:v>542.090021143705</c:v>
                </c:pt>
                <c:pt idx="1">
                  <c:v>690.219990512201</c:v>
                </c:pt>
                <c:pt idx="2">
                  <c:v>508.52999021478</c:v>
                </c:pt>
                <c:pt idx="3">
                  <c:v>574.15998965688</c:v>
                </c:pt>
                <c:pt idx="4">
                  <c:v>600.999994687438</c:v>
                </c:pt>
                <c:pt idx="5">
                  <c:v>427.589994049296</c:v>
                </c:pt>
                <c:pt idx="6">
                  <c:v>432.539992969036</c:v>
                </c:pt>
                <c:pt idx="7">
                  <c:v>463.97999714747</c:v>
                </c:pt>
                <c:pt idx="8">
                  <c:v>534.750022242741</c:v>
                </c:pt>
                <c:pt idx="9">
                  <c:v>366.440013554915</c:v>
                </c:pt>
                <c:pt idx="10">
                  <c:v>555.910023766608</c:v>
                </c:pt>
                <c:pt idx="11">
                  <c:v>650.830030792579</c:v>
                </c:pt>
                <c:pt idx="12">
                  <c:v>724.920032234639</c:v>
                </c:pt>
              </c:numCache>
            </c:numRef>
          </c:val>
          <c:smooth val="0"/>
        </c:ser>
        <c:ser>
          <c:idx val="3"/>
          <c:order val="3"/>
          <c:tx>
            <c:v>Next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Overcharges!$AC$9:$AC$21</c:f>
              <c:numCache>
                <c:formatCode>"$"#,###,##0.00</c:formatCode>
                <c:ptCount val="13"/>
                <c:pt idx="0">
                  <c:v>327.659976255298</c:v>
                </c:pt>
                <c:pt idx="1">
                  <c:v>412.339983854368</c:v>
                </c:pt>
                <c:pt idx="2">
                  <c:v>150.899990383759</c:v>
                </c:pt>
                <c:pt idx="3">
                  <c:v>229.069998770133</c:v>
                </c:pt>
                <c:pt idx="4">
                  <c:v>218.589997338504</c:v>
                </c:pt>
                <c:pt idx="5">
                  <c:v>144.010000417456</c:v>
                </c:pt>
                <c:pt idx="6">
                  <c:v>286.800004714877</c:v>
                </c:pt>
                <c:pt idx="7">
                  <c:v>149.019994159713</c:v>
                </c:pt>
                <c:pt idx="8">
                  <c:v>230.499995528012</c:v>
                </c:pt>
                <c:pt idx="9">
                  <c:v>298.310009565801</c:v>
                </c:pt>
                <c:pt idx="10">
                  <c:v>160.230008007288</c:v>
                </c:pt>
                <c:pt idx="11">
                  <c:v>192.100005414784</c:v>
                </c:pt>
                <c:pt idx="12">
                  <c:v>322.970009415373</c:v>
                </c:pt>
              </c:numCache>
            </c:numRef>
          </c:val>
          <c:smooth val="0"/>
        </c:ser>
        <c:ser>
          <c:idx val="4"/>
          <c:order val="4"/>
          <c:tx>
            <c:v>USPS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Overcharges!$AD$9:$AD$21</c:f>
              <c:numCache>
                <c:formatCode>"$"#,###,##0.00</c:formatCode>
                <c:ptCount val="13"/>
                <c:pt idx="0">
                  <c:v>89.3400040435791</c:v>
                </c:pt>
                <c:pt idx="1">
                  <c:v>204.760004644394</c:v>
                </c:pt>
                <c:pt idx="2">
                  <c:v>331.629987754822</c:v>
                </c:pt>
                <c:pt idx="3">
                  <c:v>15.0499992370605</c:v>
                </c:pt>
                <c:pt idx="4">
                  <c:v>35.5800004959106</c:v>
                </c:pt>
                <c:pt idx="5">
                  <c:v>31.5599990463257</c:v>
                </c:pt>
                <c:pt idx="6">
                  <c:v>109.369999504089</c:v>
                </c:pt>
                <c:pt idx="7">
                  <c:v>192.140009040832</c:v>
                </c:pt>
                <c:pt idx="8">
                  <c:v>124.330003147125</c:v>
                </c:pt>
                <c:pt idx="9">
                  <c:v>91.0999964904785</c:v>
                </c:pt>
                <c:pt idx="10">
                  <c:v>87.5299949645996</c:v>
                </c:pt>
                <c:pt idx="11">
                  <c:v>40.959998664856</c:v>
                </c:pt>
                <c:pt idx="12">
                  <c:v>319.489999732971</c:v>
                </c:pt>
              </c:numCache>
            </c:numRef>
          </c:val>
          <c:smooth val="0"/>
        </c:ser>
        <c:ser>
          <c:idx val="5"/>
          <c:order val="5"/>
          <c:tx>
            <c:v>Worldwide Expedited</c:v>
          </c:tx>
          <c:marker>
            <c:symbol val="x"/>
            <c:size val="5"/>
          </c:marker>
          <c:cat>
            <c:numRef>
              <c:f>Overcharges!$L$9:$L$21</c:f>
              <c:numCache>
                <c:formatCode>General</c:formatCode>
                <c:ptCount val="13"/>
                <c:pt idx="0">
                  <c:v>2015.0</c:v>
                </c:pt>
                <c:pt idx="1">
                  <c:v>2015.0</c:v>
                </c:pt>
                <c:pt idx="2">
                  <c:v>2016.0</c:v>
                </c:pt>
                <c:pt idx="3">
                  <c:v>2016.0</c:v>
                </c:pt>
                <c:pt idx="4">
                  <c:v>2016.0</c:v>
                </c:pt>
                <c:pt idx="5">
                  <c:v>2016.0</c:v>
                </c:pt>
                <c:pt idx="6">
                  <c:v>2016.0</c:v>
                </c:pt>
                <c:pt idx="7">
                  <c:v>2016.0</c:v>
                </c:pt>
                <c:pt idx="8">
                  <c:v>2016.0</c:v>
                </c:pt>
                <c:pt idx="9">
                  <c:v>2016.0</c:v>
                </c:pt>
                <c:pt idx="10">
                  <c:v>2016.0</c:v>
                </c:pt>
                <c:pt idx="11">
                  <c:v>2016.0</c:v>
                </c:pt>
                <c:pt idx="12">
                  <c:v>2016.0</c:v>
                </c:pt>
              </c:numCache>
            </c:numRef>
          </c:cat>
          <c:val>
            <c:numRef>
              <c:f>Overcharges!$AE$9:$AE$21</c:f>
              <c:numCache>
                <c:formatCode>"$"#,###,##0.00</c:formatCode>
                <c:ptCount val="13"/>
                <c:pt idx="0">
                  <c:v>1707.26001064748</c:v>
                </c:pt>
                <c:pt idx="1">
                  <c:v>1256.97001013138</c:v>
                </c:pt>
                <c:pt idx="2">
                  <c:v>908.600001370907</c:v>
                </c:pt>
                <c:pt idx="3">
                  <c:v>799.39998421736</c:v>
                </c:pt>
                <c:pt idx="4">
                  <c:v>825.249985399246</c:v>
                </c:pt>
                <c:pt idx="5">
                  <c:v>793.21000957623</c:v>
                </c:pt>
                <c:pt idx="6">
                  <c:v>1080.78998511672</c:v>
                </c:pt>
                <c:pt idx="7">
                  <c:v>919.919988572299</c:v>
                </c:pt>
                <c:pt idx="8">
                  <c:v>847.90999888584</c:v>
                </c:pt>
                <c:pt idx="9">
                  <c:v>1299.81998608559</c:v>
                </c:pt>
                <c:pt idx="10">
                  <c:v>1542.59996038213</c:v>
                </c:pt>
                <c:pt idx="11">
                  <c:v>1916.84999146879</c:v>
                </c:pt>
                <c:pt idx="12">
                  <c:v>1649.64995556324</c:v>
                </c:pt>
              </c:numCache>
            </c:numRef>
          </c:val>
          <c:smooth val="0"/>
        </c:ser>
        <c:ser>
          <c:idx val="6"/>
          <c:order val="6"/>
          <c:tx>
            <c:v>Worldwide Express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Overcharges!$AF$9:$AF$21</c:f>
              <c:numCache>
                <c:formatCode>"$"#,###,##0.00</c:formatCode>
                <c:ptCount val="13"/>
                <c:pt idx="0">
                  <c:v>372.159990019798</c:v>
                </c:pt>
                <c:pt idx="1">
                  <c:v>312.529989812076</c:v>
                </c:pt>
                <c:pt idx="2">
                  <c:v>255.930002705753</c:v>
                </c:pt>
                <c:pt idx="3">
                  <c:v>212.939993326664</c:v>
                </c:pt>
                <c:pt idx="4">
                  <c:v>146.829994692802</c:v>
                </c:pt>
                <c:pt idx="5">
                  <c:v>215.659978628159</c:v>
                </c:pt>
                <c:pt idx="6">
                  <c:v>178.699988050461</c:v>
                </c:pt>
                <c:pt idx="7">
                  <c:v>215.409987260401</c:v>
                </c:pt>
                <c:pt idx="8">
                  <c:v>138.029987230301</c:v>
                </c:pt>
                <c:pt idx="9">
                  <c:v>506.309988408089</c:v>
                </c:pt>
                <c:pt idx="10">
                  <c:v>387.249999294281</c:v>
                </c:pt>
                <c:pt idx="11">
                  <c:v>278.16998975277</c:v>
                </c:pt>
                <c:pt idx="12">
                  <c:v>437.799984998107</c:v>
                </c:pt>
              </c:numCache>
            </c:numRef>
          </c:val>
          <c:smooth val="0"/>
        </c:ser>
        <c:ser>
          <c:idx val="7"/>
          <c:order val="7"/>
          <c:tx>
            <c:v>Worldwide Saver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November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April</c:v>
                  </c:pt>
                  <c:pt idx="6">
                    <c:v>May</c:v>
                  </c:pt>
                  <c:pt idx="7">
                    <c:v>June</c:v>
                  </c:pt>
                  <c:pt idx="8">
                    <c:v>July</c:v>
                  </c:pt>
                  <c:pt idx="9">
                    <c:v>August</c:v>
                  </c:pt>
                  <c:pt idx="10">
                    <c:v>September</c:v>
                  </c:pt>
                  <c:pt idx="11">
                    <c:v>October</c:v>
                  </c:pt>
                  <c:pt idx="12">
                    <c:v>November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Overcharges!$AG$9:$AG$21</c:f>
              <c:numCache>
                <c:formatCode>"$"#,###,##0.00</c:formatCode>
                <c:ptCount val="13"/>
                <c:pt idx="0">
                  <c:v>1054.1299875164</c:v>
                </c:pt>
                <c:pt idx="1">
                  <c:v>693.699998994171</c:v>
                </c:pt>
                <c:pt idx="2">
                  <c:v>385.760010436177</c:v>
                </c:pt>
                <c:pt idx="3">
                  <c:v>435.0900009799</c:v>
                </c:pt>
                <c:pt idx="4">
                  <c:v>422.209990665913</c:v>
                </c:pt>
                <c:pt idx="5">
                  <c:v>342.080009604692</c:v>
                </c:pt>
                <c:pt idx="6">
                  <c:v>680.060000250339</c:v>
                </c:pt>
                <c:pt idx="7">
                  <c:v>558.609997743964</c:v>
                </c:pt>
                <c:pt idx="8">
                  <c:v>614.360000703186</c:v>
                </c:pt>
                <c:pt idx="9">
                  <c:v>771.150014896393</c:v>
                </c:pt>
                <c:pt idx="10">
                  <c:v>684.749981312752</c:v>
                </c:pt>
                <c:pt idx="11">
                  <c:v>971.449973158836</c:v>
                </c:pt>
                <c:pt idx="12">
                  <c:v>570.519994772673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110048"/>
        <c:axId val="918752304"/>
      </c:lineChart>
      <c:catAx>
        <c:axId val="91911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8752304"/>
        <c:crosses val="autoZero"/>
        <c:auto val="1"/>
        <c:lblAlgn val="ctr"/>
        <c:lblOffset val="100"/>
        <c:noMultiLvlLbl val="0"/>
      </c:catAx>
      <c:valAx>
        <c:axId val="918752304"/>
        <c:scaling>
          <c:orientation val="minMax"/>
          <c:max val="2000.0"/>
          <c:min val="0.0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919110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Overcharges: Count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Overcharges!$B$9:$B$16</c:f>
              <c:strCache>
                <c:ptCount val="8"/>
                <c:pt idx="0">
                  <c:v>Ground</c:v>
                </c:pt>
                <c:pt idx="1">
                  <c:v>Worldwide Expedited</c:v>
                </c:pt>
                <c:pt idx="2">
                  <c:v>2nd Day Air</c:v>
                </c:pt>
                <c:pt idx="3">
                  <c:v>Worldwide Saver</c:v>
                </c:pt>
                <c:pt idx="4">
                  <c:v>Next Day Air</c:v>
                </c:pt>
                <c:pt idx="5">
                  <c:v>Worldwide Express</c:v>
                </c:pt>
                <c:pt idx="6">
                  <c:v>3 Day Select</c:v>
                </c:pt>
                <c:pt idx="7">
                  <c:v>USPS</c:v>
                </c:pt>
              </c:strCache>
            </c:strRef>
          </c:cat>
          <c:val>
            <c:numRef>
              <c:f>Overcharges!$C$9:$C$16</c:f>
              <c:numCache>
                <c:formatCode>##,##0</c:formatCode>
                <c:ptCount val="8"/>
                <c:pt idx="0">
                  <c:v>322.0</c:v>
                </c:pt>
                <c:pt idx="1">
                  <c:v>242.0</c:v>
                </c:pt>
                <c:pt idx="2">
                  <c:v>138.0</c:v>
                </c:pt>
                <c:pt idx="3">
                  <c:v>76.0</c:v>
                </c:pt>
                <c:pt idx="4">
                  <c:v>73.0</c:v>
                </c:pt>
                <c:pt idx="5">
                  <c:v>58.0</c:v>
                </c:pt>
                <c:pt idx="6">
                  <c:v>54.0</c:v>
                </c:pt>
                <c:pt idx="7">
                  <c:v>20.0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Overcharges: $ Amount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Overcharges!$G$9:$G$16</c:f>
              <c:strCache>
                <c:ptCount val="8"/>
                <c:pt idx="0">
                  <c:v>Worldwide Expedited</c:v>
                </c:pt>
                <c:pt idx="1">
                  <c:v>Ground</c:v>
                </c:pt>
                <c:pt idx="2">
                  <c:v>Worldwide Saver</c:v>
                </c:pt>
                <c:pt idx="3">
                  <c:v>2nd Day Air</c:v>
                </c:pt>
                <c:pt idx="4">
                  <c:v>Worldwide Express</c:v>
                </c:pt>
                <c:pt idx="5">
                  <c:v>Next Day Air</c:v>
                </c:pt>
                <c:pt idx="6">
                  <c:v>USPS</c:v>
                </c:pt>
                <c:pt idx="7">
                  <c:v>3 Day Select</c:v>
                </c:pt>
              </c:strCache>
            </c:strRef>
          </c:cat>
          <c:val>
            <c:numRef>
              <c:f>Overcharges!$H$9:$H$16</c:f>
              <c:numCache>
                <c:formatCode>"$"#,###,##0.00</c:formatCode>
                <c:ptCount val="8"/>
                <c:pt idx="0">
                  <c:v>1649.64995556324</c:v>
                </c:pt>
                <c:pt idx="1">
                  <c:v>724.920032234639</c:v>
                </c:pt>
                <c:pt idx="2">
                  <c:v>570.519994772673</c:v>
                </c:pt>
                <c:pt idx="3">
                  <c:v>474.150014169365</c:v>
                </c:pt>
                <c:pt idx="4">
                  <c:v>437.799984998107</c:v>
                </c:pt>
                <c:pt idx="5">
                  <c:v>322.970009415373</c:v>
                </c:pt>
                <c:pt idx="6">
                  <c:v>319.489999732971</c:v>
                </c:pt>
                <c:pt idx="7">
                  <c:v>202.140009881109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17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68</xdr:row>
      <xdr:rowOff>0</xdr:rowOff>
    </xdr:from>
    <xdr:to>
      <xdr:col>27</xdr:col>
      <xdr:colOff>0</xdr:colOff>
      <xdr:row>82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83</xdr:row>
      <xdr:rowOff>0</xdr:rowOff>
    </xdr:from>
    <xdr:to>
      <xdr:col>27</xdr:col>
      <xdr:colOff>0</xdr:colOff>
      <xdr:row>97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52</xdr:row>
      <xdr:rowOff>0</xdr:rowOff>
    </xdr:from>
    <xdr:to>
      <xdr:col>6</xdr:col>
      <xdr:colOff>0</xdr:colOff>
      <xdr:row>66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0</xdr:colOff>
      <xdr:row>22</xdr:row>
      <xdr:rowOff>0</xdr:rowOff>
    </xdr:from>
    <xdr:to>
      <xdr:col>48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0</xdr:colOff>
      <xdr:row>22</xdr:row>
      <xdr:rowOff>0</xdr:rowOff>
    </xdr:from>
    <xdr:to>
      <xdr:col>55</xdr:col>
      <xdr:colOff>0</xdr:colOff>
      <xdr:row>36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7</xdr:col>
      <xdr:colOff>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22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33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tabSelected="1" workbookViewId="0">
      <selection activeCell="A39" sqref="A39"/>
    </sheetView>
  </sheetViews>
  <sheetFormatPr baseColWidth="10" defaultColWidth="8.83203125" defaultRowHeight="15" x14ac:dyDescent="0.2"/>
  <cols>
    <col min="1" max="1" width="20.6640625" customWidth="1"/>
    <col min="2" max="3" width="20.6640625" style="1" customWidth="1"/>
    <col min="4" max="4" width="20.6640625" style="2" customWidth="1"/>
    <col min="5" max="5" width="20.6640625" style="3" customWidth="1"/>
    <col min="6" max="6" width="20.6640625" style="1" customWidth="1"/>
    <col min="7" max="7" width="20.6640625" style="3" customWidth="1"/>
    <col min="8" max="11" width="20.6640625" customWidth="1"/>
    <col min="12" max="15" width="20.6640625" style="2" customWidth="1"/>
    <col min="16" max="17" width="20.6640625" style="3" customWidth="1"/>
    <col min="18" max="21" width="20.6640625" customWidth="1"/>
    <col min="22" max="26" width="20.6640625" style="1" customWidth="1"/>
    <col min="27" max="27" width="20.6640625" style="3" customWidth="1"/>
    <col min="28" max="53" width="20.6640625" customWidth="1"/>
  </cols>
  <sheetData>
    <row r="1" spans="1:27" ht="26" x14ac:dyDescent="0.3">
      <c r="A1" s="4" t="s">
        <v>70</v>
      </c>
    </row>
    <row r="5" spans="1:27" ht="24" x14ac:dyDescent="0.2">
      <c r="B5" s="8" t="s">
        <v>71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7" spans="1:27" ht="24" x14ac:dyDescent="0.2">
      <c r="B7" s="8" t="s">
        <v>74</v>
      </c>
      <c r="C7" s="8"/>
      <c r="D7" s="8"/>
      <c r="E7" s="8"/>
      <c r="F7" s="8"/>
      <c r="G7" s="8"/>
      <c r="J7" s="8" t="s">
        <v>76</v>
      </c>
      <c r="K7" s="8"/>
      <c r="L7" s="8"/>
      <c r="M7" s="8"/>
      <c r="N7" s="8"/>
      <c r="O7" s="8"/>
      <c r="P7" s="8"/>
      <c r="Q7" s="8"/>
      <c r="T7" s="8" t="s">
        <v>77</v>
      </c>
      <c r="U7" s="8"/>
      <c r="V7" s="8"/>
      <c r="W7" s="8"/>
      <c r="X7" s="8"/>
      <c r="Y7" s="8"/>
      <c r="Z7" s="8"/>
      <c r="AA7" s="8"/>
    </row>
    <row r="8" spans="1:27" x14ac:dyDescent="0.2">
      <c r="B8" s="5" t="s">
        <v>0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J8" s="5" t="s">
        <v>18</v>
      </c>
      <c r="K8" s="5" t="s">
        <v>19</v>
      </c>
      <c r="L8" s="5" t="s">
        <v>20</v>
      </c>
      <c r="M8" s="5" t="s">
        <v>21</v>
      </c>
      <c r="N8" s="5" t="s">
        <v>22</v>
      </c>
      <c r="O8" s="5" t="s">
        <v>23</v>
      </c>
      <c r="P8" s="5" t="s">
        <v>24</v>
      </c>
      <c r="Q8" s="5" t="s">
        <v>25</v>
      </c>
      <c r="T8" s="5" t="s">
        <v>18</v>
      </c>
      <c r="U8" s="5" t="s">
        <v>19</v>
      </c>
      <c r="V8" s="5" t="s">
        <v>0</v>
      </c>
      <c r="W8" s="5" t="s">
        <v>1</v>
      </c>
      <c r="X8" s="5" t="s">
        <v>2</v>
      </c>
      <c r="Y8" s="5" t="s">
        <v>3</v>
      </c>
      <c r="Z8" s="5" t="s">
        <v>4</v>
      </c>
      <c r="AA8" s="5" t="s">
        <v>5</v>
      </c>
    </row>
    <row r="9" spans="1:27" x14ac:dyDescent="0.2">
      <c r="B9" s="1">
        <v>404224.27000011498</v>
      </c>
      <c r="C9" s="1">
        <v>355821.472553492</v>
      </c>
      <c r="D9" s="1">
        <v>32432.9696509838</v>
      </c>
      <c r="E9" s="1">
        <v>388254.442204475</v>
      </c>
      <c r="F9" s="1">
        <v>15969.827795524599</v>
      </c>
      <c r="G9" s="3">
        <v>3.9507345255444699</v>
      </c>
      <c r="J9">
        <v>2015</v>
      </c>
      <c r="K9" t="s">
        <v>26</v>
      </c>
      <c r="L9" s="2">
        <v>135</v>
      </c>
      <c r="M9" s="2">
        <v>27481</v>
      </c>
      <c r="N9" s="2">
        <v>4266</v>
      </c>
      <c r="O9" s="2">
        <v>31882</v>
      </c>
      <c r="T9">
        <v>2015</v>
      </c>
      <c r="U9" t="s">
        <v>26</v>
      </c>
      <c r="V9" s="1">
        <v>412643.53999999701</v>
      </c>
      <c r="W9" s="1">
        <v>374593.47042280802</v>
      </c>
      <c r="X9" s="1">
        <v>22568.710102081299</v>
      </c>
      <c r="Y9" s="1">
        <v>397162.18052488897</v>
      </c>
      <c r="Z9" s="1">
        <v>15481.359475108</v>
      </c>
      <c r="AA9" s="3">
        <v>3.7517513239412601</v>
      </c>
    </row>
    <row r="10" spans="1:27" x14ac:dyDescent="0.2">
      <c r="J10">
        <v>2015</v>
      </c>
      <c r="K10" t="s">
        <v>27</v>
      </c>
      <c r="L10" s="2">
        <v>553</v>
      </c>
      <c r="M10" s="2">
        <v>25318</v>
      </c>
      <c r="N10" s="2">
        <v>3969</v>
      </c>
      <c r="O10" s="2">
        <v>29840</v>
      </c>
      <c r="P10" s="3">
        <v>-7.8708926167170103</v>
      </c>
      <c r="Q10" s="3">
        <v>-6.9620253164557004</v>
      </c>
      <c r="T10">
        <v>2015</v>
      </c>
      <c r="U10" t="s">
        <v>27</v>
      </c>
      <c r="V10" s="1">
        <v>384469.48000002099</v>
      </c>
      <c r="W10" s="1">
        <v>346148.79998135898</v>
      </c>
      <c r="X10" s="1">
        <v>20189.340099811601</v>
      </c>
      <c r="Y10" s="1">
        <v>366338.140081171</v>
      </c>
      <c r="Z10" s="1">
        <v>18131.339918849899</v>
      </c>
      <c r="AA10" s="3">
        <v>4.7159373791773902</v>
      </c>
    </row>
    <row r="11" spans="1:27" ht="24" x14ac:dyDescent="0.2">
      <c r="B11" s="8" t="s">
        <v>75</v>
      </c>
      <c r="C11" s="8"/>
      <c r="D11" s="8"/>
      <c r="E11" s="8"/>
      <c r="F11" s="8"/>
      <c r="G11" s="8"/>
      <c r="J11">
        <v>2016</v>
      </c>
      <c r="K11" t="s">
        <v>28</v>
      </c>
      <c r="L11" s="2">
        <v>115</v>
      </c>
      <c r="M11" s="2">
        <v>23517</v>
      </c>
      <c r="N11" s="2">
        <v>4166</v>
      </c>
      <c r="O11" s="2">
        <v>27798</v>
      </c>
      <c r="P11" s="3">
        <v>-7.1135160755193896</v>
      </c>
      <c r="Q11" s="3">
        <v>4.9634668682287701</v>
      </c>
      <c r="T11">
        <v>2016</v>
      </c>
      <c r="U11" t="s">
        <v>28</v>
      </c>
      <c r="V11" s="1">
        <v>371541.84000002302</v>
      </c>
      <c r="W11" s="1">
        <v>332445.62973202602</v>
      </c>
      <c r="X11" s="1">
        <v>23256.239904165301</v>
      </c>
      <c r="Y11" s="1">
        <v>355701.869636191</v>
      </c>
      <c r="Z11" s="1">
        <v>15839.970363832101</v>
      </c>
      <c r="AA11" s="3">
        <v>4.26330729369029</v>
      </c>
    </row>
    <row r="12" spans="1:27" x14ac:dyDescent="0.2">
      <c r="B12" s="5" t="s">
        <v>0</v>
      </c>
      <c r="C12" s="5" t="s">
        <v>1</v>
      </c>
      <c r="D12" s="5" t="s">
        <v>2</v>
      </c>
      <c r="E12" s="5" t="s">
        <v>3</v>
      </c>
      <c r="F12" s="5" t="s">
        <v>4</v>
      </c>
      <c r="G12" s="5" t="s">
        <v>5</v>
      </c>
      <c r="J12">
        <v>2016</v>
      </c>
      <c r="K12" t="s">
        <v>29</v>
      </c>
      <c r="L12" s="2">
        <v>116</v>
      </c>
      <c r="M12" s="2">
        <v>24001</v>
      </c>
      <c r="N12" s="2">
        <v>3574</v>
      </c>
      <c r="O12" s="2">
        <v>27691</v>
      </c>
      <c r="P12" s="3">
        <v>2.0580856401752001</v>
      </c>
      <c r="Q12" s="3">
        <v>-14.210273643782999</v>
      </c>
      <c r="T12">
        <v>2016</v>
      </c>
      <c r="U12" t="s">
        <v>29</v>
      </c>
      <c r="V12" s="1">
        <v>365388.85999997501</v>
      </c>
      <c r="W12" s="1">
        <v>330266.54972654203</v>
      </c>
      <c r="X12" s="1">
        <v>22040.029874801599</v>
      </c>
      <c r="Y12" s="1">
        <v>352306.57960134401</v>
      </c>
      <c r="Z12" s="1">
        <v>13082.280398631199</v>
      </c>
      <c r="AA12" s="3">
        <v>3.58037199016744</v>
      </c>
    </row>
    <row r="13" spans="1:27" x14ac:dyDescent="0.2">
      <c r="B13" s="1">
        <v>404224.27000011498</v>
      </c>
      <c r="C13" s="1">
        <v>336761.06241076102</v>
      </c>
      <c r="D13" s="1">
        <v>31913.579658746701</v>
      </c>
      <c r="E13" s="1">
        <v>368674.64206950698</v>
      </c>
      <c r="F13" s="1">
        <v>35549.627930491697</v>
      </c>
      <c r="G13" s="3">
        <v>8.7945308010529892</v>
      </c>
      <c r="J13">
        <v>2016</v>
      </c>
      <c r="K13" t="s">
        <v>30</v>
      </c>
      <c r="L13" s="2">
        <v>140</v>
      </c>
      <c r="M13" s="2">
        <v>27620</v>
      </c>
      <c r="N13" s="2">
        <v>5163</v>
      </c>
      <c r="O13" s="2">
        <v>32923</v>
      </c>
      <c r="P13" s="3">
        <v>15.0785383942336</v>
      </c>
      <c r="Q13" s="3">
        <v>44.459988808058199</v>
      </c>
      <c r="T13">
        <v>2016</v>
      </c>
      <c r="U13" t="s">
        <v>30</v>
      </c>
      <c r="V13" s="1">
        <v>413330.26000002399</v>
      </c>
      <c r="W13" s="1">
        <v>368254.78974574601</v>
      </c>
      <c r="X13" s="1">
        <v>29255.1298413277</v>
      </c>
      <c r="Y13" s="1">
        <v>397509.91958707402</v>
      </c>
      <c r="Z13" s="1">
        <v>15820.3404129501</v>
      </c>
      <c r="AA13" s="3">
        <v>3.8275301723491602</v>
      </c>
    </row>
    <row r="14" spans="1:27" x14ac:dyDescent="0.2">
      <c r="J14">
        <v>2016</v>
      </c>
      <c r="K14" t="s">
        <v>31</v>
      </c>
      <c r="L14" s="2">
        <v>146</v>
      </c>
      <c r="M14" s="2">
        <v>24029</v>
      </c>
      <c r="N14" s="2">
        <v>3832</v>
      </c>
      <c r="O14" s="2">
        <v>28007</v>
      </c>
      <c r="P14" s="3">
        <v>-13.0014482259232</v>
      </c>
      <c r="Q14" s="3">
        <v>-25.7795855122991</v>
      </c>
      <c r="T14">
        <v>2016</v>
      </c>
      <c r="U14" t="s">
        <v>31</v>
      </c>
      <c r="V14" s="1">
        <v>365376.07999997702</v>
      </c>
      <c r="W14" s="1">
        <v>328829.85962312302</v>
      </c>
      <c r="X14" s="1">
        <v>22663.2999837399</v>
      </c>
      <c r="Y14" s="1">
        <v>351493.15960686299</v>
      </c>
      <c r="Z14" s="1">
        <v>13882.9203931144</v>
      </c>
      <c r="AA14" s="3">
        <v>3.7996248668263299</v>
      </c>
    </row>
    <row r="15" spans="1:27" ht="24" x14ac:dyDescent="0.2">
      <c r="C15" s="8" t="s">
        <v>72</v>
      </c>
      <c r="D15" s="8"/>
      <c r="E15" s="8"/>
      <c r="F15" s="8"/>
      <c r="J15">
        <v>2016</v>
      </c>
      <c r="K15" t="s">
        <v>32</v>
      </c>
      <c r="L15" s="2">
        <v>120</v>
      </c>
      <c r="M15" s="2">
        <v>21459</v>
      </c>
      <c r="N15" s="2">
        <v>3841</v>
      </c>
      <c r="O15" s="2">
        <v>25420</v>
      </c>
      <c r="P15" s="3">
        <v>-10.6954097132631</v>
      </c>
      <c r="Q15" s="3">
        <v>0.234864300626314</v>
      </c>
      <c r="T15">
        <v>2016</v>
      </c>
      <c r="U15" t="s">
        <v>32</v>
      </c>
      <c r="V15" s="1">
        <v>339403.430000022</v>
      </c>
      <c r="W15" s="1">
        <v>306108.93973899301</v>
      </c>
      <c r="X15" s="1">
        <v>22959.370040893598</v>
      </c>
      <c r="Y15" s="1">
        <v>329068.30977988598</v>
      </c>
      <c r="Z15" s="1">
        <v>10335.120220135401</v>
      </c>
      <c r="AA15" s="3">
        <v>3.0450841996896698</v>
      </c>
    </row>
    <row r="16" spans="1:27" x14ac:dyDescent="0.2">
      <c r="C16" s="5" t="s">
        <v>6</v>
      </c>
      <c r="D16" s="5" t="s">
        <v>7</v>
      </c>
      <c r="E16" s="5" t="s">
        <v>8</v>
      </c>
      <c r="F16" s="5" t="s">
        <v>9</v>
      </c>
      <c r="J16">
        <v>2016</v>
      </c>
      <c r="K16" t="s">
        <v>33</v>
      </c>
      <c r="L16" s="2">
        <v>141</v>
      </c>
      <c r="M16" s="2">
        <v>21377</v>
      </c>
      <c r="N16" s="2">
        <v>4015</v>
      </c>
      <c r="O16" s="2">
        <v>25533</v>
      </c>
      <c r="P16" s="3">
        <v>-0.38212405051493098</v>
      </c>
      <c r="Q16" s="3">
        <v>4.5300702941942097</v>
      </c>
      <c r="T16">
        <v>2016</v>
      </c>
      <c r="U16" t="s">
        <v>33</v>
      </c>
      <c r="V16" s="1">
        <v>329436.80999998399</v>
      </c>
      <c r="W16" s="1">
        <v>293424.37001375301</v>
      </c>
      <c r="X16" s="1">
        <v>22966.420090913802</v>
      </c>
      <c r="Y16" s="1">
        <v>316390.79010466702</v>
      </c>
      <c r="Z16" s="1">
        <v>13046.019895317701</v>
      </c>
      <c r="AA16" s="3">
        <v>3.96009780914232</v>
      </c>
    </row>
    <row r="17" spans="3:27" x14ac:dyDescent="0.2">
      <c r="C17" s="1" t="s">
        <v>10</v>
      </c>
      <c r="D17" s="2">
        <v>346</v>
      </c>
      <c r="E17" s="3">
        <v>18.814573137574801</v>
      </c>
      <c r="F17" s="1">
        <v>12292.7899829745</v>
      </c>
      <c r="J17">
        <v>2016</v>
      </c>
      <c r="K17" t="s">
        <v>34</v>
      </c>
      <c r="L17" s="2">
        <v>89</v>
      </c>
      <c r="M17" s="2">
        <v>22386</v>
      </c>
      <c r="N17" s="2">
        <v>4786</v>
      </c>
      <c r="O17" s="2">
        <v>27261</v>
      </c>
      <c r="P17" s="3">
        <v>4.7200261963792798</v>
      </c>
      <c r="Q17" s="3">
        <v>19.202988792029899</v>
      </c>
      <c r="T17">
        <v>2016</v>
      </c>
      <c r="U17" t="s">
        <v>34</v>
      </c>
      <c r="V17" s="1">
        <v>322319.78000002098</v>
      </c>
      <c r="W17" s="1">
        <v>287043.20165052102</v>
      </c>
      <c r="X17" s="1">
        <v>25049.090142965299</v>
      </c>
      <c r="Y17" s="1">
        <v>312092.29179348599</v>
      </c>
      <c r="Z17" s="1">
        <v>10227.488206534599</v>
      </c>
      <c r="AA17" s="3">
        <v>3.1730873626601501</v>
      </c>
    </row>
    <row r="18" spans="3:27" x14ac:dyDescent="0.2">
      <c r="C18" s="1" t="s">
        <v>11</v>
      </c>
      <c r="D18" s="2">
        <v>98</v>
      </c>
      <c r="E18" s="3">
        <v>25.925925925925899</v>
      </c>
      <c r="F18" s="1">
        <v>4203.2299478054001</v>
      </c>
      <c r="J18">
        <v>2016</v>
      </c>
      <c r="K18" t="s">
        <v>35</v>
      </c>
      <c r="L18" s="2">
        <v>580</v>
      </c>
      <c r="M18" s="2">
        <v>22764</v>
      </c>
      <c r="N18" s="2">
        <v>4121</v>
      </c>
      <c r="O18" s="2">
        <v>27465</v>
      </c>
      <c r="P18" s="3">
        <v>1.6885553470919401</v>
      </c>
      <c r="Q18" s="3">
        <v>-13.894692854158</v>
      </c>
      <c r="T18">
        <v>2016</v>
      </c>
      <c r="U18" t="s">
        <v>35</v>
      </c>
      <c r="V18" s="1">
        <v>329071.91999994899</v>
      </c>
      <c r="W18" s="1">
        <v>300158.35194209398</v>
      </c>
      <c r="X18" s="1">
        <v>23569.5900313854</v>
      </c>
      <c r="Y18" s="1">
        <v>323727.941973479</v>
      </c>
      <c r="Z18" s="1">
        <v>5343.97802646941</v>
      </c>
      <c r="AA18" s="3">
        <v>1.6239544311378</v>
      </c>
    </row>
    <row r="19" spans="3:27" x14ac:dyDescent="0.2">
      <c r="C19" s="1" t="s">
        <v>12</v>
      </c>
      <c r="D19" s="2">
        <v>83</v>
      </c>
      <c r="E19" s="3">
        <v>17.148760330578501</v>
      </c>
      <c r="F19" s="1">
        <v>3728.4399852752699</v>
      </c>
      <c r="J19">
        <v>2016</v>
      </c>
      <c r="K19" t="s">
        <v>36</v>
      </c>
      <c r="L19" s="2">
        <v>1088</v>
      </c>
      <c r="M19" s="2">
        <v>21754</v>
      </c>
      <c r="N19" s="2">
        <v>3922</v>
      </c>
      <c r="O19" s="2">
        <v>26764</v>
      </c>
      <c r="P19" s="3">
        <v>-4.4368300825865399</v>
      </c>
      <c r="Q19" s="3">
        <v>-4.8289250181994703</v>
      </c>
      <c r="T19">
        <v>2016</v>
      </c>
      <c r="U19" t="s">
        <v>36</v>
      </c>
      <c r="V19" s="1">
        <v>330198.51000003697</v>
      </c>
      <c r="W19" s="1">
        <v>295788.61212232499</v>
      </c>
      <c r="X19" s="1">
        <v>23036.8397555351</v>
      </c>
      <c r="Y19" s="1">
        <v>318825.45187786</v>
      </c>
      <c r="Z19" s="1">
        <v>11373.058122177001</v>
      </c>
      <c r="AA19" s="3">
        <v>3.4443093405163099</v>
      </c>
    </row>
    <row r="20" spans="3:27" x14ac:dyDescent="0.2">
      <c r="C20" s="1" t="s">
        <v>13</v>
      </c>
      <c r="D20" s="2">
        <v>20</v>
      </c>
      <c r="E20" s="3">
        <v>1.8165304268846501</v>
      </c>
      <c r="F20" s="1">
        <v>405.05999904870998</v>
      </c>
      <c r="J20">
        <v>2016</v>
      </c>
      <c r="K20" t="s">
        <v>37</v>
      </c>
      <c r="L20" s="2">
        <v>170</v>
      </c>
      <c r="M20" s="2">
        <v>22508</v>
      </c>
      <c r="N20" s="2">
        <v>3869</v>
      </c>
      <c r="O20" s="2">
        <v>26547</v>
      </c>
      <c r="P20" s="3">
        <v>3.4660292360025702</v>
      </c>
      <c r="Q20" s="3">
        <v>-1.35135135135135</v>
      </c>
      <c r="T20">
        <v>2016</v>
      </c>
      <c r="U20" t="s">
        <v>37</v>
      </c>
      <c r="V20" s="1">
        <v>338165.73000004602</v>
      </c>
      <c r="W20" s="1">
        <v>303403.45212583401</v>
      </c>
      <c r="X20" s="1">
        <v>24035.239758253101</v>
      </c>
      <c r="Y20" s="1">
        <v>327438.69188408699</v>
      </c>
      <c r="Z20" s="1">
        <v>10727.0381159586</v>
      </c>
      <c r="AA20" s="3">
        <v>3.1721245425895699</v>
      </c>
    </row>
    <row r="21" spans="3:27" x14ac:dyDescent="0.2">
      <c r="C21" s="1" t="s">
        <v>14</v>
      </c>
      <c r="D21" s="2">
        <v>38</v>
      </c>
      <c r="E21" s="3">
        <v>0.19754626741526299</v>
      </c>
      <c r="F21" s="1">
        <v>251.390004768968</v>
      </c>
      <c r="J21">
        <v>2016</v>
      </c>
      <c r="K21" t="s">
        <v>26</v>
      </c>
      <c r="L21" s="2">
        <v>177</v>
      </c>
      <c r="M21" s="2">
        <v>27198</v>
      </c>
      <c r="N21" s="2">
        <v>5348</v>
      </c>
      <c r="O21" s="2">
        <v>32723</v>
      </c>
      <c r="P21" s="3">
        <v>20.837035720632699</v>
      </c>
      <c r="Q21" s="3">
        <v>38.226932023778801</v>
      </c>
      <c r="T21">
        <v>2016</v>
      </c>
      <c r="U21" t="s">
        <v>26</v>
      </c>
      <c r="V21" s="1">
        <v>404224.27000011498</v>
      </c>
      <c r="W21" s="1">
        <v>355821.472553492</v>
      </c>
      <c r="X21" s="1">
        <v>32432.9696509838</v>
      </c>
      <c r="Y21" s="1">
        <v>388254.442204475</v>
      </c>
      <c r="Z21" s="1">
        <v>15969.8277956395</v>
      </c>
      <c r="AA21" s="3">
        <v>3.9507345255728898</v>
      </c>
    </row>
    <row r="22" spans="3:27" x14ac:dyDescent="0.2">
      <c r="C22" s="1" t="s">
        <v>15</v>
      </c>
      <c r="D22" s="2">
        <v>5</v>
      </c>
      <c r="E22" s="3">
        <v>0.187828700225394</v>
      </c>
      <c r="F22" s="1">
        <v>76.440001010894804</v>
      </c>
    </row>
    <row r="23" spans="3:27" x14ac:dyDescent="0.2">
      <c r="C23" s="1" t="s">
        <v>16</v>
      </c>
      <c r="D23" s="2">
        <v>4</v>
      </c>
      <c r="E23" s="3">
        <v>0.27739251040221902</v>
      </c>
      <c r="F23" s="1">
        <v>20.909999981522599</v>
      </c>
    </row>
    <row r="24" spans="3:27" x14ac:dyDescent="0.2">
      <c r="C24" s="1" t="s">
        <v>17</v>
      </c>
      <c r="D24" s="2">
        <v>594</v>
      </c>
      <c r="E24" s="3">
        <v>2.8885122688084901E-2</v>
      </c>
      <c r="F24" s="1">
        <v>20978.259920865301</v>
      </c>
    </row>
    <row r="26" spans="3:27" ht="24" x14ac:dyDescent="0.2">
      <c r="C26" s="8" t="s">
        <v>73</v>
      </c>
      <c r="D26" s="8"/>
      <c r="E26" s="8"/>
      <c r="F26" s="8"/>
    </row>
    <row r="27" spans="3:27" x14ac:dyDescent="0.2">
      <c r="C27" s="5" t="s">
        <v>6</v>
      </c>
      <c r="D27" s="5" t="s">
        <v>38</v>
      </c>
      <c r="E27" s="5" t="s">
        <v>39</v>
      </c>
      <c r="F27" s="5" t="s">
        <v>40</v>
      </c>
    </row>
    <row r="28" spans="3:27" x14ac:dyDescent="0.2">
      <c r="C28" s="1" t="s">
        <v>41</v>
      </c>
      <c r="D28" s="2">
        <v>19277</v>
      </c>
      <c r="E28" s="1">
        <v>150926.10999997199</v>
      </c>
      <c r="F28" s="1">
        <v>7.8293359962635298</v>
      </c>
    </row>
    <row r="29" spans="3:27" x14ac:dyDescent="0.2">
      <c r="C29" s="1" t="s">
        <v>22</v>
      </c>
      <c r="D29" s="2">
        <v>5328</v>
      </c>
      <c r="E29" s="1">
        <v>44478.849999999104</v>
      </c>
      <c r="F29" s="1">
        <v>8.3481325075073407</v>
      </c>
    </row>
    <row r="30" spans="3:27" x14ac:dyDescent="0.2">
      <c r="C30" s="1" t="s">
        <v>42</v>
      </c>
      <c r="D30" s="2">
        <v>2663</v>
      </c>
      <c r="E30" s="1">
        <v>38748.0099999999</v>
      </c>
      <c r="F30" s="1">
        <v>14.550510702215499</v>
      </c>
    </row>
    <row r="31" spans="3:27" x14ac:dyDescent="0.2">
      <c r="C31" s="1" t="s">
        <v>43</v>
      </c>
      <c r="D31" s="2">
        <v>1849</v>
      </c>
      <c r="E31" s="1">
        <v>78500.250000000306</v>
      </c>
      <c r="F31" s="1">
        <v>42.455516495403103</v>
      </c>
    </row>
    <row r="32" spans="3:27" x14ac:dyDescent="0.2">
      <c r="C32" s="1" t="s">
        <v>44</v>
      </c>
      <c r="D32" s="2">
        <v>1442</v>
      </c>
      <c r="E32" s="1">
        <v>18064.1799999998</v>
      </c>
      <c r="F32" s="1">
        <v>12.5271705963938</v>
      </c>
    </row>
    <row r="33" spans="3:6" x14ac:dyDescent="0.2">
      <c r="C33" s="1" t="s">
        <v>45</v>
      </c>
      <c r="D33" s="2">
        <v>1104</v>
      </c>
      <c r="E33" s="1">
        <v>26938.990000000202</v>
      </c>
      <c r="F33" s="1">
        <v>24.401259057971199</v>
      </c>
    </row>
    <row r="34" spans="3:6" x14ac:dyDescent="0.2">
      <c r="C34" s="1" t="s">
        <v>46</v>
      </c>
      <c r="D34" s="2">
        <v>475</v>
      </c>
      <c r="E34" s="1">
        <v>26035.88</v>
      </c>
      <c r="F34" s="1">
        <v>54.812378947368401</v>
      </c>
    </row>
    <row r="35" spans="3:6" x14ac:dyDescent="0.2">
      <c r="C35" s="1" t="s">
        <v>47</v>
      </c>
      <c r="D35" s="2">
        <v>408</v>
      </c>
      <c r="E35" s="1">
        <v>20352</v>
      </c>
      <c r="F35" s="1">
        <v>49.882352941176499</v>
      </c>
    </row>
    <row r="36" spans="3:6" x14ac:dyDescent="0.2">
      <c r="C36" s="1" t="s">
        <v>48</v>
      </c>
      <c r="D36" s="2">
        <v>177</v>
      </c>
      <c r="E36" s="1">
        <v>180</v>
      </c>
      <c r="F36" s="1">
        <v>1.0169491525423699</v>
      </c>
    </row>
    <row r="53" spans="20:27" ht="24" x14ac:dyDescent="0.2">
      <c r="T53" s="8" t="s">
        <v>78</v>
      </c>
      <c r="U53" s="8"/>
      <c r="V53" s="8"/>
      <c r="W53" s="8"/>
      <c r="X53" s="8"/>
      <c r="Y53" s="8"/>
      <c r="Z53" s="8"/>
      <c r="AA53" s="8"/>
    </row>
    <row r="54" spans="20:27" x14ac:dyDescent="0.2">
      <c r="T54" s="5" t="s">
        <v>18</v>
      </c>
      <c r="U54" s="5" t="s">
        <v>19</v>
      </c>
      <c r="V54" s="5" t="s">
        <v>0</v>
      </c>
      <c r="W54" s="5" t="s">
        <v>1</v>
      </c>
      <c r="X54" s="5" t="s">
        <v>2</v>
      </c>
      <c r="Y54" s="5" t="s">
        <v>3</v>
      </c>
      <c r="Z54" s="5" t="s">
        <v>4</v>
      </c>
      <c r="AA54" s="5" t="s">
        <v>5</v>
      </c>
    </row>
    <row r="55" spans="20:27" x14ac:dyDescent="0.2">
      <c r="T55">
        <v>2015</v>
      </c>
      <c r="U55" t="s">
        <v>26</v>
      </c>
      <c r="V55" s="1">
        <v>412643.53999999701</v>
      </c>
      <c r="W55" s="1">
        <v>356363.54026243498</v>
      </c>
      <c r="X55" s="1">
        <v>22217.460101365999</v>
      </c>
      <c r="Y55" s="1">
        <v>378581.00036380102</v>
      </c>
      <c r="Z55" s="1">
        <v>34062.5396361967</v>
      </c>
      <c r="AA55" s="3">
        <v>8.2547129263666399</v>
      </c>
    </row>
    <row r="56" spans="20:27" x14ac:dyDescent="0.2">
      <c r="T56">
        <v>2015</v>
      </c>
      <c r="U56" t="s">
        <v>27</v>
      </c>
      <c r="V56" s="1">
        <v>384469.48000002099</v>
      </c>
      <c r="W56" s="1">
        <v>330859.23989355599</v>
      </c>
      <c r="X56" s="1">
        <v>19936.1400990486</v>
      </c>
      <c r="Y56" s="1">
        <v>350795.37999260402</v>
      </c>
      <c r="Z56" s="1">
        <v>33674.1000074166</v>
      </c>
      <c r="AA56" s="3">
        <v>8.7585885900266494</v>
      </c>
    </row>
    <row r="57" spans="20:27" x14ac:dyDescent="0.2">
      <c r="T57">
        <v>2016</v>
      </c>
      <c r="U57" t="s">
        <v>28</v>
      </c>
      <c r="V57" s="1">
        <v>371541.84000002302</v>
      </c>
      <c r="W57" s="1">
        <v>316750.72978593002</v>
      </c>
      <c r="X57" s="1">
        <v>22926.239906549501</v>
      </c>
      <c r="Y57" s="1">
        <v>339676.96969247999</v>
      </c>
      <c r="Z57" s="1">
        <v>31864.8703075433</v>
      </c>
      <c r="AA57" s="3">
        <v>8.5763881417880992</v>
      </c>
    </row>
    <row r="58" spans="20:27" x14ac:dyDescent="0.2">
      <c r="T58">
        <v>2016</v>
      </c>
      <c r="U58" t="s">
        <v>29</v>
      </c>
      <c r="V58" s="1">
        <v>365388.85999997501</v>
      </c>
      <c r="W58" s="1">
        <v>312952.79978247202</v>
      </c>
      <c r="X58" s="1">
        <v>21556.809885978699</v>
      </c>
      <c r="Y58" s="1">
        <v>334509.60966845002</v>
      </c>
      <c r="Z58" s="1">
        <v>30879.250331524501</v>
      </c>
      <c r="AA58" s="3">
        <v>8.4510650739397608</v>
      </c>
    </row>
    <row r="59" spans="20:27" x14ac:dyDescent="0.2">
      <c r="T59">
        <v>2016</v>
      </c>
      <c r="U59" t="s">
        <v>30</v>
      </c>
      <c r="V59" s="1">
        <v>413330.26000002399</v>
      </c>
      <c r="W59" s="1">
        <v>350013.73982058797</v>
      </c>
      <c r="X59" s="1">
        <v>28830.329849720001</v>
      </c>
      <c r="Y59" s="1">
        <v>378844.06967030797</v>
      </c>
      <c r="Z59" s="1">
        <v>34486.190329715602</v>
      </c>
      <c r="AA59" s="3">
        <v>8.3434951822094092</v>
      </c>
    </row>
    <row r="60" spans="20:27" x14ac:dyDescent="0.2">
      <c r="T60">
        <v>2016</v>
      </c>
      <c r="U60" t="s">
        <v>31</v>
      </c>
      <c r="V60" s="1">
        <v>365376.07999997702</v>
      </c>
      <c r="W60" s="1">
        <v>311147.60969007201</v>
      </c>
      <c r="X60" s="1">
        <v>22267.899989366499</v>
      </c>
      <c r="Y60" s="1">
        <v>333415.50967943901</v>
      </c>
      <c r="Z60" s="1">
        <v>31960.5703205387</v>
      </c>
      <c r="AA60" s="3">
        <v>8.7473077932580203</v>
      </c>
    </row>
    <row r="61" spans="20:27" x14ac:dyDescent="0.2">
      <c r="T61">
        <v>2016</v>
      </c>
      <c r="U61" t="s">
        <v>32</v>
      </c>
      <c r="V61" s="1">
        <v>339403.430000022</v>
      </c>
      <c r="W61" s="1">
        <v>288450.57981679798</v>
      </c>
      <c r="X61" s="1">
        <v>22589.270047664599</v>
      </c>
      <c r="Y61" s="1">
        <v>311039.84986446198</v>
      </c>
      <c r="Z61" s="1">
        <v>28363.580135559201</v>
      </c>
      <c r="AA61" s="3">
        <v>8.3568926028701007</v>
      </c>
    </row>
    <row r="62" spans="20:27" x14ac:dyDescent="0.2">
      <c r="T62">
        <v>2016</v>
      </c>
      <c r="U62" t="s">
        <v>33</v>
      </c>
      <c r="V62" s="1">
        <v>329436.80999998399</v>
      </c>
      <c r="W62" s="1">
        <v>276205.12004514202</v>
      </c>
      <c r="X62" s="1">
        <v>22568.920098066301</v>
      </c>
      <c r="Y62" s="1">
        <v>298774.04014320899</v>
      </c>
      <c r="Z62" s="1">
        <v>30662.7698567759</v>
      </c>
      <c r="AA62" s="3">
        <v>9.3076331867034892</v>
      </c>
    </row>
    <row r="63" spans="20:27" x14ac:dyDescent="0.2">
      <c r="T63">
        <v>2016</v>
      </c>
      <c r="U63" t="s">
        <v>34</v>
      </c>
      <c r="V63" s="1">
        <v>322319.78000002098</v>
      </c>
      <c r="W63" s="1">
        <v>272674.41154049197</v>
      </c>
      <c r="X63" s="1">
        <v>24661.800150155999</v>
      </c>
      <c r="Y63" s="1">
        <v>297336.21169064799</v>
      </c>
      <c r="Z63" s="1">
        <v>24983.5683093732</v>
      </c>
      <c r="AA63" s="3">
        <v>7.7511744111303402</v>
      </c>
    </row>
    <row r="64" spans="20:27" x14ac:dyDescent="0.2">
      <c r="T64">
        <v>2016</v>
      </c>
      <c r="U64" t="s">
        <v>35</v>
      </c>
      <c r="V64" s="1">
        <v>329071.91999994899</v>
      </c>
      <c r="W64" s="1">
        <v>280086.16176657</v>
      </c>
      <c r="X64" s="1">
        <v>23258.4300353527</v>
      </c>
      <c r="Y64" s="1">
        <v>303344.591801923</v>
      </c>
      <c r="Z64" s="1">
        <v>25727.328198026102</v>
      </c>
      <c r="AA64" s="3">
        <v>7.8181475338370099</v>
      </c>
    </row>
    <row r="65" spans="20:27" x14ac:dyDescent="0.2">
      <c r="T65">
        <v>2016</v>
      </c>
      <c r="U65" t="s">
        <v>36</v>
      </c>
      <c r="V65" s="1">
        <v>330198.51000003697</v>
      </c>
      <c r="W65" s="1">
        <v>279798.32202360401</v>
      </c>
      <c r="X65" s="1">
        <v>22752.629760265401</v>
      </c>
      <c r="Y65" s="1">
        <v>302550.95178386901</v>
      </c>
      <c r="Z65" s="1">
        <v>27647.558216167901</v>
      </c>
      <c r="AA65" s="3">
        <v>8.3730111974656705</v>
      </c>
    </row>
    <row r="66" spans="20:27" x14ac:dyDescent="0.2">
      <c r="T66">
        <v>2016</v>
      </c>
      <c r="U66" t="s">
        <v>37</v>
      </c>
      <c r="V66" s="1">
        <v>338165.73000004602</v>
      </c>
      <c r="W66" s="1">
        <v>287336.342018114</v>
      </c>
      <c r="X66" s="1">
        <v>23391.299764871601</v>
      </c>
      <c r="Y66" s="1">
        <v>310727.641782986</v>
      </c>
      <c r="Z66" s="1">
        <v>27438.088217060002</v>
      </c>
      <c r="AA66" s="3">
        <v>8.1137991768285591</v>
      </c>
    </row>
    <row r="67" spans="20:27" x14ac:dyDescent="0.2">
      <c r="T67">
        <v>2016</v>
      </c>
      <c r="U67" t="s">
        <v>26</v>
      </c>
      <c r="V67" s="1">
        <v>404224.27000011498</v>
      </c>
      <c r="W67" s="1">
        <v>336761.06241076102</v>
      </c>
      <c r="X67" s="1">
        <v>31913.579658746701</v>
      </c>
      <c r="Y67" s="1">
        <v>368674.64206950698</v>
      </c>
      <c r="Z67" s="1">
        <v>35549.627930607501</v>
      </c>
      <c r="AA67" s="3">
        <v>8.7945308010816401</v>
      </c>
    </row>
  </sheetData>
  <mergeCells count="8">
    <mergeCell ref="T53:AA53"/>
    <mergeCell ref="B5:AA5"/>
    <mergeCell ref="C15:F15"/>
    <mergeCell ref="C26:F26"/>
    <mergeCell ref="B7:G7"/>
    <mergeCell ref="B11:G11"/>
    <mergeCell ref="J7:Q7"/>
    <mergeCell ref="T7:AA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20.6640625" style="6" customWidth="1"/>
    <col min="3" max="3" width="20.6640625" customWidth="1"/>
    <col min="4" max="4" width="20.6640625" style="2" customWidth="1"/>
    <col min="5" max="6" width="20.6640625" style="1" customWidth="1"/>
    <col min="7" max="8" width="20.6640625" customWidth="1"/>
    <col min="9" max="9" width="20.6640625" style="6" customWidth="1"/>
    <col min="10" max="10" width="20.6640625" customWidth="1"/>
    <col min="11" max="11" width="20.6640625" style="2" customWidth="1"/>
    <col min="12" max="13" width="20.6640625" style="1" customWidth="1"/>
    <col min="14" max="15" width="20.6640625" customWidth="1"/>
    <col min="16" max="16" width="20.6640625" style="6" customWidth="1"/>
    <col min="17" max="17" width="20.6640625" customWidth="1"/>
    <col min="18" max="18" width="20.6640625" style="2" customWidth="1"/>
    <col min="19" max="20" width="20.6640625" style="1" customWidth="1"/>
    <col min="21" max="22" width="20.6640625" customWidth="1"/>
    <col min="23" max="23" width="20.6640625" style="6" customWidth="1"/>
    <col min="24" max="24" width="20.6640625" customWidth="1"/>
    <col min="25" max="25" width="20.6640625" style="2" customWidth="1"/>
    <col min="26" max="27" width="20.6640625" style="1" customWidth="1"/>
    <col min="28" max="29" width="20.6640625" customWidth="1"/>
    <col min="30" max="30" width="20.6640625" style="6" customWidth="1"/>
    <col min="31" max="31" width="20.6640625" customWidth="1"/>
    <col min="32" max="32" width="20.6640625" style="2" customWidth="1"/>
    <col min="33" max="34" width="20.6640625" style="1" customWidth="1"/>
    <col min="35" max="36" width="20.6640625" customWidth="1"/>
    <col min="37" max="37" width="20.6640625" style="6" customWidth="1"/>
    <col min="38" max="38" width="20.6640625" customWidth="1"/>
    <col min="39" max="39" width="20.6640625" style="2" customWidth="1"/>
    <col min="40" max="41" width="20.6640625" style="1" customWidth="1"/>
    <col min="42" max="43" width="20.6640625" customWidth="1"/>
    <col min="44" max="44" width="20.6640625" style="6" customWidth="1"/>
    <col min="45" max="45" width="20.6640625" customWidth="1"/>
    <col min="46" max="46" width="20.6640625" style="2" customWidth="1"/>
    <col min="47" max="48" width="20.6640625" style="1" customWidth="1"/>
    <col min="49" max="50" width="20.6640625" customWidth="1"/>
    <col min="51" max="51" width="20.6640625" style="6" customWidth="1"/>
    <col min="52" max="52" width="20.6640625" customWidth="1"/>
    <col min="53" max="53" width="20.6640625" style="2" customWidth="1"/>
    <col min="54" max="55" width="20.6640625" style="1" customWidth="1"/>
  </cols>
  <sheetData>
    <row r="1" spans="1:55" ht="26" x14ac:dyDescent="0.3">
      <c r="A1" s="4" t="s">
        <v>79</v>
      </c>
    </row>
    <row r="5" spans="1:55" ht="24" x14ac:dyDescent="0.2">
      <c r="B5" s="8" t="s">
        <v>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7" spans="1:55" ht="24" x14ac:dyDescent="0.2">
      <c r="B7" s="8" t="s">
        <v>41</v>
      </c>
      <c r="C7" s="8"/>
      <c r="D7" s="8"/>
      <c r="E7" s="8"/>
      <c r="F7" s="8"/>
      <c r="I7" s="8" t="s">
        <v>45</v>
      </c>
      <c r="J7" s="8"/>
      <c r="K7" s="8"/>
      <c r="L7" s="8"/>
      <c r="M7" s="8"/>
      <c r="P7" s="8" t="s">
        <v>42</v>
      </c>
      <c r="Q7" s="8"/>
      <c r="R7" s="8"/>
      <c r="S7" s="8"/>
      <c r="T7" s="8"/>
      <c r="W7" s="8" t="s">
        <v>44</v>
      </c>
      <c r="X7" s="8"/>
      <c r="Y7" s="8"/>
      <c r="Z7" s="8"/>
      <c r="AA7" s="8"/>
      <c r="AD7" s="8" t="s">
        <v>43</v>
      </c>
      <c r="AE7" s="8"/>
      <c r="AF7" s="8"/>
      <c r="AG7" s="8"/>
      <c r="AH7" s="8"/>
      <c r="AK7" s="8" t="s">
        <v>47</v>
      </c>
      <c r="AL7" s="8"/>
      <c r="AM7" s="8"/>
      <c r="AN7" s="8"/>
      <c r="AO7" s="8"/>
      <c r="AR7" s="8" t="s">
        <v>46</v>
      </c>
      <c r="AS7" s="8"/>
      <c r="AT7" s="8"/>
      <c r="AU7" s="8"/>
      <c r="AV7" s="8"/>
      <c r="AY7" s="8" t="s">
        <v>22</v>
      </c>
      <c r="AZ7" s="8"/>
      <c r="BA7" s="8"/>
      <c r="BB7" s="8"/>
      <c r="BC7" s="8"/>
    </row>
    <row r="8" spans="1:55" x14ac:dyDescent="0.2">
      <c r="B8" s="5" t="s">
        <v>18</v>
      </c>
      <c r="C8" s="5" t="s">
        <v>19</v>
      </c>
      <c r="D8" s="5" t="s">
        <v>38</v>
      </c>
      <c r="E8" s="5" t="s">
        <v>39</v>
      </c>
      <c r="F8" s="5" t="s">
        <v>40</v>
      </c>
      <c r="I8" s="5" t="s">
        <v>18</v>
      </c>
      <c r="J8" s="5" t="s">
        <v>19</v>
      </c>
      <c r="K8" s="5" t="s">
        <v>38</v>
      </c>
      <c r="L8" s="5" t="s">
        <v>39</v>
      </c>
      <c r="M8" s="5" t="s">
        <v>40</v>
      </c>
      <c r="P8" s="5" t="s">
        <v>18</v>
      </c>
      <c r="Q8" s="5" t="s">
        <v>19</v>
      </c>
      <c r="R8" s="5" t="s">
        <v>38</v>
      </c>
      <c r="S8" s="5" t="s">
        <v>39</v>
      </c>
      <c r="T8" s="5" t="s">
        <v>40</v>
      </c>
      <c r="W8" s="5" t="s">
        <v>18</v>
      </c>
      <c r="X8" s="5" t="s">
        <v>19</v>
      </c>
      <c r="Y8" s="5" t="s">
        <v>38</v>
      </c>
      <c r="Z8" s="5" t="s">
        <v>39</v>
      </c>
      <c r="AA8" s="5" t="s">
        <v>40</v>
      </c>
      <c r="AD8" s="5" t="s">
        <v>18</v>
      </c>
      <c r="AE8" s="5" t="s">
        <v>19</v>
      </c>
      <c r="AF8" s="5" t="s">
        <v>38</v>
      </c>
      <c r="AG8" s="5" t="s">
        <v>39</v>
      </c>
      <c r="AH8" s="5" t="s">
        <v>40</v>
      </c>
      <c r="AK8" s="5" t="s">
        <v>18</v>
      </c>
      <c r="AL8" s="5" t="s">
        <v>19</v>
      </c>
      <c r="AM8" s="5" t="s">
        <v>38</v>
      </c>
      <c r="AN8" s="5" t="s">
        <v>39</v>
      </c>
      <c r="AO8" s="5" t="s">
        <v>40</v>
      </c>
      <c r="AR8" s="5" t="s">
        <v>18</v>
      </c>
      <c r="AS8" s="5" t="s">
        <v>19</v>
      </c>
      <c r="AT8" s="5" t="s">
        <v>38</v>
      </c>
      <c r="AU8" s="5" t="s">
        <v>39</v>
      </c>
      <c r="AV8" s="5" t="s">
        <v>40</v>
      </c>
      <c r="AY8" s="5" t="s">
        <v>18</v>
      </c>
      <c r="AZ8" s="5" t="s">
        <v>19</v>
      </c>
      <c r="BA8" s="5" t="s">
        <v>38</v>
      </c>
      <c r="BB8" s="5" t="s">
        <v>39</v>
      </c>
      <c r="BC8" s="5" t="s">
        <v>40</v>
      </c>
    </row>
    <row r="9" spans="1:55" x14ac:dyDescent="0.2">
      <c r="B9" s="6">
        <v>2015</v>
      </c>
      <c r="C9" t="s">
        <v>26</v>
      </c>
      <c r="D9" s="2">
        <v>15621</v>
      </c>
      <c r="E9" s="1">
        <v>126581.209999984</v>
      </c>
      <c r="F9" s="1">
        <v>8.1032718775996102</v>
      </c>
      <c r="I9" s="6">
        <v>2015</v>
      </c>
      <c r="J9" t="s">
        <v>26</v>
      </c>
      <c r="K9" s="2">
        <v>1981</v>
      </c>
      <c r="L9" s="1">
        <v>35882.740000000202</v>
      </c>
      <c r="M9" s="1">
        <v>18.113447753659901</v>
      </c>
      <c r="P9" s="6">
        <v>2015</v>
      </c>
      <c r="Q9" t="s">
        <v>26</v>
      </c>
      <c r="R9" s="2">
        <v>3971</v>
      </c>
      <c r="S9" s="1">
        <v>48808.959999998202</v>
      </c>
      <c r="T9" s="1">
        <v>12.291352304205001</v>
      </c>
      <c r="W9" s="6">
        <v>2015</v>
      </c>
      <c r="X9" t="s">
        <v>26</v>
      </c>
      <c r="Y9" s="2">
        <v>2361</v>
      </c>
      <c r="Z9" s="1">
        <v>26105.429999999698</v>
      </c>
      <c r="AA9" s="1">
        <v>11.0569377382464</v>
      </c>
      <c r="AD9" s="6">
        <v>2015</v>
      </c>
      <c r="AE9" t="s">
        <v>26</v>
      </c>
      <c r="AF9" s="2">
        <v>2188</v>
      </c>
      <c r="AG9" s="1">
        <v>80066.349999999598</v>
      </c>
      <c r="AH9" s="1">
        <v>36.5933957952466</v>
      </c>
      <c r="AK9" s="6">
        <v>2015</v>
      </c>
      <c r="AL9" t="s">
        <v>26</v>
      </c>
      <c r="AM9" s="2">
        <v>463</v>
      </c>
      <c r="AN9" s="1">
        <v>20021.740000000002</v>
      </c>
      <c r="AO9" s="1">
        <v>43.243498920086402</v>
      </c>
      <c r="AR9" s="6">
        <v>2015</v>
      </c>
      <c r="AS9" t="s">
        <v>26</v>
      </c>
      <c r="AT9" s="2">
        <v>921</v>
      </c>
      <c r="AU9" s="1">
        <v>38378.029999999802</v>
      </c>
      <c r="AV9" s="1">
        <v>41.669956568946603</v>
      </c>
      <c r="AY9" s="6">
        <v>2015</v>
      </c>
      <c r="AZ9" t="s">
        <v>26</v>
      </c>
      <c r="BA9" s="2">
        <v>4242</v>
      </c>
      <c r="BB9" s="1">
        <v>36654.499999999702</v>
      </c>
      <c r="BC9" s="1">
        <v>8.6408533710513193</v>
      </c>
    </row>
    <row r="10" spans="1:55" x14ac:dyDescent="0.2">
      <c r="B10" s="6">
        <v>2015</v>
      </c>
      <c r="C10" t="s">
        <v>27</v>
      </c>
      <c r="D10" s="2">
        <v>13816</v>
      </c>
      <c r="E10" s="1">
        <v>115542.14000000199</v>
      </c>
      <c r="F10" s="1">
        <v>8.3629226983209097</v>
      </c>
      <c r="I10" s="6">
        <v>2015</v>
      </c>
      <c r="J10" t="s">
        <v>27</v>
      </c>
      <c r="K10" s="2">
        <v>1848</v>
      </c>
      <c r="L10" s="1">
        <v>33749.65</v>
      </c>
      <c r="M10" s="1">
        <v>18.2627976190476</v>
      </c>
      <c r="P10" s="6">
        <v>2015</v>
      </c>
      <c r="Q10" t="s">
        <v>27</v>
      </c>
      <c r="R10" s="2">
        <v>3956</v>
      </c>
      <c r="S10" s="1">
        <v>50736.169999997699</v>
      </c>
      <c r="T10" s="1">
        <v>12.825118806875</v>
      </c>
      <c r="W10" s="6">
        <v>2015</v>
      </c>
      <c r="X10" t="s">
        <v>27</v>
      </c>
      <c r="Y10" s="2">
        <v>2835</v>
      </c>
      <c r="Z10" s="1">
        <v>33068.4099999994</v>
      </c>
      <c r="AA10" s="1">
        <v>11.664342151675299</v>
      </c>
      <c r="AD10" s="6">
        <v>2015</v>
      </c>
      <c r="AE10" t="s">
        <v>27</v>
      </c>
      <c r="AF10" s="2">
        <v>1734</v>
      </c>
      <c r="AG10" s="1">
        <v>68059.5600000001</v>
      </c>
      <c r="AH10" s="1">
        <v>39.250034602076198</v>
      </c>
      <c r="AK10" s="6">
        <v>2015</v>
      </c>
      <c r="AL10" t="s">
        <v>27</v>
      </c>
      <c r="AM10" s="2">
        <v>430</v>
      </c>
      <c r="AN10" s="1">
        <v>19129.93</v>
      </c>
      <c r="AO10" s="1">
        <v>44.4882093023256</v>
      </c>
      <c r="AR10" s="6">
        <v>2015</v>
      </c>
      <c r="AS10" t="s">
        <v>27</v>
      </c>
      <c r="AT10" s="2">
        <v>725</v>
      </c>
      <c r="AU10" s="1">
        <v>31919.86</v>
      </c>
      <c r="AV10" s="1">
        <v>44.027393103448297</v>
      </c>
      <c r="AY10" s="6">
        <v>2015</v>
      </c>
      <c r="AZ10" t="s">
        <v>27</v>
      </c>
      <c r="BA10" s="2">
        <v>3943</v>
      </c>
      <c r="BB10" s="1">
        <v>32173.760000000399</v>
      </c>
      <c r="BC10" s="1">
        <v>8.1597159523206599</v>
      </c>
    </row>
    <row r="11" spans="1:55" x14ac:dyDescent="0.2">
      <c r="B11" s="6">
        <v>2016</v>
      </c>
      <c r="C11" t="s">
        <v>28</v>
      </c>
      <c r="D11" s="2">
        <v>14393</v>
      </c>
      <c r="E11" s="1">
        <v>123941.470000018</v>
      </c>
      <c r="F11" s="1">
        <v>8.6112325435988506</v>
      </c>
      <c r="I11" s="6">
        <v>2016</v>
      </c>
      <c r="J11" t="s">
        <v>28</v>
      </c>
      <c r="K11" s="2">
        <v>1431</v>
      </c>
      <c r="L11" s="1">
        <v>27737.840000000098</v>
      </c>
      <c r="M11" s="1">
        <v>19.383535988819101</v>
      </c>
      <c r="P11" s="6">
        <v>2016</v>
      </c>
      <c r="Q11" t="s">
        <v>28</v>
      </c>
      <c r="R11" s="2">
        <v>3050</v>
      </c>
      <c r="S11" s="1">
        <v>40916.349999999104</v>
      </c>
      <c r="T11" s="1">
        <v>13.415196721311199</v>
      </c>
      <c r="W11" s="6">
        <v>2016</v>
      </c>
      <c r="X11" t="s">
        <v>28</v>
      </c>
      <c r="Y11" s="2">
        <v>1835</v>
      </c>
      <c r="Z11" s="1">
        <v>22018.089999999898</v>
      </c>
      <c r="AA11" s="1">
        <v>11.9989591280653</v>
      </c>
      <c r="AD11" s="6">
        <v>2016</v>
      </c>
      <c r="AE11" t="s">
        <v>28</v>
      </c>
      <c r="AF11" s="2">
        <v>1988</v>
      </c>
      <c r="AG11" s="1">
        <v>80574.199999998993</v>
      </c>
      <c r="AH11" s="1">
        <v>40.530281690140399</v>
      </c>
      <c r="AK11" s="6">
        <v>2016</v>
      </c>
      <c r="AL11" t="s">
        <v>28</v>
      </c>
      <c r="AM11" s="2">
        <v>374</v>
      </c>
      <c r="AN11" s="1">
        <v>17417.919999999998</v>
      </c>
      <c r="AO11" s="1">
        <v>46.571978609625603</v>
      </c>
      <c r="AR11" s="6">
        <v>2016</v>
      </c>
      <c r="AS11" t="s">
        <v>28</v>
      </c>
      <c r="AT11" s="2">
        <v>472</v>
      </c>
      <c r="AU11" s="1">
        <v>24628.95</v>
      </c>
      <c r="AV11" s="1">
        <v>52.179978813559302</v>
      </c>
      <c r="AY11" s="6">
        <v>2016</v>
      </c>
      <c r="AZ11" t="s">
        <v>28</v>
      </c>
      <c r="BA11" s="2">
        <v>4140</v>
      </c>
      <c r="BB11" s="1">
        <v>34307.020000001103</v>
      </c>
      <c r="BC11" s="1">
        <v>8.2867198067635499</v>
      </c>
    </row>
    <row r="12" spans="1:55" x14ac:dyDescent="0.2">
      <c r="B12" s="6">
        <v>2016</v>
      </c>
      <c r="C12" t="s">
        <v>29</v>
      </c>
      <c r="D12" s="2">
        <v>14517</v>
      </c>
      <c r="E12" s="1">
        <v>121779.380000007</v>
      </c>
      <c r="F12" s="1">
        <v>8.3887428532070398</v>
      </c>
      <c r="I12" s="6">
        <v>2016</v>
      </c>
      <c r="J12" t="s">
        <v>29</v>
      </c>
      <c r="K12" s="2">
        <v>1649</v>
      </c>
      <c r="L12" s="1">
        <v>31829.2699999998</v>
      </c>
      <c r="M12" s="1">
        <v>19.302164948453498</v>
      </c>
      <c r="P12" s="6">
        <v>2016</v>
      </c>
      <c r="Q12" t="s">
        <v>29</v>
      </c>
      <c r="R12" s="2">
        <v>3378</v>
      </c>
      <c r="S12" s="1">
        <v>44781.289999999797</v>
      </c>
      <c r="T12" s="1">
        <v>13.256746595618599</v>
      </c>
      <c r="W12" s="6">
        <v>2016</v>
      </c>
      <c r="X12" t="s">
        <v>29</v>
      </c>
      <c r="Y12" s="2">
        <v>1815</v>
      </c>
      <c r="Z12" s="1">
        <v>21450.889999999901</v>
      </c>
      <c r="AA12" s="1">
        <v>11.8186721763085</v>
      </c>
      <c r="AD12" s="6">
        <v>2016</v>
      </c>
      <c r="AE12" t="s">
        <v>29</v>
      </c>
      <c r="AF12" s="2">
        <v>1815</v>
      </c>
      <c r="AG12" s="1">
        <v>71833.66</v>
      </c>
      <c r="AH12" s="1">
        <v>39.577774104683201</v>
      </c>
      <c r="AK12" s="6">
        <v>2016</v>
      </c>
      <c r="AL12" t="s">
        <v>29</v>
      </c>
      <c r="AM12" s="2">
        <v>358</v>
      </c>
      <c r="AN12" s="1">
        <v>17842.14</v>
      </c>
      <c r="AO12" s="1">
        <v>49.838379888268101</v>
      </c>
      <c r="AR12" s="6">
        <v>2016</v>
      </c>
      <c r="AS12" t="s">
        <v>29</v>
      </c>
      <c r="AT12" s="2">
        <v>481</v>
      </c>
      <c r="AU12" s="1">
        <v>24772.49</v>
      </c>
      <c r="AV12" s="1">
        <v>51.502058212058301</v>
      </c>
      <c r="AY12" s="6">
        <v>2016</v>
      </c>
      <c r="AZ12" t="s">
        <v>29</v>
      </c>
      <c r="BA12" s="2">
        <v>3562</v>
      </c>
      <c r="BB12" s="1">
        <v>31039.740000000998</v>
      </c>
      <c r="BC12" s="1">
        <v>8.7141325098262108</v>
      </c>
    </row>
    <row r="13" spans="1:55" x14ac:dyDescent="0.2">
      <c r="B13" s="6">
        <v>2016</v>
      </c>
      <c r="C13" t="s">
        <v>30</v>
      </c>
      <c r="D13" s="2">
        <v>17205</v>
      </c>
      <c r="E13" s="1">
        <v>146203.46999999299</v>
      </c>
      <c r="F13" s="1">
        <v>8.4977314734084608</v>
      </c>
      <c r="I13" s="6">
        <v>2016</v>
      </c>
      <c r="J13" t="s">
        <v>30</v>
      </c>
      <c r="K13" s="2">
        <v>1796</v>
      </c>
      <c r="L13" s="1">
        <v>33934.129999999997</v>
      </c>
      <c r="M13" s="1">
        <v>18.894281737193801</v>
      </c>
      <c r="P13" s="6">
        <v>2016</v>
      </c>
      <c r="Q13" t="s">
        <v>30</v>
      </c>
      <c r="R13" s="2">
        <v>3783</v>
      </c>
      <c r="S13" s="1">
        <v>49603.650000000402</v>
      </c>
      <c r="T13" s="1">
        <v>13.112252180809</v>
      </c>
      <c r="W13" s="6">
        <v>2016</v>
      </c>
      <c r="X13" t="s">
        <v>30</v>
      </c>
      <c r="Y13" s="2">
        <v>2058</v>
      </c>
      <c r="Z13" s="1">
        <v>23980.6500000005</v>
      </c>
      <c r="AA13" s="1">
        <v>11.6524052478137</v>
      </c>
      <c r="AD13" s="6">
        <v>2016</v>
      </c>
      <c r="AE13" t="s">
        <v>30</v>
      </c>
      <c r="AF13" s="2">
        <v>1960</v>
      </c>
      <c r="AG13" s="1">
        <v>75333.190000000395</v>
      </c>
      <c r="AH13" s="1">
        <v>38.435301020408403</v>
      </c>
      <c r="AK13" s="6">
        <v>2016</v>
      </c>
      <c r="AL13" t="s">
        <v>30</v>
      </c>
      <c r="AM13" s="2">
        <v>360</v>
      </c>
      <c r="AN13" s="1">
        <v>17738.080000000002</v>
      </c>
      <c r="AO13" s="1">
        <v>49.272444444444602</v>
      </c>
      <c r="AR13" s="6">
        <v>2016</v>
      </c>
      <c r="AS13" t="s">
        <v>30</v>
      </c>
      <c r="AT13" s="2">
        <v>487</v>
      </c>
      <c r="AU13" s="1">
        <v>24420.81</v>
      </c>
      <c r="AV13" s="1">
        <v>50.145400410677603</v>
      </c>
      <c r="AY13" s="6">
        <v>2016</v>
      </c>
      <c r="AZ13" t="s">
        <v>30</v>
      </c>
      <c r="BA13" s="2">
        <v>5134</v>
      </c>
      <c r="BB13" s="1">
        <v>41966.280000000901</v>
      </c>
      <c r="BC13" s="1">
        <v>8.1741877678225308</v>
      </c>
    </row>
    <row r="14" spans="1:55" x14ac:dyDescent="0.2">
      <c r="B14" s="6">
        <v>2016</v>
      </c>
      <c r="C14" t="s">
        <v>31</v>
      </c>
      <c r="D14" s="2">
        <v>14185</v>
      </c>
      <c r="E14" s="1">
        <v>118048.44999999899</v>
      </c>
      <c r="F14" s="1">
        <v>8.3220620373633292</v>
      </c>
      <c r="I14" s="6">
        <v>2016</v>
      </c>
      <c r="J14" t="s">
        <v>31</v>
      </c>
      <c r="K14" s="2">
        <v>1940</v>
      </c>
      <c r="L14" s="1">
        <v>37381.78</v>
      </c>
      <c r="M14" s="1">
        <v>19.268958762886601</v>
      </c>
      <c r="P14" s="6">
        <v>2016</v>
      </c>
      <c r="Q14" t="s">
        <v>31</v>
      </c>
      <c r="R14" s="2">
        <v>3386</v>
      </c>
      <c r="S14" s="1">
        <v>45130.3300000003</v>
      </c>
      <c r="T14" s="1">
        <v>13.3285085646782</v>
      </c>
      <c r="W14" s="6">
        <v>2016</v>
      </c>
      <c r="X14" t="s">
        <v>31</v>
      </c>
      <c r="Y14" s="2">
        <v>1907</v>
      </c>
      <c r="Z14" s="1">
        <v>22391.770000000401</v>
      </c>
      <c r="AA14" s="1">
        <v>11.741882538018</v>
      </c>
      <c r="AD14" s="6">
        <v>2016</v>
      </c>
      <c r="AE14" t="s">
        <v>31</v>
      </c>
      <c r="AF14" s="2">
        <v>1813</v>
      </c>
      <c r="AG14" s="1">
        <v>69423.67</v>
      </c>
      <c r="AH14" s="1">
        <v>38.292151130722601</v>
      </c>
      <c r="AK14" s="6">
        <v>2016</v>
      </c>
      <c r="AL14" t="s">
        <v>31</v>
      </c>
      <c r="AM14" s="2">
        <v>351</v>
      </c>
      <c r="AN14" s="1">
        <v>16427.22</v>
      </c>
      <c r="AO14" s="1">
        <v>46.801196581196599</v>
      </c>
      <c r="AR14" s="6">
        <v>2016</v>
      </c>
      <c r="AS14" t="s">
        <v>31</v>
      </c>
      <c r="AT14" s="2">
        <v>462</v>
      </c>
      <c r="AU14" s="1">
        <v>23983.14</v>
      </c>
      <c r="AV14" s="1">
        <v>51.911558441558498</v>
      </c>
      <c r="AY14" s="6">
        <v>2016</v>
      </c>
      <c r="AZ14" t="s">
        <v>31</v>
      </c>
      <c r="BA14" s="2">
        <v>3817</v>
      </c>
      <c r="BB14" s="1">
        <v>32559.720000000601</v>
      </c>
      <c r="BC14" s="1">
        <v>8.5301860099556297</v>
      </c>
    </row>
    <row r="15" spans="1:55" x14ac:dyDescent="0.2">
      <c r="B15" s="6">
        <v>2016</v>
      </c>
      <c r="C15" t="s">
        <v>32</v>
      </c>
      <c r="D15" s="2">
        <v>12914</v>
      </c>
      <c r="E15" s="1">
        <v>107791.109999996</v>
      </c>
      <c r="F15" s="1">
        <v>8.3468414124202894</v>
      </c>
      <c r="I15" s="6">
        <v>2016</v>
      </c>
      <c r="J15" t="s">
        <v>32</v>
      </c>
      <c r="K15" s="2">
        <v>1607</v>
      </c>
      <c r="L15" s="1">
        <v>30689.9399999999</v>
      </c>
      <c r="M15" s="1">
        <v>19.097660236465401</v>
      </c>
      <c r="P15" s="6">
        <v>2016</v>
      </c>
      <c r="Q15" t="s">
        <v>32</v>
      </c>
      <c r="R15" s="2">
        <v>2863</v>
      </c>
      <c r="S15" s="1">
        <v>38911.559999998601</v>
      </c>
      <c r="T15" s="1">
        <v>13.5911840726506</v>
      </c>
      <c r="W15" s="6">
        <v>2016</v>
      </c>
      <c r="X15" t="s">
        <v>32</v>
      </c>
      <c r="Y15" s="2">
        <v>1493</v>
      </c>
      <c r="Z15" s="1">
        <v>18540.120000000199</v>
      </c>
      <c r="AA15" s="1">
        <v>12.418030810448901</v>
      </c>
      <c r="AD15" s="6">
        <v>2016</v>
      </c>
      <c r="AE15" t="s">
        <v>32</v>
      </c>
      <c r="AF15" s="2">
        <v>1732</v>
      </c>
      <c r="AG15" s="1">
        <v>68176.609999999899</v>
      </c>
      <c r="AH15" s="1">
        <v>39.362938799076197</v>
      </c>
      <c r="AK15" s="6">
        <v>2016</v>
      </c>
      <c r="AL15" t="s">
        <v>32</v>
      </c>
      <c r="AM15" s="2">
        <v>369</v>
      </c>
      <c r="AN15" s="1">
        <v>17209.18</v>
      </c>
      <c r="AO15" s="1">
        <v>46.637344173441697</v>
      </c>
      <c r="AR15" s="6">
        <v>2016</v>
      </c>
      <c r="AS15" t="s">
        <v>32</v>
      </c>
      <c r="AT15" s="2">
        <v>495</v>
      </c>
      <c r="AU15" s="1">
        <v>25082.379999999899</v>
      </c>
      <c r="AV15" s="1">
        <v>50.671474747474498</v>
      </c>
      <c r="AY15" s="6">
        <v>2016</v>
      </c>
      <c r="AZ15" t="s">
        <v>32</v>
      </c>
      <c r="BA15" s="2">
        <v>3827</v>
      </c>
      <c r="BB15" s="1">
        <v>32762.530000000501</v>
      </c>
      <c r="BC15" s="1">
        <v>8.5608910373662308</v>
      </c>
    </row>
    <row r="16" spans="1:55" x14ac:dyDescent="0.2">
      <c r="B16" s="6">
        <v>2016</v>
      </c>
      <c r="C16" t="s">
        <v>33</v>
      </c>
      <c r="D16" s="2">
        <v>13482</v>
      </c>
      <c r="E16" s="1">
        <v>109673.439999996</v>
      </c>
      <c r="F16" s="1">
        <v>8.1348049250850192</v>
      </c>
      <c r="I16" s="6">
        <v>2016</v>
      </c>
      <c r="J16" t="s">
        <v>33</v>
      </c>
      <c r="K16" s="2">
        <v>1406</v>
      </c>
      <c r="L16" s="1">
        <v>30907.19</v>
      </c>
      <c r="M16" s="1">
        <v>21.9823541963015</v>
      </c>
      <c r="P16" s="6">
        <v>2016</v>
      </c>
      <c r="Q16" t="s">
        <v>33</v>
      </c>
      <c r="R16" s="2">
        <v>2676</v>
      </c>
      <c r="S16" s="1">
        <v>36055.360000000503</v>
      </c>
      <c r="T16" s="1">
        <v>13.4736023916295</v>
      </c>
      <c r="W16" s="6">
        <v>2016</v>
      </c>
      <c r="X16" t="s">
        <v>33</v>
      </c>
      <c r="Y16" s="2">
        <v>1440</v>
      </c>
      <c r="Z16" s="1">
        <v>17245.059999999801</v>
      </c>
      <c r="AA16" s="1">
        <v>11.975736111111001</v>
      </c>
      <c r="AD16" s="6">
        <v>2016</v>
      </c>
      <c r="AE16" t="s">
        <v>33</v>
      </c>
      <c r="AF16" s="2">
        <v>1606</v>
      </c>
      <c r="AG16" s="1">
        <v>62829.8999999999</v>
      </c>
      <c r="AH16" s="1">
        <v>39.121980074719701</v>
      </c>
      <c r="AK16" s="6">
        <v>2016</v>
      </c>
      <c r="AL16" t="s">
        <v>33</v>
      </c>
      <c r="AM16" s="2">
        <v>336</v>
      </c>
      <c r="AN16" s="1">
        <v>16781.11</v>
      </c>
      <c r="AO16" s="1">
        <v>49.9437797619048</v>
      </c>
      <c r="AR16" s="6">
        <v>2016</v>
      </c>
      <c r="AS16" t="s">
        <v>33</v>
      </c>
      <c r="AT16" s="2">
        <v>445</v>
      </c>
      <c r="AU16" s="1">
        <v>23188.59</v>
      </c>
      <c r="AV16" s="1">
        <v>52.109191011236</v>
      </c>
      <c r="AY16" s="6">
        <v>2016</v>
      </c>
      <c r="AZ16" t="s">
        <v>33</v>
      </c>
      <c r="BA16" s="2">
        <v>4001</v>
      </c>
      <c r="BB16" s="1">
        <v>32486.160000000498</v>
      </c>
      <c r="BC16" s="1">
        <v>8.1195101224694994</v>
      </c>
    </row>
    <row r="17" spans="2:55" x14ac:dyDescent="0.2">
      <c r="B17" s="6">
        <v>2016</v>
      </c>
      <c r="C17" t="s">
        <v>34</v>
      </c>
      <c r="D17" s="2">
        <v>15005</v>
      </c>
      <c r="E17" s="1">
        <v>117064.109999986</v>
      </c>
      <c r="F17" s="1">
        <v>7.80167344218503</v>
      </c>
      <c r="I17" s="6">
        <v>2016</v>
      </c>
      <c r="J17" t="s">
        <v>34</v>
      </c>
      <c r="K17" s="2">
        <v>1279</v>
      </c>
      <c r="L17" s="1">
        <v>25583.9</v>
      </c>
      <c r="M17" s="1">
        <v>20.003049257232199</v>
      </c>
      <c r="P17" s="6">
        <v>2016</v>
      </c>
      <c r="Q17" t="s">
        <v>34</v>
      </c>
      <c r="R17" s="2">
        <v>2560</v>
      </c>
      <c r="S17" s="1">
        <v>33725.349999999897</v>
      </c>
      <c r="T17" s="1">
        <v>13.173964843749999</v>
      </c>
      <c r="W17" s="6">
        <v>2016</v>
      </c>
      <c r="X17" t="s">
        <v>34</v>
      </c>
      <c r="Y17" s="2">
        <v>1207</v>
      </c>
      <c r="Z17" s="1">
        <v>14317.059999999799</v>
      </c>
      <c r="AA17" s="1">
        <v>11.8616901408449</v>
      </c>
      <c r="AD17" s="6">
        <v>2016</v>
      </c>
      <c r="AE17" t="s">
        <v>34</v>
      </c>
      <c r="AF17" s="2">
        <v>1616</v>
      </c>
      <c r="AG17" s="1">
        <v>60574.030000000501</v>
      </c>
      <c r="AH17" s="1">
        <v>37.483929455445796</v>
      </c>
      <c r="AK17" s="6">
        <v>2016</v>
      </c>
      <c r="AL17" t="s">
        <v>34</v>
      </c>
      <c r="AM17" s="2">
        <v>294</v>
      </c>
      <c r="AN17" s="1">
        <v>13947.26</v>
      </c>
      <c r="AO17" s="1">
        <v>47.439659863945501</v>
      </c>
      <c r="AR17" s="6">
        <v>2016</v>
      </c>
      <c r="AS17" t="s">
        <v>34</v>
      </c>
      <c r="AT17" s="2">
        <v>433</v>
      </c>
      <c r="AU17" s="1">
        <v>20199.68</v>
      </c>
      <c r="AV17" s="1">
        <v>46.650531177829201</v>
      </c>
      <c r="AY17" s="6">
        <v>2016</v>
      </c>
      <c r="AZ17" t="s">
        <v>34</v>
      </c>
      <c r="BA17" s="2">
        <v>4778</v>
      </c>
      <c r="BB17" s="1">
        <v>36818.390000000698</v>
      </c>
      <c r="BC17" s="1">
        <v>7.7058162411052198</v>
      </c>
    </row>
    <row r="18" spans="2:55" x14ac:dyDescent="0.2">
      <c r="B18" s="6">
        <v>2016</v>
      </c>
      <c r="C18" t="s">
        <v>35</v>
      </c>
      <c r="D18" s="2">
        <v>15525</v>
      </c>
      <c r="E18" s="1">
        <v>116313.560000008</v>
      </c>
      <c r="F18" s="1">
        <v>7.4920167471824897</v>
      </c>
      <c r="I18" s="6">
        <v>2016</v>
      </c>
      <c r="J18" t="s">
        <v>35</v>
      </c>
      <c r="K18" s="2">
        <v>1276</v>
      </c>
      <c r="L18" s="1">
        <v>27791.42</v>
      </c>
      <c r="M18" s="1">
        <v>21.780109717868299</v>
      </c>
      <c r="P18" s="6">
        <v>2016</v>
      </c>
      <c r="Q18" t="s">
        <v>35</v>
      </c>
      <c r="R18" s="2">
        <v>2431</v>
      </c>
      <c r="S18" s="1">
        <v>33664.670000000297</v>
      </c>
      <c r="T18" s="1">
        <v>13.8480748663103</v>
      </c>
      <c r="W18" s="6">
        <v>2016</v>
      </c>
      <c r="X18" t="s">
        <v>35</v>
      </c>
      <c r="Y18" s="2">
        <v>1141</v>
      </c>
      <c r="Z18" s="1">
        <v>14019.700000000101</v>
      </c>
      <c r="AA18" s="1">
        <v>12.287204206836201</v>
      </c>
      <c r="AD18" s="6">
        <v>2016</v>
      </c>
      <c r="AE18" t="s">
        <v>35</v>
      </c>
      <c r="AF18" s="2">
        <v>1624</v>
      </c>
      <c r="AG18" s="1">
        <v>64718.700000000601</v>
      </c>
      <c r="AH18" s="1">
        <v>39.851416256157997</v>
      </c>
      <c r="AK18" s="6">
        <v>2016</v>
      </c>
      <c r="AL18" t="s">
        <v>35</v>
      </c>
      <c r="AM18" s="2">
        <v>327</v>
      </c>
      <c r="AN18" s="1">
        <v>15848.14</v>
      </c>
      <c r="AO18" s="1">
        <v>48.465259938837903</v>
      </c>
      <c r="AR18" s="6">
        <v>2016</v>
      </c>
      <c r="AS18" t="s">
        <v>35</v>
      </c>
      <c r="AT18" s="2">
        <v>457</v>
      </c>
      <c r="AU18" s="1">
        <v>22737.89</v>
      </c>
      <c r="AV18" s="1">
        <v>49.754682713347897</v>
      </c>
      <c r="AY18" s="6">
        <v>2016</v>
      </c>
      <c r="AZ18" t="s">
        <v>35</v>
      </c>
      <c r="BA18" s="2">
        <v>4104</v>
      </c>
      <c r="BB18" s="1">
        <v>33827.840000000302</v>
      </c>
      <c r="BC18" s="1">
        <v>8.2426510721248203</v>
      </c>
    </row>
    <row r="19" spans="2:55" x14ac:dyDescent="0.2">
      <c r="B19" s="6">
        <v>2016</v>
      </c>
      <c r="C19" t="s">
        <v>36</v>
      </c>
      <c r="D19" s="2">
        <v>14914</v>
      </c>
      <c r="E19" s="1">
        <v>114568.939999985</v>
      </c>
      <c r="F19" s="1">
        <v>7.6819726431530597</v>
      </c>
      <c r="I19" s="6">
        <v>2016</v>
      </c>
      <c r="J19" t="s">
        <v>36</v>
      </c>
      <c r="K19" s="2">
        <v>1006</v>
      </c>
      <c r="L19" s="1">
        <v>25990.06</v>
      </c>
      <c r="M19" s="1">
        <v>25.835049701789298</v>
      </c>
      <c r="P19" s="6">
        <v>2016</v>
      </c>
      <c r="Q19" t="s">
        <v>36</v>
      </c>
      <c r="R19" s="2">
        <v>2278</v>
      </c>
      <c r="S19" s="1">
        <v>33427.420000000697</v>
      </c>
      <c r="T19" s="1">
        <v>14.6740210711153</v>
      </c>
      <c r="W19" s="6">
        <v>2016</v>
      </c>
      <c r="X19" t="s">
        <v>36</v>
      </c>
      <c r="Y19" s="2">
        <v>1160</v>
      </c>
      <c r="Z19" s="1">
        <v>14982.040000000099</v>
      </c>
      <c r="AA19" s="1">
        <v>12.915551724138</v>
      </c>
      <c r="AD19" s="6">
        <v>2016</v>
      </c>
      <c r="AE19" t="s">
        <v>36</v>
      </c>
      <c r="AF19" s="2">
        <v>1611</v>
      </c>
      <c r="AG19" s="1">
        <v>67110.230000000403</v>
      </c>
      <c r="AH19" s="1">
        <v>41.6574984481691</v>
      </c>
      <c r="AK19" s="6">
        <v>2016</v>
      </c>
      <c r="AL19" t="s">
        <v>36</v>
      </c>
      <c r="AM19" s="2">
        <v>311</v>
      </c>
      <c r="AN19" s="1">
        <v>14809.56</v>
      </c>
      <c r="AO19" s="1">
        <v>47.619163987138201</v>
      </c>
      <c r="AR19" s="6">
        <v>2016</v>
      </c>
      <c r="AS19" t="s">
        <v>36</v>
      </c>
      <c r="AT19" s="2">
        <v>492</v>
      </c>
      <c r="AU19" s="1">
        <v>26529.82</v>
      </c>
      <c r="AV19" s="1">
        <v>53.922398373983697</v>
      </c>
      <c r="AY19" s="6">
        <v>2016</v>
      </c>
      <c r="AZ19" t="s">
        <v>36</v>
      </c>
      <c r="BA19" s="2">
        <v>3904</v>
      </c>
      <c r="BB19" s="1">
        <v>32655.439999999398</v>
      </c>
      <c r="BC19" s="1">
        <v>8.3646106557375592</v>
      </c>
    </row>
    <row r="20" spans="2:55" x14ac:dyDescent="0.2">
      <c r="B20" s="6">
        <v>2016</v>
      </c>
      <c r="C20" t="s">
        <v>37</v>
      </c>
      <c r="D20" s="2">
        <v>15090</v>
      </c>
      <c r="E20" s="1">
        <v>115610.389999985</v>
      </c>
      <c r="F20" s="1">
        <v>7.6613909874079003</v>
      </c>
      <c r="I20" s="6">
        <v>2016</v>
      </c>
      <c r="J20" t="s">
        <v>37</v>
      </c>
      <c r="K20" s="2">
        <v>1111</v>
      </c>
      <c r="L20" s="1">
        <v>26708.460000000199</v>
      </c>
      <c r="M20" s="1">
        <v>24.040018001800298</v>
      </c>
      <c r="P20" s="6">
        <v>2016</v>
      </c>
      <c r="Q20" t="s">
        <v>37</v>
      </c>
      <c r="R20" s="2">
        <v>2534</v>
      </c>
      <c r="S20" s="1">
        <v>36757.909999999902</v>
      </c>
      <c r="T20" s="1">
        <v>14.505883977900501</v>
      </c>
      <c r="W20" s="6">
        <v>2016</v>
      </c>
      <c r="X20" t="s">
        <v>37</v>
      </c>
      <c r="Y20" s="2">
        <v>1403</v>
      </c>
      <c r="Z20" s="1">
        <v>18125.969999999801</v>
      </c>
      <c r="AA20" s="1">
        <v>12.919436920883699</v>
      </c>
      <c r="AD20" s="6">
        <v>2016</v>
      </c>
      <c r="AE20" t="s">
        <v>37</v>
      </c>
      <c r="AF20" s="2">
        <v>1582</v>
      </c>
      <c r="AG20" s="1">
        <v>66304.510000000606</v>
      </c>
      <c r="AH20" s="1">
        <v>41.9118268015174</v>
      </c>
      <c r="AK20" s="6">
        <v>2016</v>
      </c>
      <c r="AL20" t="s">
        <v>37</v>
      </c>
      <c r="AM20" s="2">
        <v>330</v>
      </c>
      <c r="AN20" s="1">
        <v>16344.49</v>
      </c>
      <c r="AO20" s="1">
        <v>49.528757575757503</v>
      </c>
      <c r="AR20" s="6">
        <v>2016</v>
      </c>
      <c r="AS20" t="s">
        <v>37</v>
      </c>
      <c r="AT20" s="2">
        <v>475</v>
      </c>
      <c r="AU20" s="1">
        <v>24632.86</v>
      </c>
      <c r="AV20" s="1">
        <v>51.858652631578899</v>
      </c>
      <c r="AY20" s="6">
        <v>2016</v>
      </c>
      <c r="AZ20" t="s">
        <v>37</v>
      </c>
      <c r="BA20" s="2">
        <v>3852</v>
      </c>
      <c r="BB20" s="1">
        <v>33321.139999999701</v>
      </c>
      <c r="BC20" s="1">
        <v>8.6503478712356401</v>
      </c>
    </row>
    <row r="21" spans="2:55" x14ac:dyDescent="0.2">
      <c r="B21" s="6">
        <v>2016</v>
      </c>
      <c r="C21" t="s">
        <v>26</v>
      </c>
      <c r="D21" s="2">
        <v>19277</v>
      </c>
      <c r="E21" s="1">
        <v>150926.10999997199</v>
      </c>
      <c r="F21" s="1">
        <v>7.8293359962635298</v>
      </c>
      <c r="I21" s="6">
        <v>2016</v>
      </c>
      <c r="J21" t="s">
        <v>26</v>
      </c>
      <c r="K21" s="2">
        <v>1104</v>
      </c>
      <c r="L21" s="1">
        <v>26938.990000000202</v>
      </c>
      <c r="M21" s="1">
        <v>24.401259057971199</v>
      </c>
      <c r="P21" s="6">
        <v>2016</v>
      </c>
      <c r="Q21" t="s">
        <v>26</v>
      </c>
      <c r="R21" s="2">
        <v>2663</v>
      </c>
      <c r="S21" s="1">
        <v>38748.0099999999</v>
      </c>
      <c r="T21" s="1">
        <v>14.550510702215499</v>
      </c>
      <c r="W21" s="6">
        <v>2016</v>
      </c>
      <c r="X21" t="s">
        <v>26</v>
      </c>
      <c r="Y21" s="2">
        <v>1442</v>
      </c>
      <c r="Z21" s="1">
        <v>18064.1799999998</v>
      </c>
      <c r="AA21" s="1">
        <v>12.5271705963938</v>
      </c>
      <c r="AD21" s="6">
        <v>2016</v>
      </c>
      <c r="AE21" t="s">
        <v>26</v>
      </c>
      <c r="AF21" s="2">
        <v>1849</v>
      </c>
      <c r="AG21" s="1">
        <v>78500.250000000306</v>
      </c>
      <c r="AH21" s="1">
        <v>42.455516495403103</v>
      </c>
      <c r="AK21" s="6">
        <v>2016</v>
      </c>
      <c r="AL21" t="s">
        <v>26</v>
      </c>
      <c r="AM21" s="2">
        <v>408</v>
      </c>
      <c r="AN21" s="1">
        <v>20352</v>
      </c>
      <c r="AO21" s="1">
        <v>49.882352941176499</v>
      </c>
      <c r="AR21" s="6">
        <v>2016</v>
      </c>
      <c r="AS21" t="s">
        <v>26</v>
      </c>
      <c r="AT21" s="2">
        <v>475</v>
      </c>
      <c r="AU21" s="1">
        <v>26035.88</v>
      </c>
      <c r="AV21" s="1">
        <v>54.812378947368401</v>
      </c>
      <c r="AY21" s="6">
        <v>2016</v>
      </c>
      <c r="AZ21" t="s">
        <v>26</v>
      </c>
      <c r="BA21" s="2">
        <v>5328</v>
      </c>
      <c r="BB21" s="1">
        <v>44478.849999999104</v>
      </c>
      <c r="BC21" s="1">
        <v>8.3481325075073407</v>
      </c>
    </row>
    <row r="38" spans="2:55" ht="24" x14ac:dyDescent="0.2">
      <c r="B38" s="8" t="s">
        <v>80</v>
      </c>
      <c r="C38" s="8"/>
      <c r="D38" s="8"/>
      <c r="E38" s="8"/>
      <c r="F38" s="8"/>
      <c r="I38" s="8" t="s">
        <v>81</v>
      </c>
      <c r="J38" s="8"/>
      <c r="K38" s="8"/>
      <c r="L38" s="8"/>
      <c r="M38" s="8"/>
      <c r="P38" s="8" t="s">
        <v>82</v>
      </c>
      <c r="Q38" s="8"/>
      <c r="R38" s="8"/>
      <c r="S38" s="8"/>
      <c r="T38" s="8"/>
      <c r="W38" s="8" t="s">
        <v>83</v>
      </c>
      <c r="X38" s="8"/>
      <c r="Y38" s="8"/>
      <c r="Z38" s="8"/>
      <c r="AA38" s="8"/>
      <c r="AD38" s="8" t="s">
        <v>84</v>
      </c>
      <c r="AE38" s="8"/>
      <c r="AF38" s="8"/>
      <c r="AG38" s="8"/>
      <c r="AH38" s="8"/>
      <c r="AK38" s="8" t="s">
        <v>85</v>
      </c>
      <c r="AL38" s="8"/>
      <c r="AM38" s="8"/>
      <c r="AN38" s="8"/>
      <c r="AO38" s="8"/>
      <c r="AR38" s="8" t="s">
        <v>86</v>
      </c>
      <c r="AS38" s="8"/>
      <c r="AT38" s="8"/>
      <c r="AU38" s="8"/>
      <c r="AV38" s="8"/>
      <c r="AY38" s="8" t="s">
        <v>87</v>
      </c>
      <c r="AZ38" s="8"/>
      <c r="BA38" s="8"/>
      <c r="BB38" s="8"/>
      <c r="BC38" s="8"/>
    </row>
    <row r="39" spans="2:55" x14ac:dyDescent="0.2">
      <c r="B39" s="5" t="s">
        <v>18</v>
      </c>
      <c r="C39" s="5" t="s">
        <v>19</v>
      </c>
      <c r="D39" s="5" t="s">
        <v>49</v>
      </c>
      <c r="E39" s="5" t="s">
        <v>50</v>
      </c>
      <c r="F39" s="5" t="s">
        <v>51</v>
      </c>
      <c r="I39" s="5" t="s">
        <v>18</v>
      </c>
      <c r="J39" s="5" t="s">
        <v>19</v>
      </c>
      <c r="K39" s="5" t="s">
        <v>49</v>
      </c>
      <c r="L39" s="5" t="s">
        <v>50</v>
      </c>
      <c r="M39" s="5" t="s">
        <v>51</v>
      </c>
      <c r="P39" s="5" t="s">
        <v>18</v>
      </c>
      <c r="Q39" s="5" t="s">
        <v>19</v>
      </c>
      <c r="R39" s="5" t="s">
        <v>49</v>
      </c>
      <c r="S39" s="5" t="s">
        <v>50</v>
      </c>
      <c r="T39" s="5" t="s">
        <v>51</v>
      </c>
      <c r="W39" s="5" t="s">
        <v>18</v>
      </c>
      <c r="X39" s="5" t="s">
        <v>19</v>
      </c>
      <c r="Y39" s="5" t="s">
        <v>49</v>
      </c>
      <c r="Z39" s="5" t="s">
        <v>50</v>
      </c>
      <c r="AA39" s="5" t="s">
        <v>51</v>
      </c>
      <c r="AD39" s="5" t="s">
        <v>18</v>
      </c>
      <c r="AE39" s="5" t="s">
        <v>19</v>
      </c>
      <c r="AF39" s="5" t="s">
        <v>49</v>
      </c>
      <c r="AG39" s="5" t="s">
        <v>50</v>
      </c>
      <c r="AH39" s="5" t="s">
        <v>51</v>
      </c>
      <c r="AK39" s="5" t="s">
        <v>18</v>
      </c>
      <c r="AL39" s="5" t="s">
        <v>19</v>
      </c>
      <c r="AM39" s="5" t="s">
        <v>49</v>
      </c>
      <c r="AN39" s="5" t="s">
        <v>50</v>
      </c>
      <c r="AO39" s="5" t="s">
        <v>51</v>
      </c>
      <c r="AR39" s="5" t="s">
        <v>18</v>
      </c>
      <c r="AS39" s="5" t="s">
        <v>19</v>
      </c>
      <c r="AT39" s="5" t="s">
        <v>49</v>
      </c>
      <c r="AU39" s="5" t="s">
        <v>50</v>
      </c>
      <c r="AV39" s="5" t="s">
        <v>51</v>
      </c>
      <c r="AY39" s="5" t="s">
        <v>18</v>
      </c>
      <c r="AZ39" s="5" t="s">
        <v>19</v>
      </c>
      <c r="BA39" s="5" t="s">
        <v>49</v>
      </c>
      <c r="BB39" s="5" t="s">
        <v>50</v>
      </c>
      <c r="BC39" s="5" t="s">
        <v>51</v>
      </c>
    </row>
    <row r="40" spans="2:55" s="3" customFormat="1" x14ac:dyDescent="0.2">
      <c r="B40" s="3" t="s">
        <v>52</v>
      </c>
      <c r="C40" s="3" t="s">
        <v>26</v>
      </c>
      <c r="I40" s="3" t="s">
        <v>52</v>
      </c>
      <c r="J40" s="3" t="s">
        <v>26</v>
      </c>
      <c r="P40" s="3" t="s">
        <v>52</v>
      </c>
      <c r="Q40" s="3" t="s">
        <v>26</v>
      </c>
      <c r="W40" s="3" t="s">
        <v>52</v>
      </c>
      <c r="X40" s="3" t="s">
        <v>26</v>
      </c>
      <c r="AD40" s="3" t="s">
        <v>52</v>
      </c>
      <c r="AE40" s="3" t="s">
        <v>26</v>
      </c>
      <c r="AK40" s="3" t="s">
        <v>52</v>
      </c>
      <c r="AL40" s="3" t="s">
        <v>26</v>
      </c>
      <c r="AR40" s="3" t="s">
        <v>52</v>
      </c>
      <c r="AS40" s="3" t="s">
        <v>26</v>
      </c>
      <c r="AY40" s="3" t="s">
        <v>52</v>
      </c>
      <c r="AZ40" s="3" t="s">
        <v>26</v>
      </c>
    </row>
    <row r="41" spans="2:55" s="3" customFormat="1" x14ac:dyDescent="0.2">
      <c r="B41" s="3" t="s">
        <v>52</v>
      </c>
      <c r="C41" s="3" t="s">
        <v>27</v>
      </c>
      <c r="D41" s="3">
        <v>-8.7209389134321693</v>
      </c>
      <c r="E41" s="3">
        <v>-11.5549580692657</v>
      </c>
      <c r="F41" s="3">
        <v>3.2042713689400801</v>
      </c>
      <c r="I41" s="3" t="s">
        <v>52</v>
      </c>
      <c r="J41" s="3" t="s">
        <v>27</v>
      </c>
      <c r="K41" s="3">
        <v>-5.9446129253232298</v>
      </c>
      <c r="L41" s="3">
        <v>-6.7137809187279203</v>
      </c>
      <c r="M41" s="3">
        <v>0.82452478080878899</v>
      </c>
      <c r="P41" s="3" t="s">
        <v>52</v>
      </c>
      <c r="Q41" s="3" t="s">
        <v>27</v>
      </c>
      <c r="R41" s="3">
        <v>3.9484758536128699</v>
      </c>
      <c r="S41" s="3">
        <v>-0.37773860488542499</v>
      </c>
      <c r="T41" s="3">
        <v>4.3426182039172598</v>
      </c>
      <c r="W41" s="3" t="s">
        <v>52</v>
      </c>
      <c r="X41" s="3" t="s">
        <v>27</v>
      </c>
      <c r="Y41" s="3">
        <v>26.672535177546401</v>
      </c>
      <c r="Z41" s="3">
        <v>20.076238881829699</v>
      </c>
      <c r="AA41" s="3">
        <v>5.4934234759037404</v>
      </c>
      <c r="AD41" s="3" t="s">
        <v>52</v>
      </c>
      <c r="AE41" s="3" t="s">
        <v>27</v>
      </c>
      <c r="AF41" s="3">
        <v>-14.9960501509055</v>
      </c>
      <c r="AG41" s="3">
        <v>-20.7495429616088</v>
      </c>
      <c r="AH41" s="3">
        <v>7.2598859687535304</v>
      </c>
      <c r="AK41" s="3" t="s">
        <v>52</v>
      </c>
      <c r="AL41" s="3" t="s">
        <v>27</v>
      </c>
      <c r="AM41" s="3">
        <v>-4.4542082756045298</v>
      </c>
      <c r="AN41" s="3">
        <v>-7.1274298056155496</v>
      </c>
      <c r="AO41" s="3">
        <v>2.87837574045373</v>
      </c>
      <c r="AR41" s="3" t="s">
        <v>52</v>
      </c>
      <c r="AS41" s="3" t="s">
        <v>27</v>
      </c>
      <c r="AT41" s="3">
        <v>-16.827778809907201</v>
      </c>
      <c r="AU41" s="3">
        <v>-21.281216069489702</v>
      </c>
      <c r="AV41" s="3">
        <v>5.6574009876903402</v>
      </c>
      <c r="AY41" s="3" t="s">
        <v>52</v>
      </c>
      <c r="AZ41" s="3" t="s">
        <v>27</v>
      </c>
      <c r="BA41" s="3">
        <v>-12.224256230474699</v>
      </c>
      <c r="BB41" s="3">
        <v>-7.0485619990570498</v>
      </c>
      <c r="BC41" s="3">
        <v>-5.5681701571579696</v>
      </c>
    </row>
    <row r="42" spans="2:55" s="3" customFormat="1" x14ac:dyDescent="0.2">
      <c r="B42" s="3" t="s">
        <v>53</v>
      </c>
      <c r="C42" s="3" t="s">
        <v>28</v>
      </c>
      <c r="D42" s="3">
        <v>7.2694949219534601</v>
      </c>
      <c r="E42" s="3">
        <v>4.1763173132599798</v>
      </c>
      <c r="F42" s="3">
        <v>2.9691754215041199</v>
      </c>
      <c r="I42" s="3" t="s">
        <v>53</v>
      </c>
      <c r="J42" s="3" t="s">
        <v>28</v>
      </c>
      <c r="K42" s="3">
        <v>-17.8129550973119</v>
      </c>
      <c r="L42" s="3">
        <v>-22.564935064935099</v>
      </c>
      <c r="M42" s="3">
        <v>6.13672884707732</v>
      </c>
      <c r="P42" s="3" t="s">
        <v>53</v>
      </c>
      <c r="Q42" s="3" t="s">
        <v>28</v>
      </c>
      <c r="R42" s="3">
        <v>-19.3546734016365</v>
      </c>
      <c r="S42" s="3">
        <v>-22.901921132457002</v>
      </c>
      <c r="T42" s="3">
        <v>4.6009547616806801</v>
      </c>
      <c r="W42" s="3" t="s">
        <v>53</v>
      </c>
      <c r="X42" s="3" t="s">
        <v>28</v>
      </c>
      <c r="Y42" s="3">
        <v>-33.416544672089501</v>
      </c>
      <c r="Z42" s="3">
        <v>-35.273368606701901</v>
      </c>
      <c r="AA42" s="3">
        <v>2.8687170869897902</v>
      </c>
      <c r="AD42" s="3" t="s">
        <v>53</v>
      </c>
      <c r="AE42" s="3" t="s">
        <v>28</v>
      </c>
      <c r="AF42" s="3">
        <v>18.387776823709999</v>
      </c>
      <c r="AG42" s="3">
        <v>14.648212226066899</v>
      </c>
      <c r="AH42" s="3">
        <v>3.26177314502669</v>
      </c>
      <c r="AK42" s="3" t="s">
        <v>53</v>
      </c>
      <c r="AL42" s="3" t="s">
        <v>28</v>
      </c>
      <c r="AM42" s="3">
        <v>-8.9493793233954797</v>
      </c>
      <c r="AN42" s="3">
        <v>-13.023255813953501</v>
      </c>
      <c r="AO42" s="3">
        <v>4.6838686923528003</v>
      </c>
      <c r="AR42" s="3" t="s">
        <v>53</v>
      </c>
      <c r="AS42" s="3" t="s">
        <v>28</v>
      </c>
      <c r="AT42" s="3">
        <v>-22.841296922981599</v>
      </c>
      <c r="AU42" s="3">
        <v>-34.8965517241379</v>
      </c>
      <c r="AV42" s="3">
        <v>18.517075700928601</v>
      </c>
      <c r="AY42" s="3" t="s">
        <v>53</v>
      </c>
      <c r="AZ42" s="3" t="s">
        <v>28</v>
      </c>
      <c r="BA42" s="3">
        <v>6.6304342420676798</v>
      </c>
      <c r="BB42" s="3">
        <v>4.9961957900076097</v>
      </c>
      <c r="BC42" s="3">
        <v>1.55647396533163</v>
      </c>
    </row>
    <row r="43" spans="2:55" s="3" customFormat="1" x14ac:dyDescent="0.2">
      <c r="B43" s="3" t="s">
        <v>53</v>
      </c>
      <c r="C43" s="3" t="s">
        <v>29</v>
      </c>
      <c r="D43" s="3">
        <v>-1.74444437363159</v>
      </c>
      <c r="E43" s="3">
        <v>0.86152991037309301</v>
      </c>
      <c r="F43" s="3">
        <v>-2.5837148081338901</v>
      </c>
      <c r="I43" s="3" t="s">
        <v>53</v>
      </c>
      <c r="J43" s="3" t="s">
        <v>29</v>
      </c>
      <c r="K43" s="3">
        <v>14.7503554710809</v>
      </c>
      <c r="L43" s="3">
        <v>15.234102026554901</v>
      </c>
      <c r="M43" s="3">
        <v>-0.419794615453772</v>
      </c>
      <c r="P43" s="3" t="s">
        <v>53</v>
      </c>
      <c r="Q43" s="3" t="s">
        <v>29</v>
      </c>
      <c r="R43" s="3">
        <v>9.4459549788796107</v>
      </c>
      <c r="S43" s="3">
        <v>10.7540983606557</v>
      </c>
      <c r="T43" s="3">
        <v>-1.1811241309701701</v>
      </c>
      <c r="W43" s="3" t="s">
        <v>53</v>
      </c>
      <c r="X43" s="3" t="s">
        <v>29</v>
      </c>
      <c r="Y43" s="3">
        <v>-2.5760635913472099</v>
      </c>
      <c r="Z43" s="3">
        <v>-1.0899182561308001</v>
      </c>
      <c r="AA43" s="3">
        <v>-1.5025215923538</v>
      </c>
      <c r="AD43" s="3" t="s">
        <v>53</v>
      </c>
      <c r="AE43" s="3" t="s">
        <v>29</v>
      </c>
      <c r="AF43" s="3">
        <v>-10.847814809205801</v>
      </c>
      <c r="AG43" s="3">
        <v>-8.7022132796780696</v>
      </c>
      <c r="AH43" s="3">
        <v>-2.35011341085464</v>
      </c>
      <c r="AK43" s="3" t="s">
        <v>53</v>
      </c>
      <c r="AL43" s="3" t="s">
        <v>29</v>
      </c>
      <c r="AM43" s="3">
        <v>2.4355376531756798</v>
      </c>
      <c r="AN43" s="3">
        <v>-4.2780748663101598</v>
      </c>
      <c r="AO43" s="3">
        <v>7.0136622410271103</v>
      </c>
      <c r="AR43" s="3" t="s">
        <v>53</v>
      </c>
      <c r="AS43" s="3" t="s">
        <v>29</v>
      </c>
      <c r="AT43" s="3">
        <v>0.58281006701488303</v>
      </c>
      <c r="AU43" s="3">
        <v>1.9067796610169601</v>
      </c>
      <c r="AV43" s="3">
        <v>-1.2991967741558801</v>
      </c>
      <c r="AY43" s="3" t="s">
        <v>53</v>
      </c>
      <c r="AZ43" s="3" t="s">
        <v>29</v>
      </c>
      <c r="BA43" s="3">
        <v>-9.5236485127534394</v>
      </c>
      <c r="BB43" s="3">
        <v>-13.961352657004801</v>
      </c>
      <c r="BC43" s="3">
        <v>5.1578032445819302</v>
      </c>
    </row>
    <row r="44" spans="2:55" s="3" customFormat="1" x14ac:dyDescent="0.2">
      <c r="B44" s="3" t="s">
        <v>53</v>
      </c>
      <c r="C44" s="3" t="s">
        <v>30</v>
      </c>
      <c r="D44" s="3">
        <v>20.056014408995001</v>
      </c>
      <c r="E44" s="3">
        <v>18.516222359991701</v>
      </c>
      <c r="F44" s="3">
        <v>1.29922471231503</v>
      </c>
      <c r="I44" s="3" t="s">
        <v>53</v>
      </c>
      <c r="J44" s="3" t="s">
        <v>30</v>
      </c>
      <c r="K44" s="3">
        <v>6.6129697602245896</v>
      </c>
      <c r="L44" s="3">
        <v>8.9144936325045396</v>
      </c>
      <c r="M44" s="3">
        <v>-2.11314747516129</v>
      </c>
      <c r="P44" s="3" t="s">
        <v>53</v>
      </c>
      <c r="Q44" s="3" t="s">
        <v>30</v>
      </c>
      <c r="R44" s="3">
        <v>10.7686938004704</v>
      </c>
      <c r="S44" s="3">
        <v>11.9893428063943</v>
      </c>
      <c r="T44" s="3">
        <v>-1.0899688982318001</v>
      </c>
      <c r="W44" s="3" t="s">
        <v>53</v>
      </c>
      <c r="X44" s="3" t="s">
        <v>30</v>
      </c>
      <c r="Y44" s="3">
        <v>11.7932635895327</v>
      </c>
      <c r="Z44" s="3">
        <v>13.3884297520661</v>
      </c>
      <c r="AA44" s="3">
        <v>-1.4068156389690201</v>
      </c>
      <c r="AD44" s="3" t="s">
        <v>53</v>
      </c>
      <c r="AE44" s="3" t="s">
        <v>30</v>
      </c>
      <c r="AF44" s="3">
        <v>4.8717133444131404</v>
      </c>
      <c r="AG44" s="3">
        <v>7.9889807162534501</v>
      </c>
      <c r="AH44" s="3">
        <v>-2.8866532040255901</v>
      </c>
      <c r="AK44" s="3" t="s">
        <v>53</v>
      </c>
      <c r="AL44" s="3" t="s">
        <v>30</v>
      </c>
      <c r="AM44" s="3">
        <v>-0.58322600315847695</v>
      </c>
      <c r="AN44" s="3">
        <v>0.55865921787710004</v>
      </c>
      <c r="AO44" s="3">
        <v>-1.1355414142520399</v>
      </c>
      <c r="AR44" s="3" t="s">
        <v>53</v>
      </c>
      <c r="AS44" s="3" t="s">
        <v>30</v>
      </c>
      <c r="AT44" s="3">
        <v>-1.4196392853525699</v>
      </c>
      <c r="AU44" s="3">
        <v>1.2474012474012399</v>
      </c>
      <c r="AV44" s="3">
        <v>-2.6341817171552</v>
      </c>
      <c r="AY44" s="3" t="s">
        <v>53</v>
      </c>
      <c r="AZ44" s="3" t="s">
        <v>30</v>
      </c>
      <c r="BA44" s="3">
        <v>35.201776819005403</v>
      </c>
      <c r="BB44" s="3">
        <v>44.132509825940502</v>
      </c>
      <c r="BC44" s="3">
        <v>-6.1961961376514596</v>
      </c>
    </row>
    <row r="45" spans="2:55" s="3" customFormat="1" x14ac:dyDescent="0.2">
      <c r="B45" s="3" t="s">
        <v>53</v>
      </c>
      <c r="C45" s="3" t="s">
        <v>31</v>
      </c>
      <c r="D45" s="3">
        <v>-19.257422549543602</v>
      </c>
      <c r="E45" s="3">
        <v>-17.553036907875601</v>
      </c>
      <c r="F45" s="3">
        <v>-2.0672509668591799</v>
      </c>
      <c r="I45" s="3" t="s">
        <v>53</v>
      </c>
      <c r="J45" s="3" t="s">
        <v>31</v>
      </c>
      <c r="K45" s="3">
        <v>10.159830235812599</v>
      </c>
      <c r="L45" s="3">
        <v>8.01781737193763</v>
      </c>
      <c r="M45" s="3">
        <v>1.9830180945976399</v>
      </c>
      <c r="P45" s="3" t="s">
        <v>53</v>
      </c>
      <c r="Q45" s="3" t="s">
        <v>31</v>
      </c>
      <c r="R45" s="3">
        <v>-9.0181266902739097</v>
      </c>
      <c r="S45" s="3">
        <v>-10.494316679883701</v>
      </c>
      <c r="T45" s="3">
        <v>1.6492695601576499</v>
      </c>
      <c r="W45" s="3" t="s">
        <v>53</v>
      </c>
      <c r="X45" s="3" t="s">
        <v>31</v>
      </c>
      <c r="Y45" s="3">
        <v>-6.6256752840314803</v>
      </c>
      <c r="Z45" s="3">
        <v>-7.3372206025267301</v>
      </c>
      <c r="AA45" s="3">
        <v>0.76788687229323305</v>
      </c>
      <c r="AD45" s="3" t="s">
        <v>53</v>
      </c>
      <c r="AE45" s="3" t="s">
        <v>31</v>
      </c>
      <c r="AF45" s="3">
        <v>-7.84451050061781</v>
      </c>
      <c r="AG45" s="3">
        <v>-7.5</v>
      </c>
      <c r="AH45" s="3">
        <v>-0.37244378445169302</v>
      </c>
      <c r="AK45" s="3" t="s">
        <v>53</v>
      </c>
      <c r="AL45" s="3" t="s">
        <v>31</v>
      </c>
      <c r="AM45" s="3">
        <v>-7.3900895700099598</v>
      </c>
      <c r="AN45" s="3">
        <v>-2.5</v>
      </c>
      <c r="AO45" s="3">
        <v>-5.0154764820615103</v>
      </c>
      <c r="AR45" s="3" t="s">
        <v>53</v>
      </c>
      <c r="AS45" s="3" t="s">
        <v>31</v>
      </c>
      <c r="AT45" s="3">
        <v>-1.79220099579004</v>
      </c>
      <c r="AU45" s="3">
        <v>-5.1334702258726903</v>
      </c>
      <c r="AV45" s="3">
        <v>3.5220738421001001</v>
      </c>
      <c r="AY45" s="3" t="s">
        <v>53</v>
      </c>
      <c r="AZ45" s="3" t="s">
        <v>31</v>
      </c>
      <c r="BA45" s="3">
        <v>-22.414567123891</v>
      </c>
      <c r="BB45" s="3">
        <v>-25.6525126606934</v>
      </c>
      <c r="BC45" s="3">
        <v>4.3551512669488304</v>
      </c>
    </row>
    <row r="46" spans="2:55" s="3" customFormat="1" x14ac:dyDescent="0.2">
      <c r="B46" s="3" t="s">
        <v>53</v>
      </c>
      <c r="C46" s="3" t="s">
        <v>32</v>
      </c>
      <c r="D46" s="3">
        <v>-8.6890933341381</v>
      </c>
      <c r="E46" s="3">
        <v>-8.9601691928093103</v>
      </c>
      <c r="F46" s="3">
        <v>0.29775523116393199</v>
      </c>
      <c r="I46" s="3" t="s">
        <v>53</v>
      </c>
      <c r="J46" s="3" t="s">
        <v>32</v>
      </c>
      <c r="K46" s="3">
        <v>-17.901341241642498</v>
      </c>
      <c r="L46" s="3">
        <v>-17.164948453608201</v>
      </c>
      <c r="M46" s="3">
        <v>-0.88898693763933601</v>
      </c>
      <c r="P46" s="3" t="s">
        <v>53</v>
      </c>
      <c r="Q46" s="3" t="s">
        <v>32</v>
      </c>
      <c r="R46" s="3">
        <v>-13.7795801626129</v>
      </c>
      <c r="S46" s="3">
        <v>-15.4459539279386</v>
      </c>
      <c r="T46" s="3">
        <v>1.97077945141206</v>
      </c>
      <c r="W46" s="3" t="s">
        <v>53</v>
      </c>
      <c r="X46" s="3" t="s">
        <v>32</v>
      </c>
      <c r="Y46" s="3">
        <v>-17.201185971453601</v>
      </c>
      <c r="Z46" s="3">
        <v>-21.7094913476665</v>
      </c>
      <c r="AA46" s="3">
        <v>5.7584315823429302</v>
      </c>
      <c r="AD46" s="3" t="s">
        <v>53</v>
      </c>
      <c r="AE46" s="3" t="s">
        <v>32</v>
      </c>
      <c r="AF46" s="3">
        <v>-1.7963037678648699</v>
      </c>
      <c r="AG46" s="3">
        <v>-4.4677330391616099</v>
      </c>
      <c r="AH46" s="3">
        <v>2.79636331920381</v>
      </c>
      <c r="AK46" s="3" t="s">
        <v>53</v>
      </c>
      <c r="AL46" s="3" t="s">
        <v>32</v>
      </c>
      <c r="AM46" s="3">
        <v>4.7601480956604796</v>
      </c>
      <c r="AN46" s="3">
        <v>5.1282051282051304</v>
      </c>
      <c r="AO46" s="3">
        <v>-0.350103030957094</v>
      </c>
      <c r="AR46" s="3" t="s">
        <v>53</v>
      </c>
      <c r="AS46" s="3" t="s">
        <v>32</v>
      </c>
      <c r="AT46" s="3">
        <v>4.5833864956793997</v>
      </c>
      <c r="AU46" s="3">
        <v>7.1428571428571397</v>
      </c>
      <c r="AV46" s="3">
        <v>-2.3888392706992301</v>
      </c>
      <c r="AY46" s="3" t="s">
        <v>53</v>
      </c>
      <c r="AZ46" s="3" t="s">
        <v>32</v>
      </c>
      <c r="BA46" s="3">
        <v>0.62288619189574401</v>
      </c>
      <c r="BB46" s="3">
        <v>0.26198585276395697</v>
      </c>
      <c r="BC46" s="3">
        <v>0.359957301924752</v>
      </c>
    </row>
    <row r="47" spans="2:55" s="3" customFormat="1" x14ac:dyDescent="0.2">
      <c r="B47" s="3" t="s">
        <v>53</v>
      </c>
      <c r="C47" s="3" t="s">
        <v>33</v>
      </c>
      <c r="D47" s="3">
        <v>1.7462757364691499</v>
      </c>
      <c r="E47" s="3">
        <v>4.3983273966238201</v>
      </c>
      <c r="F47" s="3">
        <v>-2.5403200666990999</v>
      </c>
      <c r="I47" s="3" t="s">
        <v>53</v>
      </c>
      <c r="J47" s="3" t="s">
        <v>33</v>
      </c>
      <c r="K47" s="3">
        <v>0.70788668860239901</v>
      </c>
      <c r="L47" s="3">
        <v>-12.5077784691973</v>
      </c>
      <c r="M47" s="3">
        <v>15.104960105678501</v>
      </c>
      <c r="P47" s="3" t="s">
        <v>53</v>
      </c>
      <c r="Q47" s="3" t="s">
        <v>33</v>
      </c>
      <c r="R47" s="3">
        <v>-7.3402351383448101</v>
      </c>
      <c r="S47" s="3">
        <v>-6.53161019909186</v>
      </c>
      <c r="T47" s="3">
        <v>-0.86513198844588901</v>
      </c>
      <c r="W47" s="3" t="s">
        <v>53</v>
      </c>
      <c r="X47" s="3" t="s">
        <v>33</v>
      </c>
      <c r="Y47" s="3">
        <v>-6.9851759319806099</v>
      </c>
      <c r="Z47" s="3">
        <v>-3.5498995311453401</v>
      </c>
      <c r="AA47" s="3">
        <v>-3.5617136572548902</v>
      </c>
      <c r="AD47" s="3" t="s">
        <v>53</v>
      </c>
      <c r="AE47" s="3" t="s">
        <v>33</v>
      </c>
      <c r="AF47" s="3">
        <v>-7.8424403912133904</v>
      </c>
      <c r="AG47" s="3">
        <v>-7.2748267898383396</v>
      </c>
      <c r="AH47" s="3">
        <v>-0.61214617533099602</v>
      </c>
      <c r="AK47" s="3" t="s">
        <v>53</v>
      </c>
      <c r="AL47" s="3" t="s">
        <v>33</v>
      </c>
      <c r="AM47" s="3">
        <v>-2.4874514648574602</v>
      </c>
      <c r="AN47" s="3">
        <v>-8.9430894308943092</v>
      </c>
      <c r="AO47" s="3">
        <v>7.0896738377011799</v>
      </c>
      <c r="AR47" s="3" t="s">
        <v>53</v>
      </c>
      <c r="AS47" s="3" t="s">
        <v>33</v>
      </c>
      <c r="AT47" s="3">
        <v>-7.5502803163013397</v>
      </c>
      <c r="AU47" s="3">
        <v>-10.1010101010101</v>
      </c>
      <c r="AV47" s="3">
        <v>2.83732863692323</v>
      </c>
      <c r="AY47" s="3" t="s">
        <v>53</v>
      </c>
      <c r="AZ47" s="3" t="s">
        <v>33</v>
      </c>
      <c r="BA47" s="3">
        <v>-0.84355512226946805</v>
      </c>
      <c r="BB47" s="3">
        <v>4.5466422785471696</v>
      </c>
      <c r="BC47" s="3">
        <v>-5.1557824176269103</v>
      </c>
    </row>
    <row r="48" spans="2:55" s="3" customFormat="1" x14ac:dyDescent="0.2">
      <c r="B48" s="3" t="s">
        <v>53</v>
      </c>
      <c r="C48" s="3" t="s">
        <v>34</v>
      </c>
      <c r="D48" s="3">
        <v>6.7387965582098799</v>
      </c>
      <c r="E48" s="3">
        <v>11.2965435395342</v>
      </c>
      <c r="F48" s="3">
        <v>-4.0951379408340101</v>
      </c>
      <c r="I48" s="3" t="s">
        <v>53</v>
      </c>
      <c r="J48" s="3" t="s">
        <v>34</v>
      </c>
      <c r="K48" s="3">
        <v>-17.223468066815499</v>
      </c>
      <c r="L48" s="3">
        <v>-9.0327169274537695</v>
      </c>
      <c r="M48" s="3">
        <v>-9.0040626285712104</v>
      </c>
      <c r="P48" s="3" t="s">
        <v>53</v>
      </c>
      <c r="Q48" s="3" t="s">
        <v>34</v>
      </c>
      <c r="R48" s="3">
        <v>-6.4623123996004201</v>
      </c>
      <c r="S48" s="3">
        <v>-4.3348281016442503</v>
      </c>
      <c r="T48" s="3">
        <v>-2.2238859302073002</v>
      </c>
      <c r="W48" s="3" t="s">
        <v>53</v>
      </c>
      <c r="X48" s="3" t="s">
        <v>34</v>
      </c>
      <c r="Y48" s="3">
        <v>-16.9787753710342</v>
      </c>
      <c r="Z48" s="3">
        <v>-16.1805555555556</v>
      </c>
      <c r="AA48" s="3">
        <v>-0.95230864481295996</v>
      </c>
      <c r="AD48" s="3" t="s">
        <v>53</v>
      </c>
      <c r="AE48" s="3" t="s">
        <v>34</v>
      </c>
      <c r="AF48" s="3">
        <v>-3.5904402203400898</v>
      </c>
      <c r="AG48" s="3">
        <v>0.622665006226653</v>
      </c>
      <c r="AH48" s="3">
        <v>-4.18703403085778</v>
      </c>
      <c r="AK48" s="3" t="s">
        <v>53</v>
      </c>
      <c r="AL48" s="3" t="s">
        <v>34</v>
      </c>
      <c r="AM48" s="3">
        <v>-16.887142745623098</v>
      </c>
      <c r="AN48" s="3">
        <v>-12.5</v>
      </c>
      <c r="AO48" s="3">
        <v>-5.0138774235692596</v>
      </c>
      <c r="AR48" s="3" t="s">
        <v>53</v>
      </c>
      <c r="AS48" s="3" t="s">
        <v>34</v>
      </c>
      <c r="AT48" s="3">
        <v>-12.889571983462501</v>
      </c>
      <c r="AU48" s="3">
        <v>-2.69662921348315</v>
      </c>
      <c r="AV48" s="3">
        <v>-10.475426172380599</v>
      </c>
      <c r="AY48" s="3" t="s">
        <v>53</v>
      </c>
      <c r="AZ48" s="3" t="s">
        <v>34</v>
      </c>
      <c r="BA48" s="3">
        <v>13.335617382910799</v>
      </c>
      <c r="BB48" s="3">
        <v>19.4201449637591</v>
      </c>
      <c r="BC48" s="3">
        <v>-5.0950596171983698</v>
      </c>
    </row>
    <row r="49" spans="2:55" s="3" customFormat="1" x14ac:dyDescent="0.2">
      <c r="B49" s="3" t="s">
        <v>53</v>
      </c>
      <c r="C49" s="3" t="s">
        <v>35</v>
      </c>
      <c r="D49" s="3">
        <v>-0.64114441221858598</v>
      </c>
      <c r="E49" s="3">
        <v>3.4655114961679399</v>
      </c>
      <c r="F49" s="3">
        <v>-3.9691060808592602</v>
      </c>
      <c r="I49" s="3" t="s">
        <v>53</v>
      </c>
      <c r="J49" s="3" t="s">
        <v>35</v>
      </c>
      <c r="K49" s="3">
        <v>8.6285515499982601</v>
      </c>
      <c r="L49" s="3">
        <v>-0.23455824863174399</v>
      </c>
      <c r="M49" s="3">
        <v>8.8839478310719393</v>
      </c>
      <c r="P49" s="3" t="s">
        <v>53</v>
      </c>
      <c r="Q49" s="3" t="s">
        <v>35</v>
      </c>
      <c r="R49" s="3">
        <v>-0.179924003752685</v>
      </c>
      <c r="S49" s="3">
        <v>-5.0390625</v>
      </c>
      <c r="T49" s="3">
        <v>5.1169866517454299</v>
      </c>
      <c r="W49" s="3" t="s">
        <v>53</v>
      </c>
      <c r="X49" s="3" t="s">
        <v>35</v>
      </c>
      <c r="Y49" s="3">
        <v>-2.0769627283794598</v>
      </c>
      <c r="Z49" s="3">
        <v>-5.4681027340513699</v>
      </c>
      <c r="AA49" s="3">
        <v>3.5872970962716799</v>
      </c>
      <c r="AD49" s="3" t="s">
        <v>53</v>
      </c>
      <c r="AE49" s="3" t="s">
        <v>35</v>
      </c>
      <c r="AF49" s="3">
        <v>6.8423217012307997</v>
      </c>
      <c r="AG49" s="3">
        <v>0.49504950495049499</v>
      </c>
      <c r="AH49" s="3">
        <v>6.31600484555974</v>
      </c>
      <c r="AK49" s="3" t="s">
        <v>53</v>
      </c>
      <c r="AL49" s="3" t="s">
        <v>35</v>
      </c>
      <c r="AM49" s="3">
        <v>13.629056890027201</v>
      </c>
      <c r="AN49" s="3">
        <v>11.2244897959184</v>
      </c>
      <c r="AO49" s="3">
        <v>2.16190435984094</v>
      </c>
      <c r="AR49" s="3" t="s">
        <v>53</v>
      </c>
      <c r="AS49" s="3" t="s">
        <v>35</v>
      </c>
      <c r="AT49" s="3">
        <v>12.5655950985361</v>
      </c>
      <c r="AU49" s="3">
        <v>5.5427251732101697</v>
      </c>
      <c r="AV49" s="3">
        <v>6.6540539992694798</v>
      </c>
      <c r="AY49" s="3" t="s">
        <v>53</v>
      </c>
      <c r="AZ49" s="3" t="s">
        <v>35</v>
      </c>
      <c r="BA49" s="3">
        <v>-8.1224355546248006</v>
      </c>
      <c r="BB49" s="3">
        <v>-14.1063206362495</v>
      </c>
      <c r="BC49" s="3">
        <v>6.96661864522481</v>
      </c>
    </row>
    <row r="50" spans="2:55" s="3" customFormat="1" x14ac:dyDescent="0.2">
      <c r="B50" s="3" t="s">
        <v>53</v>
      </c>
      <c r="C50" s="3" t="s">
        <v>36</v>
      </c>
      <c r="D50" s="3">
        <v>-1.4999282972881101</v>
      </c>
      <c r="E50" s="3">
        <v>-3.9355877616747201</v>
      </c>
      <c r="F50" s="3">
        <v>2.5354440917662702</v>
      </c>
      <c r="I50" s="3" t="s">
        <v>53</v>
      </c>
      <c r="J50" s="3" t="s">
        <v>36</v>
      </c>
      <c r="K50" s="3">
        <v>-6.481712701258</v>
      </c>
      <c r="L50" s="3">
        <v>-21.159874608150499</v>
      </c>
      <c r="M50" s="3">
        <v>18.6176288202732</v>
      </c>
      <c r="P50" s="3" t="s">
        <v>53</v>
      </c>
      <c r="Q50" s="3" t="s">
        <v>36</v>
      </c>
      <c r="R50" s="3">
        <v>-0.70474476654488505</v>
      </c>
      <c r="S50" s="3">
        <v>-6.2937062937062898</v>
      </c>
      <c r="T50" s="3">
        <v>5.9643395401797203</v>
      </c>
      <c r="W50" s="3" t="s">
        <v>53</v>
      </c>
      <c r="X50" s="3" t="s">
        <v>36</v>
      </c>
      <c r="Y50" s="3">
        <v>6.8641982353403703</v>
      </c>
      <c r="Z50" s="3">
        <v>1.6652059596844899</v>
      </c>
      <c r="AA50" s="3">
        <v>5.11383636769256</v>
      </c>
      <c r="AD50" s="3" t="s">
        <v>53</v>
      </c>
      <c r="AE50" s="3" t="s">
        <v>36</v>
      </c>
      <c r="AF50" s="3">
        <v>3.6952689099129898</v>
      </c>
      <c r="AG50" s="3">
        <v>-0.80049261083743295</v>
      </c>
      <c r="AH50" s="3">
        <v>4.53204016741073</v>
      </c>
      <c r="AK50" s="3" t="s">
        <v>53</v>
      </c>
      <c r="AL50" s="3" t="s">
        <v>36</v>
      </c>
      <c r="AM50" s="3">
        <v>-6.5533242386802897</v>
      </c>
      <c r="AN50" s="3">
        <v>-4.8929663608562697</v>
      </c>
      <c r="AO50" s="3">
        <v>-1.7457782188053299</v>
      </c>
      <c r="AR50" s="3" t="s">
        <v>53</v>
      </c>
      <c r="AS50" s="3" t="s">
        <v>36</v>
      </c>
      <c r="AT50" s="3">
        <v>16.676701312214799</v>
      </c>
      <c r="AU50" s="3">
        <v>7.65864332603938</v>
      </c>
      <c r="AV50" s="3">
        <v>8.3765294708986904</v>
      </c>
      <c r="AY50" s="3" t="s">
        <v>53</v>
      </c>
      <c r="AZ50" s="3" t="s">
        <v>36</v>
      </c>
      <c r="BA50" s="3">
        <v>-3.4657843953406902</v>
      </c>
      <c r="BB50" s="3">
        <v>-4.8732943469785601</v>
      </c>
      <c r="BC50" s="3">
        <v>1.47961599424229</v>
      </c>
    </row>
    <row r="51" spans="2:55" s="3" customFormat="1" x14ac:dyDescent="0.2">
      <c r="B51" s="3" t="s">
        <v>53</v>
      </c>
      <c r="C51" s="3" t="s">
        <v>37</v>
      </c>
      <c r="D51" s="3">
        <v>0.90901600381445602</v>
      </c>
      <c r="E51" s="3">
        <v>1.1800992356175499</v>
      </c>
      <c r="F51" s="3">
        <v>-0.267921492320156</v>
      </c>
      <c r="I51" s="3" t="s">
        <v>53</v>
      </c>
      <c r="J51" s="3" t="s">
        <v>37</v>
      </c>
      <c r="K51" s="3">
        <v>2.7641336726430499</v>
      </c>
      <c r="L51" s="3">
        <v>10.437375745526801</v>
      </c>
      <c r="M51" s="3">
        <v>-6.9480481776067498</v>
      </c>
      <c r="P51" s="3" t="s">
        <v>53</v>
      </c>
      <c r="Q51" s="3" t="s">
        <v>37</v>
      </c>
      <c r="R51" s="3">
        <v>9.96334745546954</v>
      </c>
      <c r="S51" s="3">
        <v>11.237928007023701</v>
      </c>
      <c r="T51" s="3">
        <v>-1.1458147184058201</v>
      </c>
      <c r="W51" s="3" t="s">
        <v>53</v>
      </c>
      <c r="X51" s="3" t="s">
        <v>37</v>
      </c>
      <c r="Y51" s="3">
        <v>20.984658964998498</v>
      </c>
      <c r="Z51" s="3">
        <v>20.948275862069</v>
      </c>
      <c r="AA51" s="3">
        <v>3.0081539129200901E-2</v>
      </c>
      <c r="AD51" s="3" t="s">
        <v>53</v>
      </c>
      <c r="AE51" s="3" t="s">
        <v>37</v>
      </c>
      <c r="AF51" s="3">
        <v>-1.20059192167844</v>
      </c>
      <c r="AG51" s="3">
        <v>-1.8001241464928699</v>
      </c>
      <c r="AH51" s="3">
        <v>0.61052238569914197</v>
      </c>
      <c r="AK51" s="3" t="s">
        <v>53</v>
      </c>
      <c r="AL51" s="3" t="s">
        <v>37</v>
      </c>
      <c r="AM51" s="3">
        <v>10.3644537717528</v>
      </c>
      <c r="AN51" s="3">
        <v>6.1093247588424502</v>
      </c>
      <c r="AO51" s="3">
        <v>4.0101367364094198</v>
      </c>
      <c r="AR51" s="3" t="s">
        <v>53</v>
      </c>
      <c r="AS51" s="3" t="s">
        <v>37</v>
      </c>
      <c r="AT51" s="3">
        <v>-7.1502935187648298</v>
      </c>
      <c r="AU51" s="3">
        <v>-3.45528455284553</v>
      </c>
      <c r="AV51" s="3">
        <v>-3.8272513920679998</v>
      </c>
      <c r="AY51" s="3" t="s">
        <v>53</v>
      </c>
      <c r="AZ51" s="3" t="s">
        <v>37</v>
      </c>
      <c r="BA51" s="3">
        <v>2.0385577410693601</v>
      </c>
      <c r="BB51" s="3">
        <v>-1.33196721311475</v>
      </c>
      <c r="BC51" s="3">
        <v>3.4160252910526498</v>
      </c>
    </row>
    <row r="52" spans="2:55" s="3" customFormat="1" x14ac:dyDescent="0.2">
      <c r="B52" s="3" t="s">
        <v>53</v>
      </c>
      <c r="C52" s="3" t="s">
        <v>26</v>
      </c>
      <c r="D52" s="3">
        <v>30.5471852486539</v>
      </c>
      <c r="E52" s="3">
        <v>27.746852220013299</v>
      </c>
      <c r="F52" s="3">
        <v>2.1920955232758201</v>
      </c>
      <c r="I52" s="3" t="s">
        <v>53</v>
      </c>
      <c r="J52" s="3" t="s">
        <v>26</v>
      </c>
      <c r="K52" s="3">
        <v>0.86313475205992396</v>
      </c>
      <c r="L52" s="3">
        <v>-0.63006300630062995</v>
      </c>
      <c r="M52" s="3">
        <v>1.5026654977704501</v>
      </c>
      <c r="P52" s="3" t="s">
        <v>53</v>
      </c>
      <c r="Q52" s="3" t="s">
        <v>26</v>
      </c>
      <c r="R52" s="3">
        <v>5.4140727805253697</v>
      </c>
      <c r="S52" s="3">
        <v>5.0907655880031699</v>
      </c>
      <c r="T52" s="3">
        <v>0.30764567249390601</v>
      </c>
      <c r="W52" s="3" t="s">
        <v>53</v>
      </c>
      <c r="X52" s="3" t="s">
        <v>26</v>
      </c>
      <c r="Y52" s="3">
        <v>-0.34089210122259</v>
      </c>
      <c r="Z52" s="3">
        <v>2.7797576621525302</v>
      </c>
      <c r="AA52" s="3">
        <v>-3.03624938836011</v>
      </c>
      <c r="AD52" s="3" t="s">
        <v>53</v>
      </c>
      <c r="AE52" s="3" t="s">
        <v>26</v>
      </c>
      <c r="AF52" s="3">
        <v>18.3935300932011</v>
      </c>
      <c r="AG52" s="3">
        <v>16.877370417193401</v>
      </c>
      <c r="AH52" s="3">
        <v>1.29722261084053</v>
      </c>
      <c r="AK52" s="3" t="s">
        <v>53</v>
      </c>
      <c r="AL52" s="3" t="s">
        <v>26</v>
      </c>
      <c r="AM52" s="3">
        <v>24.519027513247799</v>
      </c>
      <c r="AN52" s="3">
        <v>23.636363636363601</v>
      </c>
      <c r="AO52" s="3">
        <v>0.71391931218571802</v>
      </c>
      <c r="AR52" s="3" t="s">
        <v>53</v>
      </c>
      <c r="AS52" s="3" t="s">
        <v>26</v>
      </c>
      <c r="AT52" s="3">
        <v>5.69572514113257</v>
      </c>
      <c r="AU52" s="3">
        <v>0</v>
      </c>
      <c r="AV52" s="3">
        <v>5.69572514113257</v>
      </c>
      <c r="AY52" s="3" t="s">
        <v>53</v>
      </c>
      <c r="AZ52" s="3" t="s">
        <v>26</v>
      </c>
      <c r="BA52" s="3">
        <v>33.485378951619097</v>
      </c>
      <c r="BB52" s="3">
        <v>38.317757009345797</v>
      </c>
      <c r="BC52" s="3">
        <v>-3.4936787309240498</v>
      </c>
    </row>
    <row r="53" spans="2:55" s="3" customFormat="1" x14ac:dyDescent="0.2">
      <c r="B53" s="3" t="s">
        <v>54</v>
      </c>
      <c r="D53" s="3">
        <v>19.2326333426514</v>
      </c>
      <c r="E53" s="3">
        <v>23.404391524230199</v>
      </c>
      <c r="F53" s="3">
        <v>-3.3805589331557</v>
      </c>
      <c r="I53" s="3" t="s">
        <v>54</v>
      </c>
      <c r="K53" s="3">
        <v>-24.924936055607599</v>
      </c>
      <c r="L53" s="3">
        <v>-44.270570418980299</v>
      </c>
      <c r="M53" s="3">
        <v>34.7134978929722</v>
      </c>
      <c r="P53" s="3" t="s">
        <v>54</v>
      </c>
      <c r="R53" s="3">
        <v>-20.612916153097</v>
      </c>
      <c r="S53" s="3">
        <v>-32.938806346008597</v>
      </c>
      <c r="T53" s="3">
        <v>18.380063821273701</v>
      </c>
      <c r="W53" s="3" t="s">
        <v>54</v>
      </c>
      <c r="Y53" s="3">
        <v>-30.802978537415498</v>
      </c>
      <c r="Z53" s="3">
        <v>-38.924184667513799</v>
      </c>
      <c r="AA53" s="3">
        <v>13.2969262643288</v>
      </c>
      <c r="AD53" s="3" t="s">
        <v>54</v>
      </c>
      <c r="AF53" s="3">
        <v>-1.9560027402264499</v>
      </c>
      <c r="AG53" s="3">
        <v>-15.4936014625229</v>
      </c>
      <c r="AH53" s="3">
        <v>16.019613847693101</v>
      </c>
      <c r="AK53" s="3" t="s">
        <v>54</v>
      </c>
      <c r="AM53" s="3">
        <v>1.64950698590633</v>
      </c>
      <c r="AN53" s="3">
        <v>-11.8790496760259</v>
      </c>
      <c r="AO53" s="3">
        <v>15.3522591531241</v>
      </c>
      <c r="AR53" s="3" t="s">
        <v>54</v>
      </c>
      <c r="AT53" s="3">
        <v>-32.159415165395203</v>
      </c>
      <c r="AU53" s="3">
        <v>-48.425624321389797</v>
      </c>
      <c r="AV53" s="3">
        <v>31.539323437202199</v>
      </c>
      <c r="AY53" s="3" t="s">
        <v>54</v>
      </c>
      <c r="BA53" s="3">
        <v>21.346219427354001</v>
      </c>
      <c r="BB53" s="3">
        <v>25.6011315417256</v>
      </c>
      <c r="BC53" s="3">
        <v>-3.3876383613296501</v>
      </c>
    </row>
  </sheetData>
  <mergeCells count="17">
    <mergeCell ref="AK38:AO38"/>
    <mergeCell ref="AR38:AV38"/>
    <mergeCell ref="AY38:BC38"/>
    <mergeCell ref="B38:F38"/>
    <mergeCell ref="I38:M38"/>
    <mergeCell ref="P38:T38"/>
    <mergeCell ref="W38:AA38"/>
    <mergeCell ref="AD38:AH38"/>
    <mergeCell ref="B5:BC5"/>
    <mergeCell ref="B7:F7"/>
    <mergeCell ref="I7:M7"/>
    <mergeCell ref="P7:T7"/>
    <mergeCell ref="W7:AA7"/>
    <mergeCell ref="AD7:AH7"/>
    <mergeCell ref="AK7:AO7"/>
    <mergeCell ref="AR7:AV7"/>
    <mergeCell ref="AY7:B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baseColWidth="10" defaultColWidth="8.83203125" defaultRowHeight="15" x14ac:dyDescent="0.2"/>
  <cols>
    <col min="1" max="3" width="20.6640625" customWidth="1"/>
    <col min="4" max="8" width="40.6640625" style="2" customWidth="1"/>
  </cols>
  <sheetData>
    <row r="1" spans="1:8" ht="26" x14ac:dyDescent="0.3">
      <c r="A1" s="4" t="s">
        <v>88</v>
      </c>
    </row>
    <row r="5" spans="1:8" ht="24" x14ac:dyDescent="0.2">
      <c r="B5" s="8" t="s">
        <v>88</v>
      </c>
      <c r="C5" s="8"/>
      <c r="D5" s="8"/>
      <c r="E5" s="8"/>
      <c r="F5" s="8"/>
      <c r="G5" s="8"/>
      <c r="H5" s="8"/>
    </row>
    <row r="7" spans="1:8" ht="24" x14ac:dyDescent="0.2">
      <c r="B7" s="8" t="s">
        <v>89</v>
      </c>
      <c r="C7" s="8"/>
      <c r="D7" s="8"/>
      <c r="E7" s="8"/>
      <c r="F7" s="8"/>
      <c r="G7" s="8"/>
      <c r="H7" s="8"/>
    </row>
    <row r="8" spans="1:8" x14ac:dyDescent="0.2">
      <c r="B8" s="5" t="s">
        <v>18</v>
      </c>
      <c r="C8" s="5" t="s">
        <v>19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</row>
    <row r="9" spans="1:8" x14ac:dyDescent="0.2">
      <c r="B9">
        <v>2015</v>
      </c>
      <c r="C9" t="s">
        <v>26</v>
      </c>
      <c r="D9" s="2">
        <v>27571</v>
      </c>
      <c r="E9" s="2">
        <v>1166</v>
      </c>
      <c r="F9" s="2">
        <v>107</v>
      </c>
      <c r="G9" s="2">
        <v>3074</v>
      </c>
      <c r="H9" s="2">
        <v>17724</v>
      </c>
    </row>
    <row r="10" spans="1:8" x14ac:dyDescent="0.2">
      <c r="B10">
        <v>2015</v>
      </c>
      <c r="C10" t="s">
        <v>27</v>
      </c>
      <c r="D10" s="2">
        <v>25373</v>
      </c>
      <c r="E10" s="2">
        <v>1332</v>
      </c>
      <c r="F10" s="2">
        <v>89</v>
      </c>
      <c r="G10" s="2">
        <v>3209</v>
      </c>
      <c r="H10" s="2">
        <v>17521</v>
      </c>
    </row>
    <row r="11" spans="1:8" x14ac:dyDescent="0.2">
      <c r="B11">
        <v>2016</v>
      </c>
      <c r="C11" t="s">
        <v>28</v>
      </c>
      <c r="D11" s="2">
        <v>23564</v>
      </c>
      <c r="E11" s="2">
        <v>969</v>
      </c>
      <c r="F11" s="2">
        <v>72</v>
      </c>
      <c r="G11" s="2">
        <v>2728</v>
      </c>
      <c r="H11" s="2">
        <v>14880</v>
      </c>
    </row>
    <row r="12" spans="1:8" x14ac:dyDescent="0.2">
      <c r="B12">
        <v>2016</v>
      </c>
      <c r="C12" t="s">
        <v>29</v>
      </c>
      <c r="D12" s="2">
        <v>24014</v>
      </c>
      <c r="E12" s="2">
        <v>1142</v>
      </c>
      <c r="F12" s="2">
        <v>71</v>
      </c>
      <c r="G12" s="2">
        <v>2756</v>
      </c>
      <c r="H12" s="2">
        <v>14437</v>
      </c>
    </row>
    <row r="13" spans="1:8" x14ac:dyDescent="0.2">
      <c r="B13">
        <v>2016</v>
      </c>
      <c r="C13" t="s">
        <v>30</v>
      </c>
      <c r="D13" s="2">
        <v>27640</v>
      </c>
      <c r="E13" s="2">
        <v>990</v>
      </c>
      <c r="F13" s="2">
        <v>86</v>
      </c>
      <c r="G13" s="2">
        <v>3108</v>
      </c>
      <c r="H13" s="2">
        <v>17268</v>
      </c>
    </row>
    <row r="14" spans="1:8" x14ac:dyDescent="0.2">
      <c r="B14">
        <v>2016</v>
      </c>
      <c r="C14" t="s">
        <v>31</v>
      </c>
      <c r="D14" s="2">
        <v>24056</v>
      </c>
      <c r="E14" s="2">
        <v>961</v>
      </c>
      <c r="F14" s="2">
        <v>69</v>
      </c>
      <c r="G14" s="2">
        <v>2701</v>
      </c>
      <c r="H14" s="2">
        <v>14480</v>
      </c>
    </row>
    <row r="15" spans="1:8" x14ac:dyDescent="0.2">
      <c r="B15">
        <v>2016</v>
      </c>
      <c r="C15" t="s">
        <v>32</v>
      </c>
      <c r="D15" s="2">
        <v>21488</v>
      </c>
      <c r="E15" s="2">
        <v>1120</v>
      </c>
      <c r="F15" s="2">
        <v>71</v>
      </c>
      <c r="G15" s="2">
        <v>2600</v>
      </c>
      <c r="H15" s="2">
        <v>13105</v>
      </c>
    </row>
    <row r="16" spans="1:8" x14ac:dyDescent="0.2">
      <c r="B16">
        <v>2016</v>
      </c>
      <c r="C16" t="s">
        <v>33</v>
      </c>
      <c r="D16" s="2">
        <v>21417</v>
      </c>
      <c r="E16" s="2">
        <v>1041</v>
      </c>
      <c r="F16" s="2">
        <v>81</v>
      </c>
      <c r="G16" s="2">
        <v>2573</v>
      </c>
      <c r="H16" s="2">
        <v>12801</v>
      </c>
    </row>
    <row r="17" spans="2:8" x14ac:dyDescent="0.2">
      <c r="B17">
        <v>2016</v>
      </c>
      <c r="C17" t="s">
        <v>34</v>
      </c>
      <c r="D17" s="2">
        <v>22408</v>
      </c>
      <c r="E17" s="2">
        <v>1051</v>
      </c>
      <c r="F17" s="2">
        <v>59</v>
      </c>
      <c r="G17" s="2">
        <v>2668</v>
      </c>
      <c r="H17" s="2">
        <v>14152</v>
      </c>
    </row>
    <row r="18" spans="2:8" x14ac:dyDescent="0.2">
      <c r="B18">
        <v>2016</v>
      </c>
      <c r="C18" t="s">
        <v>35</v>
      </c>
      <c r="D18" s="2">
        <v>22787</v>
      </c>
      <c r="E18" s="2">
        <v>1357</v>
      </c>
      <c r="F18" s="2">
        <v>60</v>
      </c>
      <c r="G18" s="2">
        <v>2691</v>
      </c>
      <c r="H18" s="2">
        <v>14303</v>
      </c>
    </row>
    <row r="19" spans="2:8" x14ac:dyDescent="0.2">
      <c r="B19">
        <v>2016</v>
      </c>
      <c r="C19" t="s">
        <v>36</v>
      </c>
      <c r="D19" s="2">
        <v>21769</v>
      </c>
      <c r="E19" s="2">
        <v>1223</v>
      </c>
      <c r="F19" s="2">
        <v>60</v>
      </c>
      <c r="G19" s="2">
        <v>2528</v>
      </c>
      <c r="H19" s="2">
        <v>13498</v>
      </c>
    </row>
    <row r="20" spans="2:8" x14ac:dyDescent="0.2">
      <c r="B20">
        <v>2016</v>
      </c>
      <c r="C20" t="s">
        <v>37</v>
      </c>
      <c r="D20" s="2">
        <v>22518</v>
      </c>
      <c r="E20" s="2">
        <v>1403</v>
      </c>
      <c r="F20" s="2">
        <v>68</v>
      </c>
      <c r="G20" s="2">
        <v>2535</v>
      </c>
      <c r="H20" s="2">
        <v>13816</v>
      </c>
    </row>
    <row r="21" spans="2:8" x14ac:dyDescent="0.2">
      <c r="B21">
        <v>2016</v>
      </c>
      <c r="C21" t="s">
        <v>26</v>
      </c>
      <c r="D21" s="2">
        <v>27233</v>
      </c>
      <c r="E21" s="2">
        <v>1587</v>
      </c>
      <c r="F21" s="2">
        <v>84</v>
      </c>
      <c r="G21" s="2">
        <v>3253</v>
      </c>
      <c r="H21" s="2">
        <v>18130</v>
      </c>
    </row>
  </sheetData>
  <mergeCells count="2">
    <mergeCell ref="B5:H5"/>
    <mergeCell ref="B7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baseColWidth="10" defaultColWidth="8.83203125" defaultRowHeight="15" x14ac:dyDescent="0.2"/>
  <cols>
    <col min="2" max="3" width="20.6640625" customWidth="1"/>
    <col min="4" max="5" width="20.6640625" style="2" customWidth="1"/>
    <col min="6" max="6" width="25.6640625" style="2" customWidth="1"/>
    <col min="7" max="7" width="30.6640625" style="3" customWidth="1"/>
    <col min="10" max="11" width="20.6640625" customWidth="1"/>
    <col min="12" max="13" width="20.6640625" style="1" customWidth="1"/>
    <col min="14" max="14" width="25.6640625" style="1" customWidth="1"/>
    <col min="15" max="15" width="30.6640625" style="3" customWidth="1"/>
  </cols>
  <sheetData>
    <row r="1" spans="1:15" ht="26" x14ac:dyDescent="0.3">
      <c r="A1" s="4" t="s">
        <v>90</v>
      </c>
    </row>
    <row r="5" spans="1:15" ht="24" x14ac:dyDescent="0.2">
      <c r="B5" s="8" t="s">
        <v>90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7" spans="1:15" ht="24" x14ac:dyDescent="0.2">
      <c r="B7" s="8" t="s">
        <v>91</v>
      </c>
      <c r="C7" s="8"/>
      <c r="D7" s="8"/>
      <c r="E7" s="8"/>
      <c r="F7" s="8"/>
      <c r="G7" s="8"/>
      <c r="J7" s="8" t="s">
        <v>92</v>
      </c>
      <c r="K7" s="8"/>
      <c r="L7" s="8"/>
      <c r="M7" s="8"/>
      <c r="N7" s="8"/>
      <c r="O7" s="8"/>
    </row>
    <row r="8" spans="1:15" x14ac:dyDescent="0.2">
      <c r="B8" s="5" t="s">
        <v>18</v>
      </c>
      <c r="C8" s="5" t="s">
        <v>19</v>
      </c>
      <c r="D8" s="5" t="s">
        <v>60</v>
      </c>
      <c r="E8" s="5" t="s">
        <v>61</v>
      </c>
      <c r="F8" s="5" t="s">
        <v>62</v>
      </c>
      <c r="G8" s="5" t="s">
        <v>63</v>
      </c>
      <c r="J8" s="5" t="s">
        <v>18</v>
      </c>
      <c r="K8" s="5" t="s">
        <v>19</v>
      </c>
      <c r="L8" s="5" t="s">
        <v>1</v>
      </c>
      <c r="M8" s="5" t="s">
        <v>2</v>
      </c>
      <c r="N8" s="5" t="s">
        <v>64</v>
      </c>
      <c r="O8" s="5" t="s">
        <v>65</v>
      </c>
    </row>
    <row r="9" spans="1:15" x14ac:dyDescent="0.2">
      <c r="B9">
        <v>2015</v>
      </c>
      <c r="C9" t="s">
        <v>26</v>
      </c>
      <c r="D9" s="2">
        <v>1859</v>
      </c>
      <c r="E9" s="2">
        <v>206</v>
      </c>
      <c r="F9" s="2">
        <v>2065</v>
      </c>
      <c r="G9" s="3">
        <v>6.3105460990740498</v>
      </c>
      <c r="J9">
        <v>2015</v>
      </c>
      <c r="K9" t="s">
        <v>26</v>
      </c>
      <c r="L9" s="1">
        <v>18512.9901625067</v>
      </c>
      <c r="M9" s="1">
        <v>371.25000071525602</v>
      </c>
      <c r="N9" s="1">
        <v>18884.240163221999</v>
      </c>
      <c r="O9" s="3">
        <v>4.6717234873642299</v>
      </c>
    </row>
    <row r="10" spans="1:15" x14ac:dyDescent="0.2">
      <c r="B10">
        <v>2015</v>
      </c>
      <c r="C10" t="s">
        <v>27</v>
      </c>
      <c r="D10" s="2">
        <v>1500</v>
      </c>
      <c r="E10" s="2">
        <v>618</v>
      </c>
      <c r="F10" s="2">
        <v>2118</v>
      </c>
      <c r="G10" s="3">
        <v>6.4725116890260699</v>
      </c>
      <c r="J10">
        <v>2015</v>
      </c>
      <c r="K10" t="s">
        <v>27</v>
      </c>
      <c r="L10" s="1">
        <v>15780.0000843871</v>
      </c>
      <c r="M10" s="1">
        <v>283.00000095367398</v>
      </c>
      <c r="N10" s="1">
        <v>16063.0000853408</v>
      </c>
      <c r="O10" s="3">
        <v>3.97378417810891</v>
      </c>
    </row>
    <row r="11" spans="1:15" x14ac:dyDescent="0.2">
      <c r="B11">
        <v>2016</v>
      </c>
      <c r="C11" t="s">
        <v>28</v>
      </c>
      <c r="D11" s="2">
        <v>1504</v>
      </c>
      <c r="E11" s="2">
        <v>195</v>
      </c>
      <c r="F11" s="2">
        <v>1699</v>
      </c>
      <c r="G11" s="3">
        <v>5.1920667420468796</v>
      </c>
      <c r="J11">
        <v>2016</v>
      </c>
      <c r="K11" t="s">
        <v>28</v>
      </c>
      <c r="L11" s="1">
        <v>17554.699948437501</v>
      </c>
      <c r="M11" s="1">
        <v>351.99999809265103</v>
      </c>
      <c r="N11" s="1">
        <v>17906.6999465302</v>
      </c>
      <c r="O11" s="3">
        <v>4.4298923334131004</v>
      </c>
    </row>
    <row r="12" spans="1:15" x14ac:dyDescent="0.2">
      <c r="B12">
        <v>2016</v>
      </c>
      <c r="C12" t="s">
        <v>29</v>
      </c>
      <c r="D12" s="2">
        <v>1693</v>
      </c>
      <c r="E12" s="2">
        <v>198</v>
      </c>
      <c r="F12" s="2">
        <v>1891</v>
      </c>
      <c r="G12" s="3">
        <v>5.77881001130703</v>
      </c>
      <c r="J12">
        <v>2016</v>
      </c>
      <c r="K12" t="s">
        <v>29</v>
      </c>
      <c r="L12" s="1">
        <v>17916.459945928302</v>
      </c>
      <c r="M12" s="1">
        <v>483.21998882293701</v>
      </c>
      <c r="N12" s="1">
        <v>18399.679934751199</v>
      </c>
      <c r="O12" s="3">
        <v>4.5518493817172399</v>
      </c>
    </row>
    <row r="13" spans="1:15" x14ac:dyDescent="0.2">
      <c r="B13">
        <v>2016</v>
      </c>
      <c r="C13" t="s">
        <v>30</v>
      </c>
      <c r="D13" s="2">
        <v>1818</v>
      </c>
      <c r="E13" s="2">
        <v>227</v>
      </c>
      <c r="F13" s="2">
        <v>2045</v>
      </c>
      <c r="G13" s="3">
        <v>6.2494270085261103</v>
      </c>
      <c r="J13">
        <v>2016</v>
      </c>
      <c r="K13" t="s">
        <v>30</v>
      </c>
      <c r="L13" s="1">
        <v>18759.129925789301</v>
      </c>
      <c r="M13" s="1">
        <v>424.79999160766602</v>
      </c>
      <c r="N13" s="1">
        <v>19183.929917396999</v>
      </c>
      <c r="O13" s="3">
        <v>4.7458629630010902</v>
      </c>
    </row>
    <row r="14" spans="1:15" x14ac:dyDescent="0.2">
      <c r="B14">
        <v>2016</v>
      </c>
      <c r="C14" t="s">
        <v>31</v>
      </c>
      <c r="D14" s="2">
        <v>1710</v>
      </c>
      <c r="E14" s="2">
        <v>227</v>
      </c>
      <c r="F14" s="2">
        <v>1937</v>
      </c>
      <c r="G14" s="3">
        <v>5.9193839195672799</v>
      </c>
      <c r="J14">
        <v>2016</v>
      </c>
      <c r="K14" t="s">
        <v>31</v>
      </c>
      <c r="L14" s="1">
        <v>18683.7699340824</v>
      </c>
      <c r="M14" s="1">
        <v>395.39999437332199</v>
      </c>
      <c r="N14" s="1">
        <v>19079.1699284557</v>
      </c>
      <c r="O14" s="3">
        <v>4.7199466594250499</v>
      </c>
    </row>
    <row r="15" spans="1:15" x14ac:dyDescent="0.2">
      <c r="B15">
        <v>2016</v>
      </c>
      <c r="C15" t="s">
        <v>32</v>
      </c>
      <c r="D15" s="2">
        <v>1690</v>
      </c>
      <c r="E15" s="2">
        <v>191</v>
      </c>
      <c r="F15" s="2">
        <v>1881</v>
      </c>
      <c r="G15" s="3">
        <v>5.7482504660330704</v>
      </c>
      <c r="J15">
        <v>2016</v>
      </c>
      <c r="K15" t="s">
        <v>32</v>
      </c>
      <c r="L15" s="1">
        <v>19342.5199159607</v>
      </c>
      <c r="M15" s="1">
        <v>384.59999322891201</v>
      </c>
      <c r="N15" s="1">
        <v>19727.119909189601</v>
      </c>
      <c r="O15" s="3">
        <v>4.8802413346393196</v>
      </c>
    </row>
    <row r="16" spans="1:15" x14ac:dyDescent="0.2">
      <c r="B16">
        <v>2016</v>
      </c>
      <c r="C16" t="s">
        <v>33</v>
      </c>
      <c r="D16" s="2">
        <v>1678</v>
      </c>
      <c r="E16" s="2">
        <v>224</v>
      </c>
      <c r="F16" s="2">
        <v>1902</v>
      </c>
      <c r="G16" s="3">
        <v>5.8124255111083896</v>
      </c>
      <c r="J16">
        <v>2016</v>
      </c>
      <c r="K16" t="s">
        <v>33</v>
      </c>
      <c r="L16" s="1">
        <v>20478.449951769799</v>
      </c>
      <c r="M16" s="1">
        <v>421.299992084503</v>
      </c>
      <c r="N16" s="1">
        <v>20899.749943854302</v>
      </c>
      <c r="O16" s="3">
        <v>5.1703352556857496</v>
      </c>
    </row>
    <row r="17" spans="2:15" x14ac:dyDescent="0.2">
      <c r="B17">
        <v>2016</v>
      </c>
      <c r="C17" t="s">
        <v>34</v>
      </c>
      <c r="D17" s="2">
        <v>1488</v>
      </c>
      <c r="E17" s="2">
        <v>176</v>
      </c>
      <c r="F17" s="2">
        <v>1664</v>
      </c>
      <c r="G17" s="3">
        <v>5.0851083335879999</v>
      </c>
      <c r="J17">
        <v>2016</v>
      </c>
      <c r="K17" t="s">
        <v>34</v>
      </c>
      <c r="L17" s="1">
        <v>16354.510115433501</v>
      </c>
      <c r="M17" s="1">
        <v>418.96999216079701</v>
      </c>
      <c r="N17" s="1">
        <v>16773.4801075943</v>
      </c>
      <c r="O17" s="3">
        <v>4.14954799908217</v>
      </c>
    </row>
    <row r="18" spans="2:15" x14ac:dyDescent="0.2">
      <c r="B18">
        <v>2016</v>
      </c>
      <c r="C18" t="s">
        <v>35</v>
      </c>
      <c r="D18" s="2">
        <v>2093</v>
      </c>
      <c r="E18" s="2">
        <v>665</v>
      </c>
      <c r="F18" s="2">
        <v>2758</v>
      </c>
      <c r="G18" s="3">
        <v>8.4283225865599096</v>
      </c>
      <c r="J18">
        <v>2016</v>
      </c>
      <c r="K18" t="s">
        <v>35</v>
      </c>
      <c r="L18" s="1">
        <v>21252.700175702601</v>
      </c>
      <c r="M18" s="1">
        <v>712.85000038146995</v>
      </c>
      <c r="N18" s="1">
        <v>21965.550176084002</v>
      </c>
      <c r="O18" s="3">
        <v>5.4340008273322598</v>
      </c>
    </row>
    <row r="19" spans="2:15" x14ac:dyDescent="0.2">
      <c r="B19">
        <v>2016</v>
      </c>
      <c r="C19" t="s">
        <v>36</v>
      </c>
      <c r="D19" s="2">
        <v>1672</v>
      </c>
      <c r="E19" s="2">
        <v>1156</v>
      </c>
      <c r="F19" s="2">
        <v>2828</v>
      </c>
      <c r="G19" s="3">
        <v>8.6422394034776797</v>
      </c>
      <c r="J19">
        <v>2016</v>
      </c>
      <c r="K19" t="s">
        <v>36</v>
      </c>
      <c r="L19" s="1">
        <v>17493.6801047716</v>
      </c>
      <c r="M19" s="1">
        <v>310.24999523162802</v>
      </c>
      <c r="N19" s="1">
        <v>17803.930100003301</v>
      </c>
      <c r="O19" s="3">
        <v>4.4044683660380404</v>
      </c>
    </row>
    <row r="20" spans="2:15" x14ac:dyDescent="0.2">
      <c r="B20">
        <v>2016</v>
      </c>
      <c r="C20" t="s">
        <v>37</v>
      </c>
      <c r="D20" s="2">
        <v>1666</v>
      </c>
      <c r="E20" s="2">
        <v>290</v>
      </c>
      <c r="F20" s="2">
        <v>1956</v>
      </c>
      <c r="G20" s="3">
        <v>5.9774470555878096</v>
      </c>
      <c r="J20">
        <v>2016</v>
      </c>
      <c r="K20" t="s">
        <v>37</v>
      </c>
      <c r="L20" s="1">
        <v>19680.800082372501</v>
      </c>
      <c r="M20" s="1">
        <v>1010.15999650955</v>
      </c>
      <c r="N20" s="1">
        <v>20690.960078882101</v>
      </c>
      <c r="O20" s="3">
        <v>5.1186832692841904</v>
      </c>
    </row>
    <row r="21" spans="2:15" x14ac:dyDescent="0.2">
      <c r="B21">
        <v>2016</v>
      </c>
      <c r="C21" t="s">
        <v>26</v>
      </c>
      <c r="D21" s="2">
        <v>1995</v>
      </c>
      <c r="E21" s="2">
        <v>271</v>
      </c>
      <c r="F21" s="2">
        <v>2266</v>
      </c>
      <c r="G21" s="3">
        <v>6.9247929590807704</v>
      </c>
      <c r="J21">
        <v>2016</v>
      </c>
      <c r="K21" t="s">
        <v>26</v>
      </c>
      <c r="L21" s="1">
        <v>19897.7801421117</v>
      </c>
      <c r="M21" s="1">
        <v>712.51999330520596</v>
      </c>
      <c r="N21" s="1">
        <v>20610.300135416899</v>
      </c>
      <c r="O21" s="3">
        <v>5.0987290138246903</v>
      </c>
    </row>
  </sheetData>
  <mergeCells count="3">
    <mergeCell ref="B5:O5"/>
    <mergeCell ref="B7:G7"/>
    <mergeCell ref="J7:O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/>
  </sheetViews>
  <sheetFormatPr baseColWidth="10" defaultColWidth="8.83203125" defaultRowHeight="15" x14ac:dyDescent="0.2"/>
  <cols>
    <col min="2" max="2" width="20.6640625" customWidth="1"/>
    <col min="3" max="3" width="20.6640625" style="2" customWidth="1"/>
    <col min="4" max="4" width="20.6640625" style="3" customWidth="1"/>
    <col min="7" max="7" width="20.6640625" customWidth="1"/>
    <col min="8" max="8" width="20.6640625" style="1" customWidth="1"/>
    <col min="9" max="9" width="20.6640625" style="3" customWidth="1"/>
    <col min="14" max="21" width="20.6640625" style="2" customWidth="1"/>
    <col min="26" max="33" width="20.6640625" style="1" customWidth="1"/>
  </cols>
  <sheetData>
    <row r="1" spans="1:33" ht="26" x14ac:dyDescent="0.3">
      <c r="A1" s="4" t="s">
        <v>93</v>
      </c>
    </row>
    <row r="5" spans="1:33" ht="24" x14ac:dyDescent="0.2">
      <c r="B5" s="8" t="s">
        <v>94</v>
      </c>
      <c r="C5" s="8"/>
      <c r="D5" s="8"/>
      <c r="E5" s="8"/>
      <c r="F5" s="8"/>
      <c r="G5" s="8"/>
      <c r="H5" s="8"/>
      <c r="I5" s="8"/>
      <c r="L5" s="8" t="s">
        <v>96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7" spans="1:33" ht="24" x14ac:dyDescent="0.2">
      <c r="B7" s="8" t="s">
        <v>95</v>
      </c>
      <c r="C7" s="8"/>
      <c r="D7" s="8"/>
      <c r="G7" s="8" t="s">
        <v>68</v>
      </c>
      <c r="H7" s="8"/>
      <c r="I7" s="8"/>
      <c r="L7" s="8" t="s">
        <v>95</v>
      </c>
      <c r="M7" s="8"/>
      <c r="N7" s="8"/>
      <c r="O7" s="8"/>
      <c r="P7" s="8"/>
      <c r="Q7" s="8"/>
      <c r="R7" s="8"/>
      <c r="S7" s="8"/>
      <c r="T7" s="8"/>
      <c r="U7" s="8"/>
      <c r="X7" s="8" t="s">
        <v>68</v>
      </c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2">
      <c r="B8" s="5" t="s">
        <v>6</v>
      </c>
      <c r="C8" s="5" t="s">
        <v>66</v>
      </c>
      <c r="D8" s="5" t="s">
        <v>67</v>
      </c>
      <c r="G8" s="5" t="s">
        <v>6</v>
      </c>
      <c r="H8" s="5" t="s">
        <v>68</v>
      </c>
      <c r="I8" s="5" t="s">
        <v>69</v>
      </c>
      <c r="L8" s="7" t="s">
        <v>18</v>
      </c>
      <c r="M8" s="7" t="s">
        <v>19</v>
      </c>
      <c r="N8" s="7" t="s">
        <v>42</v>
      </c>
      <c r="O8" s="7" t="s">
        <v>44</v>
      </c>
      <c r="P8" s="7" t="s">
        <v>41</v>
      </c>
      <c r="Q8" s="7" t="s">
        <v>45</v>
      </c>
      <c r="R8" s="7" t="s">
        <v>22</v>
      </c>
      <c r="S8" s="7" t="s">
        <v>43</v>
      </c>
      <c r="T8" s="7" t="s">
        <v>47</v>
      </c>
      <c r="U8" s="7" t="s">
        <v>46</v>
      </c>
      <c r="X8" s="7" t="s">
        <v>18</v>
      </c>
      <c r="Y8" s="7" t="s">
        <v>19</v>
      </c>
      <c r="Z8" s="7" t="s">
        <v>42</v>
      </c>
      <c r="AA8" s="7" t="s">
        <v>44</v>
      </c>
      <c r="AB8" s="7" t="s">
        <v>41</v>
      </c>
      <c r="AC8" s="7" t="s">
        <v>45</v>
      </c>
      <c r="AD8" s="7" t="s">
        <v>22</v>
      </c>
      <c r="AE8" s="7" t="s">
        <v>43</v>
      </c>
      <c r="AF8" s="7" t="s">
        <v>47</v>
      </c>
      <c r="AG8" s="7" t="s">
        <v>46</v>
      </c>
    </row>
    <row r="9" spans="1:33" x14ac:dyDescent="0.2">
      <c r="B9" t="s">
        <v>41</v>
      </c>
      <c r="C9" s="2">
        <v>322</v>
      </c>
      <c r="G9" t="s">
        <v>43</v>
      </c>
      <c r="H9" s="1">
        <v>1649.6499555632399</v>
      </c>
      <c r="L9">
        <v>2015</v>
      </c>
      <c r="M9" t="s">
        <v>26</v>
      </c>
      <c r="N9" s="2">
        <v>179</v>
      </c>
      <c r="O9" s="2">
        <v>107</v>
      </c>
      <c r="P9" s="2">
        <v>220</v>
      </c>
      <c r="Q9" s="2">
        <v>100</v>
      </c>
      <c r="R9" s="2">
        <v>8</v>
      </c>
      <c r="S9" s="2">
        <v>269</v>
      </c>
      <c r="T9" s="2">
        <v>52</v>
      </c>
      <c r="U9" s="2">
        <v>118</v>
      </c>
      <c r="X9">
        <v>2015</v>
      </c>
      <c r="Y9" t="s">
        <v>26</v>
      </c>
      <c r="Z9" s="1">
        <v>340.67997085943801</v>
      </c>
      <c r="AA9" s="1">
        <v>229.58998025469501</v>
      </c>
      <c r="AB9" s="1">
        <v>542.09002114370503</v>
      </c>
      <c r="AC9" s="1">
        <v>327.65997625529798</v>
      </c>
      <c r="AD9" s="1">
        <v>89.3400040435791</v>
      </c>
      <c r="AE9" s="1">
        <v>1707.2600106474799</v>
      </c>
      <c r="AF9" s="1">
        <v>372.15999001979799</v>
      </c>
      <c r="AG9" s="1">
        <v>1054.1299875164</v>
      </c>
    </row>
    <row r="10" spans="1:33" x14ac:dyDescent="0.2">
      <c r="B10" t="s">
        <v>43</v>
      </c>
      <c r="C10" s="2">
        <v>242</v>
      </c>
      <c r="G10" t="s">
        <v>41</v>
      </c>
      <c r="H10" s="1">
        <v>724.92003223463905</v>
      </c>
      <c r="L10">
        <v>2015</v>
      </c>
      <c r="M10" t="s">
        <v>27</v>
      </c>
      <c r="N10" s="2">
        <v>216</v>
      </c>
      <c r="O10" s="2">
        <v>123</v>
      </c>
      <c r="P10" s="2">
        <v>556</v>
      </c>
      <c r="Q10" s="2">
        <v>92</v>
      </c>
      <c r="R10" s="2">
        <v>9</v>
      </c>
      <c r="S10" s="2">
        <v>228</v>
      </c>
      <c r="T10" s="2">
        <v>43</v>
      </c>
      <c r="U10" s="2">
        <v>95</v>
      </c>
      <c r="X10">
        <v>2015</v>
      </c>
      <c r="Y10" t="s">
        <v>27</v>
      </c>
      <c r="Z10" s="1">
        <v>737.63998292587996</v>
      </c>
      <c r="AA10" s="1">
        <v>247.53998891294</v>
      </c>
      <c r="AB10" s="1">
        <v>690.21999051220098</v>
      </c>
      <c r="AC10" s="1">
        <v>412.33998385436797</v>
      </c>
      <c r="AD10" s="1">
        <v>204.760004644394</v>
      </c>
      <c r="AE10" s="1">
        <v>1256.9700101313799</v>
      </c>
      <c r="AF10" s="1">
        <v>312.529989812076</v>
      </c>
      <c r="AG10" s="1">
        <v>693.69999899417098</v>
      </c>
    </row>
    <row r="11" spans="1:33" x14ac:dyDescent="0.2">
      <c r="B11" t="s">
        <v>42</v>
      </c>
      <c r="C11" s="2">
        <v>138</v>
      </c>
      <c r="G11" t="s">
        <v>46</v>
      </c>
      <c r="H11" s="1">
        <v>570.51999477267304</v>
      </c>
      <c r="L11">
        <v>2016</v>
      </c>
      <c r="M11" t="s">
        <v>28</v>
      </c>
      <c r="N11" s="2">
        <v>65</v>
      </c>
      <c r="O11" s="2">
        <v>38</v>
      </c>
      <c r="P11" s="2">
        <v>135</v>
      </c>
      <c r="Q11" s="2">
        <v>32</v>
      </c>
      <c r="R11" s="2">
        <v>20</v>
      </c>
      <c r="S11" s="2">
        <v>106</v>
      </c>
      <c r="T11" s="2">
        <v>41</v>
      </c>
      <c r="U11" s="2">
        <v>51</v>
      </c>
      <c r="X11">
        <v>2016</v>
      </c>
      <c r="Y11" t="s">
        <v>28</v>
      </c>
      <c r="Z11" s="1">
        <v>175.21999822355801</v>
      </c>
      <c r="AA11" s="1">
        <v>176.690000082925</v>
      </c>
      <c r="AB11" s="1">
        <v>508.52999021478001</v>
      </c>
      <c r="AC11" s="1">
        <v>150.89999038375899</v>
      </c>
      <c r="AD11" s="1">
        <v>331.62998775482203</v>
      </c>
      <c r="AE11" s="1">
        <v>908.60000137090697</v>
      </c>
      <c r="AF11" s="1">
        <v>255.930002705753</v>
      </c>
      <c r="AG11" s="1">
        <v>385.76001043617703</v>
      </c>
    </row>
    <row r="12" spans="1:33" x14ac:dyDescent="0.2">
      <c r="B12" t="s">
        <v>46</v>
      </c>
      <c r="C12" s="2">
        <v>76</v>
      </c>
      <c r="G12" t="s">
        <v>42</v>
      </c>
      <c r="H12" s="1">
        <v>474.15001416936502</v>
      </c>
      <c r="L12">
        <v>2016</v>
      </c>
      <c r="M12" t="s">
        <v>29</v>
      </c>
      <c r="N12" s="2">
        <v>81</v>
      </c>
      <c r="O12" s="2">
        <v>39</v>
      </c>
      <c r="P12" s="2">
        <v>149</v>
      </c>
      <c r="Q12" s="2">
        <v>55</v>
      </c>
      <c r="R12" s="2">
        <v>6</v>
      </c>
      <c r="S12" s="2">
        <v>103</v>
      </c>
      <c r="T12" s="2">
        <v>33</v>
      </c>
      <c r="U12" s="2">
        <v>48</v>
      </c>
      <c r="X12">
        <v>2016</v>
      </c>
      <c r="Y12" t="s">
        <v>29</v>
      </c>
      <c r="Z12" s="1">
        <v>322.03000052548998</v>
      </c>
      <c r="AA12" s="1">
        <v>145.29000028573</v>
      </c>
      <c r="AB12" s="1">
        <v>574.15998965688004</v>
      </c>
      <c r="AC12" s="1">
        <v>229.069998770133</v>
      </c>
      <c r="AD12" s="1">
        <v>15.049999237060501</v>
      </c>
      <c r="AE12" s="1">
        <v>799.39998421736004</v>
      </c>
      <c r="AF12" s="1">
        <v>212.93999332666399</v>
      </c>
      <c r="AG12" s="1">
        <v>435.09000097990003</v>
      </c>
    </row>
    <row r="13" spans="1:33" x14ac:dyDescent="0.2">
      <c r="B13" t="s">
        <v>45</v>
      </c>
      <c r="C13" s="2">
        <v>73</v>
      </c>
      <c r="G13" t="s">
        <v>47</v>
      </c>
      <c r="H13" s="1">
        <v>437.79998499810699</v>
      </c>
      <c r="L13">
        <v>2016</v>
      </c>
      <c r="M13" t="s">
        <v>30</v>
      </c>
      <c r="N13" s="2">
        <v>83</v>
      </c>
      <c r="O13" s="2">
        <v>38</v>
      </c>
      <c r="P13" s="2">
        <v>129</v>
      </c>
      <c r="Q13" s="2">
        <v>55</v>
      </c>
      <c r="R13" s="2">
        <v>7</v>
      </c>
      <c r="S13" s="2">
        <v>103</v>
      </c>
      <c r="T13" s="2">
        <v>23</v>
      </c>
      <c r="U13" s="2">
        <v>58</v>
      </c>
      <c r="X13">
        <v>2016</v>
      </c>
      <c r="Y13" t="s">
        <v>30</v>
      </c>
      <c r="Z13" s="1">
        <v>325.81000418499099</v>
      </c>
      <c r="AA13" s="1">
        <v>138.08000108696501</v>
      </c>
      <c r="AB13" s="1">
        <v>600.99999468743795</v>
      </c>
      <c r="AC13" s="1">
        <v>218.58999733850399</v>
      </c>
      <c r="AD13" s="1">
        <v>35.580000495910603</v>
      </c>
      <c r="AE13" s="1">
        <v>825.24998539924604</v>
      </c>
      <c r="AF13" s="1">
        <v>146.82999469280199</v>
      </c>
      <c r="AG13" s="1">
        <v>422.20999066591298</v>
      </c>
    </row>
    <row r="14" spans="1:33" x14ac:dyDescent="0.2">
      <c r="B14" t="s">
        <v>47</v>
      </c>
      <c r="C14" s="2">
        <v>58</v>
      </c>
      <c r="G14" t="s">
        <v>45</v>
      </c>
      <c r="H14" s="1">
        <v>322.970009415373</v>
      </c>
      <c r="L14">
        <v>2016</v>
      </c>
      <c r="M14" t="s">
        <v>31</v>
      </c>
      <c r="N14" s="2">
        <v>70</v>
      </c>
      <c r="O14" s="2">
        <v>35</v>
      </c>
      <c r="P14" s="2">
        <v>104</v>
      </c>
      <c r="Q14" s="2">
        <v>45</v>
      </c>
      <c r="R14" s="2">
        <v>9</v>
      </c>
      <c r="S14" s="2">
        <v>169</v>
      </c>
      <c r="T14" s="2">
        <v>32</v>
      </c>
      <c r="U14" s="2">
        <v>53</v>
      </c>
      <c r="X14">
        <v>2016</v>
      </c>
      <c r="Y14" t="s">
        <v>31</v>
      </c>
      <c r="Z14" s="1">
        <v>319.06000007830602</v>
      </c>
      <c r="AA14" s="1">
        <v>157.95999892555199</v>
      </c>
      <c r="AB14" s="1">
        <v>427.58999404929602</v>
      </c>
      <c r="AC14" s="1">
        <v>144.01000041745601</v>
      </c>
      <c r="AD14" s="1">
        <v>31.5599990463257</v>
      </c>
      <c r="AE14" s="1">
        <v>793.21000957623005</v>
      </c>
      <c r="AF14" s="1">
        <v>215.659978628159</v>
      </c>
      <c r="AG14" s="1">
        <v>342.08000960469201</v>
      </c>
    </row>
    <row r="15" spans="1:33" x14ac:dyDescent="0.2">
      <c r="B15" t="s">
        <v>44</v>
      </c>
      <c r="C15" s="2">
        <v>54</v>
      </c>
      <c r="G15" t="s">
        <v>22</v>
      </c>
      <c r="H15" s="1">
        <v>319.489999732971</v>
      </c>
      <c r="L15">
        <v>2016</v>
      </c>
      <c r="M15" t="s">
        <v>32</v>
      </c>
      <c r="N15" s="2">
        <v>122</v>
      </c>
      <c r="O15" s="2">
        <v>61</v>
      </c>
      <c r="P15" s="2">
        <v>119</v>
      </c>
      <c r="Q15" s="2">
        <v>95</v>
      </c>
      <c r="R15" s="2">
        <v>18</v>
      </c>
      <c r="S15" s="2">
        <v>160</v>
      </c>
      <c r="T15" s="2">
        <v>36</v>
      </c>
      <c r="U15" s="2">
        <v>80</v>
      </c>
      <c r="X15">
        <v>2016</v>
      </c>
      <c r="Y15" t="s">
        <v>32</v>
      </c>
      <c r="Z15" s="1">
        <v>305.04999539397602</v>
      </c>
      <c r="AA15" s="1">
        <v>211.37999836146801</v>
      </c>
      <c r="AB15" s="1">
        <v>432.53999296903601</v>
      </c>
      <c r="AC15" s="1">
        <v>286.80000471487699</v>
      </c>
      <c r="AD15" s="1">
        <v>109.36999950408899</v>
      </c>
      <c r="AE15" s="1">
        <v>1080.7899851167199</v>
      </c>
      <c r="AF15" s="1">
        <v>178.699988050461</v>
      </c>
      <c r="AG15" s="1">
        <v>680.06000025033904</v>
      </c>
    </row>
    <row r="16" spans="1:33" x14ac:dyDescent="0.2">
      <c r="B16" t="s">
        <v>22</v>
      </c>
      <c r="C16" s="2">
        <v>20</v>
      </c>
      <c r="G16" t="s">
        <v>44</v>
      </c>
      <c r="H16" s="1">
        <v>202.14000988110899</v>
      </c>
      <c r="L16">
        <v>2016</v>
      </c>
      <c r="M16" t="s">
        <v>33</v>
      </c>
      <c r="N16" s="2">
        <v>130</v>
      </c>
      <c r="O16" s="2">
        <v>68</v>
      </c>
      <c r="P16" s="2">
        <v>140</v>
      </c>
      <c r="Q16" s="2">
        <v>63</v>
      </c>
      <c r="R16" s="2">
        <v>14</v>
      </c>
      <c r="S16" s="2">
        <v>198</v>
      </c>
      <c r="T16" s="2">
        <v>42</v>
      </c>
      <c r="U16" s="2">
        <v>60</v>
      </c>
      <c r="X16">
        <v>2016</v>
      </c>
      <c r="Y16" t="s">
        <v>33</v>
      </c>
      <c r="Z16" s="1">
        <v>413.94000564373999</v>
      </c>
      <c r="AA16" s="1">
        <v>121.099997714832</v>
      </c>
      <c r="AB16" s="1">
        <v>463.97999714746999</v>
      </c>
      <c r="AC16" s="1">
        <v>149.01999415971301</v>
      </c>
      <c r="AD16" s="1">
        <v>192.14000904083201</v>
      </c>
      <c r="AE16" s="1">
        <v>919.91998857229896</v>
      </c>
      <c r="AF16" s="1">
        <v>215.40998726040101</v>
      </c>
      <c r="AG16" s="1">
        <v>558.60999774396396</v>
      </c>
    </row>
    <row r="17" spans="2:33" x14ac:dyDescent="0.2">
      <c r="B17" t="s">
        <v>17</v>
      </c>
      <c r="C17" s="2">
        <v>983</v>
      </c>
      <c r="D17" s="3">
        <v>3.0040033004308899</v>
      </c>
      <c r="G17" t="s">
        <v>17</v>
      </c>
      <c r="H17" s="1">
        <v>4701.6400007674802</v>
      </c>
      <c r="I17" s="3">
        <v>1.16312659820405</v>
      </c>
      <c r="L17">
        <v>2016</v>
      </c>
      <c r="M17" t="s">
        <v>34</v>
      </c>
      <c r="N17" s="2">
        <v>158</v>
      </c>
      <c r="O17" s="2">
        <v>66</v>
      </c>
      <c r="P17" s="2">
        <v>223</v>
      </c>
      <c r="Q17" s="2">
        <v>67</v>
      </c>
      <c r="R17" s="2">
        <v>15</v>
      </c>
      <c r="S17" s="2">
        <v>241</v>
      </c>
      <c r="T17" s="2">
        <v>39</v>
      </c>
      <c r="U17" s="2">
        <v>69</v>
      </c>
      <c r="X17">
        <v>2016</v>
      </c>
      <c r="Y17" t="s">
        <v>34</v>
      </c>
      <c r="Z17" s="1">
        <v>311.21999549686899</v>
      </c>
      <c r="AA17" s="1">
        <v>138.03000109359601</v>
      </c>
      <c r="AB17" s="1">
        <v>534.75002224274101</v>
      </c>
      <c r="AC17" s="1">
        <v>230.49999552801199</v>
      </c>
      <c r="AD17" s="1">
        <v>124.330003147125</v>
      </c>
      <c r="AE17" s="1">
        <v>847.90999888583997</v>
      </c>
      <c r="AF17" s="1">
        <v>138.029987230301</v>
      </c>
      <c r="AG17" s="1">
        <v>614.36000070318596</v>
      </c>
    </row>
    <row r="18" spans="2:33" x14ac:dyDescent="0.2">
      <c r="L18">
        <v>2016</v>
      </c>
      <c r="M18" t="s">
        <v>35</v>
      </c>
      <c r="N18" s="2">
        <v>140</v>
      </c>
      <c r="O18" s="2">
        <v>47</v>
      </c>
      <c r="P18" s="2">
        <v>177</v>
      </c>
      <c r="Q18" s="2">
        <v>73</v>
      </c>
      <c r="R18" s="2">
        <v>13</v>
      </c>
      <c r="S18" s="2">
        <v>161</v>
      </c>
      <c r="T18" s="2">
        <v>42</v>
      </c>
      <c r="U18" s="2">
        <v>77</v>
      </c>
      <c r="X18">
        <v>2016</v>
      </c>
      <c r="Y18" t="s">
        <v>35</v>
      </c>
      <c r="Z18" s="1">
        <v>439.19000509269603</v>
      </c>
      <c r="AA18" s="1">
        <v>134.300004203692</v>
      </c>
      <c r="AB18" s="1">
        <v>366.44001355491503</v>
      </c>
      <c r="AC18" s="1">
        <v>298.31000956580101</v>
      </c>
      <c r="AD18" s="1">
        <v>91.099996490478503</v>
      </c>
      <c r="AE18" s="1">
        <v>1299.81998608559</v>
      </c>
      <c r="AF18" s="1">
        <v>506.309988408089</v>
      </c>
      <c r="AG18" s="1">
        <v>771.15001489639303</v>
      </c>
    </row>
    <row r="19" spans="2:33" x14ac:dyDescent="0.2">
      <c r="L19">
        <v>2016</v>
      </c>
      <c r="M19" t="s">
        <v>36</v>
      </c>
      <c r="N19" s="2">
        <v>85</v>
      </c>
      <c r="O19" s="2">
        <v>48</v>
      </c>
      <c r="P19" s="2">
        <v>217</v>
      </c>
      <c r="Q19" s="2">
        <v>41</v>
      </c>
      <c r="R19" s="2">
        <v>18</v>
      </c>
      <c r="S19" s="2">
        <v>236</v>
      </c>
      <c r="T19" s="2">
        <v>53</v>
      </c>
      <c r="U19" s="2">
        <v>68</v>
      </c>
      <c r="X19">
        <v>2016</v>
      </c>
      <c r="Y19" t="s">
        <v>36</v>
      </c>
      <c r="Z19" s="1">
        <v>321.64000931993098</v>
      </c>
      <c r="AA19" s="1">
        <v>126.91000667750799</v>
      </c>
      <c r="AB19" s="1">
        <v>555.91002376660799</v>
      </c>
      <c r="AC19" s="1">
        <v>160.23000800728801</v>
      </c>
      <c r="AD19" s="1">
        <v>87.529994964599595</v>
      </c>
      <c r="AE19" s="1">
        <v>1542.5999603821299</v>
      </c>
      <c r="AF19" s="1">
        <v>387.249999294281</v>
      </c>
      <c r="AG19" s="1">
        <v>684.74998131275197</v>
      </c>
    </row>
    <row r="20" spans="2:33" x14ac:dyDescent="0.2">
      <c r="L20">
        <v>2016</v>
      </c>
      <c r="M20" t="s">
        <v>37</v>
      </c>
      <c r="N20" s="2">
        <v>91</v>
      </c>
      <c r="O20" s="2">
        <v>52</v>
      </c>
      <c r="P20" s="2">
        <v>283</v>
      </c>
      <c r="Q20" s="2">
        <v>55</v>
      </c>
      <c r="R20" s="2">
        <v>14</v>
      </c>
      <c r="S20" s="2">
        <v>229</v>
      </c>
      <c r="T20" s="2">
        <v>45</v>
      </c>
      <c r="U20" s="2">
        <v>90</v>
      </c>
      <c r="X20">
        <v>2016</v>
      </c>
      <c r="Y20" t="s">
        <v>37</v>
      </c>
      <c r="Z20" s="1">
        <v>403.890010234415</v>
      </c>
      <c r="AA20" s="1">
        <v>192.00000875741301</v>
      </c>
      <c r="AB20" s="1">
        <v>650.83003079257901</v>
      </c>
      <c r="AC20" s="1">
        <v>192.10000541478399</v>
      </c>
      <c r="AD20" s="1">
        <v>40.959998664856002</v>
      </c>
      <c r="AE20" s="1">
        <v>1916.84999146879</v>
      </c>
      <c r="AF20" s="1">
        <v>278.16998975276999</v>
      </c>
      <c r="AG20" s="1">
        <v>971.44997315883597</v>
      </c>
    </row>
    <row r="21" spans="2:33" x14ac:dyDescent="0.2">
      <c r="L21">
        <v>2016</v>
      </c>
      <c r="M21" t="s">
        <v>26</v>
      </c>
      <c r="N21" s="2">
        <v>138</v>
      </c>
      <c r="O21" s="2">
        <v>54</v>
      </c>
      <c r="P21" s="2">
        <v>322</v>
      </c>
      <c r="Q21" s="2">
        <v>73</v>
      </c>
      <c r="R21" s="2">
        <v>20</v>
      </c>
      <c r="S21" s="2">
        <v>242</v>
      </c>
      <c r="T21" s="2">
        <v>58</v>
      </c>
      <c r="U21" s="2">
        <v>76</v>
      </c>
      <c r="X21">
        <v>2016</v>
      </c>
      <c r="Y21" t="s">
        <v>26</v>
      </c>
      <c r="Z21" s="1">
        <v>474.15001416936502</v>
      </c>
      <c r="AA21" s="1">
        <v>202.14000988110899</v>
      </c>
      <c r="AB21" s="1">
        <v>724.92003223463905</v>
      </c>
      <c r="AC21" s="1">
        <v>322.970009415373</v>
      </c>
      <c r="AD21" s="1">
        <v>319.489999732971</v>
      </c>
      <c r="AE21" s="1">
        <v>1649.6499555632399</v>
      </c>
      <c r="AF21" s="1">
        <v>437.79998499810699</v>
      </c>
      <c r="AG21" s="1">
        <v>570.51999477267304</v>
      </c>
    </row>
  </sheetData>
  <mergeCells count="6">
    <mergeCell ref="B5:I5"/>
    <mergeCell ref="B7:D7"/>
    <mergeCell ref="G7:I7"/>
    <mergeCell ref="L5:AG5"/>
    <mergeCell ref="L7:U7"/>
    <mergeCell ref="X7:A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Services</vt:lpstr>
      <vt:lpstr>Charges</vt:lpstr>
      <vt:lpstr>Free_Shipping</vt:lpstr>
      <vt:lpstr>Overcharges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2016-12-23T08:53:58Z</dcterms:created>
  <dcterms:modified xsi:type="dcterms:W3CDTF">2016-12-23T13:58:04Z</dcterms:modified>
</cp:coreProperties>
</file>