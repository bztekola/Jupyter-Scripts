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4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715"/>
  <workbookPr/>
  <mc:AlternateContent xmlns:mc="http://schemas.openxmlformats.org/markup-compatibility/2006">
    <mc:Choice Requires="x15">
      <x15ac:absPath xmlns:x15ac="http://schemas.microsoft.com/office/spreadsheetml/2010/11/ac" url="/Users/jarad/Desktop/* Recurring/UPS Audits by Month/2016 - 09 - Sep - UPS Audit/"/>
    </mc:Choice>
  </mc:AlternateContent>
  <bookViews>
    <workbookView xWindow="25400" yWindow="960" windowWidth="21000" windowHeight="25320"/>
  </bookViews>
  <sheets>
    <sheet name="Overview" sheetId="1" r:id="rId1"/>
    <sheet name="Services" sheetId="2" r:id="rId2"/>
    <sheet name="Charges" sheetId="3" r:id="rId3"/>
    <sheet name="Free_Shipping" sheetId="4" r:id="rId4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<sst xmlns="http://schemas.openxmlformats.org/spreadsheetml/2006/main" count="417" uniqueCount="79">
  <si>
    <t>Adafruit UPS Ship Rev</t>
  </si>
  <si>
    <t>UPS Charge</t>
  </si>
  <si>
    <t>UPS Shipping Profit</t>
  </si>
  <si>
    <t>UPS Profit Margin</t>
  </si>
  <si>
    <t>Adafruit Total Ship Rev</t>
  </si>
  <si>
    <t>Total Shipping Charge</t>
  </si>
  <si>
    <t>Total Shipping Profit</t>
  </si>
  <si>
    <t>Total Profit Margin</t>
  </si>
  <si>
    <t>Year</t>
  </si>
  <si>
    <t>Month</t>
  </si>
  <si>
    <t>OID Count</t>
  </si>
  <si>
    <t>% Change</t>
  </si>
  <si>
    <t>Year over Year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</si>
  <si>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</si>
  <si>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</si>
  <si>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</si>
  <si>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</si>
  <si>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</si>
  <si>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</si>
  <si>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</si>
  <si>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</si>
  <si>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</si>
  <si>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</si>
  <si>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</si>
  <si>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</si>
  <si>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Shipping Revenue</t>
  </si>
  <si>
    <t>Avg Ship Rev per Package</t>
  </si>
  <si>
    <t>Adafruit Shipping</t>
  </si>
  <si>
    <t>UPS Shipping</t>
  </si>
  <si>
    <t>Profit % Change</t>
  </si>
  <si>
    <t>Service</t>
  </si>
  <si>
    <t>Late Count</t>
  </si>
  <si>
    <t>% of Total</t>
  </si>
  <si>
    <t>Potential Refund</t>
  </si>
  <si>
    <t>UPS Worldwide Expedited</t>
  </si>
  <si>
    <t>UPS Worldwide Saver</t>
  </si>
  <si>
    <t>UPS Worldwide Express</t>
  </si>
  <si>
    <t>UPS Ground</t>
  </si>
  <si>
    <t>UPS Next Day Air</t>
  </si>
  <si>
    <t>UPS 2nd Day Air</t>
  </si>
  <si>
    <t>UPS 3 Day Select</t>
  </si>
  <si>
    <t>Total</t>
  </si>
  <si>
    <t>Ship Revenue</t>
  </si>
  <si>
    <t>Avg Ship Revenue</t>
  </si>
  <si>
    <t>Count of Charges</t>
  </si>
  <si>
    <t>Incentive Amount</t>
  </si>
  <si>
    <t>Net Amount</t>
  </si>
  <si>
    <t>Count</t>
  </si>
  <si>
    <t>USP Charge</t>
  </si>
  <si>
    <t>Count % Change</t>
  </si>
  <si>
    <t>% of UPS Packages</t>
  </si>
  <si>
    <t>% of Total UPS Charge</t>
  </si>
  <si>
    <t>Overview</t>
  </si>
  <si>
    <t>Overall Stats</t>
  </si>
  <si>
    <t>UPS Overall</t>
  </si>
  <si>
    <t>Total Shipping Profit: UPS and USPS ($$)</t>
  </si>
  <si>
    <t>Outgoing Late Shipments</t>
  </si>
  <si>
    <t>Total OID Count</t>
  </si>
  <si>
    <t>UPS Shipping Revenue</t>
  </si>
  <si>
    <t>Avg UPS Shipping Revenue</t>
  </si>
  <si>
    <t>All Services Shipping Profit</t>
  </si>
  <si>
    <t>Services</t>
  </si>
  <si>
    <t>Ground</t>
  </si>
  <si>
    <t>Next Day Air</t>
  </si>
  <si>
    <t>2nd Day Air</t>
  </si>
  <si>
    <t>3 Day Select</t>
  </si>
  <si>
    <t>Express Saver</t>
  </si>
  <si>
    <t>Worldwide Express</t>
  </si>
  <si>
    <t>UPS Charges</t>
  </si>
  <si>
    <t>Charges</t>
  </si>
  <si>
    <t>Shipping Charge Corrections</t>
  </si>
  <si>
    <t>Address Correction</t>
  </si>
  <si>
    <t>Delivery/Extended/Remote</t>
  </si>
  <si>
    <t>Fuel Surcharge</t>
  </si>
  <si>
    <t>Residential Charges</t>
  </si>
  <si>
    <t>Misc. Charges</t>
  </si>
  <si>
    <t>Free Shipping within the Ground Service</t>
  </si>
  <si>
    <t>Non Reseller</t>
  </si>
  <si>
    <t>Reseller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</si>
</sst>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#,##0.00"/>
    <numFmt numFmtId="165" formatCode="##,##0"/>
    <numFmt numFmtId="166" formatCode="0.00&quot;%&quot;"/>
    <numFmt numFmtId="167" formatCode="&quot;$&quot;#,##0.00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3" fillId="0" borderId="1" xfId="0" applyFont="1" applyBorder="1" applyAlignment="1">
      <alignment horizontal="center" vertical="top"/>
    </xf>
    <xf numFmtId="167" fontId="0" fillId="0" borderId="0" xfId="0" applyNumberFormat="1"/>
    <xf numFmtId="10" fontId="0" fillId="0" borderId="0" xfId="1" applyNumberFormat="1" applyFont="1"/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OID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Overview!$I$9:$I$21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Overview!$J$9:$J$21</c:f>
              <c:numCache>
                <c:formatCode>##,##0</c:formatCode>
                <c:ptCount val="13"/>
                <c:pt idx="0">
                  <c:v>18193.0</c:v>
                </c:pt>
                <c:pt idx="1">
                  <c:v>21755.0</c:v>
                </c:pt>
                <c:pt idx="2">
                  <c:v>27481.0</c:v>
                </c:pt>
                <c:pt idx="3">
                  <c:v>25318.0</c:v>
                </c:pt>
                <c:pt idx="4">
                  <c:v>23517.0</c:v>
                </c:pt>
                <c:pt idx="5">
                  <c:v>24001.0</c:v>
                </c:pt>
                <c:pt idx="6">
                  <c:v>27620.0</c:v>
                </c:pt>
                <c:pt idx="7">
                  <c:v>24029.0</c:v>
                </c:pt>
                <c:pt idx="8">
                  <c:v>21460.0</c:v>
                </c:pt>
                <c:pt idx="9">
                  <c:v>21377.0</c:v>
                </c:pt>
                <c:pt idx="10">
                  <c:v>22386.0</c:v>
                </c:pt>
                <c:pt idx="11">
                  <c:v>22764.0</c:v>
                </c:pt>
                <c:pt idx="12">
                  <c:v>21759.0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2063968"/>
        <c:axId val="651951824"/>
      </c:lineChart>
      <c:catAx>
        <c:axId val="652063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51951824"/>
        <c:crosses val="autoZero"/>
        <c:auto val="1"/>
        <c:lblAlgn val="ctr"/>
        <c:lblOffset val="100"/>
        <c:noMultiLvlLbl val="0"/>
      </c:catAx>
      <c:valAx>
        <c:axId val="651951824"/>
        <c:scaling>
          <c:orientation val="minMax"/>
          <c:max val="27720.0"/>
          <c:min val="18093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6520639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UPS Shipping Revenue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Overview!$P$9:$P$21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Overview!$Q$9:$Q$21</c:f>
              <c:numCache>
                <c:formatCode>"$"#,###,##0.00</c:formatCode>
                <c:ptCount val="13"/>
                <c:pt idx="0">
                  <c:v>251494.95</c:v>
                </c:pt>
                <c:pt idx="1">
                  <c:v>298215.08</c:v>
                </c:pt>
                <c:pt idx="2">
                  <c:v>374419.71</c:v>
                </c:pt>
                <c:pt idx="3">
                  <c:v>350681.37</c:v>
                </c:pt>
                <c:pt idx="4">
                  <c:v>335669.12</c:v>
                </c:pt>
                <c:pt idx="5">
                  <c:v>333590.03</c:v>
                </c:pt>
                <c:pt idx="6">
                  <c:v>369436.94</c:v>
                </c:pt>
                <c:pt idx="7">
                  <c:v>331873.61</c:v>
                </c:pt>
                <c:pt idx="8">
                  <c:v>305472.95</c:v>
                </c:pt>
                <c:pt idx="9">
                  <c:v>295776.35</c:v>
                </c:pt>
                <c:pt idx="10">
                  <c:v>284886.59</c:v>
                </c:pt>
                <c:pt idx="11">
                  <c:v>294107.78</c:v>
                </c:pt>
                <c:pt idx="12">
                  <c:v>296393.44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612592"/>
        <c:axId val="828524784"/>
      </c:lineChart>
      <c:catAx>
        <c:axId val="828612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28524784"/>
        <c:crosses val="autoZero"/>
        <c:auto val="1"/>
        <c:lblAlgn val="ctr"/>
        <c:lblOffset val="100"/>
        <c:noMultiLvlLbl val="0"/>
      </c:catAx>
      <c:valAx>
        <c:axId val="828524784"/>
        <c:scaling>
          <c:orientation val="minMax"/>
          <c:max val="374519.71"/>
          <c:min val="251394.95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8286125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UPS Shipping Revenue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Overview!$W$9:$W$21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Overview!$X$9:$X$21</c:f>
              <c:numCache>
                <c:formatCode>"$"#,###,##0.00</c:formatCode>
                <c:ptCount val="13"/>
                <c:pt idx="0">
                  <c:v>13.82372066</c:v>
                </c:pt>
                <c:pt idx="1">
                  <c:v>13.70788692</c:v>
                </c:pt>
                <c:pt idx="2">
                  <c:v>13.62417983</c:v>
                </c:pt>
                <c:pt idx="3">
                  <c:v>13.8510692</c:v>
                </c:pt>
                <c:pt idx="4">
                  <c:v>14.27346685</c:v>
                </c:pt>
                <c:pt idx="5">
                  <c:v>13.89958458</c:v>
                </c:pt>
                <c:pt idx="6">
                  <c:v>13.37570384</c:v>
                </c:pt>
                <c:pt idx="7">
                  <c:v>13.81137833</c:v>
                </c:pt>
                <c:pt idx="8">
                  <c:v>14.23452703</c:v>
                </c:pt>
                <c:pt idx="9">
                  <c:v>13.83684272</c:v>
                </c:pt>
                <c:pt idx="10">
                  <c:v>12.72667367</c:v>
                </c:pt>
                <c:pt idx="11">
                  <c:v>12.91986382</c:v>
                </c:pt>
                <c:pt idx="12">
                  <c:v>13.62164805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688480"/>
        <c:axId val="865079824"/>
      </c:lineChart>
      <c:catAx>
        <c:axId val="8106884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65079824"/>
        <c:crosses val="autoZero"/>
        <c:auto val="1"/>
        <c:lblAlgn val="ctr"/>
        <c:lblOffset val="100"/>
        <c:noMultiLvlLbl val="0"/>
      </c:catAx>
      <c:valAx>
        <c:axId val="865079824"/>
        <c:scaling>
          <c:orientation val="minMax"/>
          <c:max val="15.27346685"/>
          <c:min val="11.72667367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8106884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UPS Shipping Profit ($$)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Overview!$AD$9:$AD$21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Overview!$AG$9:$AG$21</c:f>
              <c:numCache>
                <c:formatCode>"$"#,###,##0.00</c:formatCode>
                <c:ptCount val="13"/>
                <c:pt idx="0">
                  <c:v>-5284.94989235923</c:v>
                </c:pt>
                <c:pt idx="1">
                  <c:v>-3457.56014760048</c:v>
                </c:pt>
                <c:pt idx="2">
                  <c:v>-1705.35042280809</c:v>
                </c:pt>
                <c:pt idx="3">
                  <c:v>1341.42001864058</c:v>
                </c:pt>
                <c:pt idx="4">
                  <c:v>1051.5402679742</c:v>
                </c:pt>
                <c:pt idx="5">
                  <c:v>-841.619726542092</c:v>
                </c:pt>
                <c:pt idx="6">
                  <c:v>-833.28974574618</c:v>
                </c:pt>
                <c:pt idx="7">
                  <c:v>-206.199623149179</c:v>
                </c:pt>
                <c:pt idx="8">
                  <c:v>-2828.33973894489</c:v>
                </c:pt>
                <c:pt idx="9">
                  <c:v>-918.790013752936</c:v>
                </c:pt>
                <c:pt idx="10">
                  <c:v>-3625.32165052078</c:v>
                </c:pt>
                <c:pt idx="11">
                  <c:v>-7365.24194094964</c:v>
                </c:pt>
                <c:pt idx="12">
                  <c:v>-2050.6021227559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388336"/>
        <c:axId val="830138192"/>
      </c:lineChart>
      <c:catAx>
        <c:axId val="682388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30138192"/>
        <c:crosses val="autoZero"/>
        <c:auto val="1"/>
        <c:lblAlgn val="ctr"/>
        <c:lblOffset val="100"/>
        <c:noMultiLvlLbl val="0"/>
      </c:catAx>
      <c:valAx>
        <c:axId val="830138192"/>
        <c:scaling>
          <c:orientation val="minMax"/>
          <c:max val="1441.42001864"/>
          <c:min val="-7465.24194095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6823883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Shipping Profit: UPS and USPS ($$)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Overview!$AD$9:$AD$21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Overview!$AG$40:$AG$52</c:f>
              <c:numCache>
                <c:formatCode>"$"#,###,##0.00</c:formatCode>
                <c:ptCount val="13"/>
                <c:pt idx="0">
                  <c:v>9370.70001009421</c:v>
                </c:pt>
                <c:pt idx="1">
                  <c:v>10237.2997732923</c:v>
                </c:pt>
                <c:pt idx="2">
                  <c:v>15609.6394791185</c:v>
                </c:pt>
                <c:pt idx="3">
                  <c:v>18402.5699225579</c:v>
                </c:pt>
                <c:pt idx="4">
                  <c:v>16516.7003519452</c:v>
                </c:pt>
                <c:pt idx="5">
                  <c:v>13592.450391332</c:v>
                </c:pt>
                <c:pt idx="6">
                  <c:v>15869.5304128499</c:v>
                </c:pt>
                <c:pt idx="7">
                  <c:v>13918.9103942554</c:v>
                </c:pt>
                <c:pt idx="8">
                  <c:v>10429.0602168046</c:v>
                </c:pt>
                <c:pt idx="9">
                  <c:v>13431.8899050417</c:v>
                </c:pt>
                <c:pt idx="10">
                  <c:v>10412.2982101951</c:v>
                </c:pt>
                <c:pt idx="11">
                  <c:v>5513.39802924806</c:v>
                </c:pt>
                <c:pt idx="12">
                  <c:v>11530.0881198589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2163760"/>
        <c:axId val="822120032"/>
      </c:lineChart>
      <c:catAx>
        <c:axId val="822163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22120032"/>
        <c:crosses val="autoZero"/>
        <c:auto val="1"/>
        <c:lblAlgn val="ctr"/>
        <c:lblOffset val="100"/>
        <c:noMultiLvlLbl val="0"/>
      </c:catAx>
      <c:valAx>
        <c:axId val="822120032"/>
        <c:scaling>
          <c:orientation val="minMax"/>
          <c:max val="18502.5699226"/>
          <c:min val="5413.39802925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8221637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Ground Revenue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Services!$D$9:$D$21</c:f>
              <c:numCache>
                <c:formatCode>"$"#,###,##0.00</c:formatCode>
                <c:ptCount val="13"/>
                <c:pt idx="0">
                  <c:v>72379.18</c:v>
                </c:pt>
                <c:pt idx="1">
                  <c:v>88605.65</c:v>
                </c:pt>
                <c:pt idx="2">
                  <c:v>126581.21</c:v>
                </c:pt>
                <c:pt idx="3">
                  <c:v>115542.14</c:v>
                </c:pt>
                <c:pt idx="4">
                  <c:v>123941.47</c:v>
                </c:pt>
                <c:pt idx="5">
                  <c:v>121788.94</c:v>
                </c:pt>
                <c:pt idx="6">
                  <c:v>146213.43</c:v>
                </c:pt>
                <c:pt idx="7">
                  <c:v>118048.45</c:v>
                </c:pt>
                <c:pt idx="8">
                  <c:v>107791.11</c:v>
                </c:pt>
                <c:pt idx="9">
                  <c:v>109673.44</c:v>
                </c:pt>
                <c:pt idx="10">
                  <c:v>117064.11</c:v>
                </c:pt>
                <c:pt idx="11">
                  <c:v>116313.56</c:v>
                </c:pt>
                <c:pt idx="12">
                  <c:v>114589.42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091296"/>
        <c:axId val="694665824"/>
      </c:lineChart>
      <c:catAx>
        <c:axId val="8650912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4665824"/>
        <c:crosses val="autoZero"/>
        <c:auto val="1"/>
        <c:lblAlgn val="ctr"/>
        <c:lblOffset val="100"/>
        <c:noMultiLvlLbl val="0"/>
      </c:catAx>
      <c:valAx>
        <c:axId val="694665824"/>
        <c:scaling>
          <c:orientation val="minMax"/>
          <c:max val="146313.43"/>
          <c:min val="72279.18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8650912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Ground OID Count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Services!$E$9:$E$21</c:f>
              <c:numCache>
                <c:formatCode>##,##0</c:formatCode>
                <c:ptCount val="13"/>
                <c:pt idx="0">
                  <c:v>9292.0</c:v>
                </c:pt>
                <c:pt idx="1">
                  <c:v>11258.0</c:v>
                </c:pt>
                <c:pt idx="2">
                  <c:v>15621.0</c:v>
                </c:pt>
                <c:pt idx="3">
                  <c:v>13816.0</c:v>
                </c:pt>
                <c:pt idx="4">
                  <c:v>14393.0</c:v>
                </c:pt>
                <c:pt idx="5">
                  <c:v>14517.0</c:v>
                </c:pt>
                <c:pt idx="6">
                  <c:v>17205.0</c:v>
                </c:pt>
                <c:pt idx="7">
                  <c:v>14185.0</c:v>
                </c:pt>
                <c:pt idx="8">
                  <c:v>12914.0</c:v>
                </c:pt>
                <c:pt idx="9">
                  <c:v>13482.0</c:v>
                </c:pt>
                <c:pt idx="10">
                  <c:v>15005.0</c:v>
                </c:pt>
                <c:pt idx="11">
                  <c:v>15525.0</c:v>
                </c:pt>
                <c:pt idx="12">
                  <c:v>14918.0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4929184"/>
        <c:axId val="649974480"/>
      </c:lineChart>
      <c:catAx>
        <c:axId val="694929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49974480"/>
        <c:crosses val="autoZero"/>
        <c:auto val="1"/>
        <c:lblAlgn val="ctr"/>
        <c:lblOffset val="100"/>
        <c:noMultiLvlLbl val="0"/>
      </c:catAx>
      <c:valAx>
        <c:axId val="649974480"/>
        <c:scaling>
          <c:orientation val="minMax"/>
          <c:max val="17305.0"/>
          <c:min val="9192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6949291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Next Day Air Revenue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Services!$K$9:$K$21</c:f>
              <c:numCache>
                <c:formatCode>"$"#,###,##0.00</c:formatCode>
                <c:ptCount val="13"/>
                <c:pt idx="0">
                  <c:v>29076.34</c:v>
                </c:pt>
                <c:pt idx="1">
                  <c:v>32108.57</c:v>
                </c:pt>
                <c:pt idx="2">
                  <c:v>35882.74</c:v>
                </c:pt>
                <c:pt idx="3">
                  <c:v>33749.65</c:v>
                </c:pt>
                <c:pt idx="4">
                  <c:v>27737.84</c:v>
                </c:pt>
                <c:pt idx="5">
                  <c:v>31829.27</c:v>
                </c:pt>
                <c:pt idx="6">
                  <c:v>33934.13</c:v>
                </c:pt>
                <c:pt idx="7">
                  <c:v>37381.78</c:v>
                </c:pt>
                <c:pt idx="8">
                  <c:v>30689.94</c:v>
                </c:pt>
                <c:pt idx="9">
                  <c:v>30907.19</c:v>
                </c:pt>
                <c:pt idx="10">
                  <c:v>25583.9</c:v>
                </c:pt>
                <c:pt idx="11">
                  <c:v>27791.42</c:v>
                </c:pt>
                <c:pt idx="12">
                  <c:v>26003.01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5400288"/>
        <c:axId val="707554160"/>
      </c:lineChart>
      <c:catAx>
        <c:axId val="6854002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07554160"/>
        <c:crosses val="autoZero"/>
        <c:auto val="1"/>
        <c:lblAlgn val="ctr"/>
        <c:lblOffset val="100"/>
        <c:noMultiLvlLbl val="0"/>
      </c:catAx>
      <c:valAx>
        <c:axId val="707554160"/>
        <c:scaling>
          <c:orientation val="minMax"/>
          <c:max val="37481.78"/>
          <c:min val="25483.9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6854002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Next Day Air OID Count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Services!$L$9:$L$21</c:f>
              <c:numCache>
                <c:formatCode>##,##0</c:formatCode>
                <c:ptCount val="13"/>
                <c:pt idx="0">
                  <c:v>1614.0</c:v>
                </c:pt>
                <c:pt idx="1">
                  <c:v>1830.0</c:v>
                </c:pt>
                <c:pt idx="2">
                  <c:v>1981.0</c:v>
                </c:pt>
                <c:pt idx="3">
                  <c:v>1848.0</c:v>
                </c:pt>
                <c:pt idx="4">
                  <c:v>1431.0</c:v>
                </c:pt>
                <c:pt idx="5">
                  <c:v>1649.0</c:v>
                </c:pt>
                <c:pt idx="6">
                  <c:v>1796.0</c:v>
                </c:pt>
                <c:pt idx="7">
                  <c:v>1940.0</c:v>
                </c:pt>
                <c:pt idx="8">
                  <c:v>1607.0</c:v>
                </c:pt>
                <c:pt idx="9">
                  <c:v>1406.0</c:v>
                </c:pt>
                <c:pt idx="10">
                  <c:v>1278.0</c:v>
                </c:pt>
                <c:pt idx="11">
                  <c:v>1276.0</c:v>
                </c:pt>
                <c:pt idx="12">
                  <c:v>1006.0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6724848"/>
        <c:axId val="826728928"/>
      </c:lineChart>
      <c:catAx>
        <c:axId val="826724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26728928"/>
        <c:crosses val="autoZero"/>
        <c:auto val="1"/>
        <c:lblAlgn val="ctr"/>
        <c:lblOffset val="100"/>
        <c:noMultiLvlLbl val="0"/>
      </c:catAx>
      <c:valAx>
        <c:axId val="826728928"/>
        <c:scaling>
          <c:orientation val="minMax"/>
          <c:max val="2081.0"/>
          <c:min val="906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8267248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2nd Day Air Revenue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Services!$R$9:$R$21</c:f>
              <c:numCache>
                <c:formatCode>"$"#,###,##0.00</c:formatCode>
                <c:ptCount val="13"/>
                <c:pt idx="0">
                  <c:v>39045.24</c:v>
                </c:pt>
                <c:pt idx="1">
                  <c:v>46787.66</c:v>
                </c:pt>
                <c:pt idx="2">
                  <c:v>48808.96</c:v>
                </c:pt>
                <c:pt idx="3">
                  <c:v>50736.17</c:v>
                </c:pt>
                <c:pt idx="4">
                  <c:v>40916.35</c:v>
                </c:pt>
                <c:pt idx="5">
                  <c:v>44781.29</c:v>
                </c:pt>
                <c:pt idx="6">
                  <c:v>49603.65</c:v>
                </c:pt>
                <c:pt idx="7">
                  <c:v>45130.33</c:v>
                </c:pt>
                <c:pt idx="8">
                  <c:v>38921.41</c:v>
                </c:pt>
                <c:pt idx="9">
                  <c:v>36055.36</c:v>
                </c:pt>
                <c:pt idx="10">
                  <c:v>33725.35</c:v>
                </c:pt>
                <c:pt idx="11">
                  <c:v>33664.67</c:v>
                </c:pt>
                <c:pt idx="12">
                  <c:v>33427.42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423696"/>
        <c:axId val="840586560"/>
      </c:lineChart>
      <c:catAx>
        <c:axId val="810423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40586560"/>
        <c:crosses val="autoZero"/>
        <c:auto val="1"/>
        <c:lblAlgn val="ctr"/>
        <c:lblOffset val="100"/>
        <c:noMultiLvlLbl val="0"/>
      </c:catAx>
      <c:valAx>
        <c:axId val="840586560"/>
        <c:scaling>
          <c:orientation val="minMax"/>
          <c:max val="50836.17"/>
          <c:min val="33327.42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8104236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2nd Day Air OID Count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Services!$S$9:$S$21</c:f>
              <c:numCache>
                <c:formatCode>##,##0</c:formatCode>
                <c:ptCount val="13"/>
                <c:pt idx="0">
                  <c:v>3184.0</c:v>
                </c:pt>
                <c:pt idx="1">
                  <c:v>3881.0</c:v>
                </c:pt>
                <c:pt idx="2">
                  <c:v>3971.0</c:v>
                </c:pt>
                <c:pt idx="3">
                  <c:v>3956.0</c:v>
                </c:pt>
                <c:pt idx="4">
                  <c:v>3050.0</c:v>
                </c:pt>
                <c:pt idx="5">
                  <c:v>3377.0</c:v>
                </c:pt>
                <c:pt idx="6">
                  <c:v>3783.0</c:v>
                </c:pt>
                <c:pt idx="7">
                  <c:v>3386.0</c:v>
                </c:pt>
                <c:pt idx="8">
                  <c:v>2864.0</c:v>
                </c:pt>
                <c:pt idx="9">
                  <c:v>2676.0</c:v>
                </c:pt>
                <c:pt idx="10">
                  <c:v>2560.0</c:v>
                </c:pt>
                <c:pt idx="11">
                  <c:v>2431.0</c:v>
                </c:pt>
                <c:pt idx="12">
                  <c:v>2278.0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6855968"/>
        <c:axId val="756995888"/>
      </c:lineChart>
      <c:catAx>
        <c:axId val="756855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56995888"/>
        <c:crosses val="autoZero"/>
        <c:auto val="1"/>
        <c:lblAlgn val="ctr"/>
        <c:lblOffset val="100"/>
        <c:noMultiLvlLbl val="0"/>
      </c:catAx>
      <c:valAx>
        <c:axId val="756995888"/>
        <c:scaling>
          <c:orientation val="minMax"/>
          <c:max val="4071.0"/>
          <c:min val="2178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7568559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 Day Select Revenue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Services!$Y$9:$Y$21</c:f>
              <c:numCache>
                <c:formatCode>"$"#,###,##0.00</c:formatCode>
                <c:ptCount val="13"/>
                <c:pt idx="0">
                  <c:v>19128.66</c:v>
                </c:pt>
                <c:pt idx="1">
                  <c:v>21558.73</c:v>
                </c:pt>
                <c:pt idx="2">
                  <c:v>26105.43</c:v>
                </c:pt>
                <c:pt idx="3">
                  <c:v>33068.41</c:v>
                </c:pt>
                <c:pt idx="4">
                  <c:v>22018.09</c:v>
                </c:pt>
                <c:pt idx="5">
                  <c:v>21450.89</c:v>
                </c:pt>
                <c:pt idx="6">
                  <c:v>23980.65</c:v>
                </c:pt>
                <c:pt idx="7">
                  <c:v>22391.77</c:v>
                </c:pt>
                <c:pt idx="8">
                  <c:v>18540.12</c:v>
                </c:pt>
                <c:pt idx="9">
                  <c:v>17245.06</c:v>
                </c:pt>
                <c:pt idx="10">
                  <c:v>14317.06</c:v>
                </c:pt>
                <c:pt idx="11">
                  <c:v>14019.7</c:v>
                </c:pt>
                <c:pt idx="12">
                  <c:v>14982.04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477424"/>
        <c:axId val="811481472"/>
      </c:lineChart>
      <c:catAx>
        <c:axId val="8114774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11481472"/>
        <c:crosses val="autoZero"/>
        <c:auto val="1"/>
        <c:lblAlgn val="ctr"/>
        <c:lblOffset val="100"/>
        <c:noMultiLvlLbl val="0"/>
      </c:catAx>
      <c:valAx>
        <c:axId val="811481472"/>
        <c:scaling>
          <c:orientation val="minMax"/>
          <c:max val="33168.41"/>
          <c:min val="13919.7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8114774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 Day Select OID Count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Services!$Z$9:$Z$21</c:f>
              <c:numCache>
                <c:formatCode>##,##0</c:formatCode>
                <c:ptCount val="13"/>
                <c:pt idx="0">
                  <c:v>1726.0</c:v>
                </c:pt>
                <c:pt idx="1">
                  <c:v>1970.0</c:v>
                </c:pt>
                <c:pt idx="2">
                  <c:v>2361.0</c:v>
                </c:pt>
                <c:pt idx="3">
                  <c:v>2835.0</c:v>
                </c:pt>
                <c:pt idx="4">
                  <c:v>1835.0</c:v>
                </c:pt>
                <c:pt idx="5">
                  <c:v>1815.0</c:v>
                </c:pt>
                <c:pt idx="6">
                  <c:v>2058.0</c:v>
                </c:pt>
                <c:pt idx="7">
                  <c:v>1907.0</c:v>
                </c:pt>
                <c:pt idx="8">
                  <c:v>1493.0</c:v>
                </c:pt>
                <c:pt idx="9">
                  <c:v>1440.0</c:v>
                </c:pt>
                <c:pt idx="10">
                  <c:v>1207.0</c:v>
                </c:pt>
                <c:pt idx="11">
                  <c:v>1141.0</c:v>
                </c:pt>
                <c:pt idx="12">
                  <c:v>1160.0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382224"/>
        <c:axId val="811504448"/>
      </c:lineChart>
      <c:catAx>
        <c:axId val="8303822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11504448"/>
        <c:crosses val="autoZero"/>
        <c:auto val="1"/>
        <c:lblAlgn val="ctr"/>
        <c:lblOffset val="100"/>
        <c:noMultiLvlLbl val="0"/>
      </c:catAx>
      <c:valAx>
        <c:axId val="811504448"/>
        <c:scaling>
          <c:orientation val="minMax"/>
          <c:max val="2935.0"/>
          <c:min val="1041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8303822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Express Saver Revenue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Services!$AF$9:$AF$21</c:f>
              <c:numCache>
                <c:formatCode>"$"#,###,##0.00</c:formatCode>
                <c:ptCount val="13"/>
                <c:pt idx="0">
                  <c:v>27548.95</c:v>
                </c:pt>
                <c:pt idx="1">
                  <c:v>29931.73</c:v>
                </c:pt>
                <c:pt idx="2">
                  <c:v>38378.03</c:v>
                </c:pt>
                <c:pt idx="3">
                  <c:v>31919.86</c:v>
                </c:pt>
                <c:pt idx="4">
                  <c:v>24628.95</c:v>
                </c:pt>
                <c:pt idx="5">
                  <c:v>24772.49</c:v>
                </c:pt>
                <c:pt idx="6">
                  <c:v>24420.81</c:v>
                </c:pt>
                <c:pt idx="7">
                  <c:v>23983.14</c:v>
                </c:pt>
                <c:pt idx="8">
                  <c:v>25082.38</c:v>
                </c:pt>
                <c:pt idx="9">
                  <c:v>23188.59</c:v>
                </c:pt>
                <c:pt idx="10">
                  <c:v>20199.68</c:v>
                </c:pt>
                <c:pt idx="11">
                  <c:v>22737.89</c:v>
                </c:pt>
                <c:pt idx="12">
                  <c:v>26529.82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090064"/>
        <c:axId val="830094144"/>
      </c:lineChart>
      <c:catAx>
        <c:axId val="830090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30094144"/>
        <c:crosses val="autoZero"/>
        <c:auto val="1"/>
        <c:lblAlgn val="ctr"/>
        <c:lblOffset val="100"/>
        <c:noMultiLvlLbl val="0"/>
      </c:catAx>
      <c:valAx>
        <c:axId val="830094144"/>
        <c:scaling>
          <c:orientation val="minMax"/>
          <c:max val="38478.03"/>
          <c:min val="20099.68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830090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Express Saver OID Count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Services!$AG$9:$AG$21</c:f>
              <c:numCache>
                <c:formatCode>##,##0</c:formatCode>
                <c:ptCount val="13"/>
                <c:pt idx="0">
                  <c:v>693.0</c:v>
                </c:pt>
                <c:pt idx="1">
                  <c:v>741.0</c:v>
                </c:pt>
                <c:pt idx="2">
                  <c:v>921.0</c:v>
                </c:pt>
                <c:pt idx="3">
                  <c:v>725.0</c:v>
                </c:pt>
                <c:pt idx="4">
                  <c:v>472.0</c:v>
                </c:pt>
                <c:pt idx="5">
                  <c:v>481.0</c:v>
                </c:pt>
                <c:pt idx="6">
                  <c:v>487.0</c:v>
                </c:pt>
                <c:pt idx="7">
                  <c:v>462.0</c:v>
                </c:pt>
                <c:pt idx="8">
                  <c:v>495.0</c:v>
                </c:pt>
                <c:pt idx="9">
                  <c:v>445.0</c:v>
                </c:pt>
                <c:pt idx="10">
                  <c:v>433.0</c:v>
                </c:pt>
                <c:pt idx="11">
                  <c:v>457.0</c:v>
                </c:pt>
                <c:pt idx="12">
                  <c:v>492.0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4544416"/>
        <c:axId val="844548496"/>
      </c:lineChart>
      <c:catAx>
        <c:axId val="844544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44548496"/>
        <c:crosses val="autoZero"/>
        <c:auto val="1"/>
        <c:lblAlgn val="ctr"/>
        <c:lblOffset val="100"/>
        <c:noMultiLvlLbl val="0"/>
      </c:catAx>
      <c:valAx>
        <c:axId val="844548496"/>
        <c:scaling>
          <c:orientation val="minMax"/>
          <c:max val="1021.0"/>
          <c:min val="333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8445444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Worldwide Express Revenue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Services!$AM$9:$AM$21</c:f>
              <c:numCache>
                <c:formatCode>"$"#,###,##0.00</c:formatCode>
                <c:ptCount val="13"/>
                <c:pt idx="0">
                  <c:v>64316.58</c:v>
                </c:pt>
                <c:pt idx="1">
                  <c:v>79222.74000000001</c:v>
                </c:pt>
                <c:pt idx="2">
                  <c:v>98663.34</c:v>
                </c:pt>
                <c:pt idx="3">
                  <c:v>85665.14</c:v>
                </c:pt>
                <c:pt idx="4">
                  <c:v>96426.42</c:v>
                </c:pt>
                <c:pt idx="5">
                  <c:v>88967.15</c:v>
                </c:pt>
                <c:pt idx="6">
                  <c:v>91284.27</c:v>
                </c:pt>
                <c:pt idx="7">
                  <c:v>84938.14</c:v>
                </c:pt>
                <c:pt idx="8">
                  <c:v>84447.99000000001</c:v>
                </c:pt>
                <c:pt idx="9">
                  <c:v>78706.71000000001</c:v>
                </c:pt>
                <c:pt idx="10">
                  <c:v>73996.49000000001</c:v>
                </c:pt>
                <c:pt idx="11">
                  <c:v>79580.54</c:v>
                </c:pt>
                <c:pt idx="12">
                  <c:v>80861.73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961232"/>
        <c:axId val="829319600"/>
      </c:lineChart>
      <c:catAx>
        <c:axId val="695961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29319600"/>
        <c:crosses val="autoZero"/>
        <c:auto val="1"/>
        <c:lblAlgn val="ctr"/>
        <c:lblOffset val="100"/>
        <c:noMultiLvlLbl val="0"/>
      </c:catAx>
      <c:valAx>
        <c:axId val="829319600"/>
        <c:scaling>
          <c:orientation val="minMax"/>
          <c:max val="98763.34"/>
          <c:min val="64216.58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6959612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Worldwide Express OID Count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Services!$AN$9:$AN$21</c:f>
              <c:numCache>
                <c:formatCode>##,##0</c:formatCode>
                <c:ptCount val="13"/>
                <c:pt idx="0">
                  <c:v>1684.0</c:v>
                </c:pt>
                <c:pt idx="1">
                  <c:v>2075.0</c:v>
                </c:pt>
                <c:pt idx="2">
                  <c:v>2627.0</c:v>
                </c:pt>
                <c:pt idx="3">
                  <c:v>2138.0</c:v>
                </c:pt>
                <c:pt idx="4">
                  <c:v>2336.0</c:v>
                </c:pt>
                <c:pt idx="5">
                  <c:v>2161.0</c:v>
                </c:pt>
                <c:pt idx="6">
                  <c:v>2291.0</c:v>
                </c:pt>
                <c:pt idx="7">
                  <c:v>2149.0</c:v>
                </c:pt>
                <c:pt idx="8">
                  <c:v>2087.0</c:v>
                </c:pt>
                <c:pt idx="9">
                  <c:v>1927.0</c:v>
                </c:pt>
                <c:pt idx="10">
                  <c:v>1902.0</c:v>
                </c:pt>
                <c:pt idx="11">
                  <c:v>1934.0</c:v>
                </c:pt>
                <c:pt idx="12">
                  <c:v>1905.0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205408"/>
        <c:axId val="810441664"/>
      </c:lineChart>
      <c:catAx>
        <c:axId val="8432054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10441664"/>
        <c:crosses val="autoZero"/>
        <c:auto val="1"/>
        <c:lblAlgn val="ctr"/>
        <c:lblOffset val="100"/>
        <c:noMultiLvlLbl val="0"/>
      </c:catAx>
      <c:valAx>
        <c:axId val="810441664"/>
        <c:scaling>
          <c:orientation val="minMax"/>
          <c:max val="2727.0"/>
          <c:min val="1584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8432054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 of Services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Charges!$D$9:$D$21</c:f>
              <c:numCache>
                <c:formatCode>##,##0</c:formatCode>
                <c:ptCount val="13"/>
                <c:pt idx="0">
                  <c:v>18252.0</c:v>
                </c:pt>
                <c:pt idx="1">
                  <c:v>21840.0</c:v>
                </c:pt>
                <c:pt idx="2">
                  <c:v>27571.0</c:v>
                </c:pt>
                <c:pt idx="3">
                  <c:v>25373.0</c:v>
                </c:pt>
                <c:pt idx="4">
                  <c:v>23564.0</c:v>
                </c:pt>
                <c:pt idx="5">
                  <c:v>24014.0</c:v>
                </c:pt>
                <c:pt idx="6">
                  <c:v>27640.0</c:v>
                </c:pt>
                <c:pt idx="7">
                  <c:v>24056.0</c:v>
                </c:pt>
                <c:pt idx="8">
                  <c:v>21489.0</c:v>
                </c:pt>
                <c:pt idx="9">
                  <c:v>21417.0</c:v>
                </c:pt>
                <c:pt idx="10">
                  <c:v>22408.0</c:v>
                </c:pt>
                <c:pt idx="11">
                  <c:v>22787.0</c:v>
                </c:pt>
                <c:pt idx="12">
                  <c:v>21772.0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501328"/>
        <c:axId val="694927648"/>
      </c:lineChart>
      <c:catAx>
        <c:axId val="7075013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4927648"/>
        <c:crosses val="autoZero"/>
        <c:auto val="1"/>
        <c:lblAlgn val="ctr"/>
        <c:lblOffset val="100"/>
        <c:noMultiLvlLbl val="0"/>
      </c:catAx>
      <c:valAx>
        <c:axId val="694927648"/>
        <c:scaling>
          <c:orientation val="minMax"/>
          <c:max val="27740.0"/>
          <c:min val="18152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7075013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Amount for Services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Charges!$F$9:$F$21</c:f>
              <c:numCache>
                <c:formatCode>"$"#,###,##0.00</c:formatCode>
                <c:ptCount val="13"/>
                <c:pt idx="0">
                  <c:v>208545.930537431</c:v>
                </c:pt>
                <c:pt idx="1">
                  <c:v>247075.860867092</c:v>
                </c:pt>
                <c:pt idx="2">
                  <c:v>303754.381344408</c:v>
                </c:pt>
                <c:pt idx="3">
                  <c:v>274501.661065767</c:v>
                </c:pt>
                <c:pt idx="4">
                  <c:v>270566.330838919</c:v>
                </c:pt>
                <c:pt idx="5">
                  <c:v>271763.390792936</c:v>
                </c:pt>
                <c:pt idx="6">
                  <c:v>302204.100999773</c:v>
                </c:pt>
                <c:pt idx="7">
                  <c:v>272440.300663739</c:v>
                </c:pt>
                <c:pt idx="8">
                  <c:v>252620.450676203</c:v>
                </c:pt>
                <c:pt idx="9">
                  <c:v>242034.030818269</c:v>
                </c:pt>
                <c:pt idx="10">
                  <c:v>234084.772033215</c:v>
                </c:pt>
                <c:pt idx="11">
                  <c:v>245019.682261586</c:v>
                </c:pt>
                <c:pt idx="12">
                  <c:v>244333.142484516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276912"/>
        <c:axId val="830280992"/>
      </c:lineChart>
      <c:catAx>
        <c:axId val="830276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30280992"/>
        <c:crosses val="autoZero"/>
        <c:auto val="1"/>
        <c:lblAlgn val="ctr"/>
        <c:lblOffset val="100"/>
        <c:noMultiLvlLbl val="0"/>
      </c:catAx>
      <c:valAx>
        <c:axId val="830280992"/>
        <c:scaling>
          <c:orientation val="minMax"/>
          <c:max val="303854.381344"/>
          <c:min val="208445.930537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8302769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 of Shipping Charge Corrections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Charges!$K$9:$K$21</c:f>
              <c:numCache>
                <c:formatCode>##,##0</c:formatCode>
                <c:ptCount val="13"/>
                <c:pt idx="0">
                  <c:v>1915.0</c:v>
                </c:pt>
                <c:pt idx="1">
                  <c:v>2067.0</c:v>
                </c:pt>
                <c:pt idx="2">
                  <c:v>2190.0</c:v>
                </c:pt>
                <c:pt idx="3">
                  <c:v>2528.0</c:v>
                </c:pt>
                <c:pt idx="4">
                  <c:v>1862.0</c:v>
                </c:pt>
                <c:pt idx="5">
                  <c:v>2202.0</c:v>
                </c:pt>
                <c:pt idx="6">
                  <c:v>1931.0</c:v>
                </c:pt>
                <c:pt idx="7">
                  <c:v>1850.0</c:v>
                </c:pt>
                <c:pt idx="8">
                  <c:v>2157.0</c:v>
                </c:pt>
                <c:pt idx="9">
                  <c:v>2011.0</c:v>
                </c:pt>
                <c:pt idx="10">
                  <c:v>2043.0</c:v>
                </c:pt>
                <c:pt idx="11">
                  <c:v>2628.0</c:v>
                </c:pt>
                <c:pt idx="12">
                  <c:v>2332.0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219280"/>
        <c:axId val="865223360"/>
      </c:lineChart>
      <c:catAx>
        <c:axId val="865219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65223360"/>
        <c:crosses val="autoZero"/>
        <c:auto val="1"/>
        <c:lblAlgn val="ctr"/>
        <c:lblOffset val="100"/>
        <c:noMultiLvlLbl val="0"/>
      </c:catAx>
      <c:valAx>
        <c:axId val="865223360"/>
        <c:scaling>
          <c:orientation val="minMax"/>
          <c:max val="2728.0"/>
          <c:min val="1750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865219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Amount for Shipping Charge Corrections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Charges!$M$9:$M$21</c:f>
              <c:numCache>
                <c:formatCode>"$"#,###,##0.00</c:formatCode>
                <c:ptCount val="13"/>
                <c:pt idx="0">
                  <c:v>1936.17999510281</c:v>
                </c:pt>
                <c:pt idx="1">
                  <c:v>1698.02999472432</c:v>
                </c:pt>
                <c:pt idx="2">
                  <c:v>1858.92999595776</c:v>
                </c:pt>
                <c:pt idx="3">
                  <c:v>2404.12999921478</c:v>
                </c:pt>
                <c:pt idx="4">
                  <c:v>1628.47999761812</c:v>
                </c:pt>
                <c:pt idx="5">
                  <c:v>2120.05999698862</c:v>
                </c:pt>
                <c:pt idx="6">
                  <c:v>1992.90999802761</c:v>
                </c:pt>
                <c:pt idx="7">
                  <c:v>2168.00000067428</c:v>
                </c:pt>
                <c:pt idx="8">
                  <c:v>2083.84000157192</c:v>
                </c:pt>
                <c:pt idx="9">
                  <c:v>2002.35999760963</c:v>
                </c:pt>
                <c:pt idx="10">
                  <c:v>1962.38000013493</c:v>
                </c:pt>
                <c:pt idx="11">
                  <c:v>2411.28000164218</c:v>
                </c:pt>
                <c:pt idx="12">
                  <c:v>2251.1500122305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509760"/>
        <c:axId val="684806912"/>
      </c:lineChart>
      <c:catAx>
        <c:axId val="813509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84806912"/>
        <c:crosses val="autoZero"/>
        <c:auto val="1"/>
        <c:lblAlgn val="ctr"/>
        <c:lblOffset val="100"/>
        <c:noMultiLvlLbl val="0"/>
      </c:catAx>
      <c:valAx>
        <c:axId val="684806912"/>
        <c:scaling>
          <c:orientation val="minMax"/>
          <c:max val="2511.28000164"/>
          <c:min val="1528.47999762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8135097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 of Address Corrections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Charges!$R$9:$R$21</c:f>
              <c:numCache>
                <c:formatCode>##,##0</c:formatCode>
                <c:ptCount val="13"/>
                <c:pt idx="0">
                  <c:v>50.0</c:v>
                </c:pt>
                <c:pt idx="1">
                  <c:v>54.0</c:v>
                </c:pt>
                <c:pt idx="2">
                  <c:v>65.0</c:v>
                </c:pt>
                <c:pt idx="3">
                  <c:v>60.0</c:v>
                </c:pt>
                <c:pt idx="4">
                  <c:v>44.0</c:v>
                </c:pt>
                <c:pt idx="5">
                  <c:v>54.0</c:v>
                </c:pt>
                <c:pt idx="6">
                  <c:v>58.0</c:v>
                </c:pt>
                <c:pt idx="7">
                  <c:v>47.0</c:v>
                </c:pt>
                <c:pt idx="8">
                  <c:v>55.0</c:v>
                </c:pt>
                <c:pt idx="9">
                  <c:v>56.0</c:v>
                </c:pt>
                <c:pt idx="10">
                  <c:v>49.0</c:v>
                </c:pt>
                <c:pt idx="11">
                  <c:v>39.0</c:v>
                </c:pt>
                <c:pt idx="12">
                  <c:v>44.0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040928"/>
        <c:axId val="830045008"/>
      </c:lineChart>
      <c:catAx>
        <c:axId val="830040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30045008"/>
        <c:crosses val="autoZero"/>
        <c:auto val="1"/>
        <c:lblAlgn val="ctr"/>
        <c:lblOffset val="100"/>
        <c:noMultiLvlLbl val="0"/>
      </c:catAx>
      <c:valAx>
        <c:axId val="830045008"/>
        <c:scaling>
          <c:orientation val="minMax"/>
          <c:max val="75.0"/>
          <c:min val="29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8300409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Amount for Address Corrections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Charges!$T$9:$T$21</c:f>
              <c:numCache>
                <c:formatCode>"$"#,###,##0.00</c:formatCode>
                <c:ptCount val="13"/>
                <c:pt idx="0">
                  <c:v>625.0</c:v>
                </c:pt>
                <c:pt idx="1">
                  <c:v>675.0</c:v>
                </c:pt>
                <c:pt idx="2">
                  <c:v>812.5</c:v>
                </c:pt>
                <c:pt idx="3">
                  <c:v>754.0</c:v>
                </c:pt>
                <c:pt idx="4">
                  <c:v>572.0</c:v>
                </c:pt>
                <c:pt idx="5">
                  <c:v>702.0</c:v>
                </c:pt>
                <c:pt idx="6">
                  <c:v>754.0</c:v>
                </c:pt>
                <c:pt idx="7">
                  <c:v>611.0</c:v>
                </c:pt>
                <c:pt idx="8">
                  <c:v>715.0</c:v>
                </c:pt>
                <c:pt idx="9">
                  <c:v>728.0</c:v>
                </c:pt>
                <c:pt idx="10">
                  <c:v>637.0</c:v>
                </c:pt>
                <c:pt idx="11">
                  <c:v>507.0</c:v>
                </c:pt>
                <c:pt idx="12">
                  <c:v>572.0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405712"/>
        <c:axId val="825605440"/>
      </c:lineChart>
      <c:catAx>
        <c:axId val="759405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25605440"/>
        <c:crosses val="autoZero"/>
        <c:auto val="1"/>
        <c:lblAlgn val="ctr"/>
        <c:lblOffset val="100"/>
        <c:noMultiLvlLbl val="0"/>
      </c:catAx>
      <c:valAx>
        <c:axId val="825605440"/>
        <c:scaling>
          <c:orientation val="minMax"/>
          <c:max val="822.5"/>
          <c:min val="497.0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7594057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 of Delivery/Extended/Remote Charges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Charges!$Y$9:$Y$21</c:f>
              <c:numCache>
                <c:formatCode>##,##0</c:formatCode>
                <c:ptCount val="13"/>
                <c:pt idx="0">
                  <c:v>2252.0</c:v>
                </c:pt>
                <c:pt idx="1">
                  <c:v>2539.0</c:v>
                </c:pt>
                <c:pt idx="2">
                  <c:v>3074.0</c:v>
                </c:pt>
                <c:pt idx="3">
                  <c:v>3209.0</c:v>
                </c:pt>
                <c:pt idx="4">
                  <c:v>2728.0</c:v>
                </c:pt>
                <c:pt idx="5">
                  <c:v>2756.0</c:v>
                </c:pt>
                <c:pt idx="6">
                  <c:v>3108.0</c:v>
                </c:pt>
                <c:pt idx="7">
                  <c:v>2701.0</c:v>
                </c:pt>
                <c:pt idx="8">
                  <c:v>2600.0</c:v>
                </c:pt>
                <c:pt idx="9">
                  <c:v>2573.0</c:v>
                </c:pt>
                <c:pt idx="10">
                  <c:v>2668.0</c:v>
                </c:pt>
                <c:pt idx="11">
                  <c:v>2691.0</c:v>
                </c:pt>
                <c:pt idx="12">
                  <c:v>2529.0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4037440"/>
        <c:axId val="759983472"/>
      </c:lineChart>
      <c:catAx>
        <c:axId val="8440374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59983472"/>
        <c:crosses val="autoZero"/>
        <c:auto val="1"/>
        <c:lblAlgn val="ctr"/>
        <c:lblOffset val="100"/>
        <c:noMultiLvlLbl val="0"/>
      </c:catAx>
      <c:valAx>
        <c:axId val="759983472"/>
        <c:scaling>
          <c:orientation val="minMax"/>
          <c:max val="3309.0"/>
          <c:min val="2152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8440374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Amount for Delivery/Extended/Remote Charges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Charges!$AA$9:$AA$21</c:f>
              <c:numCache>
                <c:formatCode>"$"#,###,##0.00</c:formatCode>
                <c:ptCount val="13"/>
                <c:pt idx="0">
                  <c:v>8855.8599960804</c:v>
                </c:pt>
                <c:pt idx="1">
                  <c:v>9758.629993438721</c:v>
                </c:pt>
                <c:pt idx="2">
                  <c:v>11623.2099764347</c:v>
                </c:pt>
                <c:pt idx="3">
                  <c:v>12709.8799808025</c:v>
                </c:pt>
                <c:pt idx="4">
                  <c:v>10529.5300271511</c:v>
                </c:pt>
                <c:pt idx="5">
                  <c:v>10082.5500206947</c:v>
                </c:pt>
                <c:pt idx="6">
                  <c:v>11629.8500256538</c:v>
                </c:pt>
                <c:pt idx="7">
                  <c:v>10040.1500146389</c:v>
                </c:pt>
                <c:pt idx="8">
                  <c:v>10022.9800055027</c:v>
                </c:pt>
                <c:pt idx="9">
                  <c:v>9282.65000271797</c:v>
                </c:pt>
                <c:pt idx="10">
                  <c:v>9596.990021467211</c:v>
                </c:pt>
                <c:pt idx="11">
                  <c:v>9707.25001215935</c:v>
                </c:pt>
                <c:pt idx="12">
                  <c:v>9511.100013971331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936672"/>
        <c:axId val="825127952"/>
      </c:lineChart>
      <c:catAx>
        <c:axId val="812936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25127952"/>
        <c:crosses val="autoZero"/>
        <c:auto val="1"/>
        <c:lblAlgn val="ctr"/>
        <c:lblOffset val="100"/>
        <c:noMultiLvlLbl val="0"/>
      </c:catAx>
      <c:valAx>
        <c:axId val="825127952"/>
        <c:scaling>
          <c:orientation val="minMax"/>
          <c:max val="12809.8799808"/>
          <c:min val="8755.859996079993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8129366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 of Fuel Charges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Charges!$AF$9:$AF$21</c:f>
              <c:numCache>
                <c:formatCode>##,##0</c:formatCode>
                <c:ptCount val="13"/>
                <c:pt idx="0">
                  <c:v>18199.0</c:v>
                </c:pt>
                <c:pt idx="1">
                  <c:v>21747.0</c:v>
                </c:pt>
                <c:pt idx="2">
                  <c:v>27465.0</c:v>
                </c:pt>
                <c:pt idx="3">
                  <c:v>25294.0</c:v>
                </c:pt>
                <c:pt idx="4">
                  <c:v>23502.0</c:v>
                </c:pt>
                <c:pt idx="5">
                  <c:v>23973.0</c:v>
                </c:pt>
                <c:pt idx="6">
                  <c:v>27601.0</c:v>
                </c:pt>
                <c:pt idx="7">
                  <c:v>24010.0</c:v>
                </c:pt>
                <c:pt idx="8">
                  <c:v>21452.0</c:v>
                </c:pt>
                <c:pt idx="9">
                  <c:v>21365.0</c:v>
                </c:pt>
                <c:pt idx="10">
                  <c:v>22376.0</c:v>
                </c:pt>
                <c:pt idx="11">
                  <c:v>22741.0</c:v>
                </c:pt>
                <c:pt idx="12">
                  <c:v>21728.0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418208"/>
        <c:axId val="809522128"/>
      </c:lineChart>
      <c:catAx>
        <c:axId val="840418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09522128"/>
        <c:crosses val="autoZero"/>
        <c:auto val="1"/>
        <c:lblAlgn val="ctr"/>
        <c:lblOffset val="100"/>
        <c:noMultiLvlLbl val="0"/>
      </c:catAx>
      <c:valAx>
        <c:axId val="809522128"/>
        <c:scaling>
          <c:orientation val="minMax"/>
          <c:max val="27701.0"/>
          <c:min val="18099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8404182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Amount for Fuel Charges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Charges!$AH$9:$AH$21</c:f>
              <c:numCache>
                <c:formatCode>"$"#,###,##0.00</c:formatCode>
                <c:ptCount val="13"/>
                <c:pt idx="0">
                  <c:v>10409.069924444</c:v>
                </c:pt>
                <c:pt idx="1">
                  <c:v>10385.4199733734</c:v>
                </c:pt>
                <c:pt idx="2">
                  <c:v>16852.5599000752</c:v>
                </c:pt>
                <c:pt idx="3">
                  <c:v>15515.8199324608</c:v>
                </c:pt>
                <c:pt idx="4">
                  <c:v>14472.1799274981</c:v>
                </c:pt>
                <c:pt idx="5">
                  <c:v>11952.4899089932</c:v>
                </c:pt>
                <c:pt idx="6">
                  <c:v>11644.5899523795</c:v>
                </c:pt>
                <c:pt idx="7">
                  <c:v>9655.87992870808</c:v>
                </c:pt>
                <c:pt idx="8">
                  <c:v>10035.9899835736</c:v>
                </c:pt>
                <c:pt idx="9">
                  <c:v>10431.3900030255</c:v>
                </c:pt>
                <c:pt idx="10">
                  <c:v>12061.9199841022</c:v>
                </c:pt>
                <c:pt idx="11">
                  <c:v>13585.4100636542</c:v>
                </c:pt>
                <c:pt idx="12">
                  <c:v>12070.689991653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2896896"/>
        <c:axId val="741310800"/>
      </c:lineChart>
      <c:catAx>
        <c:axId val="8428968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41310800"/>
        <c:crosses val="autoZero"/>
        <c:auto val="1"/>
        <c:lblAlgn val="ctr"/>
        <c:lblOffset val="100"/>
        <c:noMultiLvlLbl val="0"/>
      </c:catAx>
      <c:valAx>
        <c:axId val="741310800"/>
        <c:scaling>
          <c:orientation val="minMax"/>
          <c:max val="16952.5599001"/>
          <c:min val="9555.879928709996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8428968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 of Residential Charges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Charges!$AM$9:$AM$21</c:f>
              <c:numCache>
                <c:formatCode>##,##0</c:formatCode>
                <c:ptCount val="13"/>
                <c:pt idx="0">
                  <c:v>10784.0</c:v>
                </c:pt>
                <c:pt idx="1">
                  <c:v>12928.0</c:v>
                </c:pt>
                <c:pt idx="2">
                  <c:v>17724.0</c:v>
                </c:pt>
                <c:pt idx="3">
                  <c:v>17521.0</c:v>
                </c:pt>
                <c:pt idx="4">
                  <c:v>14880.0</c:v>
                </c:pt>
                <c:pt idx="5">
                  <c:v>14437.0</c:v>
                </c:pt>
                <c:pt idx="6">
                  <c:v>17268.0</c:v>
                </c:pt>
                <c:pt idx="7">
                  <c:v>14480.0</c:v>
                </c:pt>
                <c:pt idx="8">
                  <c:v>13105.0</c:v>
                </c:pt>
                <c:pt idx="9">
                  <c:v>12801.0</c:v>
                </c:pt>
                <c:pt idx="10">
                  <c:v>14152.0</c:v>
                </c:pt>
                <c:pt idx="11">
                  <c:v>14303.0</c:v>
                </c:pt>
                <c:pt idx="12">
                  <c:v>13500.0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891696"/>
        <c:axId val="759480096"/>
      </c:lineChart>
      <c:catAx>
        <c:axId val="811891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59480096"/>
        <c:crosses val="autoZero"/>
        <c:auto val="1"/>
        <c:lblAlgn val="ctr"/>
        <c:lblOffset val="100"/>
        <c:noMultiLvlLbl val="0"/>
      </c:catAx>
      <c:valAx>
        <c:axId val="759480096"/>
        <c:scaling>
          <c:orientation val="minMax"/>
          <c:max val="17824.0"/>
          <c:min val="10684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8118916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Amount for Residential Charges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Charges!$AO$9:$AO$21</c:f>
              <c:numCache>
                <c:formatCode>"$"#,###,##0.00</c:formatCode>
                <c:ptCount val="13"/>
                <c:pt idx="0">
                  <c:v>24341.5394387245</c:v>
                </c:pt>
                <c:pt idx="1">
                  <c:v>29237.1893174648</c:v>
                </c:pt>
                <c:pt idx="2">
                  <c:v>39261.449205637</c:v>
                </c:pt>
                <c:pt idx="3">
                  <c:v>39713.509005785</c:v>
                </c:pt>
                <c:pt idx="4">
                  <c:v>34164.3889417648</c:v>
                </c:pt>
                <c:pt idx="5">
                  <c:v>33334.2390072346</c:v>
                </c:pt>
                <c:pt idx="6">
                  <c:v>39639.6587705612</c:v>
                </c:pt>
                <c:pt idx="7">
                  <c:v>33495.5290155411</c:v>
                </c:pt>
                <c:pt idx="8">
                  <c:v>30117.3690731525</c:v>
                </c:pt>
                <c:pt idx="9">
                  <c:v>28498.219193697</c:v>
                </c:pt>
                <c:pt idx="10">
                  <c:v>28374.6296129227</c:v>
                </c:pt>
                <c:pt idx="11">
                  <c:v>28539.7696018219</c:v>
                </c:pt>
                <c:pt idx="12">
                  <c:v>26882.949621439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4401728"/>
        <c:axId val="813620656"/>
      </c:lineChart>
      <c:catAx>
        <c:axId val="824401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13620656"/>
        <c:crosses val="autoZero"/>
        <c:auto val="1"/>
        <c:lblAlgn val="ctr"/>
        <c:lblOffset val="100"/>
        <c:noMultiLvlLbl val="0"/>
      </c:catAx>
      <c:valAx>
        <c:axId val="813620656"/>
        <c:scaling>
          <c:orientation val="minMax"/>
          <c:max val="39813.5090058"/>
          <c:min val="24241.5394387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8244017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 of Misc. Charges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Charges!$AT$9:$AT$21</c:f>
              <c:numCache>
                <c:formatCode>##,##0</c:formatCode>
                <c:ptCount val="13"/>
                <c:pt idx="0">
                  <c:v>45.0</c:v>
                </c:pt>
                <c:pt idx="1">
                  <c:v>59.0</c:v>
                </c:pt>
                <c:pt idx="2">
                  <c:v>44.0</c:v>
                </c:pt>
                <c:pt idx="3">
                  <c:v>63.0</c:v>
                </c:pt>
                <c:pt idx="4">
                  <c:v>52.0</c:v>
                </c:pt>
                <c:pt idx="5">
                  <c:v>33.0</c:v>
                </c:pt>
                <c:pt idx="6">
                  <c:v>39.0</c:v>
                </c:pt>
                <c:pt idx="7">
                  <c:v>41.0</c:v>
                </c:pt>
                <c:pt idx="8">
                  <c:v>48.0</c:v>
                </c:pt>
                <c:pt idx="9">
                  <c:v>43.0</c:v>
                </c:pt>
                <c:pt idx="10">
                  <c:v>31.0</c:v>
                </c:pt>
                <c:pt idx="11">
                  <c:v>34.0</c:v>
                </c:pt>
                <c:pt idx="12">
                  <c:v>36.0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436816"/>
        <c:axId val="811889296"/>
      </c:lineChart>
      <c:catAx>
        <c:axId val="810436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11889296"/>
        <c:crosses val="autoZero"/>
        <c:auto val="1"/>
        <c:lblAlgn val="ctr"/>
        <c:lblOffset val="100"/>
        <c:noMultiLvlLbl val="0"/>
      </c:catAx>
      <c:valAx>
        <c:axId val="811889296"/>
        <c:scaling>
          <c:orientation val="minMax"/>
          <c:max val="73.0"/>
          <c:min val="21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810436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Amount for Misc. Charges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Charges!$C$9:$C$21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Charges!$AV$9:$AV$21</c:f>
              <c:numCache>
                <c:formatCode>"$"#,###,##0.00</c:formatCode>
                <c:ptCount val="13"/>
                <c:pt idx="0">
                  <c:v>398.270000576973</c:v>
                </c:pt>
                <c:pt idx="1">
                  <c:v>584.920001506805</c:v>
                </c:pt>
                <c:pt idx="2">
                  <c:v>430.440000295639</c:v>
                </c:pt>
                <c:pt idx="3">
                  <c:v>549.799997329712</c:v>
                </c:pt>
                <c:pt idx="4">
                  <c:v>512.719999074936</c:v>
                </c:pt>
                <c:pt idx="5">
                  <c:v>311.819999694824</c:v>
                </c:pt>
                <c:pt idx="6">
                  <c:v>389.679999351501</c:v>
                </c:pt>
                <c:pt idx="7">
                  <c:v>404.409999847412</c:v>
                </c:pt>
                <c:pt idx="8">
                  <c:v>523.109998941422</c:v>
                </c:pt>
                <c:pt idx="9">
                  <c:v>434.719998434186</c:v>
                </c:pt>
                <c:pt idx="10">
                  <c:v>325.509998679161</c:v>
                </c:pt>
                <c:pt idx="11">
                  <c:v>324.660000085831</c:v>
                </c:pt>
                <c:pt idx="12">
                  <c:v>331.72999894619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857328"/>
        <c:axId val="741279712"/>
      </c:lineChart>
      <c:catAx>
        <c:axId val="8398573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41279712"/>
        <c:crosses val="autoZero"/>
        <c:auto val="1"/>
        <c:lblAlgn val="ctr"/>
        <c:lblOffset val="100"/>
        <c:noMultiLvlLbl val="0"/>
      </c:catAx>
      <c:valAx>
        <c:axId val="741279712"/>
        <c:scaling>
          <c:orientation val="minMax"/>
          <c:max val="594.920001507"/>
          <c:min val="301.819999695"/>
        </c:scaling>
        <c:delete val="0"/>
        <c:axPos val="l"/>
        <c:majorGridlines/>
        <c:numFmt formatCode="&quot;$&quot;#,###,##0" sourceLinked="0"/>
        <c:majorTickMark val="out"/>
        <c:minorTickMark val="none"/>
        <c:tickLblPos val="nextTo"/>
        <c:crossAx val="8398573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Free Shipping within Ground: Count of Non Reseller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Free_Shipping!$C$9:$C$21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Free_Shipping!$D$9:$D$21</c:f>
              <c:numCache>
                <c:formatCode>##,##0</c:formatCode>
                <c:ptCount val="13"/>
                <c:pt idx="0">
                  <c:v>1212.0</c:v>
                </c:pt>
                <c:pt idx="1">
                  <c:v>1258.0</c:v>
                </c:pt>
                <c:pt idx="2">
                  <c:v>1666.0</c:v>
                </c:pt>
                <c:pt idx="3">
                  <c:v>1299.0</c:v>
                </c:pt>
                <c:pt idx="4">
                  <c:v>1279.0</c:v>
                </c:pt>
                <c:pt idx="5">
                  <c:v>1461.0</c:v>
                </c:pt>
                <c:pt idx="6">
                  <c:v>1530.0</c:v>
                </c:pt>
                <c:pt idx="7">
                  <c:v>1431.0</c:v>
                </c:pt>
                <c:pt idx="8">
                  <c:v>1433.0</c:v>
                </c:pt>
                <c:pt idx="9">
                  <c:v>1403.0</c:v>
                </c:pt>
                <c:pt idx="10">
                  <c:v>1261.0</c:v>
                </c:pt>
                <c:pt idx="11">
                  <c:v>1847.0</c:v>
                </c:pt>
                <c:pt idx="12">
                  <c:v>1427.0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6538032"/>
        <c:axId val="756525232"/>
      </c:lineChart>
      <c:catAx>
        <c:axId val="7565380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56525232"/>
        <c:crosses val="autoZero"/>
        <c:auto val="1"/>
        <c:lblAlgn val="ctr"/>
        <c:lblOffset val="100"/>
        <c:noMultiLvlLbl val="0"/>
      </c:catAx>
      <c:valAx>
        <c:axId val="756525232"/>
        <c:scaling>
          <c:orientation val="minMax"/>
          <c:max val="1947.0"/>
          <c:min val="1112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7565380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Free Shipping within Ground: Count of Reseller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Free_Shipping!$C$9:$C$21</c:f>
              <c:strCache>
                <c:ptCount val="13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  <c:pt idx="12">
                  <c:v>September</c:v>
                </c:pt>
              </c:strCache>
            </c:strRef>
          </c:cat>
          <c:val>
            <c:numRef>
              <c:f>Free_Shipping!$M$9:$M$21</c:f>
              <c:numCache>
                <c:formatCode>##,##0</c:formatCode>
                <c:ptCount val="13"/>
                <c:pt idx="0">
                  <c:v>195.0</c:v>
                </c:pt>
                <c:pt idx="1">
                  <c:v>194.0</c:v>
                </c:pt>
                <c:pt idx="2">
                  <c:v>190.0</c:v>
                </c:pt>
                <c:pt idx="3">
                  <c:v>200.0</c:v>
                </c:pt>
                <c:pt idx="4">
                  <c:v>221.0</c:v>
                </c:pt>
                <c:pt idx="5">
                  <c:v>227.0</c:v>
                </c:pt>
                <c:pt idx="6">
                  <c:v>284.0</c:v>
                </c:pt>
                <c:pt idx="7">
                  <c:v>275.0</c:v>
                </c:pt>
                <c:pt idx="8">
                  <c:v>252.0</c:v>
                </c:pt>
                <c:pt idx="9">
                  <c:v>267.0</c:v>
                </c:pt>
                <c:pt idx="10">
                  <c:v>222.0</c:v>
                </c:pt>
                <c:pt idx="11">
                  <c:v>241.0</c:v>
                </c:pt>
                <c:pt idx="12">
                  <c:v>242.0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5033408"/>
        <c:axId val="865162416"/>
      </c:lineChart>
      <c:catAx>
        <c:axId val="8450334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65162416"/>
        <c:crosses val="autoZero"/>
        <c:auto val="1"/>
        <c:lblAlgn val="ctr"/>
        <c:lblOffset val="100"/>
        <c:noMultiLvlLbl val="0"/>
      </c:catAx>
      <c:valAx>
        <c:axId val="865162416"/>
        <c:scaling>
          <c:orientation val="minMax"/>
          <c:max val="334.0"/>
          <c:min val="140.0"/>
        </c:scaling>
        <c:delete val="0"/>
        <c:axPos val="l"/>
        <c:majorGridlines/>
        <c:numFmt formatCode="#,###,##0" sourceLinked="0"/>
        <c:majorTickMark val="out"/>
        <c:minorTickMark val="none"/>
        <c:tickLblPos val="nextTo"/>
        <c:crossAx val="8450334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1" Type="http://schemas.openxmlformats.org/officeDocument/2006/relationships/chart" Target="../charts/chart16.xml"/><Relationship Id="rId12" Type="http://schemas.openxmlformats.org/officeDocument/2006/relationships/chart" Target="../charts/chart17.xml"/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Relationship Id="rId8" Type="http://schemas.openxmlformats.org/officeDocument/2006/relationships/chart" Target="../charts/chart13.xml"/><Relationship Id="rId9" Type="http://schemas.openxmlformats.org/officeDocument/2006/relationships/chart" Target="../charts/chart14.xml"/><Relationship Id="rId10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11" Type="http://schemas.openxmlformats.org/officeDocument/2006/relationships/chart" Target="../charts/chart28.xml"/><Relationship Id="rId12" Type="http://schemas.openxmlformats.org/officeDocument/2006/relationships/chart" Target="../charts/chart29.xml"/><Relationship Id="rId13" Type="http://schemas.openxmlformats.org/officeDocument/2006/relationships/chart" Target="../charts/chart30.xml"/><Relationship Id="rId14" Type="http://schemas.openxmlformats.org/officeDocument/2006/relationships/chart" Target="../charts/chart31.xml"/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Relationship Id="rId4" Type="http://schemas.openxmlformats.org/officeDocument/2006/relationships/chart" Target="../charts/chart21.xml"/><Relationship Id="rId5" Type="http://schemas.openxmlformats.org/officeDocument/2006/relationships/chart" Target="../charts/chart22.xml"/><Relationship Id="rId6" Type="http://schemas.openxmlformats.org/officeDocument/2006/relationships/chart" Target="../charts/chart23.xml"/><Relationship Id="rId7" Type="http://schemas.openxmlformats.org/officeDocument/2006/relationships/chart" Target="../charts/chart24.xml"/><Relationship Id="rId8" Type="http://schemas.openxmlformats.org/officeDocument/2006/relationships/chart" Target="../charts/chart25.xml"/><Relationship Id="rId9" Type="http://schemas.openxmlformats.org/officeDocument/2006/relationships/chart" Target="../charts/chart26.xml"/><Relationship Id="rId10" Type="http://schemas.openxmlformats.org/officeDocument/2006/relationships/chart" Target="../charts/chart2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22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22</xdr:row>
      <xdr:rowOff>0</xdr:rowOff>
    </xdr:from>
    <xdr:to>
      <xdr:col>19</xdr:col>
      <xdr:colOff>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22</xdr:row>
      <xdr:rowOff>0</xdr:rowOff>
    </xdr:from>
    <xdr:to>
      <xdr:col>26</xdr:col>
      <xdr:colOff>0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22</xdr:row>
      <xdr:rowOff>0</xdr:rowOff>
    </xdr:from>
    <xdr:to>
      <xdr:col>34</xdr:col>
      <xdr:colOff>9525</xdr:colOff>
      <xdr:row>36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0</xdr:colOff>
      <xdr:row>53</xdr:row>
      <xdr:rowOff>0</xdr:rowOff>
    </xdr:from>
    <xdr:to>
      <xdr:col>34</xdr:col>
      <xdr:colOff>9525</xdr:colOff>
      <xdr:row>67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6</xdr:col>
      <xdr:colOff>0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13</xdr:col>
      <xdr:colOff>0</xdr:colOff>
      <xdr:row>51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37</xdr:row>
      <xdr:rowOff>0</xdr:rowOff>
    </xdr:from>
    <xdr:to>
      <xdr:col>20</xdr:col>
      <xdr:colOff>0</xdr:colOff>
      <xdr:row>51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0</xdr:colOff>
      <xdr:row>22</xdr:row>
      <xdr:rowOff>0</xdr:rowOff>
    </xdr:from>
    <xdr:to>
      <xdr:col>27</xdr:col>
      <xdr:colOff>0</xdr:colOff>
      <xdr:row>36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0</xdr:colOff>
      <xdr:row>37</xdr:row>
      <xdr:rowOff>0</xdr:rowOff>
    </xdr:from>
    <xdr:to>
      <xdr:col>27</xdr:col>
      <xdr:colOff>0</xdr:colOff>
      <xdr:row>51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0</xdr:colOff>
      <xdr:row>22</xdr:row>
      <xdr:rowOff>0</xdr:rowOff>
    </xdr:from>
    <xdr:to>
      <xdr:col>34</xdr:col>
      <xdr:colOff>0</xdr:colOff>
      <xdr:row>36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29</xdr:col>
      <xdr:colOff>0</xdr:colOff>
      <xdr:row>37</xdr:row>
      <xdr:rowOff>0</xdr:rowOff>
    </xdr:from>
    <xdr:to>
      <xdr:col>34</xdr:col>
      <xdr:colOff>0</xdr:colOff>
      <xdr:row>51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36</xdr:col>
      <xdr:colOff>0</xdr:colOff>
      <xdr:row>22</xdr:row>
      <xdr:rowOff>0</xdr:rowOff>
    </xdr:from>
    <xdr:to>
      <xdr:col>41</xdr:col>
      <xdr:colOff>0</xdr:colOff>
      <xdr:row>36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36</xdr:col>
      <xdr:colOff>0</xdr:colOff>
      <xdr:row>37</xdr:row>
      <xdr:rowOff>0</xdr:rowOff>
    </xdr:from>
    <xdr:to>
      <xdr:col>41</xdr:col>
      <xdr:colOff>0</xdr:colOff>
      <xdr:row>51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6</xdr:col>
      <xdr:colOff>0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13</xdr:col>
      <xdr:colOff>0</xdr:colOff>
      <xdr:row>51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37</xdr:row>
      <xdr:rowOff>0</xdr:rowOff>
    </xdr:from>
    <xdr:to>
      <xdr:col>20</xdr:col>
      <xdr:colOff>0</xdr:colOff>
      <xdr:row>51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0</xdr:colOff>
      <xdr:row>22</xdr:row>
      <xdr:rowOff>0</xdr:rowOff>
    </xdr:from>
    <xdr:to>
      <xdr:col>27</xdr:col>
      <xdr:colOff>0</xdr:colOff>
      <xdr:row>36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0</xdr:colOff>
      <xdr:row>37</xdr:row>
      <xdr:rowOff>0</xdr:rowOff>
    </xdr:from>
    <xdr:to>
      <xdr:col>27</xdr:col>
      <xdr:colOff>0</xdr:colOff>
      <xdr:row>51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0</xdr:colOff>
      <xdr:row>22</xdr:row>
      <xdr:rowOff>0</xdr:rowOff>
    </xdr:from>
    <xdr:to>
      <xdr:col>34</xdr:col>
      <xdr:colOff>0</xdr:colOff>
      <xdr:row>36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29</xdr:col>
      <xdr:colOff>0</xdr:colOff>
      <xdr:row>37</xdr:row>
      <xdr:rowOff>0</xdr:rowOff>
    </xdr:from>
    <xdr:to>
      <xdr:col>34</xdr:col>
      <xdr:colOff>0</xdr:colOff>
      <xdr:row>51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36</xdr:col>
      <xdr:colOff>0</xdr:colOff>
      <xdr:row>22</xdr:row>
      <xdr:rowOff>0</xdr:rowOff>
    </xdr:from>
    <xdr:to>
      <xdr:col>41</xdr:col>
      <xdr:colOff>0</xdr:colOff>
      <xdr:row>36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36</xdr:col>
      <xdr:colOff>0</xdr:colOff>
      <xdr:row>37</xdr:row>
      <xdr:rowOff>0</xdr:rowOff>
    </xdr:from>
    <xdr:to>
      <xdr:col>41</xdr:col>
      <xdr:colOff>0</xdr:colOff>
      <xdr:row>51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43</xdr:col>
      <xdr:colOff>0</xdr:colOff>
      <xdr:row>22</xdr:row>
      <xdr:rowOff>0</xdr:rowOff>
    </xdr:from>
    <xdr:to>
      <xdr:col>48</xdr:col>
      <xdr:colOff>0</xdr:colOff>
      <xdr:row>36</xdr:row>
      <xdr:rowOff>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43</xdr:col>
      <xdr:colOff>0</xdr:colOff>
      <xdr:row>37</xdr:row>
      <xdr:rowOff>0</xdr:rowOff>
    </xdr:from>
    <xdr:to>
      <xdr:col>48</xdr:col>
      <xdr:colOff>0</xdr:colOff>
      <xdr:row>51</xdr:row>
      <xdr:rowOff>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8</xdr:col>
      <xdr:colOff>9525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17</xdr:col>
      <xdr:colOff>9525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2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" max="1" width="20.6640625" customWidth="1"/>
    <col min="2" max="2" width="20.6640625" style="1" customWidth="1"/>
    <col min="3" max="9" width="20.6640625" customWidth="1"/>
    <col min="10" max="10" width="20.6640625" style="2" customWidth="1"/>
    <col min="11" max="12" width="20.6640625" style="3" customWidth="1"/>
    <col min="13" max="16" width="20.6640625" customWidth="1"/>
    <col min="17" max="17" width="20.6640625" style="1" customWidth="1"/>
    <col min="18" max="19" width="20.6640625" style="3" customWidth="1"/>
    <col min="20" max="23" width="20.6640625" customWidth="1"/>
    <col min="24" max="24" width="20.6640625" style="1" customWidth="1"/>
    <col min="25" max="26" width="20.6640625" style="3" customWidth="1"/>
    <col min="27" max="30" width="20.6640625" customWidth="1"/>
    <col min="31" max="33" width="20.6640625" style="1" customWidth="1"/>
    <col min="34" max="34" width="20.6640625" style="3" customWidth="1"/>
    <col min="35" max="35" width="20.6640625" customWidth="1"/>
  </cols>
  <sheetData>
    <row r="1" spans="1:34" ht="26" x14ac:dyDescent="0.3">
      <c r="A1" s="4" t="s">
        <v>52</v>
      </c>
    </row>
    <row r="5" spans="1:34" ht="24" x14ac:dyDescent="0.2">
      <c r="B5" s="8" t="s">
        <v>53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7" spans="1:34" ht="24" x14ac:dyDescent="0.2">
      <c r="B7" s="8" t="s">
        <v>54</v>
      </c>
      <c r="C7" s="8"/>
      <c r="D7" s="8"/>
      <c r="E7" s="8"/>
      <c r="H7" s="8" t="s">
        <v>57</v>
      </c>
      <c r="I7" s="8"/>
      <c r="J7" s="8"/>
      <c r="K7" s="8"/>
      <c r="L7" s="8"/>
      <c r="O7" s="8" t="s">
        <v>58</v>
      </c>
      <c r="P7" s="8"/>
      <c r="Q7" s="8"/>
      <c r="R7" s="8"/>
      <c r="S7" s="8"/>
      <c r="V7" s="8" t="s">
        <v>59</v>
      </c>
      <c r="W7" s="8"/>
      <c r="X7" s="8"/>
      <c r="Y7" s="8"/>
      <c r="Z7" s="8"/>
      <c r="AC7" s="8" t="s">
        <v>2</v>
      </c>
      <c r="AD7" s="8"/>
      <c r="AE7" s="8"/>
      <c r="AF7" s="8"/>
      <c r="AG7" s="8"/>
      <c r="AH7" s="8"/>
    </row>
    <row r="8" spans="1:34" x14ac:dyDescent="0.2">
      <c r="B8" s="5" t="s">
        <v>0</v>
      </c>
      <c r="C8" s="5" t="s">
        <v>1</v>
      </c>
      <c r="D8" s="5" t="s">
        <v>2</v>
      </c>
      <c r="E8" s="5" t="s">
        <v>3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O8" s="5" t="s">
        <v>8</v>
      </c>
      <c r="P8" s="5" t="s">
        <v>9</v>
      </c>
      <c r="Q8" s="5" t="s">
        <v>25</v>
      </c>
      <c r="R8" s="5" t="s">
        <v>11</v>
      </c>
      <c r="S8" s="5" t="s">
        <v>12</v>
      </c>
      <c r="V8" s="5" t="s">
        <v>8</v>
      </c>
      <c r="W8" s="5" t="s">
        <v>9</v>
      </c>
      <c r="X8" s="5" t="s">
        <v>26</v>
      </c>
      <c r="Y8" s="5" t="s">
        <v>11</v>
      </c>
      <c r="Z8" s="5" t="s">
        <v>12</v>
      </c>
      <c r="AC8" s="5" t="s">
        <v>8</v>
      </c>
      <c r="AD8" s="5" t="s">
        <v>9</v>
      </c>
      <c r="AE8" s="5" t="s">
        <v>27</v>
      </c>
      <c r="AF8" s="5" t="s">
        <v>28</v>
      </c>
      <c r="AG8" s="5" t="s">
        <v>2</v>
      </c>
      <c r="AH8" s="5" t="s">
        <v>29</v>
      </c>
    </row>
    <row r="9" spans="1:34" x14ac:dyDescent="0.2">
      <c r="B9" s="1">
        <v>293902.15999999997</v>
      </c>
      <c r="C9" s="6">
        <v>295952.76212275599</v>
      </c>
      <c r="D9" s="6">
        <v>-2050.6021227558999</v>
      </c>
      <c r="H9">
        <v>2015</v>
      </c>
      <c r="I9" t="s">
        <v>13</v>
      </c>
      <c r="J9" s="2">
        <v>18193</v>
      </c>
      <c r="O9">
        <v>2015</v>
      </c>
      <c r="P9" t="s">
        <v>13</v>
      </c>
      <c r="Q9" s="1">
        <v>251494.95</v>
      </c>
      <c r="V9">
        <v>2015</v>
      </c>
      <c r="W9" t="s">
        <v>13</v>
      </c>
      <c r="X9" s="1">
        <v>13.823720659999999</v>
      </c>
      <c r="AC9">
        <v>2015</v>
      </c>
      <c r="AD9" t="s">
        <v>13</v>
      </c>
      <c r="AE9" s="1">
        <v>249826.9</v>
      </c>
      <c r="AF9" s="1">
        <v>255111.84989235899</v>
      </c>
      <c r="AG9" s="1">
        <v>-5284.94989235923</v>
      </c>
    </row>
    <row r="10" spans="1:34" x14ac:dyDescent="0.2">
      <c r="H10">
        <v>2015</v>
      </c>
      <c r="I10" t="s">
        <v>14</v>
      </c>
      <c r="J10" s="2">
        <v>21755</v>
      </c>
      <c r="K10" s="3">
        <v>19.578958940251699</v>
      </c>
      <c r="O10">
        <v>2015</v>
      </c>
      <c r="P10" t="s">
        <v>14</v>
      </c>
      <c r="Q10" s="1">
        <v>298215.08</v>
      </c>
      <c r="R10" s="3">
        <v>18.576965461930801</v>
      </c>
      <c r="V10">
        <v>2015</v>
      </c>
      <c r="W10" t="s">
        <v>14</v>
      </c>
      <c r="X10" s="1">
        <v>13.70788692</v>
      </c>
      <c r="Y10" s="3">
        <v>-0.83793461144778802</v>
      </c>
      <c r="AC10">
        <v>2015</v>
      </c>
      <c r="AD10" t="s">
        <v>14</v>
      </c>
      <c r="AE10" s="1">
        <v>295957.49</v>
      </c>
      <c r="AF10" s="1">
        <v>299415.05014760001</v>
      </c>
      <c r="AG10" s="1">
        <v>-3457.5601476004799</v>
      </c>
      <c r="AH10" s="3">
        <v>-0.34577238800328403</v>
      </c>
    </row>
    <row r="11" spans="1:34" x14ac:dyDescent="0.2">
      <c r="H11">
        <v>2015</v>
      </c>
      <c r="I11" t="s">
        <v>15</v>
      </c>
      <c r="J11" s="2">
        <v>27481</v>
      </c>
      <c r="K11" s="3">
        <v>26.320386118133801</v>
      </c>
      <c r="O11">
        <v>2015</v>
      </c>
      <c r="P11" t="s">
        <v>15</v>
      </c>
      <c r="Q11" s="1">
        <v>374419.71</v>
      </c>
      <c r="R11" s="3">
        <v>25.553580321960901</v>
      </c>
      <c r="V11">
        <v>2015</v>
      </c>
      <c r="W11" t="s">
        <v>15</v>
      </c>
      <c r="X11" s="1">
        <v>13.624179829999999</v>
      </c>
      <c r="Y11" s="3">
        <v>-0.61064911381688602</v>
      </c>
      <c r="AC11">
        <v>2015</v>
      </c>
      <c r="AD11" t="s">
        <v>15</v>
      </c>
      <c r="AE11" s="1">
        <v>372888.12</v>
      </c>
      <c r="AF11" s="1">
        <v>374593.47042280802</v>
      </c>
      <c r="AG11" s="1">
        <v>-1705.3504228080899</v>
      </c>
      <c r="AH11" s="3">
        <v>-0.50677635384258302</v>
      </c>
    </row>
    <row r="12" spans="1:34" ht="24" x14ac:dyDescent="0.2">
      <c r="B12" s="8" t="s">
        <v>55</v>
      </c>
      <c r="C12" s="8"/>
      <c r="D12" s="8"/>
      <c r="E12" s="8"/>
      <c r="H12">
        <v>2015</v>
      </c>
      <c r="I12" t="s">
        <v>16</v>
      </c>
      <c r="J12" s="2">
        <v>25318</v>
      </c>
      <c r="K12" s="3">
        <v>-7.8708926167170103</v>
      </c>
      <c r="O12">
        <v>2015</v>
      </c>
      <c r="P12" t="s">
        <v>16</v>
      </c>
      <c r="Q12" s="1">
        <v>350681.37</v>
      </c>
      <c r="R12" s="3">
        <v>-6.3400348234872599</v>
      </c>
      <c r="V12">
        <v>2015</v>
      </c>
      <c r="W12" t="s">
        <v>16</v>
      </c>
      <c r="X12" s="1">
        <v>13.8510692</v>
      </c>
      <c r="Y12" s="3">
        <v>1.6653433295147599</v>
      </c>
      <c r="AC12">
        <v>2015</v>
      </c>
      <c r="AD12" t="s">
        <v>16</v>
      </c>
      <c r="AE12" s="1">
        <v>347490.22</v>
      </c>
      <c r="AF12" s="1">
        <v>346148.79998135898</v>
      </c>
      <c r="AG12" s="1">
        <v>1341.4200186405801</v>
      </c>
      <c r="AH12" s="3">
        <v>-1.78659494300987</v>
      </c>
    </row>
    <row r="13" spans="1:34" x14ac:dyDescent="0.2">
      <c r="B13" s="5" t="s">
        <v>4</v>
      </c>
      <c r="C13" s="5" t="s">
        <v>5</v>
      </c>
      <c r="D13" s="5" t="s">
        <v>6</v>
      </c>
      <c r="E13" s="5" t="s">
        <v>7</v>
      </c>
      <c r="H13">
        <v>2016</v>
      </c>
      <c r="I13" t="s">
        <v>17</v>
      </c>
      <c r="J13" s="2">
        <v>23517</v>
      </c>
      <c r="K13" s="3">
        <v>-7.1135160755193896</v>
      </c>
      <c r="O13">
        <v>2016</v>
      </c>
      <c r="P13" t="s">
        <v>17</v>
      </c>
      <c r="Q13" s="1">
        <v>335669.12</v>
      </c>
      <c r="R13" s="3">
        <v>-4.28088039008174</v>
      </c>
      <c r="V13">
        <v>2016</v>
      </c>
      <c r="W13" t="s">
        <v>17</v>
      </c>
      <c r="X13" s="1">
        <v>14.27346685</v>
      </c>
      <c r="Y13" s="3">
        <v>3.04956710489903</v>
      </c>
      <c r="AC13">
        <v>2016</v>
      </c>
      <c r="AD13" t="s">
        <v>17</v>
      </c>
      <c r="AE13" s="1">
        <v>333497.17</v>
      </c>
      <c r="AF13" s="1">
        <v>332445.62973202602</v>
      </c>
      <c r="AG13" s="1">
        <v>1051.5402679742001</v>
      </c>
      <c r="AH13" s="3">
        <v>-0.21609916852154401</v>
      </c>
    </row>
    <row r="14" spans="1:34" x14ac:dyDescent="0.2">
      <c r="B14" s="1">
        <v>330565.25</v>
      </c>
      <c r="C14" s="6">
        <v>319035.16188014101</v>
      </c>
      <c r="D14" s="6">
        <v>11530.0881198589</v>
      </c>
      <c r="E14" s="7">
        <v>3.4879915901199203E-2</v>
      </c>
      <c r="H14">
        <v>2016</v>
      </c>
      <c r="I14" t="s">
        <v>18</v>
      </c>
      <c r="J14" s="2">
        <v>24001</v>
      </c>
      <c r="K14" s="3">
        <v>2.0580856401752001</v>
      </c>
      <c r="O14">
        <v>2016</v>
      </c>
      <c r="P14" t="s">
        <v>18</v>
      </c>
      <c r="Q14" s="1">
        <v>333590.03000000003</v>
      </c>
      <c r="R14" s="3">
        <v>-0.61938673417441004</v>
      </c>
      <c r="V14">
        <v>2016</v>
      </c>
      <c r="W14" t="s">
        <v>18</v>
      </c>
      <c r="X14" s="1">
        <v>13.899584580000001</v>
      </c>
      <c r="Y14" s="3">
        <v>-2.6194215738133599</v>
      </c>
      <c r="AC14">
        <v>2016</v>
      </c>
      <c r="AD14" t="s">
        <v>18</v>
      </c>
      <c r="AE14" s="1">
        <v>329424.93</v>
      </c>
      <c r="AF14" s="1">
        <v>330266.54972654203</v>
      </c>
      <c r="AG14" s="1">
        <v>-841.61972654209205</v>
      </c>
      <c r="AH14" s="3">
        <v>-1.8003685186145899</v>
      </c>
    </row>
    <row r="15" spans="1:34" x14ac:dyDescent="0.2">
      <c r="H15">
        <v>2016</v>
      </c>
      <c r="I15" t="s">
        <v>19</v>
      </c>
      <c r="J15" s="2">
        <v>27620</v>
      </c>
      <c r="K15" s="3">
        <v>15.0785383942336</v>
      </c>
      <c r="O15">
        <v>2016</v>
      </c>
      <c r="P15" t="s">
        <v>19</v>
      </c>
      <c r="Q15" s="1">
        <v>369436.94</v>
      </c>
      <c r="R15" s="3">
        <v>10.7457977685964</v>
      </c>
      <c r="V15">
        <v>2016</v>
      </c>
      <c r="W15" t="s">
        <v>19</v>
      </c>
      <c r="X15" s="1">
        <v>13.37570384</v>
      </c>
      <c r="Y15" s="3">
        <v>-3.76903882979214</v>
      </c>
      <c r="AC15">
        <v>2016</v>
      </c>
      <c r="AD15" t="s">
        <v>19</v>
      </c>
      <c r="AE15" s="1">
        <v>367421.5</v>
      </c>
      <c r="AF15" s="1">
        <v>368254.78974574601</v>
      </c>
      <c r="AG15" s="1">
        <v>-833.28974574617996</v>
      </c>
      <c r="AH15" s="3">
        <v>-9.8975588774954399E-3</v>
      </c>
    </row>
    <row r="16" spans="1:34" x14ac:dyDescent="0.2">
      <c r="H16">
        <v>2016</v>
      </c>
      <c r="I16" t="s">
        <v>20</v>
      </c>
      <c r="J16" s="2">
        <v>24029</v>
      </c>
      <c r="K16" s="3">
        <v>-13.0014482259232</v>
      </c>
      <c r="O16">
        <v>2016</v>
      </c>
      <c r="P16" t="s">
        <v>20</v>
      </c>
      <c r="Q16" s="1">
        <v>331873.61</v>
      </c>
      <c r="R16" s="3">
        <v>-10.167724429506199</v>
      </c>
      <c r="V16">
        <v>2016</v>
      </c>
      <c r="W16" t="s">
        <v>20</v>
      </c>
      <c r="X16" s="1">
        <v>13.81137833</v>
      </c>
      <c r="Y16" s="3">
        <v>3.25720795863556</v>
      </c>
      <c r="AC16">
        <v>2016</v>
      </c>
      <c r="AD16" t="s">
        <v>20</v>
      </c>
      <c r="AE16" s="1">
        <v>328609.07</v>
      </c>
      <c r="AF16" s="1">
        <v>328815.26962314901</v>
      </c>
      <c r="AG16" s="1">
        <v>-206.19962314917899</v>
      </c>
      <c r="AH16" s="3">
        <v>-0.75254750919257396</v>
      </c>
    </row>
    <row r="17" spans="2:34" ht="24" x14ac:dyDescent="0.2">
      <c r="B17" s="8" t="s">
        <v>56</v>
      </c>
      <c r="C17" s="8"/>
      <c r="D17" s="8"/>
      <c r="E17" s="8"/>
      <c r="H17">
        <v>2016</v>
      </c>
      <c r="I17" t="s">
        <v>21</v>
      </c>
      <c r="J17" s="2">
        <v>21460</v>
      </c>
      <c r="K17" s="3">
        <v>-10.691248075242401</v>
      </c>
      <c r="O17">
        <v>2016</v>
      </c>
      <c r="P17" t="s">
        <v>21</v>
      </c>
      <c r="Q17" s="1">
        <v>305472.95</v>
      </c>
      <c r="R17" s="3">
        <v>-7.9550344482045299</v>
      </c>
      <c r="V17">
        <v>2016</v>
      </c>
      <c r="W17" t="s">
        <v>21</v>
      </c>
      <c r="X17" s="1">
        <v>14.234527030000001</v>
      </c>
      <c r="Y17" s="3">
        <v>3.0637687990985798</v>
      </c>
      <c r="AC17">
        <v>2016</v>
      </c>
      <c r="AD17" t="s">
        <v>21</v>
      </c>
      <c r="AE17" s="1">
        <v>303290.40000000002</v>
      </c>
      <c r="AF17" s="1">
        <v>306118.73973894498</v>
      </c>
      <c r="AG17" s="1">
        <v>-2828.3397389448901</v>
      </c>
      <c r="AH17" s="3">
        <v>12.7165126480308</v>
      </c>
    </row>
    <row r="18" spans="2:34" x14ac:dyDescent="0.2">
      <c r="B18" s="5" t="s">
        <v>30</v>
      </c>
      <c r="C18" s="5" t="s">
        <v>31</v>
      </c>
      <c r="D18" s="5" t="s">
        <v>32</v>
      </c>
      <c r="E18" s="5" t="s">
        <v>33</v>
      </c>
      <c r="H18">
        <v>2016</v>
      </c>
      <c r="I18" t="s">
        <v>22</v>
      </c>
      <c r="J18" s="2">
        <v>21377</v>
      </c>
      <c r="K18" s="3">
        <v>-0.38676607642125199</v>
      </c>
      <c r="O18">
        <v>2016</v>
      </c>
      <c r="P18" t="s">
        <v>22</v>
      </c>
      <c r="Q18" s="1">
        <v>295776.34999999998</v>
      </c>
      <c r="R18" s="3">
        <v>-3.1742908823842</v>
      </c>
      <c r="V18">
        <v>2016</v>
      </c>
      <c r="W18" t="s">
        <v>22</v>
      </c>
      <c r="X18" s="1">
        <v>13.83684272</v>
      </c>
      <c r="Y18" s="3">
        <v>-2.79380065921305</v>
      </c>
      <c r="AC18">
        <v>2016</v>
      </c>
      <c r="AD18" t="s">
        <v>22</v>
      </c>
      <c r="AE18" s="1">
        <v>292492.58</v>
      </c>
      <c r="AF18" s="1">
        <v>293411.37001375301</v>
      </c>
      <c r="AG18" s="1">
        <v>-918.79001375293603</v>
      </c>
      <c r="AH18" s="3">
        <v>-0.67514863893413002</v>
      </c>
    </row>
    <row r="19" spans="2:34" x14ac:dyDescent="0.2">
      <c r="B19" s="1" t="s">
        <v>34</v>
      </c>
      <c r="C19">
        <v>97</v>
      </c>
      <c r="D19" s="7">
        <v>6.0436137071651103E-2</v>
      </c>
      <c r="E19" s="6">
        <v>3288.5899910926801</v>
      </c>
      <c r="H19">
        <v>2016</v>
      </c>
      <c r="I19" t="s">
        <v>23</v>
      </c>
      <c r="J19" s="2">
        <v>22386</v>
      </c>
      <c r="K19" s="3">
        <v>4.7200261963792798</v>
      </c>
      <c r="O19">
        <v>2016</v>
      </c>
      <c r="P19" t="s">
        <v>23</v>
      </c>
      <c r="Q19" s="1">
        <v>284886.59000000003</v>
      </c>
      <c r="R19" s="3">
        <v>-3.6817548123776498</v>
      </c>
      <c r="V19">
        <v>2016</v>
      </c>
      <c r="W19" t="s">
        <v>23</v>
      </c>
      <c r="X19" s="1">
        <v>12.72667367</v>
      </c>
      <c r="Y19" s="3">
        <v>-8.0232830022367896</v>
      </c>
      <c r="AC19">
        <v>2016</v>
      </c>
      <c r="AD19" t="s">
        <v>23</v>
      </c>
      <c r="AE19" s="1">
        <v>283417.88</v>
      </c>
      <c r="AF19" s="1">
        <v>287043.20165052102</v>
      </c>
      <c r="AG19" s="1">
        <v>-3625.3216505207802</v>
      </c>
      <c r="AH19" s="3">
        <v>2.9457564799954801</v>
      </c>
    </row>
    <row r="20" spans="2:34" x14ac:dyDescent="0.2">
      <c r="B20" s="1" t="s">
        <v>35</v>
      </c>
      <c r="C20">
        <v>30</v>
      </c>
      <c r="D20" s="7">
        <v>6.0362173038229397E-2</v>
      </c>
      <c r="E20" s="6">
        <v>1244.4599971771199</v>
      </c>
      <c r="H20">
        <v>2016</v>
      </c>
      <c r="I20" t="s">
        <v>24</v>
      </c>
      <c r="J20" s="2">
        <v>22764</v>
      </c>
      <c r="K20" s="3">
        <v>1.6885553470919401</v>
      </c>
      <c r="O20">
        <v>2016</v>
      </c>
      <c r="P20" t="s">
        <v>24</v>
      </c>
      <c r="Q20" s="1">
        <v>294107.78000000003</v>
      </c>
      <c r="R20" s="3">
        <v>3.23679327973985</v>
      </c>
      <c r="V20">
        <v>2016</v>
      </c>
      <c r="W20" t="s">
        <v>24</v>
      </c>
      <c r="X20" s="1">
        <v>12.91986382</v>
      </c>
      <c r="Y20" s="3">
        <v>1.51799405727986</v>
      </c>
      <c r="AC20">
        <v>2016</v>
      </c>
      <c r="AD20" t="s">
        <v>24</v>
      </c>
      <c r="AE20" s="1">
        <v>292729.81</v>
      </c>
      <c r="AF20" s="1">
        <v>300095.05194094998</v>
      </c>
      <c r="AG20" s="1">
        <v>-7365.2419409496397</v>
      </c>
      <c r="AH20" s="3">
        <v>1.0316106130587399</v>
      </c>
    </row>
    <row r="21" spans="2:34" x14ac:dyDescent="0.2">
      <c r="B21" s="1" t="s">
        <v>36</v>
      </c>
      <c r="C21">
        <v>31</v>
      </c>
      <c r="D21" s="7">
        <v>0.10763888888888901</v>
      </c>
      <c r="E21" s="6">
        <v>1170.70997428894</v>
      </c>
      <c r="H21">
        <v>2016</v>
      </c>
      <c r="I21" t="s">
        <v>13</v>
      </c>
      <c r="J21" s="2">
        <v>21759</v>
      </c>
      <c r="K21" s="3">
        <v>-4.4148655772272001</v>
      </c>
      <c r="L21" s="3">
        <v>19.600945418567601</v>
      </c>
      <c r="O21">
        <v>2016</v>
      </c>
      <c r="P21" t="s">
        <v>13</v>
      </c>
      <c r="Q21" s="1">
        <v>296393.44</v>
      </c>
      <c r="R21" s="3">
        <v>0.77715047184401298</v>
      </c>
      <c r="S21" s="3">
        <v>17.852640778671699</v>
      </c>
      <c r="V21">
        <v>2016</v>
      </c>
      <c r="W21" t="s">
        <v>13</v>
      </c>
      <c r="X21" s="1">
        <v>13.621648049999999</v>
      </c>
      <c r="Y21" s="3">
        <v>5.4318237388356598</v>
      </c>
      <c r="Z21" s="3">
        <v>-1.46178163585664</v>
      </c>
      <c r="AC21">
        <v>2016</v>
      </c>
      <c r="AD21" t="s">
        <v>13</v>
      </c>
      <c r="AE21" s="1">
        <v>293902.15999999997</v>
      </c>
      <c r="AF21" s="1">
        <v>295952.76212275599</v>
      </c>
      <c r="AG21" s="1">
        <v>-2050.6021227558999</v>
      </c>
      <c r="AH21" s="3">
        <v>-0.721583874746211</v>
      </c>
    </row>
    <row r="22" spans="2:34" x14ac:dyDescent="0.2">
      <c r="B22" s="1" t="s">
        <v>37</v>
      </c>
      <c r="C22">
        <v>5</v>
      </c>
      <c r="D22" s="7">
        <v>3.3572819445377002E-4</v>
      </c>
      <c r="E22" s="6">
        <v>31.700000762939499</v>
      </c>
    </row>
    <row r="23" spans="2:34" x14ac:dyDescent="0.2">
      <c r="B23" s="1" t="s">
        <v>38</v>
      </c>
      <c r="C23">
        <v>1</v>
      </c>
      <c r="D23" s="7">
        <v>9.9403578528827006E-4</v>
      </c>
      <c r="E23" s="6">
        <v>18.899999618530298</v>
      </c>
    </row>
    <row r="24" spans="2:34" x14ac:dyDescent="0.2">
      <c r="B24" s="1" t="s">
        <v>39</v>
      </c>
      <c r="C24">
        <v>1</v>
      </c>
      <c r="D24" s="7">
        <v>4.3898156277436299E-4</v>
      </c>
      <c r="E24" s="6">
        <v>13.670000076293899</v>
      </c>
    </row>
    <row r="25" spans="2:34" x14ac:dyDescent="0.2">
      <c r="B25" s="1" t="s">
        <v>40</v>
      </c>
      <c r="C25">
        <v>1</v>
      </c>
      <c r="D25" s="7">
        <v>8.6206896551724104E-4</v>
      </c>
      <c r="E25" s="6">
        <v>11.7700004577637</v>
      </c>
    </row>
    <row r="26" spans="2:34" x14ac:dyDescent="0.2">
      <c r="B26" s="1" t="s">
        <v>41</v>
      </c>
      <c r="C26">
        <v>195</v>
      </c>
      <c r="D26" s="7">
        <v>8.9750080544944103E-3</v>
      </c>
      <c r="E26" s="6">
        <v>5779.79996347427</v>
      </c>
    </row>
    <row r="38" spans="29:34" ht="24" x14ac:dyDescent="0.2">
      <c r="AC38" s="8" t="s">
        <v>60</v>
      </c>
      <c r="AD38" s="8"/>
      <c r="AE38" s="8"/>
      <c r="AF38" s="8"/>
      <c r="AG38" s="8"/>
      <c r="AH38" s="8"/>
    </row>
    <row r="39" spans="29:34" x14ac:dyDescent="0.2">
      <c r="AC39" s="5" t="s">
        <v>8</v>
      </c>
      <c r="AD39" s="5" t="s">
        <v>9</v>
      </c>
      <c r="AE39" s="5" t="s">
        <v>4</v>
      </c>
      <c r="AF39" s="5" t="s">
        <v>5</v>
      </c>
      <c r="AG39" s="5" t="s">
        <v>6</v>
      </c>
      <c r="AH39" s="5" t="s">
        <v>29</v>
      </c>
    </row>
    <row r="40" spans="29:34" x14ac:dyDescent="0.2">
      <c r="AC40">
        <v>2015</v>
      </c>
      <c r="AD40" t="s">
        <v>13</v>
      </c>
      <c r="AE40" s="1">
        <v>283962.14</v>
      </c>
      <c r="AF40" s="1">
        <v>274591.43998990598</v>
      </c>
      <c r="AG40" s="1">
        <v>9370.7000100942096</v>
      </c>
    </row>
    <row r="41" spans="29:34" x14ac:dyDescent="0.2">
      <c r="AC41">
        <v>2015</v>
      </c>
      <c r="AD41" t="s">
        <v>14</v>
      </c>
      <c r="AE41" s="1">
        <v>326964.65000000002</v>
      </c>
      <c r="AF41" s="1">
        <v>316727.35022670799</v>
      </c>
      <c r="AG41" s="1">
        <v>10237.2997732923</v>
      </c>
      <c r="AH41" s="3">
        <v>9.2479725342241998</v>
      </c>
    </row>
    <row r="42" spans="29:34" x14ac:dyDescent="0.2">
      <c r="AC42">
        <v>2015</v>
      </c>
      <c r="AD42" t="s">
        <v>15</v>
      </c>
      <c r="AE42" s="1">
        <v>412648.96000000002</v>
      </c>
      <c r="AF42" s="1">
        <v>397039.32052088203</v>
      </c>
      <c r="AG42" s="1">
        <v>15609.639479118499</v>
      </c>
      <c r="AH42" s="3">
        <v>52.4780930987476</v>
      </c>
    </row>
    <row r="43" spans="29:34" x14ac:dyDescent="0.2">
      <c r="AC43">
        <v>2015</v>
      </c>
      <c r="AD43" t="s">
        <v>16</v>
      </c>
      <c r="AE43" s="1">
        <v>384519.87</v>
      </c>
      <c r="AF43" s="1">
        <v>366117.30007744202</v>
      </c>
      <c r="AG43" s="1">
        <v>18402.569922557901</v>
      </c>
      <c r="AH43" s="3">
        <v>17.8923443246441</v>
      </c>
    </row>
    <row r="44" spans="29:34" x14ac:dyDescent="0.2">
      <c r="AC44">
        <v>2016</v>
      </c>
      <c r="AD44" t="s">
        <v>17</v>
      </c>
      <c r="AE44" s="1">
        <v>371675.13</v>
      </c>
      <c r="AF44" s="1">
        <v>355158.429648055</v>
      </c>
      <c r="AG44" s="1">
        <v>16516.700351945201</v>
      </c>
      <c r="AH44" s="3">
        <v>-10.247859829082699</v>
      </c>
    </row>
    <row r="45" spans="29:34" x14ac:dyDescent="0.2">
      <c r="AC45">
        <v>2016</v>
      </c>
      <c r="AD45" t="s">
        <v>18</v>
      </c>
      <c r="AE45" s="1">
        <v>365442.6</v>
      </c>
      <c r="AF45" s="1">
        <v>351850.149608668</v>
      </c>
      <c r="AG45" s="1">
        <v>13592.450391332</v>
      </c>
      <c r="AH45" s="3">
        <v>-17.704807245405998</v>
      </c>
    </row>
    <row r="46" spans="29:34" x14ac:dyDescent="0.2">
      <c r="AC46">
        <v>2016</v>
      </c>
      <c r="AD46" t="s">
        <v>19</v>
      </c>
      <c r="AE46" s="1">
        <v>413401.62</v>
      </c>
      <c r="AF46" s="1">
        <v>397532.08958715003</v>
      </c>
      <c r="AG46" s="1">
        <v>15869.530412849899</v>
      </c>
      <c r="AH46" s="3">
        <v>16.752535090875998</v>
      </c>
    </row>
    <row r="47" spans="29:34" x14ac:dyDescent="0.2">
      <c r="AC47">
        <v>2016</v>
      </c>
      <c r="AD47" t="s">
        <v>20</v>
      </c>
      <c r="AE47" s="1">
        <v>365419.68</v>
      </c>
      <c r="AF47" s="1">
        <v>351500.76960574498</v>
      </c>
      <c r="AG47" s="1">
        <v>13918.910394255399</v>
      </c>
      <c r="AH47" s="3">
        <v>-12.2916051568548</v>
      </c>
    </row>
    <row r="48" spans="29:34" x14ac:dyDescent="0.2">
      <c r="AC48">
        <v>2016</v>
      </c>
      <c r="AD48" t="s">
        <v>21</v>
      </c>
      <c r="AE48" s="1">
        <v>339449.4</v>
      </c>
      <c r="AF48" s="1">
        <v>329020.339783195</v>
      </c>
      <c r="AG48" s="1">
        <v>10429.060216804601</v>
      </c>
      <c r="AH48" s="3">
        <v>-25.072725368582599</v>
      </c>
    </row>
    <row r="49" spans="29:34" x14ac:dyDescent="0.2">
      <c r="AC49">
        <v>2016</v>
      </c>
      <c r="AD49" t="s">
        <v>22</v>
      </c>
      <c r="AE49" s="1">
        <v>329473.36</v>
      </c>
      <c r="AF49" s="1">
        <v>316041.47009495797</v>
      </c>
      <c r="AG49" s="1">
        <v>13431.8899050417</v>
      </c>
      <c r="AH49" s="3">
        <v>28.792907757867901</v>
      </c>
    </row>
    <row r="50" spans="29:34" x14ac:dyDescent="0.2">
      <c r="AC50">
        <v>2016</v>
      </c>
      <c r="AD50" t="s">
        <v>23</v>
      </c>
      <c r="AE50" s="1">
        <v>322426.7</v>
      </c>
      <c r="AF50" s="1">
        <v>312014.40178980498</v>
      </c>
      <c r="AG50" s="1">
        <v>10412.2982101951</v>
      </c>
      <c r="AH50" s="3">
        <v>-22.4807656718</v>
      </c>
    </row>
    <row r="51" spans="29:34" x14ac:dyDescent="0.2">
      <c r="AC51">
        <v>2016</v>
      </c>
      <c r="AD51" t="s">
        <v>24</v>
      </c>
      <c r="AE51" s="1">
        <v>329177.45</v>
      </c>
      <c r="AF51" s="1">
        <v>323664.05197075201</v>
      </c>
      <c r="AG51" s="1">
        <v>5513.3980292480601</v>
      </c>
      <c r="AH51" s="3">
        <v>-47.049172834392401</v>
      </c>
    </row>
    <row r="52" spans="29:34" x14ac:dyDescent="0.2">
      <c r="AC52">
        <v>2016</v>
      </c>
      <c r="AD52" t="s">
        <v>13</v>
      </c>
      <c r="AE52" s="1">
        <v>330565.25</v>
      </c>
      <c r="AF52" s="1">
        <v>319035.16188014101</v>
      </c>
      <c r="AG52" s="1">
        <v>11530.0881198589</v>
      </c>
      <c r="AH52" s="3">
        <v>109.128527610248</v>
      </c>
    </row>
  </sheetData>
  <mergeCells count="9">
    <mergeCell ref="AC38:AH38"/>
    <mergeCell ref="B5:AH5"/>
    <mergeCell ref="B7:E7"/>
    <mergeCell ref="B12:E12"/>
    <mergeCell ref="B17:E17"/>
    <mergeCell ref="H7:L7"/>
    <mergeCell ref="O7:S7"/>
    <mergeCell ref="V7:Z7"/>
    <mergeCell ref="AC7:AH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1"/>
  <sheetViews>
    <sheetView workbookViewId="0"/>
  </sheetViews>
  <sheetFormatPr baseColWidth="10" defaultColWidth="8.83203125" defaultRowHeight="15" x14ac:dyDescent="0.2"/>
  <cols>
    <col min="1" max="3" width="20.6640625" customWidth="1"/>
    <col min="4" max="4" width="20.6640625" style="1" customWidth="1"/>
    <col min="5" max="5" width="20.6640625" style="2" customWidth="1"/>
    <col min="6" max="6" width="20.6640625" style="1" customWidth="1"/>
    <col min="7" max="10" width="20.6640625" customWidth="1"/>
    <col min="11" max="11" width="20.6640625" style="1" customWidth="1"/>
    <col min="12" max="12" width="20.6640625" style="2" customWidth="1"/>
    <col min="13" max="13" width="20.6640625" style="1" customWidth="1"/>
    <col min="14" max="17" width="20.6640625" customWidth="1"/>
    <col min="18" max="18" width="20.6640625" style="1" customWidth="1"/>
    <col min="19" max="19" width="20.6640625" style="2" customWidth="1"/>
    <col min="20" max="20" width="20.6640625" style="1" customWidth="1"/>
    <col min="21" max="24" width="20.6640625" customWidth="1"/>
    <col min="25" max="25" width="20.6640625" style="1" customWidth="1"/>
    <col min="26" max="26" width="20.6640625" style="2" customWidth="1"/>
    <col min="27" max="27" width="20.6640625" style="1" customWidth="1"/>
    <col min="28" max="31" width="20.6640625" customWidth="1"/>
    <col min="32" max="32" width="20.6640625" style="1" customWidth="1"/>
    <col min="33" max="33" width="20.6640625" style="2" customWidth="1"/>
    <col min="34" max="34" width="20.6640625" style="1" customWidth="1"/>
    <col min="35" max="38" width="20.6640625" customWidth="1"/>
    <col min="39" max="39" width="20.6640625" style="1" customWidth="1"/>
    <col min="40" max="40" width="20.6640625" style="2" customWidth="1"/>
    <col min="41" max="41" width="20.6640625" style="1" customWidth="1"/>
  </cols>
  <sheetData>
    <row r="1" spans="1:41" ht="26" x14ac:dyDescent="0.3">
      <c r="A1" s="4" t="s">
        <v>61</v>
      </c>
    </row>
    <row r="5" spans="1:41" ht="24" x14ac:dyDescent="0.2">
      <c r="B5" s="8" t="s">
        <v>61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</row>
    <row r="7" spans="1:41" ht="24" x14ac:dyDescent="0.2">
      <c r="B7" s="8" t="s">
        <v>62</v>
      </c>
      <c r="C7" s="8"/>
      <c r="D7" s="8"/>
      <c r="E7" s="8"/>
      <c r="F7" s="8"/>
      <c r="I7" s="8" t="s">
        <v>63</v>
      </c>
      <c r="J7" s="8"/>
      <c r="K7" s="8"/>
      <c r="L7" s="8"/>
      <c r="M7" s="8"/>
      <c r="P7" s="8" t="s">
        <v>64</v>
      </c>
      <c r="Q7" s="8"/>
      <c r="R7" s="8"/>
      <c r="S7" s="8"/>
      <c r="T7" s="8"/>
      <c r="W7" s="8" t="s">
        <v>65</v>
      </c>
      <c r="X7" s="8"/>
      <c r="Y7" s="8"/>
      <c r="Z7" s="8"/>
      <c r="AA7" s="8"/>
      <c r="AD7" s="8" t="s">
        <v>66</v>
      </c>
      <c r="AE7" s="8"/>
      <c r="AF7" s="8"/>
      <c r="AG7" s="8"/>
      <c r="AH7" s="8"/>
      <c r="AK7" s="8" t="s">
        <v>67</v>
      </c>
      <c r="AL7" s="8"/>
      <c r="AM7" s="8"/>
      <c r="AN7" s="8"/>
      <c r="AO7" s="8"/>
    </row>
    <row r="8" spans="1:41" x14ac:dyDescent="0.2">
      <c r="B8" s="5" t="s">
        <v>8</v>
      </c>
      <c r="C8" s="5" t="s">
        <v>9</v>
      </c>
      <c r="D8" s="5" t="s">
        <v>42</v>
      </c>
      <c r="E8" s="5" t="s">
        <v>10</v>
      </c>
      <c r="F8" s="5" t="s">
        <v>43</v>
      </c>
      <c r="I8" s="5" t="s">
        <v>8</v>
      </c>
      <c r="J8" s="5" t="s">
        <v>9</v>
      </c>
      <c r="K8" s="5" t="s">
        <v>42</v>
      </c>
      <c r="L8" s="5" t="s">
        <v>10</v>
      </c>
      <c r="M8" s="5" t="s">
        <v>43</v>
      </c>
      <c r="P8" s="5" t="s">
        <v>8</v>
      </c>
      <c r="Q8" s="5" t="s">
        <v>9</v>
      </c>
      <c r="R8" s="5" t="s">
        <v>42</v>
      </c>
      <c r="S8" s="5" t="s">
        <v>10</v>
      </c>
      <c r="T8" s="5" t="s">
        <v>43</v>
      </c>
      <c r="W8" s="5" t="s">
        <v>8</v>
      </c>
      <c r="X8" s="5" t="s">
        <v>9</v>
      </c>
      <c r="Y8" s="5" t="s">
        <v>42</v>
      </c>
      <c r="Z8" s="5" t="s">
        <v>10</v>
      </c>
      <c r="AA8" s="5" t="s">
        <v>43</v>
      </c>
      <c r="AD8" s="5" t="s">
        <v>8</v>
      </c>
      <c r="AE8" s="5" t="s">
        <v>9</v>
      </c>
      <c r="AF8" s="5" t="s">
        <v>42</v>
      </c>
      <c r="AG8" s="5" t="s">
        <v>10</v>
      </c>
      <c r="AH8" s="5" t="s">
        <v>43</v>
      </c>
      <c r="AK8" s="5" t="s">
        <v>8</v>
      </c>
      <c r="AL8" s="5" t="s">
        <v>9</v>
      </c>
      <c r="AM8" s="5" t="s">
        <v>42</v>
      </c>
      <c r="AN8" s="5" t="s">
        <v>10</v>
      </c>
      <c r="AO8" s="5" t="s">
        <v>43</v>
      </c>
    </row>
    <row r="9" spans="1:41" x14ac:dyDescent="0.2">
      <c r="B9">
        <v>2015</v>
      </c>
      <c r="C9" t="s">
        <v>13</v>
      </c>
      <c r="D9" s="1">
        <v>72379.179999999993</v>
      </c>
      <c r="E9" s="2">
        <v>9292</v>
      </c>
      <c r="F9" s="1">
        <v>7.7894080900000002</v>
      </c>
      <c r="I9">
        <v>2015</v>
      </c>
      <c r="J9" t="s">
        <v>13</v>
      </c>
      <c r="K9" s="1">
        <v>29076.34</v>
      </c>
      <c r="L9" s="2">
        <v>1614</v>
      </c>
      <c r="M9" s="1">
        <v>18.01508055</v>
      </c>
      <c r="P9">
        <v>2015</v>
      </c>
      <c r="Q9" t="s">
        <v>13</v>
      </c>
      <c r="R9" s="1">
        <v>39045.24</v>
      </c>
      <c r="S9" s="2">
        <v>3184</v>
      </c>
      <c r="T9" s="1">
        <v>12.26295226</v>
      </c>
      <c r="W9">
        <v>2015</v>
      </c>
      <c r="X9" t="s">
        <v>13</v>
      </c>
      <c r="Y9" s="1">
        <v>19128.66</v>
      </c>
      <c r="Z9" s="2">
        <v>1726</v>
      </c>
      <c r="AA9" s="1">
        <v>11.08265353</v>
      </c>
      <c r="AD9">
        <v>2015</v>
      </c>
      <c r="AE9" t="s">
        <v>13</v>
      </c>
      <c r="AF9" s="1">
        <v>27548.95</v>
      </c>
      <c r="AG9" s="2">
        <v>693</v>
      </c>
      <c r="AH9" s="1">
        <v>39.753174600000001</v>
      </c>
      <c r="AK9">
        <v>2015</v>
      </c>
      <c r="AL9" t="s">
        <v>13</v>
      </c>
      <c r="AM9" s="1">
        <v>64316.58</v>
      </c>
      <c r="AN9" s="2">
        <v>1684</v>
      </c>
      <c r="AO9" s="1">
        <v>38.192743470000003</v>
      </c>
    </row>
    <row r="10" spans="1:41" x14ac:dyDescent="0.2">
      <c r="B10">
        <v>2015</v>
      </c>
      <c r="C10" t="s">
        <v>14</v>
      </c>
      <c r="D10" s="1">
        <v>88605.65</v>
      </c>
      <c r="E10" s="2">
        <v>11258</v>
      </c>
      <c r="F10" s="1">
        <v>7.8704610099999996</v>
      </c>
      <c r="I10">
        <v>2015</v>
      </c>
      <c r="J10" t="s">
        <v>14</v>
      </c>
      <c r="K10" s="1">
        <v>32108.57</v>
      </c>
      <c r="L10" s="2">
        <v>1830</v>
      </c>
      <c r="M10" s="1">
        <v>17.545666669999999</v>
      </c>
      <c r="P10">
        <v>2015</v>
      </c>
      <c r="Q10" t="s">
        <v>14</v>
      </c>
      <c r="R10" s="1">
        <v>46787.66</v>
      </c>
      <c r="S10" s="2">
        <v>3881</v>
      </c>
      <c r="T10" s="1">
        <v>12.055568149999999</v>
      </c>
      <c r="W10">
        <v>2015</v>
      </c>
      <c r="X10" t="s">
        <v>14</v>
      </c>
      <c r="Y10" s="1">
        <v>21558.73</v>
      </c>
      <c r="Z10" s="2">
        <v>1970</v>
      </c>
      <c r="AA10" s="1">
        <v>10.94351777</v>
      </c>
      <c r="AD10">
        <v>2015</v>
      </c>
      <c r="AE10" t="s">
        <v>14</v>
      </c>
      <c r="AF10" s="1">
        <v>29931.73</v>
      </c>
      <c r="AG10" s="2">
        <v>741</v>
      </c>
      <c r="AH10" s="1">
        <v>40.393697709999998</v>
      </c>
      <c r="AK10">
        <v>2015</v>
      </c>
      <c r="AL10" t="s">
        <v>14</v>
      </c>
      <c r="AM10" s="1">
        <v>79222.740000000005</v>
      </c>
      <c r="AN10" s="2">
        <v>2075</v>
      </c>
      <c r="AO10" s="1">
        <v>38.179633729999999</v>
      </c>
    </row>
    <row r="11" spans="1:41" x14ac:dyDescent="0.2">
      <c r="B11">
        <v>2015</v>
      </c>
      <c r="C11" t="s">
        <v>15</v>
      </c>
      <c r="D11" s="1">
        <v>126581.21</v>
      </c>
      <c r="E11" s="2">
        <v>15621</v>
      </c>
      <c r="F11" s="1">
        <v>8.1032718799999994</v>
      </c>
      <c r="I11">
        <v>2015</v>
      </c>
      <c r="J11" t="s">
        <v>15</v>
      </c>
      <c r="K11" s="1">
        <v>35882.74</v>
      </c>
      <c r="L11" s="2">
        <v>1981</v>
      </c>
      <c r="M11" s="1">
        <v>18.113447749999999</v>
      </c>
      <c r="P11">
        <v>2015</v>
      </c>
      <c r="Q11" t="s">
        <v>15</v>
      </c>
      <c r="R11" s="1">
        <v>48808.959999999999</v>
      </c>
      <c r="S11" s="2">
        <v>3971</v>
      </c>
      <c r="T11" s="1">
        <v>12.2913523</v>
      </c>
      <c r="W11">
        <v>2015</v>
      </c>
      <c r="X11" t="s">
        <v>15</v>
      </c>
      <c r="Y11" s="1">
        <v>26105.43</v>
      </c>
      <c r="Z11" s="2">
        <v>2361</v>
      </c>
      <c r="AA11" s="1">
        <v>11.05693774</v>
      </c>
      <c r="AD11">
        <v>2015</v>
      </c>
      <c r="AE11" t="s">
        <v>15</v>
      </c>
      <c r="AF11" s="1">
        <v>38378.03</v>
      </c>
      <c r="AG11" s="2">
        <v>921</v>
      </c>
      <c r="AH11" s="1">
        <v>41.669956569999997</v>
      </c>
      <c r="AK11">
        <v>2015</v>
      </c>
      <c r="AL11" t="s">
        <v>15</v>
      </c>
      <c r="AM11" s="1">
        <v>98663.34</v>
      </c>
      <c r="AN11" s="2">
        <v>2627</v>
      </c>
      <c r="AO11" s="1">
        <v>37.557419109999998</v>
      </c>
    </row>
    <row r="12" spans="1:41" x14ac:dyDescent="0.2">
      <c r="B12">
        <v>2015</v>
      </c>
      <c r="C12" t="s">
        <v>16</v>
      </c>
      <c r="D12" s="1">
        <v>115542.14</v>
      </c>
      <c r="E12" s="2">
        <v>13816</v>
      </c>
      <c r="F12" s="1">
        <v>8.3629227000000004</v>
      </c>
      <c r="I12">
        <v>2015</v>
      </c>
      <c r="J12" t="s">
        <v>16</v>
      </c>
      <c r="K12" s="1">
        <v>33749.65</v>
      </c>
      <c r="L12" s="2">
        <v>1848</v>
      </c>
      <c r="M12" s="1">
        <v>18.262797620000001</v>
      </c>
      <c r="P12">
        <v>2015</v>
      </c>
      <c r="Q12" t="s">
        <v>16</v>
      </c>
      <c r="R12" s="1">
        <v>50736.17</v>
      </c>
      <c r="S12" s="2">
        <v>3956</v>
      </c>
      <c r="T12" s="1">
        <v>12.825118809999999</v>
      </c>
      <c r="W12">
        <v>2015</v>
      </c>
      <c r="X12" t="s">
        <v>16</v>
      </c>
      <c r="Y12" s="1">
        <v>33068.410000000003</v>
      </c>
      <c r="Z12" s="2">
        <v>2835</v>
      </c>
      <c r="AA12" s="1">
        <v>11.66434215</v>
      </c>
      <c r="AD12">
        <v>2015</v>
      </c>
      <c r="AE12" t="s">
        <v>16</v>
      </c>
      <c r="AF12" s="1">
        <v>31919.86</v>
      </c>
      <c r="AG12" s="2">
        <v>725</v>
      </c>
      <c r="AH12" s="1">
        <v>44.027393099999998</v>
      </c>
      <c r="AK12">
        <v>2015</v>
      </c>
      <c r="AL12" t="s">
        <v>16</v>
      </c>
      <c r="AM12" s="1">
        <v>85665.14</v>
      </c>
      <c r="AN12" s="2">
        <v>2138</v>
      </c>
      <c r="AO12" s="1">
        <v>40.067885869999998</v>
      </c>
    </row>
    <row r="13" spans="1:41" x14ac:dyDescent="0.2">
      <c r="B13">
        <v>2016</v>
      </c>
      <c r="C13" t="s">
        <v>17</v>
      </c>
      <c r="D13" s="1">
        <v>123941.47</v>
      </c>
      <c r="E13" s="2">
        <v>14393</v>
      </c>
      <c r="F13" s="1">
        <v>8.6112325399999996</v>
      </c>
      <c r="I13">
        <v>2016</v>
      </c>
      <c r="J13" t="s">
        <v>17</v>
      </c>
      <c r="K13" s="1">
        <v>27737.84</v>
      </c>
      <c r="L13" s="2">
        <v>1431</v>
      </c>
      <c r="M13" s="1">
        <v>19.383535989999999</v>
      </c>
      <c r="P13">
        <v>2016</v>
      </c>
      <c r="Q13" t="s">
        <v>17</v>
      </c>
      <c r="R13" s="1">
        <v>40916.35</v>
      </c>
      <c r="S13" s="2">
        <v>3050</v>
      </c>
      <c r="T13" s="1">
        <v>13.415196720000001</v>
      </c>
      <c r="W13">
        <v>2016</v>
      </c>
      <c r="X13" t="s">
        <v>17</v>
      </c>
      <c r="Y13" s="1">
        <v>22018.09</v>
      </c>
      <c r="Z13" s="2">
        <v>1835</v>
      </c>
      <c r="AA13" s="1">
        <v>11.998959129999999</v>
      </c>
      <c r="AD13">
        <v>2016</v>
      </c>
      <c r="AE13" t="s">
        <v>17</v>
      </c>
      <c r="AF13" s="1">
        <v>24628.95</v>
      </c>
      <c r="AG13" s="2">
        <v>472</v>
      </c>
      <c r="AH13" s="1">
        <v>52.179978810000001</v>
      </c>
      <c r="AK13">
        <v>2016</v>
      </c>
      <c r="AL13" t="s">
        <v>17</v>
      </c>
      <c r="AM13" s="1">
        <v>96426.42</v>
      </c>
      <c r="AN13" s="2">
        <v>2336</v>
      </c>
      <c r="AO13" s="1">
        <v>41.278433219999997</v>
      </c>
    </row>
    <row r="14" spans="1:41" x14ac:dyDescent="0.2">
      <c r="B14">
        <v>2016</v>
      </c>
      <c r="C14" t="s">
        <v>18</v>
      </c>
      <c r="D14" s="1">
        <v>121788.94</v>
      </c>
      <c r="E14" s="2">
        <v>14517</v>
      </c>
      <c r="F14" s="1">
        <v>8.3894013899999997</v>
      </c>
      <c r="I14">
        <v>2016</v>
      </c>
      <c r="J14" t="s">
        <v>18</v>
      </c>
      <c r="K14" s="1">
        <v>31829.27</v>
      </c>
      <c r="L14" s="2">
        <v>1649</v>
      </c>
      <c r="M14" s="1">
        <v>19.302164950000002</v>
      </c>
      <c r="P14">
        <v>2016</v>
      </c>
      <c r="Q14" t="s">
        <v>18</v>
      </c>
      <c r="R14" s="1">
        <v>44781.29</v>
      </c>
      <c r="S14" s="2">
        <v>3377</v>
      </c>
      <c r="T14" s="1">
        <v>13.260672189999999</v>
      </c>
      <c r="W14">
        <v>2016</v>
      </c>
      <c r="X14" t="s">
        <v>18</v>
      </c>
      <c r="Y14" s="1">
        <v>21450.89</v>
      </c>
      <c r="Z14" s="2">
        <v>1815</v>
      </c>
      <c r="AA14" s="1">
        <v>11.81867218</v>
      </c>
      <c r="AD14">
        <v>2016</v>
      </c>
      <c r="AE14" t="s">
        <v>18</v>
      </c>
      <c r="AF14" s="1">
        <v>24772.49</v>
      </c>
      <c r="AG14" s="2">
        <v>481</v>
      </c>
      <c r="AH14" s="1">
        <v>51.502058210000001</v>
      </c>
      <c r="AK14">
        <v>2016</v>
      </c>
      <c r="AL14" t="s">
        <v>18</v>
      </c>
      <c r="AM14" s="1">
        <v>88967.15</v>
      </c>
      <c r="AN14" s="2">
        <v>2161</v>
      </c>
      <c r="AO14" s="1">
        <v>41.169435450000002</v>
      </c>
    </row>
    <row r="15" spans="1:41" x14ac:dyDescent="0.2">
      <c r="B15">
        <v>2016</v>
      </c>
      <c r="C15" t="s">
        <v>19</v>
      </c>
      <c r="D15" s="1">
        <v>146213.43</v>
      </c>
      <c r="E15" s="2">
        <v>17205</v>
      </c>
      <c r="F15" s="1">
        <v>8.4983103700000004</v>
      </c>
      <c r="I15">
        <v>2016</v>
      </c>
      <c r="J15" t="s">
        <v>19</v>
      </c>
      <c r="K15" s="1">
        <v>33934.129999999997</v>
      </c>
      <c r="L15" s="2">
        <v>1796</v>
      </c>
      <c r="M15" s="1">
        <v>18.89428174</v>
      </c>
      <c r="P15">
        <v>2016</v>
      </c>
      <c r="Q15" t="s">
        <v>19</v>
      </c>
      <c r="R15" s="1">
        <v>49603.65</v>
      </c>
      <c r="S15" s="2">
        <v>3783</v>
      </c>
      <c r="T15" s="1">
        <v>13.11225218</v>
      </c>
      <c r="W15">
        <v>2016</v>
      </c>
      <c r="X15" t="s">
        <v>19</v>
      </c>
      <c r="Y15" s="1">
        <v>23980.65</v>
      </c>
      <c r="Z15" s="2">
        <v>2058</v>
      </c>
      <c r="AA15" s="1">
        <v>11.652405249999999</v>
      </c>
      <c r="AD15">
        <v>2016</v>
      </c>
      <c r="AE15" t="s">
        <v>19</v>
      </c>
      <c r="AF15" s="1">
        <v>24420.81</v>
      </c>
      <c r="AG15" s="2">
        <v>487</v>
      </c>
      <c r="AH15" s="1">
        <v>50.145400410000001</v>
      </c>
      <c r="AK15">
        <v>2016</v>
      </c>
      <c r="AL15" t="s">
        <v>19</v>
      </c>
      <c r="AM15" s="1">
        <v>91284.27</v>
      </c>
      <c r="AN15" s="2">
        <v>2291</v>
      </c>
      <c r="AO15" s="1">
        <v>39.84472719</v>
      </c>
    </row>
    <row r="16" spans="1:41" x14ac:dyDescent="0.2">
      <c r="B16">
        <v>2016</v>
      </c>
      <c r="C16" t="s">
        <v>20</v>
      </c>
      <c r="D16" s="1">
        <v>118048.45</v>
      </c>
      <c r="E16" s="2">
        <v>14185</v>
      </c>
      <c r="F16" s="1">
        <v>8.3220620400000005</v>
      </c>
      <c r="I16">
        <v>2016</v>
      </c>
      <c r="J16" t="s">
        <v>20</v>
      </c>
      <c r="K16" s="1">
        <v>37381.78</v>
      </c>
      <c r="L16" s="2">
        <v>1940</v>
      </c>
      <c r="M16" s="1">
        <v>19.26895876</v>
      </c>
      <c r="P16">
        <v>2016</v>
      </c>
      <c r="Q16" t="s">
        <v>20</v>
      </c>
      <c r="R16" s="1">
        <v>45130.33</v>
      </c>
      <c r="S16" s="2">
        <v>3386</v>
      </c>
      <c r="T16" s="1">
        <v>13.32850856</v>
      </c>
      <c r="W16">
        <v>2016</v>
      </c>
      <c r="X16" t="s">
        <v>20</v>
      </c>
      <c r="Y16" s="1">
        <v>22391.77</v>
      </c>
      <c r="Z16" s="2">
        <v>1907</v>
      </c>
      <c r="AA16" s="1">
        <v>11.741882540000001</v>
      </c>
      <c r="AD16">
        <v>2016</v>
      </c>
      <c r="AE16" t="s">
        <v>20</v>
      </c>
      <c r="AF16" s="1">
        <v>23983.14</v>
      </c>
      <c r="AG16" s="2">
        <v>462</v>
      </c>
      <c r="AH16" s="1">
        <v>51.91155844</v>
      </c>
      <c r="AK16">
        <v>2016</v>
      </c>
      <c r="AL16" t="s">
        <v>20</v>
      </c>
      <c r="AM16" s="1">
        <v>84938.14</v>
      </c>
      <c r="AN16" s="2">
        <v>2149</v>
      </c>
      <c r="AO16" s="1">
        <v>39.524495109999997</v>
      </c>
    </row>
    <row r="17" spans="2:41" x14ac:dyDescent="0.2">
      <c r="B17">
        <v>2016</v>
      </c>
      <c r="C17" t="s">
        <v>21</v>
      </c>
      <c r="D17" s="1">
        <v>107791.11</v>
      </c>
      <c r="E17" s="2">
        <v>12914</v>
      </c>
      <c r="F17" s="1">
        <v>8.3468414099999997</v>
      </c>
      <c r="I17">
        <v>2016</v>
      </c>
      <c r="J17" t="s">
        <v>21</v>
      </c>
      <c r="K17" s="1">
        <v>30689.94</v>
      </c>
      <c r="L17" s="2">
        <v>1607</v>
      </c>
      <c r="M17" s="1">
        <v>19.09766024</v>
      </c>
      <c r="P17">
        <v>2016</v>
      </c>
      <c r="Q17" t="s">
        <v>21</v>
      </c>
      <c r="R17" s="1">
        <v>38921.410000000003</v>
      </c>
      <c r="S17" s="2">
        <v>2864</v>
      </c>
      <c r="T17" s="1">
        <v>13.589877789999999</v>
      </c>
      <c r="W17">
        <v>2016</v>
      </c>
      <c r="X17" t="s">
        <v>21</v>
      </c>
      <c r="Y17" s="1">
        <v>18540.12</v>
      </c>
      <c r="Z17" s="2">
        <v>1493</v>
      </c>
      <c r="AA17" s="1">
        <v>12.418030809999999</v>
      </c>
      <c r="AD17">
        <v>2016</v>
      </c>
      <c r="AE17" t="s">
        <v>21</v>
      </c>
      <c r="AF17" s="1">
        <v>25082.38</v>
      </c>
      <c r="AG17" s="2">
        <v>495</v>
      </c>
      <c r="AH17" s="1">
        <v>50.671474750000002</v>
      </c>
      <c r="AK17">
        <v>2016</v>
      </c>
      <c r="AL17" t="s">
        <v>21</v>
      </c>
      <c r="AM17" s="1">
        <v>84447.99</v>
      </c>
      <c r="AN17" s="2">
        <v>2087</v>
      </c>
      <c r="AO17" s="1">
        <v>40.463818879999998</v>
      </c>
    </row>
    <row r="18" spans="2:41" x14ac:dyDescent="0.2">
      <c r="B18">
        <v>2016</v>
      </c>
      <c r="C18" t="s">
        <v>22</v>
      </c>
      <c r="D18" s="1">
        <v>109673.44</v>
      </c>
      <c r="E18" s="2">
        <v>13482</v>
      </c>
      <c r="F18" s="1">
        <v>8.1348049299999996</v>
      </c>
      <c r="I18">
        <v>2016</v>
      </c>
      <c r="J18" t="s">
        <v>22</v>
      </c>
      <c r="K18" s="1">
        <v>30907.19</v>
      </c>
      <c r="L18" s="2">
        <v>1406</v>
      </c>
      <c r="M18" s="1">
        <v>21.9823542</v>
      </c>
      <c r="P18">
        <v>2016</v>
      </c>
      <c r="Q18" t="s">
        <v>22</v>
      </c>
      <c r="R18" s="1">
        <v>36055.360000000001</v>
      </c>
      <c r="S18" s="2">
        <v>2676</v>
      </c>
      <c r="T18" s="1">
        <v>13.47360239</v>
      </c>
      <c r="W18">
        <v>2016</v>
      </c>
      <c r="X18" t="s">
        <v>22</v>
      </c>
      <c r="Y18" s="1">
        <v>17245.060000000001</v>
      </c>
      <c r="Z18" s="2">
        <v>1440</v>
      </c>
      <c r="AA18" s="1">
        <v>11.97573611</v>
      </c>
      <c r="AD18">
        <v>2016</v>
      </c>
      <c r="AE18" t="s">
        <v>22</v>
      </c>
      <c r="AF18" s="1">
        <v>23188.59</v>
      </c>
      <c r="AG18" s="2">
        <v>445</v>
      </c>
      <c r="AH18" s="1">
        <v>52.109191010000004</v>
      </c>
      <c r="AK18">
        <v>2016</v>
      </c>
      <c r="AL18" t="s">
        <v>22</v>
      </c>
      <c r="AM18" s="1">
        <v>78706.710000000006</v>
      </c>
      <c r="AN18" s="2">
        <v>1927</v>
      </c>
      <c r="AO18" s="1">
        <v>40.8441671</v>
      </c>
    </row>
    <row r="19" spans="2:41" x14ac:dyDescent="0.2">
      <c r="B19">
        <v>2016</v>
      </c>
      <c r="C19" t="s">
        <v>23</v>
      </c>
      <c r="D19" s="1">
        <v>117064.11</v>
      </c>
      <c r="E19" s="2">
        <v>15005</v>
      </c>
      <c r="F19" s="1">
        <v>7.8016734400000001</v>
      </c>
      <c r="I19">
        <v>2016</v>
      </c>
      <c r="J19" t="s">
        <v>23</v>
      </c>
      <c r="K19" s="1">
        <v>25583.9</v>
      </c>
      <c r="L19" s="2">
        <v>1278</v>
      </c>
      <c r="M19" s="1">
        <v>20.018701100000001</v>
      </c>
      <c r="P19">
        <v>2016</v>
      </c>
      <c r="Q19" t="s">
        <v>23</v>
      </c>
      <c r="R19" s="1">
        <v>33725.35</v>
      </c>
      <c r="S19" s="2">
        <v>2560</v>
      </c>
      <c r="T19" s="1">
        <v>13.17396484</v>
      </c>
      <c r="W19">
        <v>2016</v>
      </c>
      <c r="X19" t="s">
        <v>23</v>
      </c>
      <c r="Y19" s="1">
        <v>14317.06</v>
      </c>
      <c r="Z19" s="2">
        <v>1207</v>
      </c>
      <c r="AA19" s="1">
        <v>11.86169014</v>
      </c>
      <c r="AD19">
        <v>2016</v>
      </c>
      <c r="AE19" t="s">
        <v>23</v>
      </c>
      <c r="AF19" s="1">
        <v>20199.68</v>
      </c>
      <c r="AG19" s="2">
        <v>433</v>
      </c>
      <c r="AH19" s="1">
        <v>46.650531180000002</v>
      </c>
      <c r="AK19">
        <v>2016</v>
      </c>
      <c r="AL19" t="s">
        <v>23</v>
      </c>
      <c r="AM19" s="1">
        <v>73996.490000000005</v>
      </c>
      <c r="AN19" s="2">
        <v>1902</v>
      </c>
      <c r="AO19" s="1">
        <v>38.904568869999999</v>
      </c>
    </row>
    <row r="20" spans="2:41" x14ac:dyDescent="0.2">
      <c r="B20">
        <v>2016</v>
      </c>
      <c r="C20" t="s">
        <v>24</v>
      </c>
      <c r="D20" s="1">
        <v>116313.56</v>
      </c>
      <c r="E20" s="2">
        <v>15525</v>
      </c>
      <c r="F20" s="1">
        <v>7.4920167500000003</v>
      </c>
      <c r="I20">
        <v>2016</v>
      </c>
      <c r="J20" t="s">
        <v>24</v>
      </c>
      <c r="K20" s="1">
        <v>27791.42</v>
      </c>
      <c r="L20" s="2">
        <v>1276</v>
      </c>
      <c r="M20" s="1">
        <v>21.780109719999999</v>
      </c>
      <c r="P20">
        <v>2016</v>
      </c>
      <c r="Q20" t="s">
        <v>24</v>
      </c>
      <c r="R20" s="1">
        <v>33664.67</v>
      </c>
      <c r="S20" s="2">
        <v>2431</v>
      </c>
      <c r="T20" s="1">
        <v>13.84807487</v>
      </c>
      <c r="W20">
        <v>2016</v>
      </c>
      <c r="X20" t="s">
        <v>24</v>
      </c>
      <c r="Y20" s="1">
        <v>14019.7</v>
      </c>
      <c r="Z20" s="2">
        <v>1141</v>
      </c>
      <c r="AA20" s="1">
        <v>12.287204210000001</v>
      </c>
      <c r="AD20">
        <v>2016</v>
      </c>
      <c r="AE20" t="s">
        <v>24</v>
      </c>
      <c r="AF20" s="1">
        <v>22737.89</v>
      </c>
      <c r="AG20" s="2">
        <v>457</v>
      </c>
      <c r="AH20" s="1">
        <v>49.754682709999997</v>
      </c>
      <c r="AK20">
        <v>2016</v>
      </c>
      <c r="AL20" t="s">
        <v>24</v>
      </c>
      <c r="AM20" s="1">
        <v>79580.539999999994</v>
      </c>
      <c r="AN20" s="2">
        <v>1934</v>
      </c>
      <c r="AO20" s="1">
        <v>41.14815926</v>
      </c>
    </row>
    <row r="21" spans="2:41" x14ac:dyDescent="0.2">
      <c r="B21">
        <v>2016</v>
      </c>
      <c r="C21" t="s">
        <v>13</v>
      </c>
      <c r="D21" s="1">
        <v>114589.42</v>
      </c>
      <c r="E21" s="2">
        <v>14918</v>
      </c>
      <c r="F21" s="1">
        <v>7.6812857000000001</v>
      </c>
      <c r="I21">
        <v>2016</v>
      </c>
      <c r="J21" t="s">
        <v>13</v>
      </c>
      <c r="K21" s="1">
        <v>26003.01</v>
      </c>
      <c r="L21" s="2">
        <v>1006</v>
      </c>
      <c r="M21" s="1">
        <v>25.84792247</v>
      </c>
      <c r="P21">
        <v>2016</v>
      </c>
      <c r="Q21" t="s">
        <v>13</v>
      </c>
      <c r="R21" s="1">
        <v>33427.42</v>
      </c>
      <c r="S21" s="2">
        <v>2278</v>
      </c>
      <c r="T21" s="1">
        <v>14.67402107</v>
      </c>
      <c r="W21">
        <v>2016</v>
      </c>
      <c r="X21" t="s">
        <v>13</v>
      </c>
      <c r="Y21" s="1">
        <v>14982.04</v>
      </c>
      <c r="Z21" s="2">
        <v>1160</v>
      </c>
      <c r="AA21" s="1">
        <v>12.91555172</v>
      </c>
      <c r="AD21">
        <v>2016</v>
      </c>
      <c r="AE21" t="s">
        <v>13</v>
      </c>
      <c r="AF21" s="1">
        <v>26529.82</v>
      </c>
      <c r="AG21" s="2">
        <v>492</v>
      </c>
      <c r="AH21" s="1">
        <v>53.922398370000003</v>
      </c>
      <c r="AK21">
        <v>2016</v>
      </c>
      <c r="AL21" t="s">
        <v>13</v>
      </c>
      <c r="AM21" s="1">
        <v>80861.73</v>
      </c>
      <c r="AN21" s="2">
        <v>1905</v>
      </c>
      <c r="AO21" s="1">
        <v>42.447102360000002</v>
      </c>
    </row>
  </sheetData>
  <mergeCells count="7">
    <mergeCell ref="B5:AO5"/>
    <mergeCell ref="B7:F7"/>
    <mergeCell ref="I7:M7"/>
    <mergeCell ref="P7:T7"/>
    <mergeCell ref="W7:AA7"/>
    <mergeCell ref="AD7:AH7"/>
    <mergeCell ref="AK7:AO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1"/>
  <sheetViews>
    <sheetView topLeftCell="AP1" workbookViewId="0"/>
  </sheetViews>
  <sheetFormatPr baseColWidth="10" defaultColWidth="8.83203125" defaultRowHeight="15" x14ac:dyDescent="0.2"/>
  <cols>
    <col min="1" max="3" width="20.6640625" customWidth="1"/>
    <col min="4" max="4" width="20.6640625" style="2" customWidth="1"/>
    <col min="5" max="6" width="20.6640625" style="1" customWidth="1"/>
    <col min="7" max="10" width="20.6640625" customWidth="1"/>
    <col min="11" max="11" width="20.6640625" style="2" customWidth="1"/>
    <col min="12" max="13" width="20.6640625" style="1" customWidth="1"/>
    <col min="14" max="17" width="20.6640625" customWidth="1"/>
    <col min="18" max="18" width="20.6640625" style="2" customWidth="1"/>
    <col min="19" max="20" width="20.6640625" style="1" customWidth="1"/>
    <col min="21" max="24" width="20.6640625" customWidth="1"/>
    <col min="25" max="25" width="20.6640625" style="2" customWidth="1"/>
    <col min="26" max="27" width="20.6640625" style="1" customWidth="1"/>
    <col min="28" max="31" width="20.6640625" customWidth="1"/>
    <col min="32" max="32" width="20.6640625" style="2" customWidth="1"/>
    <col min="33" max="34" width="20.6640625" style="1" customWidth="1"/>
    <col min="35" max="38" width="20.6640625" customWidth="1"/>
    <col min="39" max="39" width="20.6640625" style="2" customWidth="1"/>
    <col min="40" max="41" width="20.6640625" style="1" customWidth="1"/>
    <col min="42" max="45" width="20.6640625" customWidth="1"/>
    <col min="46" max="46" width="20.6640625" style="2" customWidth="1"/>
    <col min="47" max="48" width="20.6640625" style="1" customWidth="1"/>
    <col min="49" max="56" width="20.6640625" customWidth="1"/>
  </cols>
  <sheetData>
    <row r="1" spans="1:48" ht="26" x14ac:dyDescent="0.3">
      <c r="A1" s="4" t="s">
        <v>68</v>
      </c>
    </row>
    <row r="5" spans="1:48" ht="24" x14ac:dyDescent="0.2">
      <c r="B5" s="8" t="s">
        <v>69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7" spans="1:48" ht="24" x14ac:dyDescent="0.2">
      <c r="B7" s="8" t="s">
        <v>61</v>
      </c>
      <c r="C7" s="8"/>
      <c r="D7" s="8"/>
      <c r="E7" s="8"/>
      <c r="F7" s="8"/>
      <c r="I7" s="8" t="s">
        <v>70</v>
      </c>
      <c r="J7" s="8"/>
      <c r="K7" s="8"/>
      <c r="L7" s="8"/>
      <c r="M7" s="8"/>
      <c r="P7" s="8" t="s">
        <v>71</v>
      </c>
      <c r="Q7" s="8"/>
      <c r="R7" s="8"/>
      <c r="S7" s="8"/>
      <c r="T7" s="8"/>
      <c r="W7" s="8" t="s">
        <v>72</v>
      </c>
      <c r="X7" s="8"/>
      <c r="Y7" s="8"/>
      <c r="Z7" s="8"/>
      <c r="AA7" s="8"/>
      <c r="AD7" s="8" t="s">
        <v>73</v>
      </c>
      <c r="AE7" s="8"/>
      <c r="AF7" s="8"/>
      <c r="AG7" s="8"/>
      <c r="AH7" s="8"/>
      <c r="AK7" s="8" t="s">
        <v>74</v>
      </c>
      <c r="AL7" s="8"/>
      <c r="AM7" s="8"/>
      <c r="AN7" s="8"/>
      <c r="AO7" s="8"/>
      <c r="AR7" s="8" t="s">
        <v>75</v>
      </c>
      <c r="AS7" s="8"/>
      <c r="AT7" s="8"/>
      <c r="AU7" s="8"/>
      <c r="AV7" s="8"/>
    </row>
    <row r="8" spans="1:48" x14ac:dyDescent="0.2">
      <c r="B8" s="5" t="s">
        <v>8</v>
      </c>
      <c r="C8" s="5" t="s">
        <v>9</v>
      </c>
      <c r="D8" s="5" t="s">
        <v>44</v>
      </c>
      <c r="E8" s="5" t="s">
        <v>45</v>
      </c>
      <c r="F8" s="5" t="s">
        <v>46</v>
      </c>
      <c r="I8" s="5" t="s">
        <v>8</v>
      </c>
      <c r="J8" s="5" t="s">
        <v>9</v>
      </c>
      <c r="K8" s="5" t="s">
        <v>44</v>
      </c>
      <c r="L8" s="5" t="s">
        <v>45</v>
      </c>
      <c r="M8" s="5" t="s">
        <v>46</v>
      </c>
      <c r="P8" s="5" t="s">
        <v>8</v>
      </c>
      <c r="Q8" s="5" t="s">
        <v>9</v>
      </c>
      <c r="R8" s="5" t="s">
        <v>44</v>
      </c>
      <c r="S8" s="5" t="s">
        <v>45</v>
      </c>
      <c r="T8" s="5" t="s">
        <v>46</v>
      </c>
      <c r="W8" s="5" t="s">
        <v>8</v>
      </c>
      <c r="X8" s="5" t="s">
        <v>9</v>
      </c>
      <c r="Y8" s="5" t="s">
        <v>44</v>
      </c>
      <c r="Z8" s="5" t="s">
        <v>45</v>
      </c>
      <c r="AA8" s="5" t="s">
        <v>46</v>
      </c>
      <c r="AD8" s="5" t="s">
        <v>8</v>
      </c>
      <c r="AE8" s="5" t="s">
        <v>9</v>
      </c>
      <c r="AF8" s="5" t="s">
        <v>44</v>
      </c>
      <c r="AG8" s="5" t="s">
        <v>45</v>
      </c>
      <c r="AH8" s="5" t="s">
        <v>46</v>
      </c>
      <c r="AK8" s="5" t="s">
        <v>8</v>
      </c>
      <c r="AL8" s="5" t="s">
        <v>9</v>
      </c>
      <c r="AM8" s="5" t="s">
        <v>44</v>
      </c>
      <c r="AN8" s="5" t="s">
        <v>45</v>
      </c>
      <c r="AO8" s="5" t="s">
        <v>46</v>
      </c>
      <c r="AR8" s="5" t="s">
        <v>8</v>
      </c>
      <c r="AS8" s="5" t="s">
        <v>9</v>
      </c>
      <c r="AT8" s="5" t="s">
        <v>44</v>
      </c>
      <c r="AU8" s="5" t="s">
        <v>45</v>
      </c>
      <c r="AV8" s="5" t="s">
        <v>46</v>
      </c>
    </row>
    <row r="9" spans="1:48" x14ac:dyDescent="0.2">
      <c r="B9">
        <v>2015</v>
      </c>
      <c r="C9" t="s">
        <v>13</v>
      </c>
      <c r="D9" s="2">
        <v>18252</v>
      </c>
      <c r="E9" s="1">
        <v>314995.57918387698</v>
      </c>
      <c r="F9" s="1">
        <v>208545.93053743101</v>
      </c>
      <c r="I9">
        <v>2015</v>
      </c>
      <c r="J9" t="s">
        <v>13</v>
      </c>
      <c r="K9" s="2">
        <v>1915</v>
      </c>
      <c r="L9" s="1">
        <v>164.88999931327999</v>
      </c>
      <c r="M9" s="1">
        <v>1936.1799951028099</v>
      </c>
      <c r="P9">
        <v>2015</v>
      </c>
      <c r="Q9" t="s">
        <v>13</v>
      </c>
      <c r="R9" s="2">
        <v>50</v>
      </c>
      <c r="S9" s="1">
        <v>0</v>
      </c>
      <c r="T9" s="1">
        <v>625</v>
      </c>
      <c r="W9">
        <v>2015</v>
      </c>
      <c r="X9" t="s">
        <v>13</v>
      </c>
      <c r="Y9" s="2">
        <v>2252</v>
      </c>
      <c r="Z9" s="1">
        <v>655.42002594471001</v>
      </c>
      <c r="AA9" s="1">
        <v>8855.8599960804004</v>
      </c>
      <c r="AD9">
        <v>2015</v>
      </c>
      <c r="AE9" t="s">
        <v>13</v>
      </c>
      <c r="AF9" s="2">
        <v>18199</v>
      </c>
      <c r="AG9" s="1">
        <v>12978.1000017058</v>
      </c>
      <c r="AH9" s="1">
        <v>10409.069924444</v>
      </c>
      <c r="AK9">
        <v>2015</v>
      </c>
      <c r="AL9" t="s">
        <v>13</v>
      </c>
      <c r="AM9" s="2">
        <v>10784</v>
      </c>
      <c r="AN9" s="1">
        <v>10836.8601932526</v>
      </c>
      <c r="AO9" s="1">
        <v>24341.5394387245</v>
      </c>
      <c r="AR9">
        <v>2015</v>
      </c>
      <c r="AS9" t="s">
        <v>13</v>
      </c>
      <c r="AT9" s="2">
        <v>45</v>
      </c>
      <c r="AU9" s="1">
        <v>42.060000389814398</v>
      </c>
      <c r="AV9" s="1">
        <v>398.27000057697302</v>
      </c>
    </row>
    <row r="10" spans="1:48" x14ac:dyDescent="0.2">
      <c r="B10">
        <v>2015</v>
      </c>
      <c r="C10" t="s">
        <v>14</v>
      </c>
      <c r="D10" s="2">
        <v>21840</v>
      </c>
      <c r="E10" s="1">
        <v>371143.21946650703</v>
      </c>
      <c r="F10" s="1">
        <v>247075.86086709201</v>
      </c>
      <c r="I10">
        <v>2015</v>
      </c>
      <c r="J10" t="s">
        <v>14</v>
      </c>
      <c r="K10" s="2">
        <v>2067</v>
      </c>
      <c r="L10" s="1">
        <v>134.41999964788599</v>
      </c>
      <c r="M10" s="1">
        <v>1698.02999472432</v>
      </c>
      <c r="P10">
        <v>2015</v>
      </c>
      <c r="Q10" t="s">
        <v>14</v>
      </c>
      <c r="R10" s="2">
        <v>54</v>
      </c>
      <c r="S10" s="1">
        <v>0</v>
      </c>
      <c r="T10" s="1">
        <v>675</v>
      </c>
      <c r="W10">
        <v>2015</v>
      </c>
      <c r="X10" t="s">
        <v>14</v>
      </c>
      <c r="Y10" s="2">
        <v>2539</v>
      </c>
      <c r="Z10" s="1">
        <v>700.92002785205796</v>
      </c>
      <c r="AA10" s="1">
        <v>9758.6299934387207</v>
      </c>
      <c r="AD10">
        <v>2015</v>
      </c>
      <c r="AE10" t="s">
        <v>14</v>
      </c>
      <c r="AF10" s="2">
        <v>21747</v>
      </c>
      <c r="AG10" s="1">
        <v>12298.189969487499</v>
      </c>
      <c r="AH10" s="1">
        <v>10385.4199733734</v>
      </c>
      <c r="AK10">
        <v>2015</v>
      </c>
      <c r="AL10" t="s">
        <v>14</v>
      </c>
      <c r="AM10" s="2">
        <v>12928</v>
      </c>
      <c r="AN10" s="1">
        <v>12972.010228157</v>
      </c>
      <c r="AO10" s="1">
        <v>29237.189317464799</v>
      </c>
      <c r="AR10">
        <v>2015</v>
      </c>
      <c r="AS10" t="s">
        <v>14</v>
      </c>
      <c r="AT10" s="2">
        <v>59</v>
      </c>
      <c r="AU10" s="1">
        <v>24.3399995565414</v>
      </c>
      <c r="AV10" s="1">
        <v>584.92000150680497</v>
      </c>
    </row>
    <row r="11" spans="1:48" x14ac:dyDescent="0.2">
      <c r="B11">
        <v>2015</v>
      </c>
      <c r="C11" t="s">
        <v>15</v>
      </c>
      <c r="D11" s="2">
        <v>27571</v>
      </c>
      <c r="E11" s="1">
        <v>441312.12958103401</v>
      </c>
      <c r="F11" s="1">
        <v>303754.38134440797</v>
      </c>
      <c r="I11">
        <v>2015</v>
      </c>
      <c r="J11" t="s">
        <v>15</v>
      </c>
      <c r="K11" s="2">
        <v>2190</v>
      </c>
      <c r="L11" s="1">
        <v>202.360000174493</v>
      </c>
      <c r="M11" s="1">
        <v>1858.92999595776</v>
      </c>
      <c r="P11">
        <v>2015</v>
      </c>
      <c r="Q11" t="s">
        <v>15</v>
      </c>
      <c r="R11" s="2">
        <v>65</v>
      </c>
      <c r="S11" s="1">
        <v>0</v>
      </c>
      <c r="T11" s="1">
        <v>812.5</v>
      </c>
      <c r="W11">
        <v>2015</v>
      </c>
      <c r="X11" t="s">
        <v>15</v>
      </c>
      <c r="Y11" s="2">
        <v>3074</v>
      </c>
      <c r="Z11" s="1">
        <v>622.34002465009701</v>
      </c>
      <c r="AA11" s="1">
        <v>11623.2099764347</v>
      </c>
      <c r="AD11">
        <v>2015</v>
      </c>
      <c r="AE11" t="s">
        <v>15</v>
      </c>
      <c r="AF11" s="2">
        <v>27465</v>
      </c>
      <c r="AG11" s="1">
        <v>20949.919961178701</v>
      </c>
      <c r="AH11" s="1">
        <v>16852.559900075201</v>
      </c>
      <c r="AK11">
        <v>2015</v>
      </c>
      <c r="AL11" t="s">
        <v>15</v>
      </c>
      <c r="AM11" s="2">
        <v>17724</v>
      </c>
      <c r="AN11" s="1">
        <v>18067.3503642082</v>
      </c>
      <c r="AO11" s="1">
        <v>39261.449205637</v>
      </c>
      <c r="AR11">
        <v>2015</v>
      </c>
      <c r="AS11" t="s">
        <v>15</v>
      </c>
      <c r="AT11" s="2">
        <v>44</v>
      </c>
      <c r="AU11" s="1">
        <v>2.3599998950958301</v>
      </c>
      <c r="AV11" s="1">
        <v>430.44000029563898</v>
      </c>
    </row>
    <row r="12" spans="1:48" x14ac:dyDescent="0.2">
      <c r="B12">
        <v>2015</v>
      </c>
      <c r="C12" t="s">
        <v>16</v>
      </c>
      <c r="D12" s="2">
        <v>25373</v>
      </c>
      <c r="E12" s="1">
        <v>383881.21954596002</v>
      </c>
      <c r="F12" s="1">
        <v>274501.661065767</v>
      </c>
      <c r="I12">
        <v>2015</v>
      </c>
      <c r="J12" t="s">
        <v>16</v>
      </c>
      <c r="K12" s="2">
        <v>2528</v>
      </c>
      <c r="L12" s="1">
        <v>214.18999947048701</v>
      </c>
      <c r="M12" s="1">
        <v>2404.1299992147801</v>
      </c>
      <c r="P12">
        <v>2015</v>
      </c>
      <c r="Q12" t="s">
        <v>16</v>
      </c>
      <c r="R12" s="2">
        <v>60</v>
      </c>
      <c r="S12" s="1">
        <v>0</v>
      </c>
      <c r="T12" s="1">
        <v>754</v>
      </c>
      <c r="W12">
        <v>2015</v>
      </c>
      <c r="X12" t="s">
        <v>16</v>
      </c>
      <c r="Y12" s="2">
        <v>3209</v>
      </c>
      <c r="Z12" s="1">
        <v>559.43001639842998</v>
      </c>
      <c r="AA12" s="1">
        <v>12709.8799808025</v>
      </c>
      <c r="AD12">
        <v>2015</v>
      </c>
      <c r="AE12" t="s">
        <v>16</v>
      </c>
      <c r="AF12" s="2">
        <v>25294</v>
      </c>
      <c r="AG12" s="1">
        <v>18296.049974543999</v>
      </c>
      <c r="AH12" s="1">
        <v>15515.819932460799</v>
      </c>
      <c r="AK12">
        <v>2015</v>
      </c>
      <c r="AL12" t="s">
        <v>16</v>
      </c>
      <c r="AM12" s="2">
        <v>17521</v>
      </c>
      <c r="AN12" s="1">
        <v>17819.290239691702</v>
      </c>
      <c r="AO12" s="1">
        <v>39713.509005785003</v>
      </c>
      <c r="AR12">
        <v>2015</v>
      </c>
      <c r="AS12" t="s">
        <v>16</v>
      </c>
      <c r="AT12" s="2">
        <v>63</v>
      </c>
      <c r="AU12" s="1">
        <v>8.9800000190734899</v>
      </c>
      <c r="AV12" s="1">
        <v>549.79999732971203</v>
      </c>
    </row>
    <row r="13" spans="1:48" x14ac:dyDescent="0.2">
      <c r="B13">
        <v>2016</v>
      </c>
      <c r="C13" t="s">
        <v>17</v>
      </c>
      <c r="D13" s="2">
        <v>23564</v>
      </c>
      <c r="E13" s="1">
        <v>362290.14059805899</v>
      </c>
      <c r="F13" s="1">
        <v>270566.33083891898</v>
      </c>
      <c r="I13">
        <v>2016</v>
      </c>
      <c r="J13" t="s">
        <v>17</v>
      </c>
      <c r="K13" s="2">
        <v>1862</v>
      </c>
      <c r="L13" s="1">
        <v>138.35999957658399</v>
      </c>
      <c r="M13" s="1">
        <v>1628.47999761812</v>
      </c>
      <c r="P13">
        <v>2016</v>
      </c>
      <c r="Q13" t="s">
        <v>17</v>
      </c>
      <c r="R13" s="2">
        <v>44</v>
      </c>
      <c r="S13" s="1">
        <v>0</v>
      </c>
      <c r="T13" s="1">
        <v>572</v>
      </c>
      <c r="W13">
        <v>2016</v>
      </c>
      <c r="X13" t="s">
        <v>17</v>
      </c>
      <c r="Y13" s="2">
        <v>2728</v>
      </c>
      <c r="Z13" s="1">
        <v>696.69999039173103</v>
      </c>
      <c r="AA13" s="1">
        <v>10529.530027151101</v>
      </c>
      <c r="AD13">
        <v>2016</v>
      </c>
      <c r="AE13" t="s">
        <v>17</v>
      </c>
      <c r="AF13" s="2">
        <v>23502</v>
      </c>
      <c r="AG13" s="1">
        <v>16141.680017705999</v>
      </c>
      <c r="AH13" s="1">
        <v>14472.1799274981</v>
      </c>
      <c r="AK13">
        <v>2016</v>
      </c>
      <c r="AL13" t="s">
        <v>17</v>
      </c>
      <c r="AM13" s="2">
        <v>14880</v>
      </c>
      <c r="AN13" s="1">
        <v>15952.809965193301</v>
      </c>
      <c r="AO13" s="1">
        <v>34164.388941764802</v>
      </c>
      <c r="AR13">
        <v>2016</v>
      </c>
      <c r="AS13" t="s">
        <v>17</v>
      </c>
      <c r="AT13" s="2">
        <v>52</v>
      </c>
      <c r="AU13" s="1">
        <v>6.2000000476837203</v>
      </c>
      <c r="AV13" s="1">
        <v>512.71999907493603</v>
      </c>
    </row>
    <row r="14" spans="1:48" x14ac:dyDescent="0.2">
      <c r="B14">
        <v>2016</v>
      </c>
      <c r="C14" t="s">
        <v>18</v>
      </c>
      <c r="D14" s="2">
        <v>24014</v>
      </c>
      <c r="E14" s="1">
        <v>360554.71096789802</v>
      </c>
      <c r="F14" s="1">
        <v>271763.39079293603</v>
      </c>
      <c r="I14">
        <v>2016</v>
      </c>
      <c r="J14" t="s">
        <v>18</v>
      </c>
      <c r="K14" s="2">
        <v>2202</v>
      </c>
      <c r="L14" s="1">
        <v>133.679999915883</v>
      </c>
      <c r="M14" s="1">
        <v>2120.0599969886198</v>
      </c>
      <c r="P14">
        <v>2016</v>
      </c>
      <c r="Q14" t="s">
        <v>18</v>
      </c>
      <c r="R14" s="2">
        <v>54</v>
      </c>
      <c r="S14" s="1">
        <v>0</v>
      </c>
      <c r="T14" s="1">
        <v>702</v>
      </c>
      <c r="W14">
        <v>2016</v>
      </c>
      <c r="X14" t="s">
        <v>18</v>
      </c>
      <c r="Y14" s="2">
        <v>2756</v>
      </c>
      <c r="Z14" s="1">
        <v>667.799988627434</v>
      </c>
      <c r="AA14" s="1">
        <v>10082.5500206947</v>
      </c>
      <c r="AD14">
        <v>2016</v>
      </c>
      <c r="AE14" t="s">
        <v>18</v>
      </c>
      <c r="AF14" s="2">
        <v>23973</v>
      </c>
      <c r="AG14" s="1">
        <v>11943.8300090302</v>
      </c>
      <c r="AH14" s="1">
        <v>11952.489908993201</v>
      </c>
      <c r="AK14">
        <v>2016</v>
      </c>
      <c r="AL14" t="s">
        <v>18</v>
      </c>
      <c r="AM14" s="2">
        <v>14437</v>
      </c>
      <c r="AN14" s="1">
        <v>15409.609978258601</v>
      </c>
      <c r="AO14" s="1">
        <v>33334.239007234602</v>
      </c>
      <c r="AR14">
        <v>2016</v>
      </c>
      <c r="AS14" t="s">
        <v>18</v>
      </c>
      <c r="AT14" s="2">
        <v>33</v>
      </c>
      <c r="AU14" s="1">
        <v>1.7200000286102299</v>
      </c>
      <c r="AV14" s="1">
        <v>311.81999969482399</v>
      </c>
    </row>
    <row r="15" spans="1:48" x14ac:dyDescent="0.2">
      <c r="B15">
        <v>2016</v>
      </c>
      <c r="C15" t="s">
        <v>19</v>
      </c>
      <c r="D15" s="2">
        <v>27640</v>
      </c>
      <c r="E15" s="1">
        <v>377857.76085561502</v>
      </c>
      <c r="F15" s="1">
        <v>302204.10099977301</v>
      </c>
      <c r="I15">
        <v>2016</v>
      </c>
      <c r="J15" t="s">
        <v>19</v>
      </c>
      <c r="K15" s="2">
        <v>1931</v>
      </c>
      <c r="L15" s="1">
        <v>101.20000008866199</v>
      </c>
      <c r="M15" s="1">
        <v>1992.9099980276101</v>
      </c>
      <c r="P15">
        <v>2016</v>
      </c>
      <c r="Q15" t="s">
        <v>19</v>
      </c>
      <c r="R15" s="2">
        <v>58</v>
      </c>
      <c r="S15" s="1">
        <v>0</v>
      </c>
      <c r="T15" s="1">
        <v>754</v>
      </c>
      <c r="W15">
        <v>2016</v>
      </c>
      <c r="X15" t="s">
        <v>19</v>
      </c>
      <c r="Y15" s="2">
        <v>3108</v>
      </c>
      <c r="Z15" s="1">
        <v>727.999987602234</v>
      </c>
      <c r="AA15" s="1">
        <v>11629.850025653799</v>
      </c>
      <c r="AD15">
        <v>2016</v>
      </c>
      <c r="AE15" t="s">
        <v>19</v>
      </c>
      <c r="AF15" s="2">
        <v>27601</v>
      </c>
      <c r="AG15" s="1">
        <v>10139.1899900809</v>
      </c>
      <c r="AH15" s="1">
        <v>11644.5899523795</v>
      </c>
      <c r="AK15">
        <v>2016</v>
      </c>
      <c r="AL15" t="s">
        <v>19</v>
      </c>
      <c r="AM15" s="2">
        <v>17268</v>
      </c>
      <c r="AN15" s="1">
        <v>18515.739959120801</v>
      </c>
      <c r="AO15" s="1">
        <v>39639.658770561196</v>
      </c>
      <c r="AR15">
        <v>2016</v>
      </c>
      <c r="AS15" t="s">
        <v>19</v>
      </c>
      <c r="AT15" s="2">
        <v>39</v>
      </c>
      <c r="AU15" s="1">
        <v>2.3800001144409202</v>
      </c>
      <c r="AV15" s="1">
        <v>389.67999935150101</v>
      </c>
    </row>
    <row r="16" spans="1:48" x14ac:dyDescent="0.2">
      <c r="B16">
        <v>2016</v>
      </c>
      <c r="C16" t="s">
        <v>20</v>
      </c>
      <c r="D16" s="2">
        <v>24056</v>
      </c>
      <c r="E16" s="1">
        <v>360448.96091646003</v>
      </c>
      <c r="F16" s="1">
        <v>272440.30066373898</v>
      </c>
      <c r="I16">
        <v>2016</v>
      </c>
      <c r="J16" t="s">
        <v>20</v>
      </c>
      <c r="K16" s="2">
        <v>1850</v>
      </c>
      <c r="L16" s="1">
        <v>99.609999962151093</v>
      </c>
      <c r="M16" s="1">
        <v>2168.0000006742798</v>
      </c>
      <c r="P16">
        <v>2016</v>
      </c>
      <c r="Q16" t="s">
        <v>20</v>
      </c>
      <c r="R16" s="2">
        <v>47</v>
      </c>
      <c r="S16" s="1">
        <v>0</v>
      </c>
      <c r="T16" s="1">
        <v>611</v>
      </c>
      <c r="W16">
        <v>2016</v>
      </c>
      <c r="X16" t="s">
        <v>20</v>
      </c>
      <c r="Y16" s="2">
        <v>2701</v>
      </c>
      <c r="Z16" s="1">
        <v>712.59998786449398</v>
      </c>
      <c r="AA16" s="1">
        <v>10040.150014638901</v>
      </c>
      <c r="AD16">
        <v>2016</v>
      </c>
      <c r="AE16" t="s">
        <v>20</v>
      </c>
      <c r="AF16" s="2">
        <v>24010</v>
      </c>
      <c r="AG16" s="1">
        <v>9217.8299874383993</v>
      </c>
      <c r="AH16" s="1">
        <v>9655.8799287080801</v>
      </c>
      <c r="AK16">
        <v>2016</v>
      </c>
      <c r="AL16" t="s">
        <v>20</v>
      </c>
      <c r="AM16" s="2">
        <v>14480</v>
      </c>
      <c r="AN16" s="1">
        <v>15432.869982183</v>
      </c>
      <c r="AO16" s="1">
        <v>33495.529015541098</v>
      </c>
      <c r="AR16">
        <v>2016</v>
      </c>
      <c r="AS16" t="s">
        <v>20</v>
      </c>
      <c r="AT16" s="2">
        <v>41</v>
      </c>
      <c r="AU16" s="1">
        <v>0</v>
      </c>
      <c r="AV16" s="1">
        <v>404.409999847412</v>
      </c>
    </row>
    <row r="17" spans="2:48" x14ac:dyDescent="0.2">
      <c r="B17">
        <v>2016</v>
      </c>
      <c r="C17" t="s">
        <v>21</v>
      </c>
      <c r="D17" s="2">
        <v>21489</v>
      </c>
      <c r="E17" s="1">
        <v>349710.48090821499</v>
      </c>
      <c r="F17" s="1">
        <v>252620.45067620301</v>
      </c>
      <c r="I17">
        <v>2016</v>
      </c>
      <c r="J17" t="s">
        <v>21</v>
      </c>
      <c r="K17" s="2">
        <v>2157</v>
      </c>
      <c r="L17" s="1">
        <v>120.140000021085</v>
      </c>
      <c r="M17" s="1">
        <v>2083.8400015719199</v>
      </c>
      <c r="P17">
        <v>2016</v>
      </c>
      <c r="Q17" t="s">
        <v>21</v>
      </c>
      <c r="R17" s="2">
        <v>55</v>
      </c>
      <c r="S17" s="1">
        <v>0</v>
      </c>
      <c r="T17" s="1">
        <v>715</v>
      </c>
      <c r="W17">
        <v>2016</v>
      </c>
      <c r="X17" t="s">
        <v>21</v>
      </c>
      <c r="Y17" s="2">
        <v>2600</v>
      </c>
      <c r="Z17" s="1">
        <v>773.38998782634701</v>
      </c>
      <c r="AA17" s="1">
        <v>10022.980005502701</v>
      </c>
      <c r="AD17">
        <v>2016</v>
      </c>
      <c r="AE17" t="s">
        <v>21</v>
      </c>
      <c r="AF17" s="2">
        <v>21452</v>
      </c>
      <c r="AG17" s="1">
        <v>10555.1299929097</v>
      </c>
      <c r="AH17" s="1">
        <v>10035.9899835736</v>
      </c>
      <c r="AK17">
        <v>2016</v>
      </c>
      <c r="AL17" t="s">
        <v>21</v>
      </c>
      <c r="AM17" s="2">
        <v>13105</v>
      </c>
      <c r="AN17" s="1">
        <v>14039.4799711704</v>
      </c>
      <c r="AO17" s="1">
        <v>30117.369073152498</v>
      </c>
      <c r="AR17">
        <v>2016</v>
      </c>
      <c r="AS17" t="s">
        <v>21</v>
      </c>
      <c r="AT17" s="2">
        <v>48</v>
      </c>
      <c r="AU17" s="1">
        <v>0</v>
      </c>
      <c r="AV17" s="1">
        <v>523.10999894142196</v>
      </c>
    </row>
    <row r="18" spans="2:48" x14ac:dyDescent="0.2">
      <c r="B18">
        <v>2016</v>
      </c>
      <c r="C18" t="s">
        <v>22</v>
      </c>
      <c r="D18" s="2">
        <v>21417</v>
      </c>
      <c r="E18" s="1">
        <v>324800.13059151202</v>
      </c>
      <c r="F18" s="1">
        <v>242034.03081826901</v>
      </c>
      <c r="I18">
        <v>2016</v>
      </c>
      <c r="J18" t="s">
        <v>22</v>
      </c>
      <c r="K18" s="2">
        <v>2011</v>
      </c>
      <c r="L18" s="1">
        <v>136.20999990403701</v>
      </c>
      <c r="M18" s="1">
        <v>2002.35999760963</v>
      </c>
      <c r="P18">
        <v>2016</v>
      </c>
      <c r="Q18" t="s">
        <v>22</v>
      </c>
      <c r="R18" s="2">
        <v>56</v>
      </c>
      <c r="S18" s="1">
        <v>0</v>
      </c>
      <c r="T18" s="1">
        <v>728</v>
      </c>
      <c r="W18">
        <v>2016</v>
      </c>
      <c r="X18" t="s">
        <v>22</v>
      </c>
      <c r="Y18" s="2">
        <v>2573</v>
      </c>
      <c r="Z18" s="1">
        <v>782.59998667240097</v>
      </c>
      <c r="AA18" s="1">
        <v>9282.65000271797</v>
      </c>
      <c r="AD18">
        <v>2016</v>
      </c>
      <c r="AE18" t="s">
        <v>22</v>
      </c>
      <c r="AF18" s="2">
        <v>21365</v>
      </c>
      <c r="AG18" s="1">
        <v>11319.0599832516</v>
      </c>
      <c r="AH18" s="1">
        <v>10431.390003025501</v>
      </c>
      <c r="AK18">
        <v>2016</v>
      </c>
      <c r="AL18" t="s">
        <v>22</v>
      </c>
      <c r="AM18" s="2">
        <v>12801</v>
      </c>
      <c r="AN18" s="1">
        <v>14483.030068337899</v>
      </c>
      <c r="AO18" s="1">
        <v>28498.219193697001</v>
      </c>
      <c r="AR18">
        <v>2016</v>
      </c>
      <c r="AS18" t="s">
        <v>22</v>
      </c>
      <c r="AT18" s="2">
        <v>43</v>
      </c>
      <c r="AU18" s="1">
        <v>115.779999613762</v>
      </c>
      <c r="AV18" s="1">
        <v>434.71999843418598</v>
      </c>
    </row>
    <row r="19" spans="2:48" x14ac:dyDescent="0.2">
      <c r="B19">
        <v>2016</v>
      </c>
      <c r="C19" t="s">
        <v>23</v>
      </c>
      <c r="D19" s="2">
        <v>22408</v>
      </c>
      <c r="E19" s="1">
        <v>317766.729932427</v>
      </c>
      <c r="F19" s="1">
        <v>234084.77203321501</v>
      </c>
      <c r="I19">
        <v>2016</v>
      </c>
      <c r="J19" t="s">
        <v>23</v>
      </c>
      <c r="K19" s="2">
        <v>2043</v>
      </c>
      <c r="L19" s="1">
        <v>175.399999523535</v>
      </c>
      <c r="M19" s="1">
        <v>1962.38000013493</v>
      </c>
      <c r="P19">
        <v>2016</v>
      </c>
      <c r="Q19" t="s">
        <v>23</v>
      </c>
      <c r="R19" s="2">
        <v>49</v>
      </c>
      <c r="S19" s="1">
        <v>0</v>
      </c>
      <c r="T19" s="1">
        <v>637</v>
      </c>
      <c r="W19">
        <v>2016</v>
      </c>
      <c r="X19" t="s">
        <v>23</v>
      </c>
      <c r="Y19" s="2">
        <v>2668</v>
      </c>
      <c r="Z19" s="1">
        <v>647.14998912811302</v>
      </c>
      <c r="AA19" s="1">
        <v>9596.9900214672107</v>
      </c>
      <c r="AD19">
        <v>2016</v>
      </c>
      <c r="AE19" t="s">
        <v>23</v>
      </c>
      <c r="AF19" s="2">
        <v>22376</v>
      </c>
      <c r="AG19" s="1">
        <v>13966.7099528369</v>
      </c>
      <c r="AH19" s="1">
        <v>12061.9199841022</v>
      </c>
      <c r="AK19">
        <v>2016</v>
      </c>
      <c r="AL19" t="s">
        <v>23</v>
      </c>
      <c r="AM19" s="2">
        <v>14152</v>
      </c>
      <c r="AN19" s="1">
        <v>18900.170501649402</v>
      </c>
      <c r="AO19" s="1">
        <v>28374.629612922701</v>
      </c>
      <c r="AR19">
        <v>2016</v>
      </c>
      <c r="AS19" t="s">
        <v>23</v>
      </c>
      <c r="AT19" s="2">
        <v>31</v>
      </c>
      <c r="AU19" s="1">
        <v>22.249999642372099</v>
      </c>
      <c r="AV19" s="1">
        <v>325.50999867916101</v>
      </c>
    </row>
    <row r="20" spans="2:48" x14ac:dyDescent="0.2">
      <c r="B20">
        <v>2016</v>
      </c>
      <c r="C20" t="s">
        <v>24</v>
      </c>
      <c r="D20" s="2">
        <v>22787</v>
      </c>
      <c r="E20" s="1">
        <v>326656.34977638698</v>
      </c>
      <c r="F20" s="1">
        <v>245019.68226158599</v>
      </c>
      <c r="I20">
        <v>2016</v>
      </c>
      <c r="J20" t="s">
        <v>24</v>
      </c>
      <c r="K20" s="2">
        <v>2628</v>
      </c>
      <c r="L20" s="1">
        <v>223.69999865256199</v>
      </c>
      <c r="M20" s="1">
        <v>2411.2800016421802</v>
      </c>
      <c r="P20">
        <v>2016</v>
      </c>
      <c r="Q20" t="s">
        <v>24</v>
      </c>
      <c r="R20" s="2">
        <v>39</v>
      </c>
      <c r="S20" s="1">
        <v>0</v>
      </c>
      <c r="T20" s="1">
        <v>507</v>
      </c>
      <c r="W20">
        <v>2016</v>
      </c>
      <c r="X20" t="s">
        <v>24</v>
      </c>
      <c r="Y20" s="2">
        <v>2691</v>
      </c>
      <c r="Z20" s="1">
        <v>733.599987506866</v>
      </c>
      <c r="AA20" s="1">
        <v>9707.2500121593494</v>
      </c>
      <c r="AD20">
        <v>2016</v>
      </c>
      <c r="AE20" t="s">
        <v>24</v>
      </c>
      <c r="AF20" s="2">
        <v>22741</v>
      </c>
      <c r="AG20" s="1">
        <v>15923.5400165711</v>
      </c>
      <c r="AH20" s="1">
        <v>13585.410063654201</v>
      </c>
      <c r="AK20">
        <v>2016</v>
      </c>
      <c r="AL20" t="s">
        <v>24</v>
      </c>
      <c r="AM20" s="2">
        <v>14303</v>
      </c>
      <c r="AN20" s="1">
        <v>19181.780508756601</v>
      </c>
      <c r="AO20" s="1">
        <v>28539.769601821899</v>
      </c>
      <c r="AR20">
        <v>2016</v>
      </c>
      <c r="AS20" t="s">
        <v>24</v>
      </c>
      <c r="AT20" s="2">
        <v>34</v>
      </c>
      <c r="AU20" s="1">
        <v>6.5199999213218698</v>
      </c>
      <c r="AV20" s="1">
        <v>324.66000008583097</v>
      </c>
    </row>
    <row r="21" spans="2:48" x14ac:dyDescent="0.2">
      <c r="B21">
        <v>2016</v>
      </c>
      <c r="C21" t="s">
        <v>13</v>
      </c>
      <c r="D21" s="2">
        <v>21772</v>
      </c>
      <c r="E21" s="1">
        <v>304462.02984142298</v>
      </c>
      <c r="F21" s="1">
        <v>244333.14248451599</v>
      </c>
      <c r="I21">
        <v>2016</v>
      </c>
      <c r="J21" t="s">
        <v>13</v>
      </c>
      <c r="K21" s="2">
        <v>2332</v>
      </c>
      <c r="L21" s="1">
        <v>123.42000064626301</v>
      </c>
      <c r="M21" s="1">
        <v>2251.1500122305001</v>
      </c>
      <c r="P21">
        <v>2016</v>
      </c>
      <c r="Q21" t="s">
        <v>13</v>
      </c>
      <c r="R21" s="2">
        <v>44</v>
      </c>
      <c r="S21" s="1">
        <v>0</v>
      </c>
      <c r="T21" s="1">
        <v>572</v>
      </c>
      <c r="W21">
        <v>2016</v>
      </c>
      <c r="X21" t="s">
        <v>13</v>
      </c>
      <c r="Y21" s="2">
        <v>2529</v>
      </c>
      <c r="Z21" s="1">
        <v>715.39998781681095</v>
      </c>
      <c r="AA21" s="1">
        <v>9511.1000139713306</v>
      </c>
      <c r="AD21">
        <v>2016</v>
      </c>
      <c r="AE21" t="s">
        <v>13</v>
      </c>
      <c r="AF21" s="2">
        <v>21728</v>
      </c>
      <c r="AG21" s="1">
        <v>12792.2700181864</v>
      </c>
      <c r="AH21" s="1">
        <v>12070.689991653</v>
      </c>
      <c r="AK21">
        <v>2016</v>
      </c>
      <c r="AL21" t="s">
        <v>13</v>
      </c>
      <c r="AM21" s="2">
        <v>13500</v>
      </c>
      <c r="AN21" s="1">
        <v>18136.4504808784</v>
      </c>
      <c r="AO21" s="1">
        <v>26882.949621438998</v>
      </c>
      <c r="AR21">
        <v>2016</v>
      </c>
      <c r="AS21" t="s">
        <v>13</v>
      </c>
      <c r="AT21" s="2">
        <v>36</v>
      </c>
      <c r="AU21" s="1">
        <v>6.9200000762939498</v>
      </c>
      <c r="AV21" s="1">
        <v>331.72999894618999</v>
      </c>
    </row>
  </sheetData>
  <mergeCells count="8">
    <mergeCell ref="B5:AV5"/>
    <mergeCell ref="B7:F7"/>
    <mergeCell ref="I7:M7"/>
    <mergeCell ref="P7:T7"/>
    <mergeCell ref="W7:AA7"/>
    <mergeCell ref="AD7:AH7"/>
    <mergeCell ref="AK7:AO7"/>
    <mergeCell ref="AR7:AV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N51" sqref="N51"/>
    </sheetView>
  </sheetViews>
  <sheetFormatPr baseColWidth="10" defaultColWidth="8.83203125" defaultRowHeight="15" x14ac:dyDescent="0.2"/>
  <cols>
    <col min="1" max="3" width="20.6640625" customWidth="1"/>
    <col min="4" max="4" width="20.6640625" style="2" customWidth="1"/>
    <col min="5" max="5" width="20.6640625" style="1" customWidth="1"/>
    <col min="6" max="8" width="20.6640625" style="3" customWidth="1"/>
    <col min="9" max="12" width="20.6640625" customWidth="1"/>
    <col min="13" max="13" width="20.6640625" style="2" customWidth="1"/>
    <col min="14" max="14" width="20.6640625" style="1" customWidth="1"/>
    <col min="15" max="17" width="20.6640625" style="3" customWidth="1"/>
    <col min="18" max="26" width="20.6640625" customWidth="1"/>
  </cols>
  <sheetData>
    <row r="1" spans="1:17" ht="26" x14ac:dyDescent="0.3">
      <c r="A1" s="4" t="s">
        <v>76</v>
      </c>
    </row>
    <row r="5" spans="1:17" ht="24" x14ac:dyDescent="0.2">
      <c r="B5" s="8" t="s">
        <v>76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7" spans="1:17" ht="24" x14ac:dyDescent="0.2">
      <c r="B7" s="8" t="s">
        <v>77</v>
      </c>
      <c r="C7" s="8"/>
      <c r="D7" s="8"/>
      <c r="E7" s="8"/>
      <c r="F7" s="8"/>
      <c r="G7" s="8"/>
      <c r="H7" s="8"/>
      <c r="K7" s="8" t="s">
        <v>78</v>
      </c>
      <c r="L7" s="8"/>
      <c r="M7" s="8"/>
      <c r="N7" s="8"/>
      <c r="O7" s="8"/>
      <c r="P7" s="8"/>
      <c r="Q7" s="8"/>
    </row>
    <row r="8" spans="1:17" x14ac:dyDescent="0.2">
      <c r="B8" s="5" t="s">
        <v>8</v>
      </c>
      <c r="C8" s="5" t="s">
        <v>9</v>
      </c>
      <c r="D8" s="5" t="s">
        <v>47</v>
      </c>
      <c r="E8" s="5" t="s">
        <v>48</v>
      </c>
      <c r="F8" s="5" t="s">
        <v>49</v>
      </c>
      <c r="G8" s="5" t="s">
        <v>50</v>
      </c>
      <c r="H8" s="5" t="s">
        <v>51</v>
      </c>
      <c r="K8" s="5" t="s">
        <v>8</v>
      </c>
      <c r="L8" s="5" t="s">
        <v>9</v>
      </c>
      <c r="M8" s="5" t="s">
        <v>47</v>
      </c>
      <c r="N8" s="5" t="s">
        <v>48</v>
      </c>
      <c r="O8" s="5" t="s">
        <v>49</v>
      </c>
      <c r="P8" s="5" t="s">
        <v>50</v>
      </c>
      <c r="Q8" s="5" t="s">
        <v>51</v>
      </c>
    </row>
    <row r="9" spans="1:17" x14ac:dyDescent="0.2">
      <c r="B9">
        <v>2015</v>
      </c>
      <c r="C9" t="s">
        <v>13</v>
      </c>
      <c r="D9" s="2">
        <v>1212</v>
      </c>
      <c r="E9" s="1">
        <v>12337.1300959773</v>
      </c>
      <c r="G9" s="3">
        <v>5.5701089204467102</v>
      </c>
      <c r="H9" s="3">
        <v>4.1686146152135297</v>
      </c>
      <c r="K9">
        <v>2015</v>
      </c>
      <c r="L9" t="s">
        <v>13</v>
      </c>
      <c r="M9" s="2">
        <v>195</v>
      </c>
      <c r="N9" s="1">
        <v>2507.43002120033</v>
      </c>
      <c r="P9" s="3">
        <v>0.89618089066593098</v>
      </c>
      <c r="Q9" s="3">
        <v>0.84723994573170802</v>
      </c>
    </row>
    <row r="10" spans="1:17" x14ac:dyDescent="0.2">
      <c r="B10">
        <v>2015</v>
      </c>
      <c r="C10" t="s">
        <v>14</v>
      </c>
      <c r="D10" s="2">
        <v>1258</v>
      </c>
      <c r="E10" s="1">
        <v>12856.000116560601</v>
      </c>
      <c r="F10" s="3">
        <v>3.79537953795379</v>
      </c>
      <c r="G10" s="3">
        <v>5.7815156946550896</v>
      </c>
      <c r="H10" s="3">
        <v>4.3439365202572997</v>
      </c>
      <c r="K10">
        <v>2015</v>
      </c>
      <c r="L10" t="s">
        <v>14</v>
      </c>
      <c r="M10" s="2">
        <v>194</v>
      </c>
      <c r="N10" s="1">
        <v>2244.46001887694</v>
      </c>
      <c r="O10" s="3">
        <v>-0.512820512820511</v>
      </c>
      <c r="P10" s="3">
        <v>0.891585091226619</v>
      </c>
      <c r="Q10" s="3">
        <v>0.75838454852669301</v>
      </c>
    </row>
    <row r="11" spans="1:17" x14ac:dyDescent="0.2">
      <c r="B11">
        <v>2015</v>
      </c>
      <c r="C11" t="s">
        <v>15</v>
      </c>
      <c r="D11" s="2">
        <v>1666</v>
      </c>
      <c r="E11" s="1">
        <v>16373.4001372438</v>
      </c>
      <c r="F11" s="3">
        <v>32.4324324324324</v>
      </c>
      <c r="G11" s="3">
        <v>7.6566018658945696</v>
      </c>
      <c r="H11" s="3">
        <v>5.5324370077858598</v>
      </c>
      <c r="K11">
        <v>2015</v>
      </c>
      <c r="L11" t="s">
        <v>15</v>
      </c>
      <c r="M11" s="2">
        <v>190</v>
      </c>
      <c r="N11" s="1">
        <v>2099.2700244654002</v>
      </c>
      <c r="O11" s="3">
        <v>-2.0618556701031001</v>
      </c>
      <c r="P11" s="3">
        <v>0.87320189346936905</v>
      </c>
      <c r="Q11" s="3">
        <v>0.70932604561894796</v>
      </c>
    </row>
    <row r="12" spans="1:17" x14ac:dyDescent="0.2">
      <c r="B12">
        <v>2015</v>
      </c>
      <c r="C12" t="s">
        <v>16</v>
      </c>
      <c r="D12" s="2">
        <v>1299</v>
      </c>
      <c r="E12" s="1">
        <v>13371.070069827099</v>
      </c>
      <c r="F12" s="3">
        <v>-22.0288115246098</v>
      </c>
      <c r="G12" s="3">
        <v>5.9699434716669</v>
      </c>
      <c r="H12" s="3">
        <v>4.5179744138630697</v>
      </c>
      <c r="K12">
        <v>2015</v>
      </c>
      <c r="L12" t="s">
        <v>16</v>
      </c>
      <c r="M12" s="2">
        <v>200</v>
      </c>
      <c r="N12" s="1">
        <v>2345.2300163600598</v>
      </c>
      <c r="O12" s="3">
        <v>5.2631578947368398</v>
      </c>
      <c r="P12" s="3">
        <v>0.91915988786249403</v>
      </c>
      <c r="Q12" s="3">
        <v>0.79243390044364603</v>
      </c>
    </row>
    <row r="13" spans="1:17" x14ac:dyDescent="0.2">
      <c r="B13">
        <v>2016</v>
      </c>
      <c r="C13" t="s">
        <v>17</v>
      </c>
      <c r="D13" s="2">
        <v>1279</v>
      </c>
      <c r="E13" s="1">
        <v>14117.9499526415</v>
      </c>
      <c r="F13" s="3">
        <v>-1.53964588144727</v>
      </c>
      <c r="G13" s="3">
        <v>5.8780274828806496</v>
      </c>
      <c r="H13" s="3">
        <v>4.7703389728073002</v>
      </c>
      <c r="K13">
        <v>2016</v>
      </c>
      <c r="L13" t="s">
        <v>17</v>
      </c>
      <c r="M13" s="2">
        <v>221</v>
      </c>
      <c r="N13" s="1">
        <v>3380.2199962120499</v>
      </c>
      <c r="O13" s="3">
        <v>10.5</v>
      </c>
      <c r="P13" s="3">
        <v>1.01567167608806</v>
      </c>
      <c r="Q13" s="3">
        <v>1.14214848747044</v>
      </c>
    </row>
    <row r="14" spans="1:17" x14ac:dyDescent="0.2">
      <c r="B14">
        <v>2016</v>
      </c>
      <c r="C14" t="s">
        <v>18</v>
      </c>
      <c r="D14" s="2">
        <v>1461</v>
      </c>
      <c r="E14" s="1">
        <v>15230.499955019</v>
      </c>
      <c r="F14" s="3">
        <v>14.2298670836591</v>
      </c>
      <c r="G14" s="3">
        <v>6.7144629808355196</v>
      </c>
      <c r="H14" s="3">
        <v>5.14626045243722</v>
      </c>
      <c r="K14">
        <v>2016</v>
      </c>
      <c r="L14" t="s">
        <v>18</v>
      </c>
      <c r="M14" s="2">
        <v>227</v>
      </c>
      <c r="N14" s="1">
        <v>2589.3899919297501</v>
      </c>
      <c r="O14" s="3">
        <v>2.7149321266968198</v>
      </c>
      <c r="P14" s="3">
        <v>1.0432464727239299</v>
      </c>
      <c r="Q14" s="3">
        <v>0.87493354458226802</v>
      </c>
    </row>
    <row r="15" spans="1:17" x14ac:dyDescent="0.2">
      <c r="B15">
        <v>2016</v>
      </c>
      <c r="C15" t="s">
        <v>19</v>
      </c>
      <c r="D15" s="2">
        <v>1530</v>
      </c>
      <c r="E15" s="1">
        <v>15610.339930321999</v>
      </c>
      <c r="F15" s="3">
        <v>4.7227926078028801</v>
      </c>
      <c r="G15" s="3">
        <v>7.0315731421480798</v>
      </c>
      <c r="H15" s="3">
        <v>5.2746052506335896</v>
      </c>
      <c r="K15">
        <v>2016</v>
      </c>
      <c r="L15" t="s">
        <v>19</v>
      </c>
      <c r="M15" s="2">
        <v>284</v>
      </c>
      <c r="N15" s="1">
        <v>3109.9499951023599</v>
      </c>
      <c r="O15" s="3">
        <v>25.1101321585903</v>
      </c>
      <c r="P15" s="3">
        <v>1.30520704076474</v>
      </c>
      <c r="Q15" s="3">
        <v>1.0508264808194001</v>
      </c>
    </row>
    <row r="16" spans="1:17" x14ac:dyDescent="0.2">
      <c r="B16">
        <v>2016</v>
      </c>
      <c r="C16" t="s">
        <v>20</v>
      </c>
      <c r="D16" s="2">
        <v>1431</v>
      </c>
      <c r="E16" s="1">
        <v>15080.7999462467</v>
      </c>
      <c r="F16" s="3">
        <v>-6.4705882352941204</v>
      </c>
      <c r="G16" s="3">
        <v>6.57658899765614</v>
      </c>
      <c r="H16" s="3">
        <v>5.0956780528344696</v>
      </c>
      <c r="K16">
        <v>2016</v>
      </c>
      <c r="L16" t="s">
        <v>20</v>
      </c>
      <c r="M16" s="2">
        <v>275</v>
      </c>
      <c r="N16" s="1">
        <v>3464.2299868240998</v>
      </c>
      <c r="O16" s="3">
        <v>-3.1690140845070398</v>
      </c>
      <c r="P16" s="3">
        <v>1.2638448458109299</v>
      </c>
      <c r="Q16" s="3">
        <v>1.17053477114946</v>
      </c>
    </row>
    <row r="17" spans="2:17" x14ac:dyDescent="0.2">
      <c r="B17">
        <v>2016</v>
      </c>
      <c r="C17" t="s">
        <v>21</v>
      </c>
      <c r="D17" s="2">
        <v>1433</v>
      </c>
      <c r="E17" s="1">
        <v>16065.689925471301</v>
      </c>
      <c r="F17" s="3">
        <v>0.13976240391335701</v>
      </c>
      <c r="G17" s="3">
        <v>6.5857805965347698</v>
      </c>
      <c r="H17" s="3">
        <v>5.4284642624175099</v>
      </c>
      <c r="K17">
        <v>2016</v>
      </c>
      <c r="L17" t="s">
        <v>21</v>
      </c>
      <c r="M17" s="2">
        <v>252</v>
      </c>
      <c r="N17" s="1">
        <v>3192.7499908488198</v>
      </c>
      <c r="O17" s="3">
        <v>-8.3636363636363598</v>
      </c>
      <c r="P17" s="3">
        <v>1.15814145870674</v>
      </c>
      <c r="Q17" s="3">
        <v>1.07880391720234</v>
      </c>
    </row>
    <row r="18" spans="2:17" x14ac:dyDescent="0.2">
      <c r="B18">
        <v>2016</v>
      </c>
      <c r="C18" t="s">
        <v>22</v>
      </c>
      <c r="D18" s="2">
        <v>1403</v>
      </c>
      <c r="E18" s="1">
        <v>14522.529972840101</v>
      </c>
      <c r="F18" s="3">
        <v>-2.0935101186322398</v>
      </c>
      <c r="G18" s="3">
        <v>6.4479066133553902</v>
      </c>
      <c r="H18" s="3">
        <v>4.9070432283434497</v>
      </c>
      <c r="K18">
        <v>2016</v>
      </c>
      <c r="L18" t="s">
        <v>22</v>
      </c>
      <c r="M18" s="2">
        <v>267</v>
      </c>
      <c r="N18" s="1">
        <v>5432.3699825611002</v>
      </c>
      <c r="O18" s="3">
        <v>5.9523809523809499</v>
      </c>
      <c r="P18" s="3">
        <v>1.22707845029643</v>
      </c>
      <c r="Q18" s="3">
        <v>1.83555306042653</v>
      </c>
    </row>
    <row r="19" spans="2:17" x14ac:dyDescent="0.2">
      <c r="B19">
        <v>2016</v>
      </c>
      <c r="C19" t="s">
        <v>23</v>
      </c>
      <c r="D19" s="2">
        <v>1261</v>
      </c>
      <c r="E19" s="1">
        <v>12229.280099207501</v>
      </c>
      <c r="F19" s="3">
        <v>-10.121168923734899</v>
      </c>
      <c r="G19" s="3">
        <v>5.79530309297302</v>
      </c>
      <c r="H19" s="3">
        <v>4.1321729898689199</v>
      </c>
      <c r="K19">
        <v>2016</v>
      </c>
      <c r="L19" t="s">
        <v>23</v>
      </c>
      <c r="M19" s="2">
        <v>222</v>
      </c>
      <c r="N19" s="1">
        <v>3885.58001988567</v>
      </c>
      <c r="O19" s="3">
        <v>-16.8539325842697</v>
      </c>
      <c r="P19" s="3">
        <v>1.02026747552737</v>
      </c>
      <c r="Q19" s="3">
        <v>1.3129054758657801</v>
      </c>
    </row>
    <row r="20" spans="2:17" x14ac:dyDescent="0.2">
      <c r="B20">
        <v>2016</v>
      </c>
      <c r="C20" t="s">
        <v>24</v>
      </c>
      <c r="D20" s="2">
        <v>1847</v>
      </c>
      <c r="E20" s="1">
        <v>17989.100163314499</v>
      </c>
      <c r="F20" s="3">
        <v>46.471054718477397</v>
      </c>
      <c r="G20" s="3">
        <v>8.4884415644101292</v>
      </c>
      <c r="H20" s="3">
        <v>6.0783687350256699</v>
      </c>
      <c r="K20">
        <v>2016</v>
      </c>
      <c r="L20" t="s">
        <v>24</v>
      </c>
      <c r="M20" s="2">
        <v>241</v>
      </c>
      <c r="N20" s="1">
        <v>3087.2100108824702</v>
      </c>
      <c r="O20" s="3">
        <v>8.5585585585585608</v>
      </c>
      <c r="P20" s="3">
        <v>1.1075876648742999</v>
      </c>
      <c r="Q20" s="3">
        <v>1.0431428275036501</v>
      </c>
    </row>
    <row r="21" spans="2:17" x14ac:dyDescent="0.2">
      <c r="B21">
        <v>2016</v>
      </c>
      <c r="C21" t="s">
        <v>13</v>
      </c>
      <c r="D21" s="2">
        <v>1427</v>
      </c>
      <c r="E21" s="1">
        <v>13679.5300878659</v>
      </c>
      <c r="F21" s="3">
        <v>-22.739577693557099</v>
      </c>
      <c r="G21" s="3">
        <v>6.5582057998988903</v>
      </c>
      <c r="H21" s="3">
        <v>4.6222005125912196</v>
      </c>
      <c r="K21">
        <v>2016</v>
      </c>
      <c r="L21" t="s">
        <v>13</v>
      </c>
      <c r="M21" s="2">
        <v>242</v>
      </c>
      <c r="N21" s="1">
        <v>3822.4000160247101</v>
      </c>
      <c r="O21" s="3">
        <v>0.414937759336098</v>
      </c>
      <c r="P21" s="3">
        <v>1.1121834643136199</v>
      </c>
      <c r="Q21" s="3">
        <v>1.29155747309405</v>
      </c>
    </row>
  </sheetData>
  <mergeCells count="3">
    <mergeCell ref="B5:Q5"/>
    <mergeCell ref="B7:H7"/>
    <mergeCell ref="K7:Q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Services</vt:lpstr>
      <vt:lpstr>Charges</vt:lpstr>
      <vt:lpstr>Free_Shipping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2016-11-16T08:59:56Z</dcterms:created>
  <dcterms:modified xsi:type="dcterms:W3CDTF">2016-11-16T15:47:25Z</dcterms:modified>
</cp:coreProperties>
</file>