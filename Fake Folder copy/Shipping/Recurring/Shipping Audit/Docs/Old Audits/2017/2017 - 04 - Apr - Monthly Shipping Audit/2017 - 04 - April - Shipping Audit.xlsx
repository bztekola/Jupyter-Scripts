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Overcharges" sheetId="2" r:id="rId2"/>
    <sheet name="Free_Shipping" sheetId="3" r:id="rId3"/>
  </sheets>
  <calcPr calcId="124519" fullCalcOnLoad="1"/>
</workbook>
</file>

<file path=xl/sharedStrings.xml><?xml version="1.0" encoding="utf-8"?>
<sst xmlns="http://schemas.openxmlformats.org/spreadsheetml/2006/main" count="218" uniqueCount="87">
  <si>
    <t>Year</t>
  </si>
  <si>
    <t>Month</t>
  </si>
  <si>
    <t>Shipping Revenue</t>
  </si>
  <si>
    <t>UPS Charge</t>
  </si>
  <si>
    <t>USPS Charge</t>
  </si>
  <si>
    <t>DHL Charge</t>
  </si>
  <si>
    <t>Total Charge</t>
  </si>
  <si>
    <t>Shipping Profit</t>
  </si>
  <si>
    <t>Profit Margin</t>
  </si>
  <si>
    <t>April</t>
  </si>
  <si>
    <t>UPS</t>
  </si>
  <si>
    <t>USPS</t>
  </si>
  <si>
    <t>DHL</t>
  </si>
  <si>
    <t>Total</t>
  </si>
  <si>
    <t>Total YoY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</si>
  <si>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</si>
  <si>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</si>
  <si>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</si>
  <si>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</si>
  <si>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</si>
  <si>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</si>
  <si>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</si>
  <si>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</si>
  <si>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</si>
  <si>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</si>
  <si>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</si>
  <si>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Rev YoY</t>
  </si>
  <si>
    <t>Profit YoY</t>
  </si>
  <si>
    <t>Margin YoY</t>
  </si>
  <si>
    <t>Service</t>
  </si>
  <si>
    <t>Current Month</t>
  </si>
  <si>
    <t>% Change</t>
  </si>
  <si>
    <t>YoY</t>
  </si>
  <si>
    <t>Ground</t>
  </si>
  <si>
    <t>2nd Day Air</t>
  </si>
  <si>
    <t>3 Day Select</t>
  </si>
  <si>
    <t>Next Day Air</t>
  </si>
  <si>
    <t>Worldwide Expedited</t>
  </si>
  <si>
    <t>Misc</t>
  </si>
  <si>
    <t>Worldwide Saver</t>
  </si>
  <si>
    <t>Worldwide Express</t>
  </si>
  <si>
    <t>Count</t>
  </si>
  <si>
    <t>% Of Shipments</t>
  </si>
  <si>
    <t>% Of Service</t>
  </si>
  <si>
    <t>% Of Total</t>
  </si>
  <si>
    <t>Potential Refund</t>
  </si>
  <si>
    <t>Overcharged</t>
  </si>
  <si>
    <t>Count % Change</t>
  </si>
  <si>
    <t>Count YoY</t>
  </si>
  <si>
    <t>Charge Type</t>
  </si>
  <si>
    <t>Charge Type Count</t>
  </si>
  <si>
    <t>Residential Surcharge</t>
  </si>
  <si>
    <t>Shipping Charge Correction</t>
  </si>
  <si>
    <t>Remote/Extended/Delivery Area Surcharge</t>
  </si>
  <si>
    <t>Delivery Confirmation Signature</t>
  </si>
  <si>
    <t>Address Correction</t>
  </si>
  <si>
    <t>Electronic Export Information Fee</t>
  </si>
  <si>
    <t>Ground Return to Sender</t>
  </si>
  <si>
    <t>Return</t>
  </si>
  <si>
    <t>Return To Sender - Web Request</t>
  </si>
  <si>
    <t>Returns Electronic Label</t>
  </si>
  <si>
    <t>Returns Fuel Surcharge</t>
  </si>
  <si>
    <t>Returns Ground</t>
  </si>
  <si>
    <t>Cur Month Count</t>
  </si>
  <si>
    <t>Cur Month Cost</t>
  </si>
  <si>
    <t>% Of Total Count</t>
  </si>
  <si>
    <t>Avg Order Value</t>
  </si>
  <si>
    <t>Cost</t>
  </si>
  <si>
    <t>Count % of Total</t>
  </si>
  <si>
    <t>Cost % of Total</t>
  </si>
  <si>
    <t>Overview</t>
  </si>
  <si>
    <t>All data is without AdaBox activities unless otherwise noted</t>
  </si>
  <si>
    <t>Overcharges</t>
  </si>
  <si>
    <t>Free Shipping</t>
  </si>
  <si>
    <t>Overall With Free Shipping</t>
  </si>
  <si>
    <t>Overall Without Free Shipping</t>
  </si>
  <si>
    <t>Count Over Time</t>
  </si>
  <si>
    <t>Charges Over Time</t>
  </si>
  <si>
    <t>Shipping Revenue And Shipping Profit Over Time</t>
  </si>
  <si>
    <t>Count Of Services</t>
  </si>
  <si>
    <t>Revenue From Services</t>
  </si>
  <si>
    <t>Average Charge Of Services</t>
  </si>
  <si>
    <t>Late Shipment Data</t>
  </si>
  <si>
    <t>Overcharges Data</t>
  </si>
  <si>
    <t>Possible Reasons For Overcharges</t>
  </si>
  <si>
    <t>Free Shipping Data</t>
  </si>
  <si>
    <t>Free Shipping Over Time</t>
  </si>
</sst>
</file>

<file path=xl/styles.xml><?xml version="1.0" encoding="utf-8"?>
<styleSheet xmlns="http://schemas.openxmlformats.org/spreadsheetml/2006/main">
  <numFmts count="3">
    <numFmt numFmtId="164" formatCode="&quot;$&quot;#,###,##0"/>
    <numFmt numFmtId="165" formatCode="0.00&quot;%&quot;"/>
    <numFmt numFmtId="166" formatCode="##,##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UPS</c:v>
          </c:tx>
          <c:marker>
            <c:symbol val="x"/>
          </c:marker>
          <c:trendline>
            <c:name>UPS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Overview!$N$9:$N$21</c:f>
              <c:strCache>
                <c:ptCount val="1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</c:strCache>
            </c:strRef>
          </c:cat>
          <c:val>
            <c:numRef>
              <c:f>Overview!$O$9:$O$21</c:f>
              <c:numCache>
                <c:formatCode>General</c:formatCode>
                <c:ptCount val="13"/>
                <c:pt idx="0">
                  <c:v>23933</c:v>
                </c:pt>
                <c:pt idx="1">
                  <c:v>21358</c:v>
                </c:pt>
                <c:pt idx="2">
                  <c:v>21277</c:v>
                </c:pt>
                <c:pt idx="3">
                  <c:v>22312</c:v>
                </c:pt>
                <c:pt idx="4">
                  <c:v>22672</c:v>
                </c:pt>
                <c:pt idx="5">
                  <c:v>21669</c:v>
                </c:pt>
                <c:pt idx="6">
                  <c:v>22400</c:v>
                </c:pt>
                <c:pt idx="7">
                  <c:v>27062</c:v>
                </c:pt>
                <c:pt idx="8">
                  <c:v>25231</c:v>
                </c:pt>
                <c:pt idx="9">
                  <c:v>6666</c:v>
                </c:pt>
                <c:pt idx="10">
                  <c:v>9130</c:v>
                </c:pt>
                <c:pt idx="11">
                  <c:v>23380</c:v>
                </c:pt>
                <c:pt idx="12">
                  <c:v>15162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USPS</c:v>
          </c:tx>
          <c:marker>
            <c:symbol val="x"/>
          </c:marker>
          <c:trendline>
            <c:name>USPS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Overview!$P$9:$P$21</c:f>
              <c:numCache>
                <c:formatCode>General</c:formatCode>
                <c:ptCount val="13"/>
                <c:pt idx="0">
                  <c:v>3825</c:v>
                </c:pt>
                <c:pt idx="1">
                  <c:v>3831</c:v>
                </c:pt>
                <c:pt idx="2">
                  <c:v>4009</c:v>
                </c:pt>
                <c:pt idx="3">
                  <c:v>4778</c:v>
                </c:pt>
                <c:pt idx="4">
                  <c:v>4115</c:v>
                </c:pt>
                <c:pt idx="5">
                  <c:v>3910</c:v>
                </c:pt>
                <c:pt idx="6">
                  <c:v>3845</c:v>
                </c:pt>
                <c:pt idx="7">
                  <c:v>5324</c:v>
                </c:pt>
                <c:pt idx="8">
                  <c:v>4553</c:v>
                </c:pt>
                <c:pt idx="9">
                  <c:v>4309</c:v>
                </c:pt>
                <c:pt idx="10">
                  <c:v>4738</c:v>
                </c:pt>
                <c:pt idx="11">
                  <c:v>6500</c:v>
                </c:pt>
                <c:pt idx="12">
                  <c:v>4876</c:v>
                </c:pt>
              </c:numCache>
            </c:numRef>
          </c:val>
        </c:ser>
        <c:ser>
          <c:idx val="2"/>
          <c:order val="2"/>
          <c:tx>
            <c:v>DHL</c:v>
          </c:tx>
          <c:marker>
            <c:symbol val="x"/>
          </c:marker>
          <c:trendline>
            <c:name>DHL Trend</c:name>
            <c:spPr>
              <a:ln>
                <a:solidFill>
                  <a:srgbClr val="FFFF00"/>
                </a:solidFill>
              </a:ln>
            </c:spPr>
            <c:trendlineType val="linear"/>
          </c:trendline>
          <c:val>
            <c:numRef>
              <c:f>Overview!$Q$9:$Q$21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152</c:v>
                </c:pt>
                <c:pt idx="11">
                  <c:v>631</c:v>
                </c:pt>
                <c:pt idx="12">
                  <c:v>223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7062"/>
          <c:min val="6666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UPS</a:t>
                </a:r>
              </a:p>
            </c:rich>
          </c:tx>
          <c:layout/>
        </c:title>
        <c:numFmt formatCode="###,##0" sourceLinked="0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ax val="6500"/>
          <c:min val="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DHL and USPS</a:t>
                </a:r>
              </a:p>
            </c:rich>
          </c:tx>
          <c:layout/>
        </c:title>
        <c:numFmt formatCode="###,##0" sourceLinked="0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Charges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UPS</c:v>
          </c:tx>
          <c:marker>
            <c:symbol val="x"/>
          </c:marker>
          <c:trendline>
            <c:name>UPS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Overview!$W$9:$W$21</c:f>
              <c:strCache>
                <c:ptCount val="1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</c:strCache>
            </c:strRef>
          </c:cat>
          <c:val>
            <c:numRef>
              <c:f>Overview!$X$9:$X$21</c:f>
              <c:numCache>
                <c:formatCode>General</c:formatCode>
                <c:ptCount val="13"/>
                <c:pt idx="0">
                  <c:v>328074.829624848</c:v>
                </c:pt>
                <c:pt idx="1">
                  <c:v>305196.309739478</c:v>
                </c:pt>
                <c:pt idx="2">
                  <c:v>292412.070013858</c:v>
                </c:pt>
                <c:pt idx="3">
                  <c:v>286680.471646359</c:v>
                </c:pt>
                <c:pt idx="4">
                  <c:v>299765.46193908</c:v>
                </c:pt>
                <c:pt idx="5">
                  <c:v>295292.772120062</c:v>
                </c:pt>
                <c:pt idx="6">
                  <c:v>302652.312119652</c:v>
                </c:pt>
                <c:pt idx="7">
                  <c:v>354939.812547676</c:v>
                </c:pt>
                <c:pt idx="8">
                  <c:v>332369.441384112</c:v>
                </c:pt>
                <c:pt idx="9">
                  <c:v>95506.889280973</c:v>
                </c:pt>
                <c:pt idx="10">
                  <c:v>129370.729055183</c:v>
                </c:pt>
                <c:pt idx="11">
                  <c:v>315466.597172208</c:v>
                </c:pt>
                <c:pt idx="12">
                  <c:v>215657.538617665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USPS</c:v>
          </c:tx>
          <c:marker>
            <c:symbol val="x"/>
          </c:marker>
          <c:trendline>
            <c:name>USPS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Overview!$Y$9:$Y$21</c:f>
              <c:numCache>
                <c:formatCode>General</c:formatCode>
                <c:ptCount val="13"/>
                <c:pt idx="0">
                  <c:v>22604.1</c:v>
                </c:pt>
                <c:pt idx="1">
                  <c:v>22845.2000000001</c:v>
                </c:pt>
                <c:pt idx="2">
                  <c:v>22568.9000000003</c:v>
                </c:pt>
                <c:pt idx="3">
                  <c:v>24839.4000000003</c:v>
                </c:pt>
                <c:pt idx="4">
                  <c:v>23409.6999999991</c:v>
                </c:pt>
                <c:pt idx="5">
                  <c:v>22810.6999999994</c:v>
                </c:pt>
                <c:pt idx="6">
                  <c:v>23595.1999999991</c:v>
                </c:pt>
                <c:pt idx="7">
                  <c:v>30706.9999999979</c:v>
                </c:pt>
                <c:pt idx="8">
                  <c:v>26034.2999999986</c:v>
                </c:pt>
                <c:pt idx="9">
                  <c:v>27346.0999999994</c:v>
                </c:pt>
                <c:pt idx="10">
                  <c:v>27053.2999999994</c:v>
                </c:pt>
                <c:pt idx="11">
                  <c:v>34714.9999999979</c:v>
                </c:pt>
                <c:pt idx="12">
                  <c:v>25851.7999999997</c:v>
                </c:pt>
              </c:numCache>
            </c:numRef>
          </c:val>
        </c:ser>
        <c:ser>
          <c:idx val="2"/>
          <c:order val="2"/>
          <c:tx>
            <c:v>DHL</c:v>
          </c:tx>
          <c:marker>
            <c:symbol val="x"/>
          </c:marker>
          <c:trendline>
            <c:name>DHL Trend</c:name>
            <c:spPr>
              <a:ln>
                <a:solidFill>
                  <a:srgbClr val="FFFF00"/>
                </a:solidFill>
              </a:ln>
            </c:spPr>
            <c:trendlineType val="linear"/>
          </c:trendline>
          <c:val>
            <c:numRef>
              <c:f>Overview!$Z$9:$Z$21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2560.69000000001</c:v>
                </c:pt>
                <c:pt idx="11">
                  <c:v>10549.0899999999</c:v>
                </c:pt>
                <c:pt idx="12">
                  <c:v>3703.12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54939.812548"/>
          <c:min val="95506.889281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UPS</a:t>
                </a:r>
              </a:p>
            </c:rich>
          </c:tx>
          <c:layout/>
        </c:title>
        <c:numFmt formatCode="&quot;$&quot;###,##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  <c:max val="34715.0"/>
          <c:min val="0.0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DHL and USPS</a:t>
                </a:r>
              </a:p>
            </c:rich>
          </c:tx>
          <c:layout/>
        </c:title>
        <c:numFmt formatCode="&quot;$&quot;##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Shipping Revenue and Shipping Profit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Shipping Revenue</c:v>
          </c:tx>
          <c:marker>
            <c:symbol val="x"/>
          </c:marker>
          <c:trendline>
            <c:name>Revenue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numRef>
              <c:f>Overview!$M$9:$M$21</c:f>
              <c:numCache>
                <c:formatCode>General</c:formatCode>
                <c:ptCount val="13"/>
                <c:pt idx="0">
                  <c:v>2016</c:v>
                </c:pt>
                <c:pt idx="1">
                  <c:v>2016</c:v>
                </c:pt>
                <c:pt idx="2">
                  <c:v>2016</c:v>
                </c:pt>
                <c:pt idx="3">
                  <c:v>2016</c:v>
                </c:pt>
                <c:pt idx="4">
                  <c:v>2016</c:v>
                </c:pt>
                <c:pt idx="5">
                  <c:v>2016</c:v>
                </c:pt>
                <c:pt idx="6">
                  <c:v>2016</c:v>
                </c:pt>
                <c:pt idx="7">
                  <c:v>2016</c:v>
                </c:pt>
                <c:pt idx="8">
                  <c:v>2016</c:v>
                </c:pt>
                <c:pt idx="9">
                  <c:v>2017</c:v>
                </c:pt>
                <c:pt idx="10">
                  <c:v>2017</c:v>
                </c:pt>
                <c:pt idx="11">
                  <c:v>2017</c:v>
                </c:pt>
                <c:pt idx="12">
                  <c:v>2017</c:v>
                </c:pt>
              </c:numCache>
            </c:numRef>
          </c:cat>
          <c:val>
            <c:numRef>
              <c:f>Overview!$AH$9:$AH$21</c:f>
              <c:numCache>
                <c:formatCode>General</c:formatCode>
                <c:ptCount val="13"/>
                <c:pt idx="0">
                  <c:v>364594.729999978</c:v>
                </c:pt>
                <c:pt idx="1">
                  <c:v>338500.780000022</c:v>
                </c:pt>
                <c:pt idx="2">
                  <c:v>328473.249999984</c:v>
                </c:pt>
                <c:pt idx="3">
                  <c:v>321957.850000021</c:v>
                </c:pt>
                <c:pt idx="4">
                  <c:v>328690.449999949</c:v>
                </c:pt>
                <c:pt idx="5">
                  <c:v>329699.290000037</c:v>
                </c:pt>
                <c:pt idx="6">
                  <c:v>337281.080000046</c:v>
                </c:pt>
                <c:pt idx="7">
                  <c:v>402770.080000114</c:v>
                </c:pt>
                <c:pt idx="8">
                  <c:v>370256.300000023</c:v>
                </c:pt>
                <c:pt idx="9">
                  <c:v>335138.710000025</c:v>
                </c:pt>
                <c:pt idx="10">
                  <c:v>337420.539999953</c:v>
                </c:pt>
                <c:pt idx="11">
                  <c:v>372698.679999927</c:v>
                </c:pt>
                <c:pt idx="12">
                  <c:v>297593.109999963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Shipping Profit</c:v>
          </c:tx>
          <c:marker>
            <c:symbol val="x"/>
          </c:marker>
          <c:trendline>
            <c:name>Shipping Profit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Overview!$AI$9:$AI$21</c:f>
              <c:numCache>
                <c:formatCode>General</c:formatCode>
                <c:ptCount val="13"/>
                <c:pt idx="0">
                  <c:v>13915.8003751292</c:v>
                </c:pt>
                <c:pt idx="1">
                  <c:v>10459.2702605437</c:v>
                </c:pt>
                <c:pt idx="2">
                  <c:v>13492.2799861254</c:v>
                </c:pt>
                <c:pt idx="3">
                  <c:v>10437.9783536611</c:v>
                </c:pt>
                <c:pt idx="4">
                  <c:v>5515.28806087037</c:v>
                </c:pt>
                <c:pt idx="5">
                  <c:v>11595.817879975</c:v>
                </c:pt>
                <c:pt idx="6">
                  <c:v>11033.5678803951</c:v>
                </c:pt>
                <c:pt idx="7">
                  <c:v>17123.2674524398</c:v>
                </c:pt>
                <c:pt idx="8">
                  <c:v>11852.558615912</c:v>
                </c:pt>
                <c:pt idx="9">
                  <c:v>212285.720719053</c:v>
                </c:pt>
                <c:pt idx="10">
                  <c:v>178435.820944771</c:v>
                </c:pt>
                <c:pt idx="11">
                  <c:v>11967.9928277211</c:v>
                </c:pt>
                <c:pt idx="12">
                  <c:v>52380.6513822985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02770.08"/>
          <c:min val="297593.11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</c:title>
        <c:numFmt formatCode="&quot;$&quot;###,##0" sourceLinked="0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  <c:max val="212285.720719"/>
          <c:min val="5515.28806087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Shipping Profit</a:t>
                </a:r>
              </a:p>
            </c:rich>
          </c:tx>
          <c:layout/>
        </c:title>
        <c:numFmt formatCode="&quot;$&quot;###,##0" sourceLinked="0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Of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 Of Services</c:v>
          </c:tx>
          <c:dLbls>
            <c:showLegendKey val="1"/>
            <c:showPercent val="1"/>
            <c:showLeaderLines val="1"/>
          </c:dLbls>
          <c:cat>
            <c:strRef>
              <c:f>Overview!$AP$9:$AP$18</c:f>
              <c:strCache>
                <c:ptCount val="10"/>
                <c:pt idx="0">
                  <c:v>Ground</c:v>
                </c:pt>
                <c:pt idx="1">
                  <c:v>USPS</c:v>
                </c:pt>
                <c:pt idx="2">
                  <c:v>Ground</c:v>
                </c:pt>
                <c:pt idx="3">
                  <c:v>2nd Day Air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Expedited</c:v>
                </c:pt>
                <c:pt idx="7">
                  <c:v>DHL</c:v>
                </c:pt>
                <c:pt idx="8">
                  <c:v>Misc</c:v>
                </c:pt>
                <c:pt idx="9">
                  <c:v>Worldwide Saver</c:v>
                </c:pt>
              </c:strCache>
            </c:strRef>
          </c:cat>
          <c:val>
            <c:numRef>
              <c:f>Overview!$AQ$9:$AQ$18</c:f>
              <c:numCache>
                <c:formatCode>General</c:formatCode>
                <c:ptCount val="10"/>
                <c:pt idx="0">
                  <c:v>9890</c:v>
                </c:pt>
                <c:pt idx="1">
                  <c:v>4881</c:v>
                </c:pt>
                <c:pt idx="2">
                  <c:v>2837</c:v>
                </c:pt>
                <c:pt idx="3">
                  <c:v>1817</c:v>
                </c:pt>
                <c:pt idx="4">
                  <c:v>1290</c:v>
                </c:pt>
                <c:pt idx="5">
                  <c:v>1007</c:v>
                </c:pt>
                <c:pt idx="6">
                  <c:v>686</c:v>
                </c:pt>
                <c:pt idx="7">
                  <c:v>546</c:v>
                </c:pt>
                <c:pt idx="8">
                  <c:v>519</c:v>
                </c:pt>
                <c:pt idx="9">
                  <c:v>251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From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From Services</c:v>
          </c:tx>
          <c:dLbls>
            <c:showLegendKey val="1"/>
            <c:showPercent val="1"/>
            <c:showLeaderLines val="1"/>
          </c:dLbls>
          <c:cat>
            <c:strRef>
              <c:f>Overview!$AV$9:$AV$18</c:f>
              <c:strCache>
                <c:ptCount val="10"/>
                <c:pt idx="0">
                  <c:v>Ground</c:v>
                </c:pt>
                <c:pt idx="1">
                  <c:v>USPS</c:v>
                </c:pt>
                <c:pt idx="2">
                  <c:v>0</c:v>
                </c:pt>
                <c:pt idx="3">
                  <c:v>Worldwide Expedited</c:v>
                </c:pt>
                <c:pt idx="4">
                  <c:v>2nd Day Air</c:v>
                </c:pt>
                <c:pt idx="5">
                  <c:v>Next Day Air</c:v>
                </c:pt>
                <c:pt idx="6">
                  <c:v>3 Day Select</c:v>
                </c:pt>
                <c:pt idx="7">
                  <c:v>Worldwide Saver</c:v>
                </c:pt>
                <c:pt idx="8">
                  <c:v>Worldwide Express</c:v>
                </c:pt>
                <c:pt idx="9">
                  <c:v>DHL</c:v>
                </c:pt>
              </c:strCache>
            </c:strRef>
          </c:cat>
          <c:val>
            <c:numRef>
              <c:f>Overview!$AW$9:$AW$18</c:f>
              <c:numCache>
                <c:formatCode>General</c:formatCode>
                <c:ptCount val="10"/>
                <c:pt idx="0">
                  <c:v>79234.1099999971</c:v>
                </c:pt>
                <c:pt idx="1">
                  <c:v>38905.9300000024</c:v>
                </c:pt>
                <c:pt idx="2">
                  <c:v>36079.4800000003</c:v>
                </c:pt>
                <c:pt idx="3">
                  <c:v>34900.3</c:v>
                </c:pt>
                <c:pt idx="4">
                  <c:v>28177.8700000002</c:v>
                </c:pt>
                <c:pt idx="5">
                  <c:v>24976.91</c:v>
                </c:pt>
                <c:pt idx="6">
                  <c:v>16908.99</c:v>
                </c:pt>
                <c:pt idx="7">
                  <c:v>15935.51</c:v>
                </c:pt>
                <c:pt idx="8">
                  <c:v>12880.15</c:v>
                </c:pt>
                <c:pt idx="9">
                  <c:v>9323.85999999993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Charge Of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Average Charge Of Services</c:v>
          </c:tx>
          <c:dLbls>
            <c:showLegendKey val="1"/>
            <c:showPercent val="1"/>
            <c:showLeaderLines val="1"/>
          </c:dLbls>
          <c:cat>
            <c:strRef>
              <c:f>Overview!$BB$9:$BB$18</c:f>
              <c:strCache>
                <c:ptCount val="10"/>
                <c:pt idx="0">
                  <c:v>Ground</c:v>
                </c:pt>
                <c:pt idx="1">
                  <c:v>Worldwide Expedited</c:v>
                </c:pt>
                <c:pt idx="2">
                  <c:v>2nd Day Air</c:v>
                </c:pt>
                <c:pt idx="3">
                  <c:v>USPS</c:v>
                </c:pt>
                <c:pt idx="4">
                  <c:v>Next Day Air</c:v>
                </c:pt>
                <c:pt idx="5">
                  <c:v>3 Day Select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DHL</c:v>
                </c:pt>
                <c:pt idx="9">
                  <c:v>Misc</c:v>
                </c:pt>
              </c:strCache>
            </c:strRef>
          </c:cat>
          <c:val>
            <c:numRef>
              <c:f>Overview!$BC$9:$BC$18</c:f>
              <c:numCache>
                <c:formatCode>General</c:formatCode>
                <c:ptCount val="10"/>
                <c:pt idx="0">
                  <c:v>90875.9679549094</c:v>
                </c:pt>
                <c:pt idx="1">
                  <c:v>31460.9103497285</c:v>
                </c:pt>
                <c:pt idx="2">
                  <c:v>27204.0803252757</c:v>
                </c:pt>
                <c:pt idx="3">
                  <c:v>25851.7999999997</c:v>
                </c:pt>
                <c:pt idx="4">
                  <c:v>23735.5801679827</c:v>
                </c:pt>
                <c:pt idx="5">
                  <c:v>16216.8197469357</c:v>
                </c:pt>
                <c:pt idx="6">
                  <c:v>14346.1600020416</c:v>
                </c:pt>
                <c:pt idx="7">
                  <c:v>11818.0200707912</c:v>
                </c:pt>
                <c:pt idx="8">
                  <c:v>3703.12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Late Shipment Count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Late Shipment Count</c:v>
          </c:tx>
          <c:dLbls>
            <c:showLegendKey val="1"/>
            <c:showPercent val="1"/>
            <c:showLeaderLines val="1"/>
          </c:dLbls>
          <c:cat>
            <c:strRef>
              <c:f>Overview!$BH$9:$BH$15</c:f>
              <c:strCache>
                <c:ptCount val="7"/>
                <c:pt idx="0">
                  <c:v>Worldwide Expedited</c:v>
                </c:pt>
                <c:pt idx="1">
                  <c:v>Ground</c:v>
                </c:pt>
                <c:pt idx="2">
                  <c:v>Ground</c:v>
                </c:pt>
                <c:pt idx="3">
                  <c:v>Next Day Air</c:v>
                </c:pt>
                <c:pt idx="4">
                  <c:v>Worldwide Saver</c:v>
                </c:pt>
                <c:pt idx="5">
                  <c:v>Worldwide Express</c:v>
                </c:pt>
                <c:pt idx="6">
                  <c:v>3 Day Select</c:v>
                </c:pt>
              </c:strCache>
            </c:strRef>
          </c:cat>
          <c:val>
            <c:numRef>
              <c:f>Overview!$BI$9:$BI$15</c:f>
              <c:numCache>
                <c:formatCode>General</c:formatCode>
                <c:ptCount val="7"/>
                <c:pt idx="0">
                  <c:v>73</c:v>
                </c:pt>
                <c:pt idx="1">
                  <c:v>64</c:v>
                </c:pt>
                <c:pt idx="2">
                  <c:v>64</c:v>
                </c:pt>
                <c:pt idx="3">
                  <c:v>51</c:v>
                </c:pt>
                <c:pt idx="4">
                  <c:v>48</c:v>
                </c:pt>
                <c:pt idx="5">
                  <c:v>37</c:v>
                </c:pt>
                <c:pt idx="6">
                  <c:v>14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Of Overcharges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 Of Overcharges</c:v>
          </c:tx>
          <c:dLbls>
            <c:showLegendKey val="1"/>
            <c:showPercent val="1"/>
            <c:showLeaderLines val="1"/>
          </c:dLbls>
          <c:cat>
            <c:strRef>
              <c:f>Overcharges!$B$9:$B$16</c:f>
              <c:strCache>
                <c:ptCount val="8"/>
                <c:pt idx="0">
                  <c:v>Worldwide Expedited</c:v>
                </c:pt>
                <c:pt idx="1">
                  <c:v>Ground</c:v>
                </c:pt>
                <c:pt idx="2">
                  <c:v>2nd Day Air</c:v>
                </c:pt>
                <c:pt idx="3">
                  <c:v>Next Day Air</c:v>
                </c:pt>
                <c:pt idx="4">
                  <c:v>3 Day Select</c:v>
                </c:pt>
                <c:pt idx="5">
                  <c:v>Worldwide Saver</c:v>
                </c:pt>
                <c:pt idx="6">
                  <c:v>Worldwide Express</c:v>
                </c:pt>
                <c:pt idx="7">
                  <c:v>DHL</c:v>
                </c:pt>
              </c:strCache>
            </c:strRef>
          </c:cat>
          <c:val>
            <c:numRef>
              <c:f>Overcharges!$C$9:$C$16</c:f>
              <c:numCache>
                <c:formatCode>General</c:formatCode>
                <c:ptCount val="8"/>
                <c:pt idx="0">
                  <c:v>143</c:v>
                </c:pt>
                <c:pt idx="1">
                  <c:v>128</c:v>
                </c:pt>
                <c:pt idx="2">
                  <c:v>108</c:v>
                </c:pt>
                <c:pt idx="3">
                  <c:v>81</c:v>
                </c:pt>
                <c:pt idx="4">
                  <c:v>49</c:v>
                </c:pt>
                <c:pt idx="5">
                  <c:v>45</c:v>
                </c:pt>
                <c:pt idx="6">
                  <c:v>41</c:v>
                </c:pt>
                <c:pt idx="7">
                  <c:v>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Amount Overcharged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Amount Overcharged</c:v>
          </c:tx>
          <c:dLbls>
            <c:showLegendKey val="1"/>
            <c:showPercent val="1"/>
            <c:showLeaderLines val="1"/>
          </c:dLbls>
          <c:cat>
            <c:strRef>
              <c:f>Overcharges!$B$9:$B$16</c:f>
              <c:strCache>
                <c:ptCount val="8"/>
                <c:pt idx="0">
                  <c:v>Worldwide Expedited</c:v>
                </c:pt>
                <c:pt idx="1">
                  <c:v>Ground</c:v>
                </c:pt>
                <c:pt idx="2">
                  <c:v>2nd Day Air</c:v>
                </c:pt>
                <c:pt idx="3">
                  <c:v>Next Day Air</c:v>
                </c:pt>
                <c:pt idx="4">
                  <c:v>3 Day Select</c:v>
                </c:pt>
                <c:pt idx="5">
                  <c:v>Worldwide Saver</c:v>
                </c:pt>
                <c:pt idx="6">
                  <c:v>Worldwide Express</c:v>
                </c:pt>
                <c:pt idx="7">
                  <c:v>DHL</c:v>
                </c:pt>
              </c:strCache>
            </c:strRef>
          </c:cat>
          <c:val>
            <c:numRef>
              <c:f>Overcharges!$D$9:$D$16</c:f>
              <c:numCache>
                <c:formatCode>General</c:formatCode>
                <c:ptCount val="8"/>
                <c:pt idx="0">
                  <c:v>686.510045709758</c:v>
                </c:pt>
                <c:pt idx="1">
                  <c:v>381.439973153472</c:v>
                </c:pt>
                <c:pt idx="2">
                  <c:v>499.51000594072</c:v>
                </c:pt>
                <c:pt idx="3">
                  <c:v>226.160019646734</c:v>
                </c:pt>
                <c:pt idx="4">
                  <c:v>129.509993155673</c:v>
                </c:pt>
                <c:pt idx="5">
                  <c:v>497.329996676445</c:v>
                </c:pt>
                <c:pt idx="6">
                  <c:v>217.180008530617</c:v>
                </c:pt>
                <c:pt idx="7">
                  <c:v>75.95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Free Shipping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Free Shipping Count</c:v>
          </c:tx>
          <c:marker>
            <c:symbol val="x"/>
          </c:marker>
          <c:trendline>
            <c:name>Free Shipping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Free_Shipping!$L$9:$L$21</c:f>
              <c:strCache>
                <c:ptCount val="1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</c:strCache>
            </c:strRef>
          </c:cat>
          <c:val>
            <c:numRef>
              <c:f>Free_Shipping!$M$9:$M$21</c:f>
              <c:numCache>
                <c:formatCode>General</c:formatCode>
                <c:ptCount val="13"/>
                <c:pt idx="0">
                  <c:v>1909</c:v>
                </c:pt>
                <c:pt idx="1">
                  <c:v>1838</c:v>
                </c:pt>
                <c:pt idx="2">
                  <c:v>1867</c:v>
                </c:pt>
                <c:pt idx="3">
                  <c:v>1628</c:v>
                </c:pt>
                <c:pt idx="4">
                  <c:v>2714</c:v>
                </c:pt>
                <c:pt idx="5">
                  <c:v>2798</c:v>
                </c:pt>
                <c:pt idx="6">
                  <c:v>1909</c:v>
                </c:pt>
                <c:pt idx="7">
                  <c:v>2229</c:v>
                </c:pt>
                <c:pt idx="8">
                  <c:v>2779</c:v>
                </c:pt>
                <c:pt idx="9">
                  <c:v>2182</c:v>
                </c:pt>
                <c:pt idx="10">
                  <c:v>2121</c:v>
                </c:pt>
                <c:pt idx="11">
                  <c:v>4695</c:v>
                </c:pt>
                <c:pt idx="12">
                  <c:v>2108</c:v>
                </c:pt>
              </c:numCache>
            </c:numRef>
          </c:val>
        </c:ser>
        <c:marker val="1"/>
        <c:axId val="50100001"/>
        <c:axId val="50100002"/>
      </c:lineChart>
      <c:lineChart>
        <c:grouping val="standard"/>
        <c:ser>
          <c:idx val="1"/>
          <c:order val="1"/>
          <c:tx>
            <c:v>Free Shipping Cost</c:v>
          </c:tx>
          <c:marker>
            <c:symbol val="x"/>
          </c:marker>
          <c:trendline>
            <c:name>Free Shipping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Free_Shipping!$N$9:$N$21</c:f>
              <c:numCache>
                <c:formatCode>General</c:formatCode>
                <c:ptCount val="13"/>
                <c:pt idx="0">
                  <c:v>17997.0799332831</c:v>
                </c:pt>
                <c:pt idx="1">
                  <c:v>17944.2999236334</c:v>
                </c:pt>
                <c:pt idx="2">
                  <c:v>17411.9799716868</c:v>
                </c:pt>
                <c:pt idx="3">
                  <c:v>14693.0701088384</c:v>
                </c:pt>
                <c:pt idx="4">
                  <c:v>20209.6301735725</c:v>
                </c:pt>
                <c:pt idx="5">
                  <c:v>16128.0401005678</c:v>
                </c:pt>
                <c:pt idx="6">
                  <c:v>16477.1801072847</c:v>
                </c:pt>
                <c:pt idx="7">
                  <c:v>19420.0701411061</c:v>
                </c:pt>
                <c:pt idx="8">
                  <c:v>15755.3100509752</c:v>
                </c:pt>
                <c:pt idx="9">
                  <c:v>5120.64991854392</c:v>
                </c:pt>
                <c:pt idx="10">
                  <c:v>9933.38989021853</c:v>
                </c:pt>
                <c:pt idx="11">
                  <c:v>42094.779210781</c:v>
                </c:pt>
                <c:pt idx="12">
                  <c:v>13492.8198162157</c:v>
                </c:pt>
              </c:numCache>
            </c:numRef>
          </c:val>
        </c:ser>
        <c:marker val="1"/>
        <c:axId val="50100003"/>
        <c:axId val="50100004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695"/>
          <c:min val="1628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###,##0" sourceLinked="0"/>
        <c:tickLblPos val="nextTo"/>
        <c:crossAx val="50100001"/>
        <c:crosses val="autoZero"/>
        <c:crossBetween val="between"/>
      </c:valAx>
      <c:valAx>
        <c:axId val="50100004"/>
        <c:scaling>
          <c:orientation val="minMax"/>
          <c:max val="42094.7792108"/>
          <c:min val="5120.64991854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layout/>
        </c:title>
        <c:numFmt formatCode="&quot;$&quot;###,##0" sourceLinked="0"/>
        <c:tickLblPos val="nextTo"/>
        <c:crossAx val="50100003"/>
        <c:crosses val="max"/>
        <c:crossBetween val="between"/>
      </c:valAx>
      <c:catAx>
        <c:axId val="50100003"/>
        <c:scaling>
          <c:orientation val="minMax"/>
        </c:scaling>
        <c:delete val="1"/>
        <c:axPos val="b"/>
        <c:tickLblPos val="none"/>
        <c:crossAx val="5010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22</xdr:row>
      <xdr:rowOff>0</xdr:rowOff>
    </xdr:from>
    <xdr:to>
      <xdr:col>19</xdr:col>
      <xdr:colOff>190500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28</xdr:col>
      <xdr:colOff>190500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22</xdr:row>
      <xdr:rowOff>0</xdr:rowOff>
    </xdr:from>
    <xdr:to>
      <xdr:col>39</xdr:col>
      <xdr:colOff>9525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20</xdr:row>
      <xdr:rowOff>0</xdr:rowOff>
    </xdr:from>
    <xdr:to>
      <xdr:col>45</xdr:col>
      <xdr:colOff>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0</xdr:colOff>
      <xdr:row>20</xdr:row>
      <xdr:rowOff>0</xdr:rowOff>
    </xdr:from>
    <xdr:to>
      <xdr:col>51</xdr:col>
      <xdr:colOff>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0</xdr:colOff>
      <xdr:row>20</xdr:row>
      <xdr:rowOff>0</xdr:rowOff>
    </xdr:from>
    <xdr:to>
      <xdr:col>57</xdr:col>
      <xdr:colOff>0</xdr:colOff>
      <xdr:row>36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0</xdr:colOff>
      <xdr:row>18</xdr:row>
      <xdr:rowOff>0</xdr:rowOff>
    </xdr:from>
    <xdr:to>
      <xdr:col>65</xdr:col>
      <xdr:colOff>0</xdr:colOff>
      <xdr:row>34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9525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6</xdr:col>
      <xdr:colOff>9525</xdr:colOff>
      <xdr:row>52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</xdr:row>
      <xdr:rowOff>0</xdr:rowOff>
    </xdr:from>
    <xdr:to>
      <xdr:col>16</xdr:col>
      <xdr:colOff>19050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21"/>
  <sheetViews>
    <sheetView tabSelected="1" workbookViewId="0"/>
  </sheetViews>
  <sheetFormatPr defaultRowHeight="15"/>
  <cols>
    <col min="1" max="78" width="15.7109375" customWidth="1"/>
    <col min="4" max="9" width="9.140625" style="1"/>
    <col min="10" max="10" width="9.140625" style="2"/>
    <col min="15" max="18" width="9.140625" style="3"/>
    <col min="19" max="19" width="9.140625" style="2"/>
    <col min="24" max="27" width="9.140625" style="1"/>
    <col min="28" max="28" width="9.140625" style="2"/>
    <col min="30" max="30" width="0" hidden="1" customWidth="1"/>
    <col min="34" max="35" width="9.140625" style="1"/>
    <col min="36" max="39" width="9.140625" style="2"/>
    <col min="42" max="42" width="30.7109375" customWidth="1"/>
    <col min="43" max="43" width="9.140625" style="3"/>
    <col min="44" max="45" width="9.140625" style="2"/>
    <col min="48" max="48" width="30.7109375" customWidth="1"/>
    <col min="49" max="49" width="9.140625" style="1"/>
    <col min="50" max="51" width="9.140625" style="2"/>
    <col min="54" max="54" width="30.7109375" customWidth="1"/>
    <col min="55" max="55" width="9.140625" style="1"/>
    <col min="56" max="57" width="9.140625" style="2"/>
    <col min="60" max="60" width="30.7109375" customWidth="1"/>
    <col min="61" max="61" width="9.140625" style="3"/>
    <col min="62" max="64" width="9.140625" style="2"/>
    <col min="65" max="65" width="9.140625" style="1"/>
  </cols>
  <sheetData>
    <row r="1" spans="1:65">
      <c r="A1" s="4" t="s">
        <v>70</v>
      </c>
    </row>
    <row r="2" spans="1:65">
      <c r="A2" s="4" t="s">
        <v>71</v>
      </c>
    </row>
    <row r="7" spans="1:65">
      <c r="B7" s="5" t="s">
        <v>74</v>
      </c>
      <c r="C7" s="5"/>
      <c r="D7" s="5"/>
      <c r="E7" s="5"/>
      <c r="F7" s="5"/>
      <c r="G7" s="5"/>
      <c r="H7" s="5"/>
      <c r="I7" s="5"/>
      <c r="J7" s="5"/>
      <c r="M7" s="5" t="s">
        <v>76</v>
      </c>
      <c r="N7" s="5"/>
      <c r="O7" s="5"/>
      <c r="P7" s="5"/>
      <c r="Q7" s="5"/>
      <c r="R7" s="5"/>
      <c r="S7" s="5"/>
      <c r="V7" s="5" t="s">
        <v>77</v>
      </c>
      <c r="W7" s="5"/>
      <c r="X7" s="5"/>
      <c r="Y7" s="5"/>
      <c r="Z7" s="5"/>
      <c r="AA7" s="5"/>
      <c r="AB7" s="5"/>
      <c r="AF7" s="5" t="s">
        <v>78</v>
      </c>
      <c r="AG7" s="5"/>
      <c r="AH7" s="5"/>
      <c r="AI7" s="5"/>
      <c r="AJ7" s="5"/>
      <c r="AK7" s="5"/>
      <c r="AL7" s="5"/>
      <c r="AM7" s="5"/>
      <c r="AP7" s="5" t="s">
        <v>79</v>
      </c>
      <c r="AQ7" s="5"/>
      <c r="AR7" s="5"/>
      <c r="AS7" s="5"/>
      <c r="AV7" s="5" t="s">
        <v>80</v>
      </c>
      <c r="AW7" s="5"/>
      <c r="AX7" s="5"/>
      <c r="AY7" s="5"/>
      <c r="BB7" s="5" t="s">
        <v>81</v>
      </c>
      <c r="BC7" s="5"/>
      <c r="BD7" s="5"/>
      <c r="BE7" s="5"/>
      <c r="BH7" s="5" t="s">
        <v>82</v>
      </c>
      <c r="BI7" s="5"/>
      <c r="BJ7" s="5"/>
      <c r="BK7" s="5"/>
      <c r="BL7" s="5"/>
      <c r="BM7" s="5"/>
    </row>
    <row r="8" spans="1:65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M8" s="6" t="s">
        <v>0</v>
      </c>
      <c r="N8" s="6" t="s">
        <v>1</v>
      </c>
      <c r="O8" s="6" t="s">
        <v>10</v>
      </c>
      <c r="P8" s="6" t="s">
        <v>11</v>
      </c>
      <c r="Q8" s="6" t="s">
        <v>12</v>
      </c>
      <c r="R8" s="6" t="s">
        <v>13</v>
      </c>
      <c r="S8" s="6" t="s">
        <v>14</v>
      </c>
      <c r="V8" s="6" t="s">
        <v>0</v>
      </c>
      <c r="W8" s="6" t="s">
        <v>1</v>
      </c>
      <c r="X8" s="6" t="s">
        <v>10</v>
      </c>
      <c r="Y8" s="6" t="s">
        <v>11</v>
      </c>
      <c r="Z8" s="6" t="s">
        <v>12</v>
      </c>
      <c r="AA8" s="6" t="s">
        <v>13</v>
      </c>
      <c r="AB8" s="6" t="s">
        <v>14</v>
      </c>
      <c r="AF8" s="6" t="s">
        <v>0</v>
      </c>
      <c r="AG8" s="6" t="s">
        <v>1</v>
      </c>
      <c r="AH8" s="6" t="s">
        <v>2</v>
      </c>
      <c r="AI8" s="6" t="s">
        <v>7</v>
      </c>
      <c r="AJ8" s="6" t="s">
        <v>8</v>
      </c>
      <c r="AK8" s="6" t="s">
        <v>26</v>
      </c>
      <c r="AL8" s="6" t="s">
        <v>27</v>
      </c>
      <c r="AM8" s="6" t="s">
        <v>28</v>
      </c>
      <c r="AP8" s="6" t="s">
        <v>29</v>
      </c>
      <c r="AQ8" s="6" t="s">
        <v>30</v>
      </c>
      <c r="AR8" s="6" t="s">
        <v>31</v>
      </c>
      <c r="AS8" s="6" t="s">
        <v>32</v>
      </c>
      <c r="AV8" s="6" t="s">
        <v>29</v>
      </c>
      <c r="AW8" s="6" t="s">
        <v>30</v>
      </c>
      <c r="AX8" s="6" t="s">
        <v>31</v>
      </c>
      <c r="AY8" s="6" t="s">
        <v>32</v>
      </c>
      <c r="BB8" s="6" t="s">
        <v>29</v>
      </c>
      <c r="BC8" s="6" t="s">
        <v>30</v>
      </c>
      <c r="BD8" s="6" t="s">
        <v>31</v>
      </c>
      <c r="BE8" s="6" t="s">
        <v>32</v>
      </c>
      <c r="BH8" s="6" t="s">
        <v>29</v>
      </c>
      <c r="BI8" s="6" t="s">
        <v>41</v>
      </c>
      <c r="BJ8" s="6" t="s">
        <v>42</v>
      </c>
      <c r="BK8" s="6" t="s">
        <v>43</v>
      </c>
      <c r="BL8" s="6" t="s">
        <v>44</v>
      </c>
      <c r="BM8" s="6" t="s">
        <v>45</v>
      </c>
    </row>
    <row r="9" spans="1:65">
      <c r="B9">
        <v>2017</v>
      </c>
      <c r="C9" t="s">
        <v>9</v>
      </c>
      <c r="D9" s="1">
        <v>297593.109999963</v>
      </c>
      <c r="E9" s="1">
        <v>215657.538617665</v>
      </c>
      <c r="F9" s="1">
        <v>25851.7999999997</v>
      </c>
      <c r="G9" s="1">
        <v>3703.12</v>
      </c>
      <c r="H9" s="1">
        <v>245212.458617665</v>
      </c>
      <c r="I9" s="1">
        <v>52380.6513822985</v>
      </c>
      <c r="J9" s="2">
        <v>17.6014328363667</v>
      </c>
      <c r="M9">
        <v>2016</v>
      </c>
      <c r="N9" t="s">
        <v>9</v>
      </c>
      <c r="O9" s="3">
        <v>23933</v>
      </c>
      <c r="P9" s="3">
        <v>3825</v>
      </c>
      <c r="Q9" s="3">
        <v>0</v>
      </c>
      <c r="R9" s="3">
        <v>27758</v>
      </c>
      <c r="V9">
        <v>2016</v>
      </c>
      <c r="W9" t="s">
        <v>9</v>
      </c>
      <c r="X9" s="1">
        <v>328074.829624848</v>
      </c>
      <c r="Y9" s="1">
        <v>22604.1</v>
      </c>
      <c r="Z9" s="1">
        <v>0</v>
      </c>
      <c r="AA9" s="1">
        <v>350678.929624848</v>
      </c>
      <c r="AF9">
        <v>2016</v>
      </c>
      <c r="AG9" t="s">
        <v>9</v>
      </c>
      <c r="AH9" s="1">
        <v>364594.729999978</v>
      </c>
      <c r="AI9" s="1">
        <v>13915.8003751292</v>
      </c>
      <c r="AJ9" s="2">
        <v>3.81678593520263</v>
      </c>
      <c r="AP9" t="s">
        <v>33</v>
      </c>
      <c r="AQ9" s="3">
        <v>9890</v>
      </c>
      <c r="AR9" s="2">
        <v>-41.5829887773184</v>
      </c>
      <c r="AS9" s="2">
        <v>-29.957507082153</v>
      </c>
      <c r="AV9" t="s">
        <v>33</v>
      </c>
      <c r="AW9" s="1">
        <v>79234.1099999971</v>
      </c>
      <c r="AX9" s="2">
        <v>-32.6933430602833</v>
      </c>
      <c r="AY9" s="2">
        <v>-32.7381096390908</v>
      </c>
      <c r="BB9" t="s">
        <v>33</v>
      </c>
      <c r="BC9" s="1">
        <v>90875.9679549094</v>
      </c>
      <c r="BD9" s="2">
        <v>-42.3402423055757</v>
      </c>
      <c r="BE9" s="2">
        <v>-31.5183884849087</v>
      </c>
      <c r="BH9" t="s">
        <v>37</v>
      </c>
      <c r="BI9" s="3">
        <v>73</v>
      </c>
      <c r="BJ9" s="2">
        <v>24.496644295302</v>
      </c>
      <c r="BK9" s="2">
        <v>10.6413994169096</v>
      </c>
      <c r="BL9" s="2">
        <v>0.304865316349969</v>
      </c>
      <c r="BM9" s="1">
        <v>3378.87</v>
      </c>
    </row>
    <row r="10" spans="1:65">
      <c r="M10">
        <v>2016</v>
      </c>
      <c r="N10" t="s">
        <v>15</v>
      </c>
      <c r="O10" s="3">
        <v>21358</v>
      </c>
      <c r="P10" s="3">
        <v>3831</v>
      </c>
      <c r="Q10" s="3">
        <v>0</v>
      </c>
      <c r="R10" s="3">
        <v>25189</v>
      </c>
      <c r="V10">
        <v>2016</v>
      </c>
      <c r="W10" t="s">
        <v>15</v>
      </c>
      <c r="X10" s="1">
        <v>305196.309739478</v>
      </c>
      <c r="Y10" s="1">
        <v>22845.2000000001</v>
      </c>
      <c r="Z10" s="1">
        <v>0</v>
      </c>
      <c r="AA10" s="1">
        <v>328041.509739478</v>
      </c>
      <c r="AF10">
        <v>2016</v>
      </c>
      <c r="AG10" t="s">
        <v>15</v>
      </c>
      <c r="AH10" s="1">
        <v>338500.780000022</v>
      </c>
      <c r="AI10" s="1">
        <v>10459.2702605437</v>
      </c>
      <c r="AJ10" s="2">
        <v>3.089880697038</v>
      </c>
      <c r="AP10" t="s">
        <v>11</v>
      </c>
      <c r="AQ10" s="3">
        <v>4881</v>
      </c>
      <c r="AR10" s="2">
        <v>-25.0460687960688</v>
      </c>
      <c r="AS10" s="2">
        <v>27.6078431372549</v>
      </c>
      <c r="AV10" t="s">
        <v>11</v>
      </c>
      <c r="AW10" s="1">
        <v>38905.9300000024</v>
      </c>
      <c r="AX10" s="2">
        <v>-25.1748171053167</v>
      </c>
      <c r="AY10" s="2">
        <v>16.4994699932375</v>
      </c>
      <c r="BB10" t="s">
        <v>37</v>
      </c>
      <c r="BC10" s="1">
        <v>31460.9103497285</v>
      </c>
      <c r="BD10" s="2">
        <v>-31.0497945533789</v>
      </c>
      <c r="BE10" s="2">
        <v>-50.1374583041624</v>
      </c>
      <c r="BH10" t="s">
        <v>33</v>
      </c>
      <c r="BI10" s="3">
        <v>64</v>
      </c>
      <c r="BJ10" s="2">
        <v>21.4765100671141</v>
      </c>
      <c r="BK10" s="2">
        <v>0.647118301314459</v>
      </c>
      <c r="BL10" s="2">
        <v>0.267279181457507</v>
      </c>
      <c r="BM10" s="1">
        <v>440.350000000001</v>
      </c>
    </row>
    <row r="11" spans="1:65">
      <c r="B11" s="5" t="s">
        <v>75</v>
      </c>
      <c r="C11" s="5"/>
      <c r="D11" s="5"/>
      <c r="E11" s="5"/>
      <c r="F11" s="5"/>
      <c r="G11" s="5"/>
      <c r="H11" s="5"/>
      <c r="I11" s="5"/>
      <c r="J11" s="5"/>
      <c r="M11">
        <v>2016</v>
      </c>
      <c r="N11" t="s">
        <v>16</v>
      </c>
      <c r="O11" s="3">
        <v>21277</v>
      </c>
      <c r="P11" s="3">
        <v>4009</v>
      </c>
      <c r="Q11" s="3">
        <v>0</v>
      </c>
      <c r="R11" s="3">
        <v>25286</v>
      </c>
      <c r="V11">
        <v>2016</v>
      </c>
      <c r="W11" t="s">
        <v>16</v>
      </c>
      <c r="X11" s="1">
        <v>292412.070013858</v>
      </c>
      <c r="Y11" s="1">
        <v>22568.9000000003</v>
      </c>
      <c r="Z11" s="1">
        <v>0</v>
      </c>
      <c r="AA11" s="1">
        <v>314980.970013859</v>
      </c>
      <c r="AF11">
        <v>2016</v>
      </c>
      <c r="AG11" t="s">
        <v>16</v>
      </c>
      <c r="AH11" s="1">
        <v>328473.249999984</v>
      </c>
      <c r="AI11" s="1">
        <v>13492.2799861254</v>
      </c>
      <c r="AJ11" s="2">
        <v>4.10757344353796</v>
      </c>
      <c r="AP11" t="s">
        <v>33</v>
      </c>
      <c r="AQ11" s="3">
        <v>2837</v>
      </c>
      <c r="AR11" s="2">
        <v>31.0998151571164</v>
      </c>
      <c r="AS11" s="2">
        <v>6992.5</v>
      </c>
      <c r="AV11">
        <v>0</v>
      </c>
      <c r="AW11" s="1">
        <v>36079.4800000003</v>
      </c>
      <c r="AX11" s="2">
        <v>51.5978296995687</v>
      </c>
      <c r="AY11" s="2">
        <v>1005.19338099703</v>
      </c>
      <c r="BB11" t="s">
        <v>34</v>
      </c>
      <c r="BC11" s="1">
        <v>27204.0803252757</v>
      </c>
      <c r="BD11" s="2">
        <v>-18.3340973608942</v>
      </c>
      <c r="BE11" s="2">
        <v>-36.4201394721764</v>
      </c>
      <c r="BH11" t="s">
        <v>33</v>
      </c>
      <c r="BI11" s="3">
        <v>64</v>
      </c>
      <c r="BJ11" s="2">
        <v>21.4765100671141</v>
      </c>
      <c r="BK11" s="2">
        <v>2.25590412407473</v>
      </c>
      <c r="BL11" s="2">
        <v>0.267279181457507</v>
      </c>
      <c r="BM11" s="1">
        <v>440.350000000001</v>
      </c>
    </row>
    <row r="12" spans="1:65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M12">
        <v>2016</v>
      </c>
      <c r="N12" t="s">
        <v>17</v>
      </c>
      <c r="O12" s="3">
        <v>22312</v>
      </c>
      <c r="P12" s="3">
        <v>4778</v>
      </c>
      <c r="Q12" s="3">
        <v>0</v>
      </c>
      <c r="R12" s="3">
        <v>27090</v>
      </c>
      <c r="V12">
        <v>2016</v>
      </c>
      <c r="W12" t="s">
        <v>17</v>
      </c>
      <c r="X12" s="1">
        <v>286680.471646359</v>
      </c>
      <c r="Y12" s="1">
        <v>24839.4000000003</v>
      </c>
      <c r="Z12" s="1">
        <v>0</v>
      </c>
      <c r="AA12" s="1">
        <v>311519.871646359</v>
      </c>
      <c r="AF12">
        <v>2016</v>
      </c>
      <c r="AG12" t="s">
        <v>17</v>
      </c>
      <c r="AH12" s="1">
        <v>321957.850000021</v>
      </c>
      <c r="AI12" s="1">
        <v>10437.9783536611</v>
      </c>
      <c r="AJ12" s="2">
        <v>3.2420325684435</v>
      </c>
      <c r="AP12" t="s">
        <v>34</v>
      </c>
      <c r="AQ12" s="3">
        <v>1817</v>
      </c>
      <c r="AR12" s="2">
        <v>-17.2963131543013</v>
      </c>
      <c r="AS12" s="2">
        <v>-46.210775606868</v>
      </c>
      <c r="AV12" t="s">
        <v>37</v>
      </c>
      <c r="AW12" s="1">
        <v>34900.3</v>
      </c>
      <c r="AX12" s="2">
        <v>-29.7852311645471</v>
      </c>
      <c r="AY12" s="2">
        <v>-48.4725109853004</v>
      </c>
      <c r="BB12" t="s">
        <v>11</v>
      </c>
      <c r="BC12" s="1">
        <v>25851.7999999997</v>
      </c>
      <c r="BD12" s="2">
        <v>-25.5313265159117</v>
      </c>
      <c r="BE12" s="2">
        <v>14.3677474440463</v>
      </c>
      <c r="BH12" t="s">
        <v>36</v>
      </c>
      <c r="BI12" s="3">
        <v>51</v>
      </c>
      <c r="BJ12" s="2">
        <v>17.1140939597315</v>
      </c>
      <c r="BK12" s="2">
        <v>5.06454816285998</v>
      </c>
      <c r="BL12" s="2">
        <v>0.212988097723951</v>
      </c>
      <c r="BM12" s="1">
        <v>1048.13</v>
      </c>
    </row>
    <row r="13" spans="1:65">
      <c r="B13">
        <v>2017</v>
      </c>
      <c r="C13" t="s">
        <v>9</v>
      </c>
      <c r="D13" s="1">
        <v>297593.109999963</v>
      </c>
      <c r="E13" s="1">
        <v>202395.418801449</v>
      </c>
      <c r="F13" s="1">
        <v>25621.0999999997</v>
      </c>
      <c r="G13" s="1">
        <v>3703.12</v>
      </c>
      <c r="H13" s="1">
        <v>231719.638801449</v>
      </c>
      <c r="I13" s="1">
        <v>65873.4711985142</v>
      </c>
      <c r="J13" s="2">
        <v>22.1354154330127</v>
      </c>
      <c r="M13">
        <v>2016</v>
      </c>
      <c r="N13" t="s">
        <v>18</v>
      </c>
      <c r="O13" s="3">
        <v>22672</v>
      </c>
      <c r="P13" s="3">
        <v>4115</v>
      </c>
      <c r="Q13" s="3">
        <v>0</v>
      </c>
      <c r="R13" s="3">
        <v>26787</v>
      </c>
      <c r="V13">
        <v>2016</v>
      </c>
      <c r="W13" t="s">
        <v>18</v>
      </c>
      <c r="X13" s="1">
        <v>299765.46193908</v>
      </c>
      <c r="Y13" s="1">
        <v>23409.6999999991</v>
      </c>
      <c r="Z13" s="1">
        <v>0</v>
      </c>
      <c r="AA13" s="1">
        <v>323175.161939079</v>
      </c>
      <c r="AF13">
        <v>2016</v>
      </c>
      <c r="AG13" t="s">
        <v>18</v>
      </c>
      <c r="AH13" s="1">
        <v>328690.449999949</v>
      </c>
      <c r="AI13" s="1">
        <v>5515.28806087037</v>
      </c>
      <c r="AJ13" s="2">
        <v>1.67795810948302</v>
      </c>
      <c r="AP13" t="s">
        <v>35</v>
      </c>
      <c r="AQ13" s="3">
        <v>1290</v>
      </c>
      <c r="AR13" s="2">
        <v>-21.0526315789474</v>
      </c>
      <c r="AS13" s="2">
        <v>-32.1766561514196</v>
      </c>
      <c r="AV13" t="s">
        <v>34</v>
      </c>
      <c r="AW13" s="1">
        <v>28177.8700000002</v>
      </c>
      <c r="AX13" s="2">
        <v>-18.9913284270209</v>
      </c>
      <c r="AY13" s="2">
        <v>-37.4296335493115</v>
      </c>
      <c r="BB13" t="s">
        <v>36</v>
      </c>
      <c r="BC13" s="1">
        <v>23735.5801679827</v>
      </c>
      <c r="BD13" s="2">
        <v>-0.242295706180499</v>
      </c>
      <c r="BE13" s="2">
        <v>-29.6001611933386</v>
      </c>
      <c r="BH13" t="s">
        <v>39</v>
      </c>
      <c r="BI13" s="3">
        <v>48</v>
      </c>
      <c r="BJ13" s="2">
        <v>16.1073825503356</v>
      </c>
      <c r="BK13" s="2">
        <v>19.1235059760956</v>
      </c>
      <c r="BL13" s="2">
        <v>0.20045938609313</v>
      </c>
      <c r="BM13" s="1">
        <v>2658.62</v>
      </c>
    </row>
    <row r="14" spans="1:65">
      <c r="M14">
        <v>2016</v>
      </c>
      <c r="N14" t="s">
        <v>19</v>
      </c>
      <c r="O14" s="3">
        <v>21669</v>
      </c>
      <c r="P14" s="3">
        <v>3910</v>
      </c>
      <c r="Q14" s="3">
        <v>0</v>
      </c>
      <c r="R14" s="3">
        <v>25579</v>
      </c>
      <c r="V14">
        <v>2016</v>
      </c>
      <c r="W14" t="s">
        <v>19</v>
      </c>
      <c r="X14" s="1">
        <v>295292.772120062</v>
      </c>
      <c r="Y14" s="1">
        <v>22810.6999999994</v>
      </c>
      <c r="Z14" s="1">
        <v>0</v>
      </c>
      <c r="AA14" s="1">
        <v>318103.472120062</v>
      </c>
      <c r="AF14">
        <v>2016</v>
      </c>
      <c r="AG14" t="s">
        <v>19</v>
      </c>
      <c r="AH14" s="1">
        <v>329699.290000037</v>
      </c>
      <c r="AI14" s="1">
        <v>11595.817879975</v>
      </c>
      <c r="AJ14" s="2">
        <v>3.51708912687488</v>
      </c>
      <c r="AP14" t="s">
        <v>36</v>
      </c>
      <c r="AQ14" s="3">
        <v>1007</v>
      </c>
      <c r="AR14" s="2">
        <v>0.199004975124378</v>
      </c>
      <c r="AS14" s="2">
        <v>-47.9855371900826</v>
      </c>
      <c r="AV14" t="s">
        <v>36</v>
      </c>
      <c r="AW14" s="1">
        <v>24976.91</v>
      </c>
      <c r="AX14" s="2">
        <v>1.08900656633681</v>
      </c>
      <c r="AY14" s="2">
        <v>-30.1885310554127</v>
      </c>
      <c r="BB14" t="s">
        <v>35</v>
      </c>
      <c r="BC14" s="1">
        <v>16216.8197469357</v>
      </c>
      <c r="BD14" s="2">
        <v>-23.3224803655042</v>
      </c>
      <c r="BE14" s="2">
        <v>-23.5208629748942</v>
      </c>
      <c r="BH14" t="s">
        <v>40</v>
      </c>
      <c r="BI14" s="3">
        <v>37</v>
      </c>
      <c r="BJ14" s="2">
        <v>12.4161073825503</v>
      </c>
      <c r="BK14" s="2">
        <v>16.7420814479638</v>
      </c>
      <c r="BL14" s="2">
        <v>0.154520776780121</v>
      </c>
      <c r="BM14" s="1">
        <v>1438.97</v>
      </c>
    </row>
    <row r="15" spans="1:65">
      <c r="M15">
        <v>2016</v>
      </c>
      <c r="N15" t="s">
        <v>20</v>
      </c>
      <c r="O15" s="3">
        <v>22400</v>
      </c>
      <c r="P15" s="3">
        <v>3845</v>
      </c>
      <c r="Q15" s="3">
        <v>0</v>
      </c>
      <c r="R15" s="3">
        <v>26245</v>
      </c>
      <c r="V15">
        <v>2016</v>
      </c>
      <c r="W15" t="s">
        <v>20</v>
      </c>
      <c r="X15" s="1">
        <v>302652.312119652</v>
      </c>
      <c r="Y15" s="1">
        <v>23595.1999999991</v>
      </c>
      <c r="Z15" s="1">
        <v>0</v>
      </c>
      <c r="AA15" s="1">
        <v>326247.512119651</v>
      </c>
      <c r="AF15">
        <v>2016</v>
      </c>
      <c r="AG15" t="s">
        <v>20</v>
      </c>
      <c r="AH15" s="1">
        <v>337281.080000046</v>
      </c>
      <c r="AI15" s="1">
        <v>11033.5678803951</v>
      </c>
      <c r="AJ15" s="2">
        <v>3.27132725037337</v>
      </c>
      <c r="AP15" t="s">
        <v>37</v>
      </c>
      <c r="AQ15" s="3">
        <v>686</v>
      </c>
      <c r="AR15" s="2">
        <v>-30.3553299492386</v>
      </c>
      <c r="AS15" s="2">
        <v>-61.9733924611973</v>
      </c>
      <c r="AV15" t="s">
        <v>35</v>
      </c>
      <c r="AW15" s="1">
        <v>16908.99</v>
      </c>
      <c r="AX15" s="2">
        <v>-22.625251849028</v>
      </c>
      <c r="AY15" s="2">
        <v>-24.2732077743068</v>
      </c>
      <c r="BB15" t="s">
        <v>39</v>
      </c>
      <c r="BC15" s="1">
        <v>14346.1600020416</v>
      </c>
      <c r="BD15" s="2">
        <v>-28.3646539672064</v>
      </c>
      <c r="BE15" s="2">
        <v>-32.7774785064851</v>
      </c>
      <c r="BH15" t="s">
        <v>35</v>
      </c>
      <c r="BI15" s="3">
        <v>14</v>
      </c>
      <c r="BJ15" s="2">
        <v>4.69798657718121</v>
      </c>
      <c r="BK15" s="2">
        <v>1.08527131782946</v>
      </c>
      <c r="BL15" s="2">
        <v>0.0584673209438296</v>
      </c>
      <c r="BM15" s="1">
        <v>137.52</v>
      </c>
    </row>
    <row r="16" spans="1:65">
      <c r="M16">
        <v>2016</v>
      </c>
      <c r="N16" t="s">
        <v>21</v>
      </c>
      <c r="O16" s="3">
        <v>27062</v>
      </c>
      <c r="P16" s="3">
        <v>5324</v>
      </c>
      <c r="Q16" s="3">
        <v>0</v>
      </c>
      <c r="R16" s="3">
        <v>32386</v>
      </c>
      <c r="V16">
        <v>2016</v>
      </c>
      <c r="W16" t="s">
        <v>21</v>
      </c>
      <c r="X16" s="1">
        <v>354939.812547676</v>
      </c>
      <c r="Y16" s="1">
        <v>30706.9999999979</v>
      </c>
      <c r="Z16" s="1">
        <v>0</v>
      </c>
      <c r="AA16" s="1">
        <v>385646.812547674</v>
      </c>
      <c r="AF16">
        <v>2016</v>
      </c>
      <c r="AG16" t="s">
        <v>21</v>
      </c>
      <c r="AH16" s="1">
        <v>402770.080000114</v>
      </c>
      <c r="AI16" s="1">
        <v>17123.2674524398</v>
      </c>
      <c r="AJ16" s="2">
        <v>4.25137523930153</v>
      </c>
      <c r="AP16" t="s">
        <v>12</v>
      </c>
      <c r="AQ16" s="3">
        <v>546</v>
      </c>
      <c r="AR16" s="2">
        <v>-13.4706814580032</v>
      </c>
      <c r="AV16" t="s">
        <v>39</v>
      </c>
      <c r="AW16" s="1">
        <v>15935.51</v>
      </c>
      <c r="AX16" s="2">
        <v>-26.7450418300697</v>
      </c>
      <c r="AY16" s="2">
        <v>-34.8633850744439</v>
      </c>
      <c r="BB16" t="s">
        <v>40</v>
      </c>
      <c r="BC16" s="1">
        <v>11818.0200707912</v>
      </c>
      <c r="BD16" s="2">
        <v>-15.1713650345403</v>
      </c>
      <c r="BE16" s="2">
        <v>-10.6731680123131</v>
      </c>
      <c r="BH16" t="s">
        <v>34</v>
      </c>
      <c r="BI16" s="3">
        <v>10</v>
      </c>
      <c r="BJ16" s="2">
        <v>3.35570469798658</v>
      </c>
      <c r="BK16" s="2">
        <v>0.550357732526142</v>
      </c>
      <c r="BL16" s="2">
        <v>0.0417623721027354</v>
      </c>
      <c r="BM16" s="1">
        <v>140.91</v>
      </c>
    </row>
    <row r="17" spans="13:65">
      <c r="M17">
        <v>2016</v>
      </c>
      <c r="N17" t="s">
        <v>22</v>
      </c>
      <c r="O17" s="3">
        <v>25231</v>
      </c>
      <c r="P17" s="3">
        <v>4553</v>
      </c>
      <c r="Q17" s="3">
        <v>0</v>
      </c>
      <c r="R17" s="3">
        <v>29784</v>
      </c>
      <c r="V17">
        <v>2016</v>
      </c>
      <c r="W17" t="s">
        <v>22</v>
      </c>
      <c r="X17" s="1">
        <v>332369.441384112</v>
      </c>
      <c r="Y17" s="1">
        <v>26034.2999999986</v>
      </c>
      <c r="Z17" s="1">
        <v>0</v>
      </c>
      <c r="AA17" s="1">
        <v>358403.741384111</v>
      </c>
      <c r="AF17">
        <v>2016</v>
      </c>
      <c r="AG17" t="s">
        <v>22</v>
      </c>
      <c r="AH17" s="1">
        <v>370256.300000023</v>
      </c>
      <c r="AI17" s="1">
        <v>11852.558615912</v>
      </c>
      <c r="AJ17" s="2">
        <v>3.20117675672536</v>
      </c>
      <c r="AP17" t="s">
        <v>38</v>
      </c>
      <c r="AQ17" s="3">
        <v>519</v>
      </c>
      <c r="AR17" s="2">
        <v>37.6657824933687</v>
      </c>
      <c r="AS17" s="2">
        <v>255.479452054795</v>
      </c>
      <c r="AV17" t="s">
        <v>40</v>
      </c>
      <c r="AW17" s="1">
        <v>12880.15</v>
      </c>
      <c r="AX17" s="2">
        <v>-15.7010800346092</v>
      </c>
      <c r="AY17" s="2">
        <v>-12.785272800156</v>
      </c>
      <c r="BB17" t="s">
        <v>12</v>
      </c>
      <c r="BC17" s="1">
        <v>3703.12</v>
      </c>
      <c r="BD17" s="2">
        <v>-64.8963085915465</v>
      </c>
      <c r="BH17" t="s">
        <v>13</v>
      </c>
      <c r="BI17" s="3">
        <v>298</v>
      </c>
      <c r="BJ17" s="2">
        <v>100</v>
      </c>
      <c r="BK17" s="2">
        <v>1.24451868866152</v>
      </c>
      <c r="BL17" s="2">
        <v>1.24451868866152</v>
      </c>
      <c r="BM17" s="1">
        <v>9243.37</v>
      </c>
    </row>
    <row r="18" spans="13:65">
      <c r="M18">
        <v>2017</v>
      </c>
      <c r="N18" t="s">
        <v>23</v>
      </c>
      <c r="O18" s="3">
        <v>6666</v>
      </c>
      <c r="P18" s="3">
        <v>4309</v>
      </c>
      <c r="Q18" s="3">
        <v>0</v>
      </c>
      <c r="R18" s="3">
        <v>10975</v>
      </c>
      <c r="V18">
        <v>2017</v>
      </c>
      <c r="W18" t="s">
        <v>23</v>
      </c>
      <c r="X18" s="1">
        <v>95506.889280973</v>
      </c>
      <c r="Y18" s="1">
        <v>27346.0999999994</v>
      </c>
      <c r="Z18" s="1">
        <v>0</v>
      </c>
      <c r="AA18" s="1">
        <v>122852.989280972</v>
      </c>
      <c r="AF18">
        <v>2017</v>
      </c>
      <c r="AG18" t="s">
        <v>23</v>
      </c>
      <c r="AH18" s="1">
        <v>335138.710000025</v>
      </c>
      <c r="AI18" s="1">
        <v>212285.720719053</v>
      </c>
      <c r="AJ18" s="2">
        <v>63.3426442200714</v>
      </c>
      <c r="AP18" t="s">
        <v>39</v>
      </c>
      <c r="AQ18" s="3">
        <v>251</v>
      </c>
      <c r="AR18" s="2">
        <v>-30.08356545961</v>
      </c>
      <c r="AS18" s="2">
        <v>-46.8220338983051</v>
      </c>
      <c r="AV18" t="s">
        <v>12</v>
      </c>
      <c r="AW18" s="1">
        <v>9323.85999999993</v>
      </c>
      <c r="AX18" s="2">
        <v>-14.379092169665</v>
      </c>
      <c r="BB18" t="s">
        <v>38</v>
      </c>
      <c r="BC18" s="1">
        <v>0</v>
      </c>
    </row>
    <row r="19" spans="13:65">
      <c r="M19">
        <v>2017</v>
      </c>
      <c r="N19" t="s">
        <v>24</v>
      </c>
      <c r="O19" s="3">
        <v>9130</v>
      </c>
      <c r="P19" s="3">
        <v>4738</v>
      </c>
      <c r="Q19" s="3">
        <v>152</v>
      </c>
      <c r="R19" s="3">
        <v>14020</v>
      </c>
      <c r="V19">
        <v>2017</v>
      </c>
      <c r="W19" t="s">
        <v>24</v>
      </c>
      <c r="X19" s="1">
        <v>129370.729055183</v>
      </c>
      <c r="Y19" s="1">
        <v>27053.2999999994</v>
      </c>
      <c r="Z19" s="1">
        <v>2560.69000000001</v>
      </c>
      <c r="AA19" s="1">
        <v>158984.719055182</v>
      </c>
      <c r="AF19">
        <v>2017</v>
      </c>
      <c r="AG19" t="s">
        <v>24</v>
      </c>
      <c r="AH19" s="1">
        <v>337420.539999953</v>
      </c>
      <c r="AI19" s="1">
        <v>178435.820944771</v>
      </c>
      <c r="AJ19" s="2">
        <v>52.8823233300485</v>
      </c>
      <c r="AP19" t="s">
        <v>40</v>
      </c>
      <c r="AQ19" s="3">
        <v>221</v>
      </c>
      <c r="AR19" s="2">
        <v>-16.6037735849057</v>
      </c>
      <c r="AS19" s="2">
        <v>-31.1526479750779</v>
      </c>
      <c r="AV19" t="s">
        <v>38</v>
      </c>
      <c r="AW19" s="1">
        <v>270</v>
      </c>
      <c r="AX19" s="2">
        <v>28.5714285714286</v>
      </c>
      <c r="AY19" s="2">
        <v>800</v>
      </c>
      <c r="BB19" t="s">
        <v>13</v>
      </c>
      <c r="BC19" s="1">
        <v>22292.041692515</v>
      </c>
      <c r="BD19" s="2">
        <v>-32.0233993564831</v>
      </c>
      <c r="BE19" s="2">
        <v>-36.4317619072161</v>
      </c>
    </row>
    <row r="20" spans="13:65">
      <c r="M20">
        <v>2017</v>
      </c>
      <c r="N20" t="s">
        <v>25</v>
      </c>
      <c r="O20" s="3">
        <v>23380</v>
      </c>
      <c r="P20" s="3">
        <v>6500</v>
      </c>
      <c r="Q20" s="3">
        <v>631</v>
      </c>
      <c r="R20" s="3">
        <v>30511</v>
      </c>
      <c r="V20">
        <v>2017</v>
      </c>
      <c r="W20" t="s">
        <v>25</v>
      </c>
      <c r="X20" s="1">
        <v>315466.597172208</v>
      </c>
      <c r="Y20" s="1">
        <v>34714.9999999979</v>
      </c>
      <c r="Z20" s="1">
        <v>10549.0899999999</v>
      </c>
      <c r="AA20" s="1">
        <v>360730.687172206</v>
      </c>
      <c r="AF20">
        <v>2017</v>
      </c>
      <c r="AG20" t="s">
        <v>25</v>
      </c>
      <c r="AH20" s="1">
        <v>372698.679999927</v>
      </c>
      <c r="AI20" s="1">
        <v>11967.9928277211</v>
      </c>
      <c r="AJ20" s="2">
        <v>3.21117124099379</v>
      </c>
      <c r="AP20" t="s">
        <v>13</v>
      </c>
      <c r="AQ20" s="3">
        <v>23945</v>
      </c>
      <c r="AR20" s="2">
        <v>-27.5688919810037</v>
      </c>
      <c r="AS20" s="2">
        <v>-14.3107643859147</v>
      </c>
      <c r="AV20" t="s">
        <v>13</v>
      </c>
      <c r="AW20" s="1">
        <v>297593.11</v>
      </c>
      <c r="AX20" s="2">
        <v>-20.1518207684563</v>
      </c>
      <c r="AY20" s="2">
        <v>-18.3770127450828</v>
      </c>
    </row>
    <row r="21" spans="13:65">
      <c r="M21">
        <v>2017</v>
      </c>
      <c r="N21" t="s">
        <v>9</v>
      </c>
      <c r="O21" s="3">
        <v>15162</v>
      </c>
      <c r="P21" s="3">
        <v>4876</v>
      </c>
      <c r="Q21" s="3">
        <v>223</v>
      </c>
      <c r="R21" s="3">
        <v>20261</v>
      </c>
      <c r="S21" s="2">
        <v>-27.0084300021615</v>
      </c>
      <c r="V21">
        <v>2017</v>
      </c>
      <c r="W21" t="s">
        <v>9</v>
      </c>
      <c r="X21" s="1">
        <v>215657.538617665</v>
      </c>
      <c r="Y21" s="1">
        <v>25851.7999999997</v>
      </c>
      <c r="Z21" s="1">
        <v>3703.12</v>
      </c>
      <c r="AA21" s="1">
        <v>245212.458617665</v>
      </c>
      <c r="AB21" s="2">
        <v>-30.0749380979377</v>
      </c>
      <c r="AF21">
        <v>2017</v>
      </c>
      <c r="AG21" t="s">
        <v>9</v>
      </c>
      <c r="AH21" s="1">
        <v>297593.109999963</v>
      </c>
      <c r="AI21" s="1">
        <v>52380.6513822985</v>
      </c>
      <c r="AJ21" s="2">
        <v>17.6014328363667</v>
      </c>
      <c r="AK21" s="2">
        <v>-18.3770127450878</v>
      </c>
      <c r="AL21" s="2">
        <v>276.411345163554</v>
      </c>
      <c r="AM21" s="2">
        <v>361.158501817637</v>
      </c>
    </row>
  </sheetData>
  <mergeCells count="9">
    <mergeCell ref="B7:J7"/>
    <mergeCell ref="B11:J11"/>
    <mergeCell ref="M7:S7"/>
    <mergeCell ref="V7:AB7"/>
    <mergeCell ref="AF7:AM7"/>
    <mergeCell ref="AP7:AS7"/>
    <mergeCell ref="AV7:AY7"/>
    <mergeCell ref="BB7:BE7"/>
    <mergeCell ref="BH7:B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8" width="15.7109375" customWidth="1"/>
    <col min="2" max="2" width="30.7109375" customWidth="1"/>
    <col min="3" max="3" width="9.140625" style="3"/>
    <col min="4" max="4" width="9.140625" style="1"/>
    <col min="5" max="6" width="9.140625" style="2"/>
    <col min="9" max="9" width="45.7109375" customWidth="1"/>
    <col min="10" max="10" width="9.140625" style="3"/>
  </cols>
  <sheetData>
    <row r="1" spans="1:10">
      <c r="A1" s="4" t="s">
        <v>72</v>
      </c>
    </row>
    <row r="2" spans="1:10">
      <c r="A2" s="4" t="s">
        <v>71</v>
      </c>
    </row>
    <row r="7" spans="1:10">
      <c r="B7" s="5" t="s">
        <v>83</v>
      </c>
      <c r="C7" s="5"/>
      <c r="D7" s="5"/>
      <c r="E7" s="5"/>
      <c r="F7" s="5"/>
      <c r="I7" s="5" t="s">
        <v>84</v>
      </c>
      <c r="J7" s="5"/>
    </row>
    <row r="8" spans="1:10">
      <c r="B8" s="6" t="s">
        <v>29</v>
      </c>
      <c r="C8" s="6" t="s">
        <v>30</v>
      </c>
      <c r="D8" s="6" t="s">
        <v>46</v>
      </c>
      <c r="E8" s="6" t="s">
        <v>47</v>
      </c>
      <c r="F8" s="6" t="s">
        <v>48</v>
      </c>
      <c r="I8" s="6" t="s">
        <v>49</v>
      </c>
      <c r="J8" s="6" t="s">
        <v>50</v>
      </c>
    </row>
    <row r="9" spans="1:10">
      <c r="B9" t="s">
        <v>37</v>
      </c>
      <c r="C9" s="3">
        <v>143</v>
      </c>
      <c r="D9" s="1">
        <v>686.510045709758</v>
      </c>
      <c r="E9" s="2">
        <v>20.1680672268908</v>
      </c>
      <c r="F9" s="2">
        <v>-15.3846153846154</v>
      </c>
      <c r="I9" t="s">
        <v>51</v>
      </c>
      <c r="J9" s="3">
        <v>9805</v>
      </c>
    </row>
    <row r="10" spans="1:10">
      <c r="B10" t="s">
        <v>33</v>
      </c>
      <c r="C10" s="3">
        <v>128</v>
      </c>
      <c r="D10" s="1">
        <v>381.439973153472</v>
      </c>
      <c r="E10" s="2">
        <v>-29.2817679558011</v>
      </c>
      <c r="F10" s="2">
        <v>23.0769230769231</v>
      </c>
      <c r="I10" t="s">
        <v>52</v>
      </c>
      <c r="J10" s="3">
        <v>1626</v>
      </c>
    </row>
    <row r="11" spans="1:10">
      <c r="B11" t="s">
        <v>34</v>
      </c>
      <c r="C11" s="3">
        <v>108</v>
      </c>
      <c r="D11" s="1">
        <v>499.51000594072</v>
      </c>
      <c r="E11" s="2">
        <v>2.85714285714286</v>
      </c>
      <c r="F11" s="2">
        <v>54.2857142857143</v>
      </c>
      <c r="I11" t="s">
        <v>53</v>
      </c>
      <c r="J11" s="3">
        <v>1493</v>
      </c>
    </row>
    <row r="12" spans="1:10">
      <c r="B12" t="s">
        <v>36</v>
      </c>
      <c r="C12" s="3">
        <v>81</v>
      </c>
      <c r="D12" s="1">
        <v>226.160019646734</v>
      </c>
      <c r="E12" s="2">
        <v>65.3061224489796</v>
      </c>
      <c r="F12" s="2">
        <v>84.0909090909091</v>
      </c>
      <c r="I12" t="s">
        <v>54</v>
      </c>
      <c r="J12" s="3">
        <v>409</v>
      </c>
    </row>
    <row r="13" spans="1:10">
      <c r="B13" t="s">
        <v>35</v>
      </c>
      <c r="C13" s="3">
        <v>49</v>
      </c>
      <c r="D13" s="1">
        <v>129.509993155673</v>
      </c>
      <c r="E13" s="2">
        <v>-16.9491525423729</v>
      </c>
      <c r="F13" s="2">
        <v>40</v>
      </c>
      <c r="I13" t="s">
        <v>55</v>
      </c>
      <c r="J13" s="3">
        <v>48</v>
      </c>
    </row>
    <row r="14" spans="1:10">
      <c r="B14" t="s">
        <v>39</v>
      </c>
      <c r="C14" s="3">
        <v>45</v>
      </c>
      <c r="D14" s="1">
        <v>497.329996676445</v>
      </c>
      <c r="E14" s="2">
        <v>-27.4193548387097</v>
      </c>
      <c r="F14" s="2">
        <v>-15.0943396226415</v>
      </c>
      <c r="I14" t="s">
        <v>56</v>
      </c>
      <c r="J14" s="3">
        <v>20</v>
      </c>
    </row>
    <row r="15" spans="1:10">
      <c r="B15" t="s">
        <v>40</v>
      </c>
      <c r="C15" s="3">
        <v>41</v>
      </c>
      <c r="D15" s="1">
        <v>217.180008530617</v>
      </c>
      <c r="E15" s="2">
        <v>46.4285714285714</v>
      </c>
      <c r="F15" s="2">
        <v>28.125</v>
      </c>
      <c r="I15" t="s">
        <v>57</v>
      </c>
      <c r="J15" s="3">
        <v>1</v>
      </c>
    </row>
    <row r="16" spans="1:10">
      <c r="B16" t="s">
        <v>12</v>
      </c>
      <c r="C16" s="3">
        <v>26</v>
      </c>
      <c r="D16" s="1">
        <v>75.95</v>
      </c>
      <c r="E16" s="2">
        <v>-68.2926829268293</v>
      </c>
      <c r="I16" t="s">
        <v>58</v>
      </c>
      <c r="J16" s="3">
        <v>1</v>
      </c>
    </row>
    <row r="17" spans="2:10">
      <c r="B17" t="s">
        <v>11</v>
      </c>
      <c r="C17" s="3">
        <v>21</v>
      </c>
      <c r="D17" s="1">
        <v>56.1</v>
      </c>
      <c r="E17" s="2">
        <v>110</v>
      </c>
      <c r="F17" s="2">
        <v>133.333333333333</v>
      </c>
      <c r="I17" t="s">
        <v>59</v>
      </c>
      <c r="J17" s="3">
        <v>1</v>
      </c>
    </row>
    <row r="18" spans="2:10">
      <c r="B18" t="s">
        <v>13</v>
      </c>
      <c r="C18" s="3">
        <v>642</v>
      </c>
      <c r="D18" s="1">
        <v>2769.69004281342</v>
      </c>
      <c r="E18" s="2">
        <v>-7.62589928057554</v>
      </c>
      <c r="F18" s="2">
        <v>24.4186046511628</v>
      </c>
      <c r="I18" t="s">
        <v>60</v>
      </c>
      <c r="J18" s="3">
        <v>1</v>
      </c>
    </row>
    <row r="19" spans="2:10">
      <c r="I19" t="s">
        <v>61</v>
      </c>
      <c r="J19" s="3">
        <v>1</v>
      </c>
    </row>
    <row r="20" spans="2:10">
      <c r="I20" t="s">
        <v>62</v>
      </c>
      <c r="J20" s="3">
        <v>1</v>
      </c>
    </row>
  </sheetData>
  <mergeCells count="2">
    <mergeCell ref="B7:F7"/>
    <mergeCell ref="I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cols>
    <col min="1" max="78" width="15.7109375" customWidth="1"/>
    <col min="3" max="3" width="9.140625" style="3"/>
    <col min="4" max="4" width="9.140625" style="1"/>
    <col min="5" max="7" width="9.140625" style="2"/>
    <col min="8" max="8" width="9.140625" style="1"/>
    <col min="13" max="13" width="9.140625" style="3"/>
    <col min="14" max="14" width="9.140625" style="1"/>
    <col min="15" max="16" width="9.140625" style="2"/>
  </cols>
  <sheetData>
    <row r="1" spans="1:16">
      <c r="A1" s="4" t="s">
        <v>73</v>
      </c>
    </row>
    <row r="2" spans="1:16">
      <c r="A2" s="4" t="s">
        <v>71</v>
      </c>
    </row>
    <row r="7" spans="1:16">
      <c r="B7" s="5" t="s">
        <v>85</v>
      </c>
      <c r="C7" s="5"/>
      <c r="D7" s="5"/>
      <c r="E7" s="5"/>
      <c r="F7" s="5"/>
      <c r="G7" s="5"/>
      <c r="H7" s="5"/>
      <c r="K7" s="5" t="s">
        <v>86</v>
      </c>
      <c r="L7" s="5"/>
      <c r="M7" s="5"/>
      <c r="N7" s="5"/>
      <c r="O7" s="5"/>
      <c r="P7" s="5"/>
    </row>
    <row r="8" spans="1:16">
      <c r="B8" s="6" t="s">
        <v>29</v>
      </c>
      <c r="C8" s="6" t="s">
        <v>63</v>
      </c>
      <c r="D8" s="6" t="s">
        <v>64</v>
      </c>
      <c r="E8" s="6" t="s">
        <v>47</v>
      </c>
      <c r="F8" s="6" t="s">
        <v>48</v>
      </c>
      <c r="G8" s="6" t="s">
        <v>65</v>
      </c>
      <c r="H8" s="6" t="s">
        <v>66</v>
      </c>
      <c r="K8" s="6" t="s">
        <v>0</v>
      </c>
      <c r="L8" s="6" t="s">
        <v>1</v>
      </c>
      <c r="M8" s="6" t="s">
        <v>41</v>
      </c>
      <c r="N8" s="6" t="s">
        <v>67</v>
      </c>
      <c r="O8" s="6" t="s">
        <v>68</v>
      </c>
      <c r="P8" s="6" t="s">
        <v>69</v>
      </c>
    </row>
    <row r="9" spans="1:16">
      <c r="B9">
        <v>0</v>
      </c>
      <c r="C9" s="3">
        <v>318</v>
      </c>
      <c r="D9" s="1">
        <v>0</v>
      </c>
      <c r="E9" s="2">
        <v>70.9677419354839</v>
      </c>
      <c r="F9" s="2">
        <v>925.806451612903</v>
      </c>
      <c r="G9" s="2">
        <v>1.32804343286699</v>
      </c>
      <c r="H9" s="1">
        <v>1234.6091509434</v>
      </c>
      <c r="K9">
        <v>2016</v>
      </c>
      <c r="L9" t="s">
        <v>9</v>
      </c>
      <c r="M9" s="3">
        <v>1909</v>
      </c>
      <c r="N9" s="1">
        <v>17997.0799332831</v>
      </c>
      <c r="O9" s="2">
        <v>7.97243683441219</v>
      </c>
      <c r="P9" s="2">
        <v>7.33938236039754</v>
      </c>
    </row>
    <row r="10" spans="1:16">
      <c r="B10" t="s">
        <v>33</v>
      </c>
      <c r="C10" s="3">
        <v>1242</v>
      </c>
      <c r="D10" s="1">
        <v>13105.9398177881</v>
      </c>
      <c r="E10" s="2">
        <v>-69.6035242290749</v>
      </c>
      <c r="F10" s="2">
        <v>-26.1154074955384</v>
      </c>
      <c r="G10" s="2">
        <v>5.18688661515974</v>
      </c>
      <c r="H10" s="1">
        <v>663.705700483091</v>
      </c>
      <c r="K10">
        <v>2016</v>
      </c>
      <c r="L10" t="s">
        <v>15</v>
      </c>
      <c r="M10" s="3">
        <v>1838</v>
      </c>
      <c r="N10" s="1">
        <v>17944.2999236334</v>
      </c>
      <c r="O10" s="2">
        <v>7.67592399248277</v>
      </c>
      <c r="P10" s="2">
        <v>7.31785816462575</v>
      </c>
    </row>
    <row r="11" spans="1:16">
      <c r="B11" t="s">
        <v>11</v>
      </c>
      <c r="C11" s="3">
        <v>36</v>
      </c>
      <c r="D11" s="1">
        <v>230.7</v>
      </c>
      <c r="E11" s="2">
        <v>-29.4117647058824</v>
      </c>
      <c r="F11" s="2">
        <v>-29.4117647058824</v>
      </c>
      <c r="G11" s="2">
        <v>0.150344539569848</v>
      </c>
      <c r="H11" s="1">
        <v>36.8641666666667</v>
      </c>
      <c r="K11">
        <v>2016</v>
      </c>
      <c r="L11" t="s">
        <v>16</v>
      </c>
      <c r="M11" s="3">
        <v>1867</v>
      </c>
      <c r="N11" s="1">
        <v>17411.9799716868</v>
      </c>
      <c r="O11" s="2">
        <v>7.79703487158071</v>
      </c>
      <c r="P11" s="2">
        <v>7.10077296636646</v>
      </c>
    </row>
    <row r="12" spans="1:16">
      <c r="K12">
        <v>2016</v>
      </c>
      <c r="L12" t="s">
        <v>17</v>
      </c>
      <c r="M12" s="3">
        <v>1628</v>
      </c>
      <c r="N12" s="1">
        <v>14693.0701088384</v>
      </c>
      <c r="O12" s="2">
        <v>6.79891417832533</v>
      </c>
      <c r="P12" s="2">
        <v>5.99197536359558</v>
      </c>
    </row>
    <row r="13" spans="1:16">
      <c r="K13">
        <v>2016</v>
      </c>
      <c r="L13" t="s">
        <v>18</v>
      </c>
      <c r="M13" s="3">
        <v>2714</v>
      </c>
      <c r="N13" s="1">
        <v>20209.6301735725</v>
      </c>
      <c r="O13" s="2">
        <v>11.3343077886824</v>
      </c>
      <c r="P13" s="2">
        <v>8.24168163701753</v>
      </c>
    </row>
    <row r="14" spans="1:16">
      <c r="K14">
        <v>2016</v>
      </c>
      <c r="L14" t="s">
        <v>19</v>
      </c>
      <c r="M14" s="3">
        <v>2798</v>
      </c>
      <c r="N14" s="1">
        <v>16128.0401005678</v>
      </c>
      <c r="O14" s="2">
        <v>11.6851117143454</v>
      </c>
      <c r="P14" s="2">
        <v>6.57716993316137</v>
      </c>
    </row>
    <row r="15" spans="1:16">
      <c r="K15">
        <v>2016</v>
      </c>
      <c r="L15" t="s">
        <v>20</v>
      </c>
      <c r="M15" s="3">
        <v>1909</v>
      </c>
      <c r="N15" s="1">
        <v>16477.1801072847</v>
      </c>
      <c r="O15" s="2">
        <v>7.97243683441219</v>
      </c>
      <c r="P15" s="2">
        <v>6.71955258724228</v>
      </c>
    </row>
    <row r="16" spans="1:16">
      <c r="K16">
        <v>2016</v>
      </c>
      <c r="L16" t="s">
        <v>21</v>
      </c>
      <c r="M16" s="3">
        <v>2229</v>
      </c>
      <c r="N16" s="1">
        <v>19420.0701411061</v>
      </c>
      <c r="O16" s="2">
        <v>9.30883274169973</v>
      </c>
      <c r="P16" s="2">
        <v>7.91969145881967</v>
      </c>
    </row>
    <row r="17" spans="11:16">
      <c r="K17">
        <v>2016</v>
      </c>
      <c r="L17" t="s">
        <v>22</v>
      </c>
      <c r="M17" s="3">
        <v>2779</v>
      </c>
      <c r="N17" s="1">
        <v>15755.3100509752</v>
      </c>
      <c r="O17" s="2">
        <v>11.6057632073502</v>
      </c>
      <c r="P17" s="2">
        <v>6.42516703261798</v>
      </c>
    </row>
    <row r="18" spans="11:16">
      <c r="K18">
        <v>2017</v>
      </c>
      <c r="L18" t="s">
        <v>23</v>
      </c>
      <c r="M18" s="3">
        <v>2182</v>
      </c>
      <c r="N18" s="1">
        <v>5120.64991854392</v>
      </c>
      <c r="O18" s="2">
        <v>9.11254959281687</v>
      </c>
      <c r="P18" s="2">
        <v>2.08825030645271</v>
      </c>
    </row>
    <row r="19" spans="11:16">
      <c r="K19">
        <v>2017</v>
      </c>
      <c r="L19" t="s">
        <v>24</v>
      </c>
      <c r="M19" s="3">
        <v>2121</v>
      </c>
      <c r="N19" s="1">
        <v>9933.38989021853</v>
      </c>
      <c r="O19" s="2">
        <v>8.85779912299019</v>
      </c>
      <c r="P19" s="2">
        <v>4.05093197393614</v>
      </c>
    </row>
    <row r="20" spans="11:16">
      <c r="K20">
        <v>2017</v>
      </c>
      <c r="L20" t="s">
        <v>25</v>
      </c>
      <c r="M20" s="3">
        <v>4695</v>
      </c>
      <c r="N20" s="1">
        <v>42094.779210781</v>
      </c>
      <c r="O20" s="2">
        <v>19.6074337022343</v>
      </c>
      <c r="P20" s="2">
        <v>17.1666559880681</v>
      </c>
    </row>
    <row r="21" spans="11:16">
      <c r="K21">
        <v>2017</v>
      </c>
      <c r="L21" t="s">
        <v>9</v>
      </c>
      <c r="M21" s="3">
        <v>2108</v>
      </c>
      <c r="N21" s="1">
        <v>13492.8198162157</v>
      </c>
      <c r="O21" s="2">
        <v>8.80350803925663</v>
      </c>
      <c r="P21" s="2">
        <v>5.5025017457424</v>
      </c>
    </row>
  </sheetData>
  <mergeCells count="2">
    <mergeCell ref="B7:H7"/>
    <mergeCell ref="K7:P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Overcharges</vt:lpstr>
      <vt:lpstr>Free_Shipping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2017-05-02T15:22:04Z</dcterms:created>
  <dcterms:modified xsi:type="dcterms:W3CDTF">2017-05-02T15:22:04Z</dcterms:modified>
</cp:coreProperties>
</file>