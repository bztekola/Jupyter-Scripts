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Shipping/Projects/Box Predictor/Python/"/>
    </mc:Choice>
  </mc:AlternateContent>
  <xr:revisionPtr revIDLastSave="0" documentId="13_ncr:1_{03EEC7B7-18D4-6E4E-82FD-D79BB89639B9}" xr6:coauthVersionLast="36" xr6:coauthVersionMax="36" xr10:uidLastSave="{00000000-0000-0000-0000-000000000000}"/>
  <bookViews>
    <workbookView xWindow="660" yWindow="460" windowWidth="26860" windowHeight="10780" xr2:uid="{00000000-000D-0000-FFFF-FFFF00000000}"/>
  </bookViews>
  <sheets>
    <sheet name="data" sheetId="1" r:id="rId1"/>
    <sheet name="times 1.2" sheetId="2" r:id="rId2"/>
  </sheets>
  <definedNames>
    <definedName name="_xlnm._FilterDatabase" localSheetId="0" hidden="1">data!$A$2:$M$21</definedName>
  </definedNames>
  <calcPr calcId="162913"/>
</workbook>
</file>

<file path=xl/calcChain.xml><?xml version="1.0" encoding="utf-8"?>
<calcChain xmlns="http://schemas.openxmlformats.org/spreadsheetml/2006/main">
  <c r="M21" i="1" l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K3" i="1"/>
  <c r="F21" i="2" l="1"/>
  <c r="J21" i="2" s="1"/>
  <c r="E21" i="2"/>
  <c r="I21" i="2" s="1"/>
  <c r="D21" i="2"/>
  <c r="H21" i="2" s="1"/>
  <c r="F20" i="2"/>
  <c r="J20" i="2" s="1"/>
  <c r="E20" i="2"/>
  <c r="I20" i="2" s="1"/>
  <c r="D20" i="2"/>
  <c r="H20" i="2" s="1"/>
  <c r="F19" i="2"/>
  <c r="J19" i="2" s="1"/>
  <c r="E19" i="2"/>
  <c r="I19" i="2" s="1"/>
  <c r="D19" i="2"/>
  <c r="H19" i="2" s="1"/>
  <c r="F18" i="2"/>
  <c r="J18" i="2" s="1"/>
  <c r="E18" i="2"/>
  <c r="I18" i="2" s="1"/>
  <c r="D18" i="2"/>
  <c r="H18" i="2" s="1"/>
  <c r="F17" i="2"/>
  <c r="J17" i="2" s="1"/>
  <c r="E17" i="2"/>
  <c r="I17" i="2" s="1"/>
  <c r="D17" i="2"/>
  <c r="H17" i="2" s="1"/>
  <c r="F16" i="2"/>
  <c r="J16" i="2" s="1"/>
  <c r="E16" i="2"/>
  <c r="I16" i="2" s="1"/>
  <c r="D16" i="2"/>
  <c r="H16" i="2" s="1"/>
  <c r="F15" i="2"/>
  <c r="J15" i="2" s="1"/>
  <c r="E15" i="2"/>
  <c r="I15" i="2" s="1"/>
  <c r="D15" i="2"/>
  <c r="H15" i="2" s="1"/>
  <c r="F14" i="2"/>
  <c r="J14" i="2" s="1"/>
  <c r="E14" i="2"/>
  <c r="I14" i="2" s="1"/>
  <c r="D14" i="2"/>
  <c r="H14" i="2" s="1"/>
  <c r="F13" i="2"/>
  <c r="J13" i="2" s="1"/>
  <c r="E13" i="2"/>
  <c r="I13" i="2" s="1"/>
  <c r="D13" i="2"/>
  <c r="H13" i="2" s="1"/>
  <c r="F12" i="2"/>
  <c r="J12" i="2" s="1"/>
  <c r="E12" i="2"/>
  <c r="I12" i="2" s="1"/>
  <c r="D12" i="2"/>
  <c r="H12" i="2" s="1"/>
  <c r="F11" i="2"/>
  <c r="J11" i="2" s="1"/>
  <c r="E11" i="2"/>
  <c r="I11" i="2" s="1"/>
  <c r="D11" i="2"/>
  <c r="H11" i="2" s="1"/>
  <c r="F10" i="2"/>
  <c r="J10" i="2" s="1"/>
  <c r="E10" i="2"/>
  <c r="I10" i="2" s="1"/>
  <c r="D10" i="2"/>
  <c r="H10" i="2" s="1"/>
  <c r="F9" i="2"/>
  <c r="J9" i="2" s="1"/>
  <c r="E9" i="2"/>
  <c r="I9" i="2" s="1"/>
  <c r="D9" i="2"/>
  <c r="H9" i="2" s="1"/>
  <c r="F8" i="2"/>
  <c r="J8" i="2" s="1"/>
  <c r="E8" i="2"/>
  <c r="I8" i="2" s="1"/>
  <c r="D8" i="2"/>
  <c r="H8" i="2" s="1"/>
  <c r="F7" i="2"/>
  <c r="J7" i="2" s="1"/>
  <c r="E7" i="2"/>
  <c r="I7" i="2" s="1"/>
  <c r="D7" i="2"/>
  <c r="H7" i="2" s="1"/>
  <c r="F6" i="2"/>
  <c r="J6" i="2" s="1"/>
  <c r="E6" i="2"/>
  <c r="I6" i="2" s="1"/>
  <c r="D6" i="2"/>
  <c r="H6" i="2" s="1"/>
  <c r="F5" i="2"/>
  <c r="J5" i="2" s="1"/>
  <c r="E5" i="2"/>
  <c r="I5" i="2" s="1"/>
  <c r="D5" i="2"/>
  <c r="H5" i="2" s="1"/>
  <c r="F4" i="2"/>
  <c r="J4" i="2" s="1"/>
  <c r="E4" i="2"/>
  <c r="I4" i="2" s="1"/>
  <c r="D4" i="2"/>
  <c r="H4" i="2" s="1"/>
  <c r="F3" i="2"/>
  <c r="J3" i="2" s="1"/>
  <c r="E3" i="2"/>
  <c r="I3" i="2" s="1"/>
  <c r="D3" i="2"/>
  <c r="J23" i="2" l="1"/>
  <c r="D23" i="2"/>
  <c r="H3" i="2"/>
  <c r="H23" i="2" s="1"/>
  <c r="I23" i="2"/>
  <c r="E23" i="2"/>
  <c r="F23" i="2"/>
  <c r="D24" i="2" l="1"/>
  <c r="D25" i="2" s="1"/>
  <c r="H24" i="2"/>
  <c r="H26" i="2" s="1"/>
  <c r="D26" i="2" l="1"/>
  <c r="H25" i="2"/>
</calcChain>
</file>

<file path=xl/sharedStrings.xml><?xml version="1.0" encoding="utf-8"?>
<sst xmlns="http://schemas.openxmlformats.org/spreadsheetml/2006/main" count="129" uniqueCount="56">
  <si>
    <t>name</t>
  </si>
  <si>
    <t>barcode</t>
  </si>
  <si>
    <t>sku id</t>
  </si>
  <si>
    <t>Budget</t>
  </si>
  <si>
    <t>ARDX</t>
  </si>
  <si>
    <t>13x10x8</t>
  </si>
  <si>
    <t>16x8x4</t>
  </si>
  <si>
    <t>16x16x16</t>
  </si>
  <si>
    <t>20x20x20</t>
  </si>
  <si>
    <t>20x16x4</t>
  </si>
  <si>
    <t>24x24x20</t>
  </si>
  <si>
    <t>15x2x2</t>
  </si>
  <si>
    <t>24x4x4</t>
  </si>
  <si>
    <t>17x12x10</t>
  </si>
  <si>
    <t>10x8x6</t>
  </si>
  <si>
    <t>12x9x3</t>
  </si>
  <si>
    <t>Custom Black Mailer - 8.5 x 11.2</t>
  </si>
  <si>
    <t>4x3x1</t>
  </si>
  <si>
    <t>Cufflink Box</t>
  </si>
  <si>
    <t>#30-4</t>
  </si>
  <si>
    <t>001719080403</t>
  </si>
  <si>
    <t>001704906025</t>
  </si>
  <si>
    <t>00294213010008</t>
  </si>
  <si>
    <t>00294116008004</t>
  </si>
  <si>
    <t>00294616016016</t>
  </si>
  <si>
    <t>00294920020020</t>
  </si>
  <si>
    <t>00297720016004</t>
  </si>
  <si>
    <t>00295024020020</t>
  </si>
  <si>
    <t>00297515002002</t>
  </si>
  <si>
    <t>00297424004004</t>
  </si>
  <si>
    <t>C3629171210</t>
  </si>
  <si>
    <t>C36301086</t>
  </si>
  <si>
    <t>00293812009003</t>
  </si>
  <si>
    <t>002952080122M</t>
  </si>
  <si>
    <t>002262040301</t>
  </si>
  <si>
    <t>C1720</t>
  </si>
  <si>
    <t>C12132</t>
  </si>
  <si>
    <t>l</t>
  </si>
  <si>
    <t>w</t>
  </si>
  <si>
    <t>h</t>
  </si>
  <si>
    <t xml:space="preserve">l </t>
  </si>
  <si>
    <t>OUTER (in)</t>
  </si>
  <si>
    <t>INNER (in)</t>
  </si>
  <si>
    <t>C5287-A</t>
  </si>
  <si>
    <t>20x20x14 - S-4350</t>
  </si>
  <si>
    <t>not in db??</t>
  </si>
  <si>
    <t>avg</t>
  </si>
  <si>
    <t>vol</t>
  </si>
  <si>
    <t>cube side</t>
  </si>
  <si>
    <t>dim weight</t>
  </si>
  <si>
    <t>INNER (mm)</t>
  </si>
  <si>
    <t>in to mm</t>
  </si>
  <si>
    <t>OUTER * 1.2 (in)</t>
  </si>
  <si>
    <t>DIFFERENCE</t>
  </si>
  <si>
    <t>in PLM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</si>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</sst>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0" borderId="0" xfId="0" applyFill="1"/>
    <xf numFmtId="43" fontId="0" fillId="2" borderId="0" xfId="1" applyFont="1" applyFill="1"/>
    <xf numFmtId="43" fontId="0" fillId="0" borderId="0" xfId="0" applyNumberFormat="1"/>
    <xf numFmtId="43" fontId="0" fillId="2" borderId="0" xfId="0" applyNumberFormat="1" applyFill="1"/>
    <xf numFmtId="0" fontId="0" fillId="4" borderId="0" xfId="0" applyFill="1"/>
    <xf numFmtId="0" fontId="1" fillId="4" borderId="1" xfId="0" applyFont="1" applyFill="1" applyBorder="1" applyAlignment="1">
      <alignment horizontal="center" vertical="top"/>
    </xf>
    <xf numFmtId="1" fontId="0" fillId="4" borderId="0" xfId="0" applyNumberFormat="1" applyFill="1"/>
    <xf numFmtId="43" fontId="0" fillId="3" borderId="0" xfId="1" applyFont="1" applyFill="1"/>
    <xf numFmtId="43" fontId="0" fillId="3" borderId="0" xfId="0" applyNumberFormat="1" applyFill="1"/>
    <xf numFmtId="43" fontId="0" fillId="0" borderId="0" xfId="0" applyNumberFormat="1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2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J22" sqref="J22"/>
    </sheetView>
  </sheetViews>
  <sheetFormatPr baseColWidth="10" defaultColWidth="8.83203125" defaultRowHeight="15" x14ac:dyDescent="0.2"/>
  <cols>
    <col min="1" max="1" width="25.5" bestFit="1" customWidth="1"/>
    <col min="2" max="2" width="15.1640625" hidden="1" customWidth="1"/>
    <col min="3" max="3" width="16.33203125" hidden="1" customWidth="1"/>
    <col min="4" max="4" width="16.33203125" style="6" bestFit="1" customWidth="1"/>
    <col min="5" max="6" width="9" style="6" bestFit="1" customWidth="1"/>
    <col min="7" max="9" width="8.83203125" style="6" customWidth="1"/>
    <col min="10" max="10" width="11.5" style="6" bestFit="1" customWidth="1"/>
    <col min="11" max="13" width="8.83203125" style="6"/>
    <col min="15" max="15" width="0" hidden="1" customWidth="1"/>
  </cols>
  <sheetData>
    <row r="1" spans="1:15" x14ac:dyDescent="0.2">
      <c r="D1" s="16" t="s">
        <v>41</v>
      </c>
      <c r="E1" s="16"/>
      <c r="F1" s="16"/>
      <c r="G1" s="17" t="s">
        <v>42</v>
      </c>
      <c r="H1" s="17"/>
      <c r="I1" s="17"/>
      <c r="J1"/>
      <c r="K1" s="10" t="s">
        <v>50</v>
      </c>
      <c r="L1" s="10"/>
      <c r="M1" s="10"/>
      <c r="O1" t="s">
        <v>51</v>
      </c>
    </row>
    <row r="2" spans="1:15" x14ac:dyDescent="0.2">
      <c r="A2" s="1" t="s">
        <v>0</v>
      </c>
      <c r="B2" s="1" t="s">
        <v>1</v>
      </c>
      <c r="C2" s="1" t="s">
        <v>2</v>
      </c>
      <c r="D2" s="4" t="s">
        <v>37</v>
      </c>
      <c r="E2" s="4" t="s">
        <v>38</v>
      </c>
      <c r="F2" s="4" t="s">
        <v>39</v>
      </c>
      <c r="G2" s="5" t="s">
        <v>40</v>
      </c>
      <c r="H2" s="5" t="s">
        <v>38</v>
      </c>
      <c r="I2" s="5" t="s">
        <v>39</v>
      </c>
      <c r="J2" s="18" t="s">
        <v>54</v>
      </c>
      <c r="K2" s="11" t="s">
        <v>37</v>
      </c>
      <c r="L2" s="11" t="s">
        <v>38</v>
      </c>
      <c r="M2" s="11" t="s">
        <v>39</v>
      </c>
      <c r="O2">
        <v>25.4</v>
      </c>
    </row>
    <row r="3" spans="1:15" x14ac:dyDescent="0.2">
      <c r="A3" t="s">
        <v>16</v>
      </c>
      <c r="B3" t="s">
        <v>33</v>
      </c>
      <c r="C3">
        <v>2960</v>
      </c>
      <c r="D3" s="2">
        <v>9.75</v>
      </c>
      <c r="E3" s="2">
        <v>11</v>
      </c>
      <c r="F3" s="2">
        <v>3.5</v>
      </c>
      <c r="G3" s="3">
        <v>9.5</v>
      </c>
      <c r="H3" s="3">
        <v>10.5</v>
      </c>
      <c r="I3" s="3">
        <v>3.25</v>
      </c>
      <c r="J3" t="s">
        <v>55</v>
      </c>
      <c r="K3" s="12">
        <f>ROUNDUP(G3*$O$2,0)</f>
        <v>242</v>
      </c>
      <c r="L3" s="12">
        <f t="shared" ref="L3:L21" si="0">ROUNDUP(H3*$O$2,0)</f>
        <v>267</v>
      </c>
      <c r="M3" s="12">
        <f t="shared" ref="M3:M21" si="1">ROUNDUP(I3*$O$2,0)</f>
        <v>83</v>
      </c>
    </row>
    <row r="4" spans="1:15" x14ac:dyDescent="0.2">
      <c r="A4" t="s">
        <v>3</v>
      </c>
      <c r="B4" t="s">
        <v>20</v>
      </c>
      <c r="C4">
        <v>3112</v>
      </c>
      <c r="D4" s="2">
        <v>8.5</v>
      </c>
      <c r="E4" s="2">
        <v>4.5</v>
      </c>
      <c r="F4" s="2">
        <v>3.25</v>
      </c>
      <c r="G4" s="3">
        <v>8.25</v>
      </c>
      <c r="H4" s="3">
        <v>4.25</v>
      </c>
      <c r="I4" s="3">
        <v>3</v>
      </c>
      <c r="J4" t="s">
        <v>55</v>
      </c>
      <c r="K4" s="12">
        <f t="shared" ref="K4:K21" si="2">ROUNDUP(G4*$O$2,0)</f>
        <v>210</v>
      </c>
      <c r="L4" s="12">
        <f t="shared" si="0"/>
        <v>108</v>
      </c>
      <c r="M4" s="12">
        <f t="shared" si="1"/>
        <v>77</v>
      </c>
    </row>
    <row r="5" spans="1:15" x14ac:dyDescent="0.2">
      <c r="A5" t="s">
        <v>4</v>
      </c>
      <c r="B5" t="s">
        <v>21</v>
      </c>
      <c r="C5">
        <v>3162</v>
      </c>
      <c r="D5" s="2">
        <v>9.75</v>
      </c>
      <c r="E5" s="2">
        <v>6.75</v>
      </c>
      <c r="F5" s="2">
        <v>3</v>
      </c>
      <c r="G5" s="3">
        <v>9.5</v>
      </c>
      <c r="H5" s="3">
        <v>6.5</v>
      </c>
      <c r="I5" s="3">
        <v>2.75</v>
      </c>
      <c r="J5" t="s">
        <v>55</v>
      </c>
      <c r="K5" s="12">
        <f t="shared" si="2"/>
        <v>242</v>
      </c>
      <c r="L5" s="12">
        <f t="shared" si="0"/>
        <v>166</v>
      </c>
      <c r="M5" s="12">
        <f t="shared" si="1"/>
        <v>70</v>
      </c>
    </row>
    <row r="6" spans="1:15" x14ac:dyDescent="0.2">
      <c r="A6" t="s">
        <v>17</v>
      </c>
      <c r="B6" t="s">
        <v>34</v>
      </c>
      <c r="C6">
        <v>3253</v>
      </c>
      <c r="D6" s="2">
        <v>4.5</v>
      </c>
      <c r="E6" s="2">
        <v>3.25</v>
      </c>
      <c r="F6" s="2">
        <v>1.25</v>
      </c>
      <c r="G6" s="3">
        <v>4.25</v>
      </c>
      <c r="H6" s="3">
        <v>3</v>
      </c>
      <c r="I6" s="3">
        <v>1</v>
      </c>
      <c r="J6" t="s">
        <v>55</v>
      </c>
      <c r="K6" s="12">
        <f t="shared" si="2"/>
        <v>108</v>
      </c>
      <c r="L6" s="12">
        <f t="shared" si="0"/>
        <v>77</v>
      </c>
      <c r="M6" s="12">
        <f t="shared" si="1"/>
        <v>26</v>
      </c>
    </row>
    <row r="7" spans="1:15" x14ac:dyDescent="0.2">
      <c r="A7" t="s">
        <v>18</v>
      </c>
      <c r="B7" t="s">
        <v>35</v>
      </c>
      <c r="C7">
        <v>9563</v>
      </c>
      <c r="D7" s="2">
        <v>4.75</v>
      </c>
      <c r="E7" s="2">
        <v>4.5</v>
      </c>
      <c r="F7" s="2">
        <v>2.5</v>
      </c>
      <c r="G7" s="3">
        <v>4.5</v>
      </c>
      <c r="H7" s="3">
        <v>4.25</v>
      </c>
      <c r="I7" s="3">
        <v>2.25</v>
      </c>
      <c r="J7" t="s">
        <v>55</v>
      </c>
      <c r="K7" s="12">
        <f t="shared" si="2"/>
        <v>115</v>
      </c>
      <c r="L7" s="12">
        <f t="shared" si="0"/>
        <v>108</v>
      </c>
      <c r="M7" s="12">
        <f t="shared" si="1"/>
        <v>58</v>
      </c>
    </row>
    <row r="8" spans="1:15" x14ac:dyDescent="0.2">
      <c r="A8" t="s">
        <v>15</v>
      </c>
      <c r="B8" t="s">
        <v>32</v>
      </c>
      <c r="C8">
        <v>9564</v>
      </c>
      <c r="D8" s="2">
        <v>12.5</v>
      </c>
      <c r="E8" s="2">
        <v>9.25</v>
      </c>
      <c r="F8" s="2">
        <v>3.5</v>
      </c>
      <c r="G8" s="3">
        <v>12.25</v>
      </c>
      <c r="H8" s="3">
        <v>9</v>
      </c>
      <c r="I8" s="3">
        <v>3.25</v>
      </c>
      <c r="J8" t="s">
        <v>55</v>
      </c>
      <c r="K8" s="12">
        <f t="shared" si="2"/>
        <v>312</v>
      </c>
      <c r="L8" s="12">
        <f t="shared" si="0"/>
        <v>229</v>
      </c>
      <c r="M8" s="12">
        <f t="shared" si="1"/>
        <v>83</v>
      </c>
    </row>
    <row r="9" spans="1:15" x14ac:dyDescent="0.2">
      <c r="A9" t="s">
        <v>14</v>
      </c>
      <c r="B9" t="s">
        <v>31</v>
      </c>
      <c r="C9">
        <v>9565</v>
      </c>
      <c r="D9" s="2">
        <v>10.5</v>
      </c>
      <c r="E9" s="2">
        <v>8.5</v>
      </c>
      <c r="F9" s="2">
        <v>6.5</v>
      </c>
      <c r="G9" s="3">
        <v>10.25</v>
      </c>
      <c r="H9" s="3">
        <v>8.25</v>
      </c>
      <c r="I9" s="3">
        <v>6.25</v>
      </c>
      <c r="J9" t="s">
        <v>55</v>
      </c>
      <c r="K9" s="12">
        <f t="shared" si="2"/>
        <v>261</v>
      </c>
      <c r="L9" s="12">
        <f t="shared" si="0"/>
        <v>210</v>
      </c>
      <c r="M9" s="12">
        <f t="shared" si="1"/>
        <v>159</v>
      </c>
    </row>
    <row r="10" spans="1:15" x14ac:dyDescent="0.2">
      <c r="A10" t="s">
        <v>6</v>
      </c>
      <c r="B10" t="s">
        <v>23</v>
      </c>
      <c r="C10">
        <v>9566</v>
      </c>
      <c r="D10" s="2">
        <v>16.5</v>
      </c>
      <c r="E10" s="2">
        <v>8.5</v>
      </c>
      <c r="F10" s="2">
        <v>4.5</v>
      </c>
      <c r="G10" s="3">
        <v>16.25</v>
      </c>
      <c r="H10" s="3">
        <v>8.25</v>
      </c>
      <c r="I10" s="3">
        <v>4.25</v>
      </c>
      <c r="J10" t="s">
        <v>55</v>
      </c>
      <c r="K10" s="12">
        <f t="shared" si="2"/>
        <v>413</v>
      </c>
      <c r="L10" s="12">
        <f t="shared" si="0"/>
        <v>210</v>
      </c>
      <c r="M10" s="12">
        <f t="shared" si="1"/>
        <v>108</v>
      </c>
    </row>
    <row r="11" spans="1:15" x14ac:dyDescent="0.2">
      <c r="A11" t="s">
        <v>5</v>
      </c>
      <c r="B11" t="s">
        <v>22</v>
      </c>
      <c r="C11">
        <v>9567</v>
      </c>
      <c r="D11" s="2">
        <v>13.5</v>
      </c>
      <c r="E11" s="2">
        <v>10.5</v>
      </c>
      <c r="F11" s="2">
        <v>8.5</v>
      </c>
      <c r="G11" s="3">
        <v>13.25</v>
      </c>
      <c r="H11" s="3">
        <v>10.25</v>
      </c>
      <c r="I11" s="3">
        <v>8.25</v>
      </c>
      <c r="J11" t="s">
        <v>55</v>
      </c>
      <c r="K11" s="12">
        <f t="shared" si="2"/>
        <v>337</v>
      </c>
      <c r="L11" s="12">
        <f t="shared" si="0"/>
        <v>261</v>
      </c>
      <c r="M11" s="12">
        <f t="shared" si="1"/>
        <v>210</v>
      </c>
    </row>
    <row r="12" spans="1:15" x14ac:dyDescent="0.2">
      <c r="A12" t="s">
        <v>9</v>
      </c>
      <c r="B12" t="s">
        <v>26</v>
      </c>
      <c r="C12">
        <v>9568</v>
      </c>
      <c r="D12" s="2">
        <v>20.5</v>
      </c>
      <c r="E12" s="2">
        <v>4.5</v>
      </c>
      <c r="F12" s="2">
        <v>16.75</v>
      </c>
      <c r="G12" s="3">
        <v>20</v>
      </c>
      <c r="H12" s="3">
        <v>4</v>
      </c>
      <c r="I12" s="3">
        <v>16.5</v>
      </c>
      <c r="J12" t="s">
        <v>55</v>
      </c>
      <c r="K12" s="12">
        <f t="shared" si="2"/>
        <v>508</v>
      </c>
      <c r="L12" s="12">
        <f t="shared" si="0"/>
        <v>102</v>
      </c>
      <c r="M12" s="12">
        <f t="shared" si="1"/>
        <v>420</v>
      </c>
    </row>
    <row r="13" spans="1:15" x14ac:dyDescent="0.2">
      <c r="A13" t="s">
        <v>8</v>
      </c>
      <c r="B13" t="s">
        <v>25</v>
      </c>
      <c r="C13">
        <v>9569</v>
      </c>
      <c r="D13" s="2">
        <v>20.5</v>
      </c>
      <c r="E13" s="2">
        <v>20.5</v>
      </c>
      <c r="F13" s="2">
        <v>20.5</v>
      </c>
      <c r="G13" s="3">
        <v>20.25</v>
      </c>
      <c r="H13" s="3">
        <v>20.25</v>
      </c>
      <c r="I13" s="3">
        <v>20.25</v>
      </c>
      <c r="J13" t="s">
        <v>55</v>
      </c>
      <c r="K13" s="12">
        <f t="shared" si="2"/>
        <v>515</v>
      </c>
      <c r="L13" s="12">
        <f t="shared" si="0"/>
        <v>515</v>
      </c>
      <c r="M13" s="12">
        <f t="shared" si="1"/>
        <v>515</v>
      </c>
    </row>
    <row r="14" spans="1:15" x14ac:dyDescent="0.2">
      <c r="A14" t="s">
        <v>13</v>
      </c>
      <c r="B14" t="s">
        <v>30</v>
      </c>
      <c r="C14">
        <v>9570</v>
      </c>
      <c r="D14" s="2">
        <v>17.5</v>
      </c>
      <c r="E14" s="2">
        <v>12.5</v>
      </c>
      <c r="F14" s="2">
        <v>10.5</v>
      </c>
      <c r="G14" s="3">
        <v>17.25</v>
      </c>
      <c r="H14" s="3">
        <v>12.25</v>
      </c>
      <c r="I14" s="3">
        <v>10.25</v>
      </c>
      <c r="J14" t="s">
        <v>55</v>
      </c>
      <c r="K14" s="12">
        <f t="shared" si="2"/>
        <v>439</v>
      </c>
      <c r="L14" s="12">
        <f t="shared" si="0"/>
        <v>312</v>
      </c>
      <c r="M14" s="12">
        <f t="shared" si="1"/>
        <v>261</v>
      </c>
    </row>
    <row r="15" spans="1:15" x14ac:dyDescent="0.2">
      <c r="A15" t="s">
        <v>10</v>
      </c>
      <c r="B15" t="s">
        <v>27</v>
      </c>
      <c r="C15">
        <v>9571</v>
      </c>
      <c r="D15" s="2">
        <v>24.5</v>
      </c>
      <c r="E15" s="2">
        <v>24.5</v>
      </c>
      <c r="F15" s="2">
        <v>20.5</v>
      </c>
      <c r="G15" s="3">
        <v>24.25</v>
      </c>
      <c r="H15" s="3">
        <v>24.25</v>
      </c>
      <c r="I15" s="3">
        <v>20.25</v>
      </c>
      <c r="J15" t="s">
        <v>55</v>
      </c>
      <c r="K15" s="12">
        <f t="shared" si="2"/>
        <v>616</v>
      </c>
      <c r="L15" s="12">
        <f t="shared" si="0"/>
        <v>616</v>
      </c>
      <c r="M15" s="12">
        <f t="shared" si="1"/>
        <v>515</v>
      </c>
    </row>
    <row r="16" spans="1:15" x14ac:dyDescent="0.2">
      <c r="A16" t="s">
        <v>7</v>
      </c>
      <c r="B16" t="s">
        <v>24</v>
      </c>
      <c r="C16">
        <v>9572</v>
      </c>
      <c r="D16" s="2">
        <v>16.25</v>
      </c>
      <c r="E16" s="2">
        <v>16.25</v>
      </c>
      <c r="F16" s="2">
        <v>16.5</v>
      </c>
      <c r="G16" s="3">
        <v>16</v>
      </c>
      <c r="H16" s="3">
        <v>16</v>
      </c>
      <c r="I16" s="3">
        <v>16.25</v>
      </c>
      <c r="J16" t="s">
        <v>55</v>
      </c>
      <c r="K16" s="12">
        <f t="shared" si="2"/>
        <v>407</v>
      </c>
      <c r="L16" s="12">
        <f t="shared" si="0"/>
        <v>407</v>
      </c>
      <c r="M16" s="12">
        <f t="shared" si="1"/>
        <v>413</v>
      </c>
    </row>
    <row r="17" spans="1:15" x14ac:dyDescent="0.2">
      <c r="A17" t="s">
        <v>11</v>
      </c>
      <c r="B17" t="s">
        <v>28</v>
      </c>
      <c r="C17">
        <v>9573</v>
      </c>
      <c r="D17" s="2">
        <v>16</v>
      </c>
      <c r="E17" s="2">
        <v>4</v>
      </c>
      <c r="F17" s="2">
        <v>4</v>
      </c>
      <c r="G17" s="3">
        <v>15.75</v>
      </c>
      <c r="H17" s="3">
        <v>3.75</v>
      </c>
      <c r="I17" s="3">
        <v>3.75</v>
      </c>
      <c r="J17" t="s">
        <v>55</v>
      </c>
      <c r="K17" s="12">
        <f t="shared" si="2"/>
        <v>401</v>
      </c>
      <c r="L17" s="12">
        <f t="shared" si="0"/>
        <v>96</v>
      </c>
      <c r="M17" s="12">
        <f t="shared" si="1"/>
        <v>96</v>
      </c>
    </row>
    <row r="18" spans="1:15" x14ac:dyDescent="0.2">
      <c r="A18" t="s">
        <v>12</v>
      </c>
      <c r="B18" t="s">
        <v>29</v>
      </c>
      <c r="C18">
        <v>9574</v>
      </c>
      <c r="D18" s="2">
        <v>25</v>
      </c>
      <c r="E18" s="2">
        <v>4.5</v>
      </c>
      <c r="F18" s="2">
        <v>4.5</v>
      </c>
      <c r="G18" s="3">
        <v>24.75</v>
      </c>
      <c r="H18" s="3">
        <v>4.25</v>
      </c>
      <c r="I18" s="3">
        <v>4.25</v>
      </c>
      <c r="J18" t="s">
        <v>55</v>
      </c>
      <c r="K18" s="12">
        <f t="shared" si="2"/>
        <v>629</v>
      </c>
      <c r="L18" s="12">
        <f t="shared" si="0"/>
        <v>108</v>
      </c>
      <c r="M18" s="12">
        <f t="shared" si="1"/>
        <v>108</v>
      </c>
    </row>
    <row r="19" spans="1:15" x14ac:dyDescent="0.2">
      <c r="A19" t="s">
        <v>19</v>
      </c>
      <c r="B19" t="s">
        <v>36</v>
      </c>
      <c r="C19">
        <v>12132</v>
      </c>
      <c r="D19" s="2">
        <v>27.5</v>
      </c>
      <c r="E19" s="2">
        <v>15</v>
      </c>
      <c r="F19" s="2">
        <v>4.5</v>
      </c>
      <c r="G19" s="3">
        <v>27.25</v>
      </c>
      <c r="H19" s="3">
        <v>14.75</v>
      </c>
      <c r="I19" s="3">
        <v>4.25</v>
      </c>
      <c r="J19" t="s">
        <v>55</v>
      </c>
      <c r="K19" s="12">
        <f t="shared" si="2"/>
        <v>693</v>
      </c>
      <c r="L19" s="12">
        <f t="shared" si="0"/>
        <v>375</v>
      </c>
      <c r="M19" s="12">
        <f t="shared" si="1"/>
        <v>108</v>
      </c>
    </row>
    <row r="20" spans="1:15" x14ac:dyDescent="0.2">
      <c r="A20" t="s">
        <v>43</v>
      </c>
      <c r="B20" t="s">
        <v>45</v>
      </c>
      <c r="D20" s="2">
        <v>18.5</v>
      </c>
      <c r="E20" s="2">
        <v>11.5</v>
      </c>
      <c r="F20" s="2">
        <v>17.75</v>
      </c>
      <c r="G20" s="3">
        <v>18</v>
      </c>
      <c r="H20" s="3">
        <v>11.25</v>
      </c>
      <c r="I20" s="3">
        <v>17.5</v>
      </c>
      <c r="J20"/>
      <c r="K20" s="12">
        <f t="shared" si="2"/>
        <v>458</v>
      </c>
      <c r="L20" s="12">
        <f t="shared" si="0"/>
        <v>286</v>
      </c>
      <c r="M20" s="12">
        <f t="shared" si="1"/>
        <v>445</v>
      </c>
      <c r="O20" s="8"/>
    </row>
    <row r="21" spans="1:15" x14ac:dyDescent="0.2">
      <c r="A21" t="s">
        <v>44</v>
      </c>
      <c r="B21" t="s">
        <v>45</v>
      </c>
      <c r="D21" s="2">
        <v>20.25</v>
      </c>
      <c r="E21" s="2">
        <v>20.25</v>
      </c>
      <c r="F21" s="2">
        <v>14.5</v>
      </c>
      <c r="G21" s="3">
        <v>20</v>
      </c>
      <c r="H21" s="3">
        <v>20</v>
      </c>
      <c r="I21" s="3">
        <v>14.25</v>
      </c>
      <c r="J21"/>
      <c r="K21" s="12">
        <f t="shared" si="2"/>
        <v>508</v>
      </c>
      <c r="L21" s="12">
        <f t="shared" si="0"/>
        <v>508</v>
      </c>
      <c r="M21" s="12">
        <f t="shared" si="1"/>
        <v>362</v>
      </c>
    </row>
    <row r="25" spans="1:15" x14ac:dyDescent="0.2">
      <c r="C25" s="8"/>
      <c r="D25" s="15"/>
    </row>
    <row r="26" spans="1:15" x14ac:dyDescent="0.2">
      <c r="C26" s="8"/>
      <c r="D26" s="15"/>
    </row>
    <row r="27" spans="1:15" x14ac:dyDescent="0.2">
      <c r="C27" s="8"/>
      <c r="D27" s="15"/>
    </row>
    <row r="28" spans="1:15" x14ac:dyDescent="0.2">
      <c r="D28" s="8"/>
      <c r="E28" s="8"/>
      <c r="F28" s="8"/>
    </row>
    <row r="30" spans="1:15" x14ac:dyDescent="0.2">
      <c r="D30" s="15"/>
    </row>
  </sheetData>
  <autoFilter ref="A2:M21" xr:uid="{60B16C5B-D63A-5E48-A7FC-D538AA255014}"/>
  <sortState ref="A3:J21">
    <sortCondition ref="C3"/>
  </sortState>
  <mergeCells count="2">
    <mergeCell ref="D1:F1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04FB-7F74-1D46-A943-5A8FDD73A3AD}">
  <dimension ref="A1:J33"/>
  <sheetViews>
    <sheetView workbookViewId="0">
      <selection activeCell="D24" sqref="D24"/>
    </sheetView>
  </sheetViews>
  <sheetFormatPr baseColWidth="10" defaultRowHeight="15" x14ac:dyDescent="0.2"/>
  <cols>
    <col min="2" max="2" width="15.1640625" bestFit="1" customWidth="1"/>
    <col min="4" max="6" width="10.83203125" style="6"/>
    <col min="7" max="7" width="0" style="6" hidden="1" customWidth="1"/>
    <col min="8" max="10" width="10.83203125" style="6" hidden="1" customWidth="1"/>
  </cols>
  <sheetData>
    <row r="1" spans="1:10" x14ac:dyDescent="0.2">
      <c r="D1" s="16" t="s">
        <v>52</v>
      </c>
      <c r="E1" s="16"/>
      <c r="F1" s="16"/>
      <c r="G1"/>
      <c r="H1" s="17" t="s">
        <v>53</v>
      </c>
      <c r="I1" s="17"/>
      <c r="J1" s="17"/>
    </row>
    <row r="2" spans="1:10" x14ac:dyDescent="0.2">
      <c r="A2" s="1" t="s">
        <v>0</v>
      </c>
      <c r="B2" s="1" t="s">
        <v>1</v>
      </c>
      <c r="C2" s="1" t="s">
        <v>2</v>
      </c>
      <c r="D2" s="4" t="s">
        <v>37</v>
      </c>
      <c r="E2" s="4" t="s">
        <v>38</v>
      </c>
      <c r="F2" s="4" t="s">
        <v>39</v>
      </c>
      <c r="G2"/>
      <c r="H2" s="5" t="s">
        <v>37</v>
      </c>
      <c r="I2" s="5" t="s">
        <v>38</v>
      </c>
      <c r="J2" s="5" t="s">
        <v>39</v>
      </c>
    </row>
    <row r="3" spans="1:10" x14ac:dyDescent="0.2">
      <c r="A3" t="s">
        <v>16</v>
      </c>
      <c r="B3" t="s">
        <v>33</v>
      </c>
      <c r="C3">
        <v>2960</v>
      </c>
      <c r="D3" s="2">
        <f>data!D3*1.2</f>
        <v>11.7</v>
      </c>
      <c r="E3" s="2">
        <f>data!E3*1.2</f>
        <v>13.2</v>
      </c>
      <c r="F3" s="2">
        <f>data!F3*1.2</f>
        <v>4.2</v>
      </c>
      <c r="G3"/>
      <c r="H3" s="3">
        <f>D3-data!D3</f>
        <v>1.9499999999999993</v>
      </c>
      <c r="I3" s="3">
        <f>E3-data!E3</f>
        <v>2.1999999999999993</v>
      </c>
      <c r="J3" s="3">
        <f>F3-data!F3</f>
        <v>0.70000000000000018</v>
      </c>
    </row>
    <row r="4" spans="1:10" x14ac:dyDescent="0.2">
      <c r="A4" t="s">
        <v>3</v>
      </c>
      <c r="B4" t="s">
        <v>20</v>
      </c>
      <c r="C4">
        <v>3112</v>
      </c>
      <c r="D4" s="2">
        <f>data!D4*1.2</f>
        <v>10.199999999999999</v>
      </c>
      <c r="E4" s="2">
        <f>data!E4*1.2</f>
        <v>5.3999999999999995</v>
      </c>
      <c r="F4" s="2">
        <f>data!F4*1.2</f>
        <v>3.9</v>
      </c>
      <c r="G4"/>
      <c r="H4" s="3">
        <f>D4-data!D4</f>
        <v>1.6999999999999993</v>
      </c>
      <c r="I4" s="3">
        <f>E4-data!E4</f>
        <v>0.89999999999999947</v>
      </c>
      <c r="J4" s="3">
        <f>F4-data!F4</f>
        <v>0.64999999999999991</v>
      </c>
    </row>
    <row r="5" spans="1:10" x14ac:dyDescent="0.2">
      <c r="A5" t="s">
        <v>4</v>
      </c>
      <c r="B5" t="s">
        <v>21</v>
      </c>
      <c r="C5">
        <v>3162</v>
      </c>
      <c r="D5" s="2">
        <f>data!D5*1.2</f>
        <v>11.7</v>
      </c>
      <c r="E5" s="2">
        <f>data!E5*1.2</f>
        <v>8.1</v>
      </c>
      <c r="F5" s="2">
        <f>data!F5*1.2</f>
        <v>3.5999999999999996</v>
      </c>
      <c r="G5"/>
      <c r="H5" s="3">
        <f>D5-data!D5</f>
        <v>1.9499999999999993</v>
      </c>
      <c r="I5" s="3">
        <f>E5-data!E5</f>
        <v>1.3499999999999996</v>
      </c>
      <c r="J5" s="3">
        <f>F5-data!F5</f>
        <v>0.59999999999999964</v>
      </c>
    </row>
    <row r="6" spans="1:10" x14ac:dyDescent="0.2">
      <c r="A6" t="s">
        <v>17</v>
      </c>
      <c r="B6" t="s">
        <v>34</v>
      </c>
      <c r="C6">
        <v>3253</v>
      </c>
      <c r="D6" s="2">
        <f>data!D6*1.2</f>
        <v>5.3999999999999995</v>
      </c>
      <c r="E6" s="2">
        <f>data!E6*1.2</f>
        <v>3.9</v>
      </c>
      <c r="F6" s="2">
        <f>data!F6*1.2</f>
        <v>1.5</v>
      </c>
      <c r="G6"/>
      <c r="H6" s="3">
        <f>D6-data!D6</f>
        <v>0.89999999999999947</v>
      </c>
      <c r="I6" s="3">
        <f>E6-data!E6</f>
        <v>0.64999999999999991</v>
      </c>
      <c r="J6" s="3">
        <f>F6-data!F6</f>
        <v>0.25</v>
      </c>
    </row>
    <row r="7" spans="1:10" x14ac:dyDescent="0.2">
      <c r="A7" t="s">
        <v>18</v>
      </c>
      <c r="B7" t="s">
        <v>35</v>
      </c>
      <c r="C7">
        <v>9563</v>
      </c>
      <c r="D7" s="2">
        <f>data!D7*1.2</f>
        <v>5.7</v>
      </c>
      <c r="E7" s="2">
        <f>data!E7*1.2</f>
        <v>5.3999999999999995</v>
      </c>
      <c r="F7" s="2">
        <f>data!F7*1.2</f>
        <v>3</v>
      </c>
      <c r="G7"/>
      <c r="H7" s="3">
        <f>D7-data!D7</f>
        <v>0.95000000000000018</v>
      </c>
      <c r="I7" s="3">
        <f>E7-data!E7</f>
        <v>0.89999999999999947</v>
      </c>
      <c r="J7" s="3">
        <f>F7-data!F7</f>
        <v>0.5</v>
      </c>
    </row>
    <row r="8" spans="1:10" x14ac:dyDescent="0.2">
      <c r="A8" t="s">
        <v>15</v>
      </c>
      <c r="B8" t="s">
        <v>32</v>
      </c>
      <c r="C8">
        <v>9564</v>
      </c>
      <c r="D8" s="2">
        <f>data!D8*1.2</f>
        <v>15</v>
      </c>
      <c r="E8" s="2">
        <f>data!E8*1.2</f>
        <v>11.1</v>
      </c>
      <c r="F8" s="2">
        <f>data!F8*1.2</f>
        <v>4.2</v>
      </c>
      <c r="G8"/>
      <c r="H8" s="3">
        <f>D8-data!D8</f>
        <v>2.5</v>
      </c>
      <c r="I8" s="3">
        <f>E8-data!E8</f>
        <v>1.8499999999999996</v>
      </c>
      <c r="J8" s="3">
        <f>F8-data!F8</f>
        <v>0.70000000000000018</v>
      </c>
    </row>
    <row r="9" spans="1:10" x14ac:dyDescent="0.2">
      <c r="A9" t="s">
        <v>14</v>
      </c>
      <c r="B9" t="s">
        <v>31</v>
      </c>
      <c r="C9">
        <v>9565</v>
      </c>
      <c r="D9" s="2">
        <f>data!D9*1.2</f>
        <v>12.6</v>
      </c>
      <c r="E9" s="2">
        <f>data!E9*1.2</f>
        <v>10.199999999999999</v>
      </c>
      <c r="F9" s="2">
        <f>data!F9*1.2</f>
        <v>7.8</v>
      </c>
      <c r="G9"/>
      <c r="H9" s="3">
        <f>D9-data!D9</f>
        <v>2.0999999999999996</v>
      </c>
      <c r="I9" s="3">
        <f>E9-data!E9</f>
        <v>1.6999999999999993</v>
      </c>
      <c r="J9" s="3">
        <f>F9-data!F9</f>
        <v>1.2999999999999998</v>
      </c>
    </row>
    <row r="10" spans="1:10" x14ac:dyDescent="0.2">
      <c r="A10" t="s">
        <v>6</v>
      </c>
      <c r="B10" t="s">
        <v>23</v>
      </c>
      <c r="C10">
        <v>9566</v>
      </c>
      <c r="D10" s="2">
        <f>data!D10*1.2</f>
        <v>19.8</v>
      </c>
      <c r="E10" s="2">
        <f>data!E10*1.2</f>
        <v>10.199999999999999</v>
      </c>
      <c r="F10" s="2">
        <f>data!F10*1.2</f>
        <v>5.3999999999999995</v>
      </c>
      <c r="G10"/>
      <c r="H10" s="3">
        <f>D10-data!D10</f>
        <v>3.3000000000000007</v>
      </c>
      <c r="I10" s="3">
        <f>E10-data!E10</f>
        <v>1.6999999999999993</v>
      </c>
      <c r="J10" s="3">
        <f>F10-data!F10</f>
        <v>0.89999999999999947</v>
      </c>
    </row>
    <row r="11" spans="1:10" x14ac:dyDescent="0.2">
      <c r="A11" t="s">
        <v>5</v>
      </c>
      <c r="B11" t="s">
        <v>22</v>
      </c>
      <c r="C11">
        <v>9567</v>
      </c>
      <c r="D11" s="2">
        <f>data!D11*1.2</f>
        <v>16.2</v>
      </c>
      <c r="E11" s="2">
        <f>data!E11*1.2</f>
        <v>12.6</v>
      </c>
      <c r="F11" s="2">
        <f>data!F11*1.2</f>
        <v>10.199999999999999</v>
      </c>
      <c r="G11"/>
      <c r="H11" s="3">
        <f>D11-data!D11</f>
        <v>2.6999999999999993</v>
      </c>
      <c r="I11" s="3">
        <f>E11-data!E11</f>
        <v>2.0999999999999996</v>
      </c>
      <c r="J11" s="3">
        <f>F11-data!F11</f>
        <v>1.6999999999999993</v>
      </c>
    </row>
    <row r="12" spans="1:10" x14ac:dyDescent="0.2">
      <c r="A12" t="s">
        <v>9</v>
      </c>
      <c r="B12" t="s">
        <v>26</v>
      </c>
      <c r="C12">
        <v>9568</v>
      </c>
      <c r="D12" s="2">
        <f>data!D12*1.2</f>
        <v>24.599999999999998</v>
      </c>
      <c r="E12" s="2">
        <f>data!E12*1.2</f>
        <v>5.3999999999999995</v>
      </c>
      <c r="F12" s="2">
        <f>data!F12*1.2</f>
        <v>20.099999999999998</v>
      </c>
      <c r="G12"/>
      <c r="H12" s="3">
        <f>D12-data!D12</f>
        <v>4.0999999999999979</v>
      </c>
      <c r="I12" s="3">
        <f>E12-data!E12</f>
        <v>0.89999999999999947</v>
      </c>
      <c r="J12" s="3">
        <f>F12-data!F12</f>
        <v>3.3499999999999979</v>
      </c>
    </row>
    <row r="13" spans="1:10" x14ac:dyDescent="0.2">
      <c r="A13" t="s">
        <v>8</v>
      </c>
      <c r="B13" t="s">
        <v>25</v>
      </c>
      <c r="C13">
        <v>9569</v>
      </c>
      <c r="D13" s="2">
        <f>data!D13*1.2</f>
        <v>24.599999999999998</v>
      </c>
      <c r="E13" s="2">
        <f>data!E13*1.2</f>
        <v>24.599999999999998</v>
      </c>
      <c r="F13" s="2">
        <f>data!F13*1.2</f>
        <v>24.599999999999998</v>
      </c>
      <c r="G13"/>
      <c r="H13" s="3">
        <f>D13-data!D13</f>
        <v>4.0999999999999979</v>
      </c>
      <c r="I13" s="3">
        <f>E13-data!E13</f>
        <v>4.0999999999999979</v>
      </c>
      <c r="J13" s="3">
        <f>F13-data!F13</f>
        <v>4.0999999999999979</v>
      </c>
    </row>
    <row r="14" spans="1:10" x14ac:dyDescent="0.2">
      <c r="A14" t="s">
        <v>13</v>
      </c>
      <c r="B14" t="s">
        <v>30</v>
      </c>
      <c r="C14">
        <v>9570</v>
      </c>
      <c r="D14" s="2">
        <f>data!D14*1.2</f>
        <v>21</v>
      </c>
      <c r="E14" s="2">
        <f>data!E14*1.2</f>
        <v>15</v>
      </c>
      <c r="F14" s="2">
        <f>data!F14*1.2</f>
        <v>12.6</v>
      </c>
      <c r="G14"/>
      <c r="H14" s="3">
        <f>D14-data!D14</f>
        <v>3.5</v>
      </c>
      <c r="I14" s="3">
        <f>E14-data!E14</f>
        <v>2.5</v>
      </c>
      <c r="J14" s="3">
        <f>F14-data!F14</f>
        <v>2.0999999999999996</v>
      </c>
    </row>
    <row r="15" spans="1:10" x14ac:dyDescent="0.2">
      <c r="A15" t="s">
        <v>10</v>
      </c>
      <c r="B15" t="s">
        <v>27</v>
      </c>
      <c r="C15">
        <v>9571</v>
      </c>
      <c r="D15" s="2">
        <f>data!D15*1.2</f>
        <v>29.4</v>
      </c>
      <c r="E15" s="2">
        <f>data!E15*1.2</f>
        <v>29.4</v>
      </c>
      <c r="F15" s="2">
        <f>data!F15*1.2</f>
        <v>24.599999999999998</v>
      </c>
      <c r="G15"/>
      <c r="H15" s="3">
        <f>D15-data!D15</f>
        <v>4.8999999999999986</v>
      </c>
      <c r="I15" s="3">
        <f>E15-data!E15</f>
        <v>4.8999999999999986</v>
      </c>
      <c r="J15" s="3">
        <f>F15-data!F15</f>
        <v>4.0999999999999979</v>
      </c>
    </row>
    <row r="16" spans="1:10" x14ac:dyDescent="0.2">
      <c r="A16" t="s">
        <v>7</v>
      </c>
      <c r="B16" t="s">
        <v>24</v>
      </c>
      <c r="C16">
        <v>9572</v>
      </c>
      <c r="D16" s="2">
        <f>data!D16*1.2</f>
        <v>19.5</v>
      </c>
      <c r="E16" s="2">
        <f>data!E16*1.2</f>
        <v>19.5</v>
      </c>
      <c r="F16" s="2">
        <f>data!F16*1.2</f>
        <v>19.8</v>
      </c>
      <c r="G16"/>
      <c r="H16" s="3">
        <f>D16-data!D16</f>
        <v>3.25</v>
      </c>
      <c r="I16" s="3">
        <f>E16-data!E16</f>
        <v>3.25</v>
      </c>
      <c r="J16" s="3">
        <f>F16-data!F16</f>
        <v>3.3000000000000007</v>
      </c>
    </row>
    <row r="17" spans="1:10" x14ac:dyDescent="0.2">
      <c r="A17" t="s">
        <v>11</v>
      </c>
      <c r="B17" t="s">
        <v>28</v>
      </c>
      <c r="C17">
        <v>9573</v>
      </c>
      <c r="D17" s="2">
        <f>data!D17*1.2</f>
        <v>19.2</v>
      </c>
      <c r="E17" s="2">
        <f>data!E17*1.2</f>
        <v>4.8</v>
      </c>
      <c r="F17" s="2">
        <f>data!F17*1.2</f>
        <v>4.8</v>
      </c>
      <c r="G17"/>
      <c r="H17" s="3">
        <f>D17-data!D17</f>
        <v>3.1999999999999993</v>
      </c>
      <c r="I17" s="3">
        <f>E17-data!E17</f>
        <v>0.79999999999999982</v>
      </c>
      <c r="J17" s="3">
        <f>F17-data!F17</f>
        <v>0.79999999999999982</v>
      </c>
    </row>
    <row r="18" spans="1:10" x14ac:dyDescent="0.2">
      <c r="A18" t="s">
        <v>12</v>
      </c>
      <c r="B18" t="s">
        <v>29</v>
      </c>
      <c r="C18">
        <v>9574</v>
      </c>
      <c r="D18" s="2">
        <f>data!D18*1.2</f>
        <v>30</v>
      </c>
      <c r="E18" s="2">
        <f>data!E18*1.2</f>
        <v>5.3999999999999995</v>
      </c>
      <c r="F18" s="2">
        <f>data!F18*1.2</f>
        <v>5.3999999999999995</v>
      </c>
      <c r="G18"/>
      <c r="H18" s="3">
        <f>D18-data!D18</f>
        <v>5</v>
      </c>
      <c r="I18" s="3">
        <f>E18-data!E18</f>
        <v>0.89999999999999947</v>
      </c>
      <c r="J18" s="3">
        <f>F18-data!F18</f>
        <v>0.89999999999999947</v>
      </c>
    </row>
    <row r="19" spans="1:10" x14ac:dyDescent="0.2">
      <c r="A19" t="s">
        <v>19</v>
      </c>
      <c r="B19" t="s">
        <v>36</v>
      </c>
      <c r="C19">
        <v>12132</v>
      </c>
      <c r="D19" s="2">
        <f>data!D19*1.2</f>
        <v>33</v>
      </c>
      <c r="E19" s="2">
        <f>data!E19*1.2</f>
        <v>18</v>
      </c>
      <c r="F19" s="2">
        <f>data!F19*1.2</f>
        <v>5.3999999999999995</v>
      </c>
      <c r="G19"/>
      <c r="H19" s="3">
        <f>D19-data!D19</f>
        <v>5.5</v>
      </c>
      <c r="I19" s="3">
        <f>E19-data!E19</f>
        <v>3</v>
      </c>
      <c r="J19" s="3">
        <f>F19-data!F19</f>
        <v>0.89999999999999947</v>
      </c>
    </row>
    <row r="20" spans="1:10" x14ac:dyDescent="0.2">
      <c r="A20" t="s">
        <v>43</v>
      </c>
      <c r="B20" t="s">
        <v>45</v>
      </c>
      <c r="D20" s="2">
        <f>data!D20*1.2</f>
        <v>22.2</v>
      </c>
      <c r="E20" s="2">
        <f>data!E20*1.2</f>
        <v>13.799999999999999</v>
      </c>
      <c r="F20" s="2">
        <f>data!F20*1.2</f>
        <v>21.3</v>
      </c>
      <c r="G20"/>
      <c r="H20" s="3">
        <f>D20-data!D20</f>
        <v>3.6999999999999993</v>
      </c>
      <c r="I20" s="3">
        <f>E20-data!E20</f>
        <v>2.2999999999999989</v>
      </c>
      <c r="J20" s="3">
        <f>F20-data!F20</f>
        <v>3.5500000000000007</v>
      </c>
    </row>
    <row r="21" spans="1:10" x14ac:dyDescent="0.2">
      <c r="A21" t="s">
        <v>44</v>
      </c>
      <c r="B21" t="s">
        <v>45</v>
      </c>
      <c r="D21" s="2">
        <f>data!D21*1.2</f>
        <v>24.3</v>
      </c>
      <c r="E21" s="2">
        <f>data!E21*1.2</f>
        <v>24.3</v>
      </c>
      <c r="F21" s="2">
        <f>data!F21*1.2</f>
        <v>17.399999999999999</v>
      </c>
      <c r="G21"/>
      <c r="H21" s="3">
        <f>D21-data!D21</f>
        <v>4.0500000000000007</v>
      </c>
      <c r="I21" s="3">
        <f>E21-data!E21</f>
        <v>4.0500000000000007</v>
      </c>
      <c r="J21" s="3">
        <f>F21-data!F21</f>
        <v>2.8999999999999986</v>
      </c>
    </row>
    <row r="22" spans="1:10" x14ac:dyDescent="0.2">
      <c r="D22" s="2"/>
      <c r="E22" s="2"/>
      <c r="F22" s="2"/>
      <c r="G22"/>
      <c r="H22" s="3"/>
      <c r="I22" s="3"/>
      <c r="J22" s="3"/>
    </row>
    <row r="23" spans="1:10" x14ac:dyDescent="0.2">
      <c r="C23" t="s">
        <v>46</v>
      </c>
      <c r="D23" s="7">
        <f>AVERAGE(D3:D21)</f>
        <v>18.742105263157896</v>
      </c>
      <c r="E23" s="7">
        <f t="shared" ref="E23:F23" si="0">AVERAGE(E3:E21)</f>
        <v>12.647368421052633</v>
      </c>
      <c r="F23" s="7">
        <f t="shared" si="0"/>
        <v>10.515789473684212</v>
      </c>
      <c r="G23" t="s">
        <v>46</v>
      </c>
      <c r="H23" s="13">
        <f>AVERAGE(H3:H21)</f>
        <v>3.1236842105263154</v>
      </c>
      <c r="I23" s="13">
        <f t="shared" ref="I23:J23" si="1">AVERAGE(I3:I21)</f>
        <v>2.1078947368421042</v>
      </c>
      <c r="J23" s="13">
        <f t="shared" si="1"/>
        <v>1.7526315789473679</v>
      </c>
    </row>
    <row r="24" spans="1:10" x14ac:dyDescent="0.2">
      <c r="C24" t="s">
        <v>47</v>
      </c>
      <c r="D24" s="7">
        <f>PRODUCT(D23:F23)</f>
        <v>2492.6449677795604</v>
      </c>
      <c r="E24" s="7"/>
      <c r="F24" s="7"/>
      <c r="G24" t="s">
        <v>47</v>
      </c>
      <c r="H24" s="13">
        <f>PRODUCT(H23:J23)</f>
        <v>11.540022998979431</v>
      </c>
      <c r="I24" s="3"/>
      <c r="J24" s="3"/>
    </row>
    <row r="25" spans="1:10" x14ac:dyDescent="0.2">
      <c r="C25" t="s">
        <v>48</v>
      </c>
      <c r="D25" s="7">
        <f>D24^(1/3)</f>
        <v>13.558765256424435</v>
      </c>
      <c r="E25" s="2"/>
      <c r="F25" s="2"/>
      <c r="G25" t="s">
        <v>48</v>
      </c>
      <c r="H25" s="13">
        <f>H24^(1/3)</f>
        <v>2.2597942094040717</v>
      </c>
      <c r="I25" s="3"/>
      <c r="J25" s="3"/>
    </row>
    <row r="26" spans="1:10" x14ac:dyDescent="0.2">
      <c r="C26" t="s">
        <v>49</v>
      </c>
      <c r="D26" s="9">
        <f>D24/139</f>
        <v>17.932697609924894</v>
      </c>
      <c r="E26" s="2"/>
      <c r="F26" s="2"/>
      <c r="G26" t="s">
        <v>49</v>
      </c>
      <c r="H26" s="14">
        <f>H24/139</f>
        <v>8.3021748194096634E-2</v>
      </c>
      <c r="I26" s="3"/>
      <c r="J26" s="3"/>
    </row>
    <row r="30" spans="1:10" x14ac:dyDescent="0.2">
      <c r="D30" s="15"/>
      <c r="E30" s="15"/>
      <c r="F30" s="15"/>
    </row>
    <row r="32" spans="1:10" x14ac:dyDescent="0.2">
      <c r="D32" s="15"/>
    </row>
    <row r="33" spans="7:7" x14ac:dyDescent="0.2">
      <c r="G33" s="15"/>
    </row>
  </sheetData>
  <mergeCells count="2">
    <mergeCell ref="D1:F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times 1.2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2018-08-30T15:09:26Z</dcterms:created>
  <dcterms:modified xsi:type="dcterms:W3CDTF">2018-09-03T12:57:01Z</dcterms:modified>
</cp:coreProperties>
</file>