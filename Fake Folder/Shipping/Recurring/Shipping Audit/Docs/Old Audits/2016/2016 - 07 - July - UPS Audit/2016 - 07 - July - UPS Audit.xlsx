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ervices" sheetId="2" r:id="rId2"/>
    <sheet name="Charges" sheetId="3" r:id="rId3"/>
    <sheet name="Free_Shipping" sheetId="4" r:id="rId4"/>
  </sheets>
  <calcPr calcId="124519" fullCalcOnLoad="1"/>
</workbook>
</file>

<file path=xl/sharedStrings.xml><?xml version="1.0" encoding="utf-8"?>
<sst xmlns="http://schemas.openxmlformats.org/spreadsheetml/2006/main" count="408" uniqueCount="71">
  <si>
    <t>Adafruit Charge</t>
  </si>
  <si>
    <t>UPS Charge</t>
  </si>
  <si>
    <t>Shipping Profit</t>
  </si>
  <si>
    <t>Profit Margin</t>
  </si>
  <si>
    <t>Year</t>
  </si>
  <si>
    <t>Month</t>
  </si>
  <si>
    <t>OID Count</t>
  </si>
  <si>
    <t>% Change</t>
  </si>
  <si>
    <t>Year over Year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</si>
  <si>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</si>
  <si>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</si>
  <si>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</si>
  <si>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</si>
  <si>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</si>
  <si>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</si>
  <si>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</si>
  <si>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</si>
  <si>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</si>
  <si>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</si>
  <si>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</si>
  <si>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</si>
  <si>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Shipping Revenue</t>
  </si>
  <si>
    <t>Avg Ship Rev per Package</t>
  </si>
  <si>
    <t>Service</t>
  </si>
  <si>
    <t>Count</t>
  </si>
  <si>
    <t>Transportation Charges</t>
  </si>
  <si>
    <t>UPS Worldwide Expedited</t>
  </si>
  <si>
    <t>UPS Worldwide Saver</t>
  </si>
  <si>
    <t>UPS Worldwide Express</t>
  </si>
  <si>
    <t>UPS Next Day Air</t>
  </si>
  <si>
    <t>UPS Ground</t>
  </si>
  <si>
    <t>UPS Next Day Air Early</t>
  </si>
  <si>
    <t>UPS 2nd Day Air</t>
  </si>
  <si>
    <t>UPS 3 Day Select</t>
  </si>
  <si>
    <t>Total</t>
  </si>
  <si>
    <t>Ship Revenue</t>
  </si>
  <si>
    <t>Avg Ship Revenue</t>
  </si>
  <si>
    <t>Count of Charges</t>
  </si>
  <si>
    <t>Incentive Amount</t>
  </si>
  <si>
    <t>Net Amount</t>
  </si>
  <si>
    <t>Non Reseller</t>
  </si>
  <si>
    <t>Non Reseller % of Ground</t>
  </si>
  <si>
    <t>Reseller</t>
  </si>
  <si>
    <t>Reseller % of Ground</t>
  </si>
  <si>
    <t>Non Reseller Profit</t>
  </si>
  <si>
    <t>Non Reseller Profit Margin</t>
  </si>
  <si>
    <t>Reseller Profit</t>
  </si>
  <si>
    <t>Reseller Profit Margin</t>
  </si>
  <si>
    <t>Overview</t>
  </si>
  <si>
    <t>Overall Stats</t>
  </si>
  <si>
    <t>Overall</t>
  </si>
  <si>
    <t>Outgoing Late Shipments</t>
  </si>
  <si>
    <t>Avg. Shipping Revenue</t>
  </si>
  <si>
    <t>Services</t>
  </si>
  <si>
    <t>Ground</t>
  </si>
  <si>
    <t>Next Day Air</t>
  </si>
  <si>
    <t>2nd Day Air</t>
  </si>
  <si>
    <t>3 Day Select</t>
  </si>
  <si>
    <t>Express Saver</t>
  </si>
  <si>
    <t>Worldwide Express</t>
  </si>
  <si>
    <t>Charges</t>
  </si>
  <si>
    <t>Shipping Charge Corrections</t>
  </si>
  <si>
    <t>Address Correction</t>
  </si>
  <si>
    <t>Delivery/Extended/Remote</t>
  </si>
  <si>
    <t>Fuel Surcharge</t>
  </si>
  <si>
    <t>UPS Returned Packages</t>
  </si>
  <si>
    <t>Residential Charges</t>
  </si>
  <si>
    <t>Misc. Charges</t>
  </si>
  <si>
    <t>Free Shipping within the Ground Service</t>
  </si>
  <si>
    <t>Count of Free Shipping</t>
  </si>
  <si>
    <t>Shipping Profit Despite Free Shipping</t>
  </si>
</sst>
</file>

<file path=xl/styles.xml><?xml version="1.0" encoding="utf-8"?>
<styleSheet xmlns="http://schemas.openxmlformats.org/spreadsheetml/2006/main">
  <numFmts count="3">
    <numFmt numFmtId="164" formatCode="&quot;$&quot;#,###,##0.00"/>
    <numFmt numFmtId="165" formatCode="##,##0"/>
    <numFmt numFmtId="166" formatCode="0.00&quot;%&quot;"/>
  </numFmts>
  <fonts count="4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OID Count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Overview!$I$9:$I$21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Overview!$J$9:$J$21</c:f>
              <c:numCache>
                <c:formatCode>General</c:formatCode>
                <c:ptCount val="13"/>
                <c:pt idx="0">
                  <c:v>17238</c:v>
                </c:pt>
                <c:pt idx="1">
                  <c:v>17190</c:v>
                </c:pt>
                <c:pt idx="2">
                  <c:v>18193</c:v>
                </c:pt>
                <c:pt idx="3">
                  <c:v>21755</c:v>
                </c:pt>
                <c:pt idx="4">
                  <c:v>27481</c:v>
                </c:pt>
                <c:pt idx="5">
                  <c:v>25318</c:v>
                </c:pt>
                <c:pt idx="6">
                  <c:v>23517</c:v>
                </c:pt>
                <c:pt idx="7">
                  <c:v>24001</c:v>
                </c:pt>
                <c:pt idx="8">
                  <c:v>27620</c:v>
                </c:pt>
                <c:pt idx="9">
                  <c:v>24029</c:v>
                </c:pt>
                <c:pt idx="10">
                  <c:v>21460</c:v>
                </c:pt>
                <c:pt idx="11">
                  <c:v>21378</c:v>
                </c:pt>
                <c:pt idx="12">
                  <c:v>22389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30000"/>
          <c:min val="15000"/>
        </c:scaling>
        <c:axPos val="l"/>
        <c:majorGridlines/>
        <c:numFmt formatCode="#,##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Shipping Revenue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Overview!$P$9:$P$21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Overview!$Q$9:$Q$21</c:f>
              <c:numCache>
                <c:formatCode>General</c:formatCode>
                <c:ptCount val="13"/>
                <c:pt idx="0">
                  <c:v>237805.33</c:v>
                </c:pt>
                <c:pt idx="1">
                  <c:v>240208.33</c:v>
                </c:pt>
                <c:pt idx="2">
                  <c:v>251494.95</c:v>
                </c:pt>
                <c:pt idx="3">
                  <c:v>298215.08</c:v>
                </c:pt>
                <c:pt idx="4">
                  <c:v>374419.71</c:v>
                </c:pt>
                <c:pt idx="5">
                  <c:v>350681.37</c:v>
                </c:pt>
                <c:pt idx="6">
                  <c:v>335669.12</c:v>
                </c:pt>
                <c:pt idx="7">
                  <c:v>333590.03</c:v>
                </c:pt>
                <c:pt idx="8">
                  <c:v>369436.94</c:v>
                </c:pt>
                <c:pt idx="9">
                  <c:v>331873.61</c:v>
                </c:pt>
                <c:pt idx="10">
                  <c:v>305472.95</c:v>
                </c:pt>
                <c:pt idx="11">
                  <c:v>295806.56</c:v>
                </c:pt>
                <c:pt idx="12">
                  <c:v>284931.42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400000"/>
          <c:min val="200000"/>
        </c:scaling>
        <c:axPos val="l"/>
        <c:majorGridlines/>
        <c:numFmt formatCode="&quot;$&quot;#,###,##0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Avg Shipping Revenue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Overview!$W$9:$W$21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Overview!$X$9:$X$21</c:f>
              <c:numCache>
                <c:formatCode>General</c:formatCode>
                <c:ptCount val="13"/>
                <c:pt idx="0">
                  <c:v>13.79541304</c:v>
                </c:pt>
                <c:pt idx="1">
                  <c:v>13.97453779</c:v>
                </c:pt>
                <c:pt idx="2">
                  <c:v>13.82372066</c:v>
                </c:pt>
                <c:pt idx="3">
                  <c:v>13.70788692</c:v>
                </c:pt>
                <c:pt idx="4">
                  <c:v>13.62417983</c:v>
                </c:pt>
                <c:pt idx="5">
                  <c:v>13.8510692</c:v>
                </c:pt>
                <c:pt idx="6">
                  <c:v>14.27346685</c:v>
                </c:pt>
                <c:pt idx="7">
                  <c:v>13.89958458</c:v>
                </c:pt>
                <c:pt idx="8">
                  <c:v>13.37570384</c:v>
                </c:pt>
                <c:pt idx="9">
                  <c:v>13.81137833</c:v>
                </c:pt>
                <c:pt idx="10">
                  <c:v>14.23452703</c:v>
                </c:pt>
                <c:pt idx="11">
                  <c:v>13.83760864</c:v>
                </c:pt>
                <c:pt idx="12">
                  <c:v>12.7269707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5"/>
          <c:min val="10"/>
        </c:scaling>
        <c:axPos val="l"/>
        <c:majorGridlines/>
        <c:numFmt formatCode="&quot;$&quot;#,###,##0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Shipping Profit ($$)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Overview!$AD$9:$AD$21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Overview!$AE$9:$AE$21</c:f>
              <c:numCache>
                <c:formatCode>General</c:formatCode>
                <c:ptCount val="13"/>
                <c:pt idx="0">
                  <c:v>59657.739957867</c:v>
                </c:pt>
                <c:pt idx="1">
                  <c:v>33341.4101386498</c:v>
                </c:pt>
                <c:pt idx="2">
                  <c:v>29006.5601070185</c:v>
                </c:pt>
                <c:pt idx="3">
                  <c:v>27581.2698541728</c:v>
                </c:pt>
                <c:pt idx="4">
                  <c:v>38255.0095733181</c:v>
                </c:pt>
                <c:pt idx="5">
                  <c:v>38891.6000103243</c:v>
                </c:pt>
                <c:pt idx="6">
                  <c:v>39238.6602692003</c:v>
                </c:pt>
                <c:pt idx="7">
                  <c:v>35374.4702805498</c:v>
                </c:pt>
                <c:pt idx="8">
                  <c:v>45433.6902574908</c:v>
                </c:pt>
                <c:pt idx="9">
                  <c:v>36480.5603837206</c:v>
                </c:pt>
                <c:pt idx="10">
                  <c:v>33229.6802667262</c:v>
                </c:pt>
                <c:pt idx="11">
                  <c:v>36484.7399869721</c:v>
                </c:pt>
                <c:pt idx="12">
                  <c:v>35174.7883374869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65000"/>
          <c:min val="25000"/>
        </c:scaling>
        <c:axPos val="l"/>
        <c:majorGridlines/>
        <c:numFmt formatCode="&quot;$&quot;#,###,##0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Shipping Profit Margin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Overview!$AD$9:$AD$21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Overview!$AF$9:$AF$21</c:f>
              <c:numCache>
                <c:formatCode>General</c:formatCode>
                <c:ptCount val="13"/>
                <c:pt idx="0">
                  <c:v>21.4914507753884</c:v>
                </c:pt>
                <c:pt idx="1">
                  <c:v>11.9727018640535</c:v>
                </c:pt>
                <c:pt idx="2">
                  <c:v>10.2029768251059</c:v>
                </c:pt>
                <c:pt idx="3">
                  <c:v>8.41276282852881</c:v>
                </c:pt>
                <c:pt idx="4">
                  <c:v>9.21616096564193</c:v>
                </c:pt>
                <c:pt idx="5">
                  <c:v>10.0518661702516</c:v>
                </c:pt>
                <c:pt idx="6">
                  <c:v>10.5119187956017</c:v>
                </c:pt>
                <c:pt idx="7">
                  <c:v>9.63015729679842</c:v>
                </c:pt>
                <c:pt idx="8">
                  <c:v>10.9417611214981</c:v>
                </c:pt>
                <c:pt idx="9">
                  <c:v>9.93967878811689</c:v>
                </c:pt>
                <c:pt idx="10">
                  <c:v>9.74318678948563</c:v>
                </c:pt>
                <c:pt idx="11">
                  <c:v>11.0058259308977</c:v>
                </c:pt>
                <c:pt idx="12">
                  <c:v>10.8669265509938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25"/>
          <c:min val="5"/>
        </c:scaling>
        <c:axPos val="l"/>
        <c:majorGridlines/>
        <c:numFmt formatCode="0&quot;%&quot;" sourceLinked="0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Ground Revenue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Services!$C$9:$C$21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Services!$D$9:$D$21</c:f>
              <c:numCache>
                <c:formatCode>General</c:formatCode>
                <c:ptCount val="13"/>
                <c:pt idx="0">
                  <c:v>66032.34</c:v>
                </c:pt>
                <c:pt idx="1">
                  <c:v>65978.98</c:v>
                </c:pt>
                <c:pt idx="2">
                  <c:v>72379.18</c:v>
                </c:pt>
                <c:pt idx="3">
                  <c:v>88605.65</c:v>
                </c:pt>
                <c:pt idx="4">
                  <c:v>126581.21</c:v>
                </c:pt>
                <c:pt idx="5">
                  <c:v>115542.14</c:v>
                </c:pt>
                <c:pt idx="6">
                  <c:v>123941.47</c:v>
                </c:pt>
                <c:pt idx="7">
                  <c:v>121788.94</c:v>
                </c:pt>
                <c:pt idx="8">
                  <c:v>146213.43</c:v>
                </c:pt>
                <c:pt idx="9">
                  <c:v>118048.45</c:v>
                </c:pt>
                <c:pt idx="10">
                  <c:v>107791.11</c:v>
                </c:pt>
                <c:pt idx="11">
                  <c:v>109673.44</c:v>
                </c:pt>
                <c:pt idx="12">
                  <c:v>117079.41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150000"/>
          <c:min val="60000"/>
        </c:scaling>
        <c:axPos val="l"/>
        <c:majorGridlines/>
        <c:numFmt formatCode="&quot;$&quot;#,###,##0" sourceLinked="0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Ground OID Count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Services!$C$9:$C$21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Services!$E$9:$E$21</c:f>
              <c:numCache>
                <c:formatCode>General</c:formatCode>
                <c:ptCount val="13"/>
                <c:pt idx="0">
                  <c:v>8619</c:v>
                </c:pt>
                <c:pt idx="1">
                  <c:v>8623</c:v>
                </c:pt>
                <c:pt idx="2">
                  <c:v>9292</c:v>
                </c:pt>
                <c:pt idx="3">
                  <c:v>11258</c:v>
                </c:pt>
                <c:pt idx="4">
                  <c:v>15621</c:v>
                </c:pt>
                <c:pt idx="5">
                  <c:v>13816</c:v>
                </c:pt>
                <c:pt idx="6">
                  <c:v>14393</c:v>
                </c:pt>
                <c:pt idx="7">
                  <c:v>14517</c:v>
                </c:pt>
                <c:pt idx="8">
                  <c:v>17205</c:v>
                </c:pt>
                <c:pt idx="9">
                  <c:v>14185</c:v>
                </c:pt>
                <c:pt idx="10">
                  <c:v>12914</c:v>
                </c:pt>
                <c:pt idx="11">
                  <c:v>13482</c:v>
                </c:pt>
                <c:pt idx="12">
                  <c:v>15007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20000"/>
          <c:min val="8000"/>
        </c:scaling>
        <c:axPos val="l"/>
        <c:majorGridlines/>
        <c:numFmt formatCode="#,###,##0" sourceLinked="0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Ground Avg Shipping Revenue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Services!$C$9:$C$21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Services!$F$9:$F$21</c:f>
              <c:numCache>
                <c:formatCode>General</c:formatCode>
                <c:ptCount val="13"/>
                <c:pt idx="0">
                  <c:v>7.66125305</c:v>
                </c:pt>
                <c:pt idx="1">
                  <c:v>7.65151108</c:v>
                </c:pt>
                <c:pt idx="2">
                  <c:v>7.78940809</c:v>
                </c:pt>
                <c:pt idx="3">
                  <c:v>7.87046101</c:v>
                </c:pt>
                <c:pt idx="4">
                  <c:v>8.10327188</c:v>
                </c:pt>
                <c:pt idx="5">
                  <c:v>8.3629227</c:v>
                </c:pt>
                <c:pt idx="6">
                  <c:v>8.61123254</c:v>
                </c:pt>
                <c:pt idx="7">
                  <c:v>8.38940139</c:v>
                </c:pt>
                <c:pt idx="8">
                  <c:v>8.49831037</c:v>
                </c:pt>
                <c:pt idx="9">
                  <c:v>8.32206204</c:v>
                </c:pt>
                <c:pt idx="10">
                  <c:v>8.34684141</c:v>
                </c:pt>
                <c:pt idx="11">
                  <c:v>8.13480493</c:v>
                </c:pt>
                <c:pt idx="12">
                  <c:v>7.80165323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10"/>
          <c:min val="6"/>
        </c:scaling>
        <c:axPos val="l"/>
        <c:majorGridlines/>
        <c:numFmt formatCode="&quot;$&quot;#,###,##0" sourceLinked="0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Next Day Air Revenue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Services!$C$9:$C$21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Services!$K$9:$K$21</c:f>
              <c:numCache>
                <c:formatCode>General</c:formatCode>
                <c:ptCount val="13"/>
                <c:pt idx="0">
                  <c:v>28050.45</c:v>
                </c:pt>
                <c:pt idx="1">
                  <c:v>28803.42</c:v>
                </c:pt>
                <c:pt idx="2">
                  <c:v>29076.34</c:v>
                </c:pt>
                <c:pt idx="3">
                  <c:v>32108.57</c:v>
                </c:pt>
                <c:pt idx="4">
                  <c:v>35882.74</c:v>
                </c:pt>
                <c:pt idx="5">
                  <c:v>33749.65</c:v>
                </c:pt>
                <c:pt idx="6">
                  <c:v>27737.84</c:v>
                </c:pt>
                <c:pt idx="7">
                  <c:v>31829.27</c:v>
                </c:pt>
                <c:pt idx="8">
                  <c:v>33934.13</c:v>
                </c:pt>
                <c:pt idx="9">
                  <c:v>37381.78</c:v>
                </c:pt>
                <c:pt idx="10">
                  <c:v>30689.94</c:v>
                </c:pt>
                <c:pt idx="11">
                  <c:v>30937.4</c:v>
                </c:pt>
                <c:pt idx="12">
                  <c:v>25583.9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40000"/>
          <c:min val="20000"/>
        </c:scaling>
        <c:axPos val="l"/>
        <c:majorGridlines/>
        <c:numFmt formatCode="&quot;$&quot;#,###,##0" sourceLinked="0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Next Day Air OID Count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Services!$C$9:$C$21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Services!$L$9:$L$21</c:f>
              <c:numCache>
                <c:formatCode>General</c:formatCode>
                <c:ptCount val="13"/>
                <c:pt idx="0">
                  <c:v>1538</c:v>
                </c:pt>
                <c:pt idx="1">
                  <c:v>1523</c:v>
                </c:pt>
                <c:pt idx="2">
                  <c:v>1614</c:v>
                </c:pt>
                <c:pt idx="3">
                  <c:v>1830</c:v>
                </c:pt>
                <c:pt idx="4">
                  <c:v>1981</c:v>
                </c:pt>
                <c:pt idx="5">
                  <c:v>1848</c:v>
                </c:pt>
                <c:pt idx="6">
                  <c:v>1431</c:v>
                </c:pt>
                <c:pt idx="7">
                  <c:v>1649</c:v>
                </c:pt>
                <c:pt idx="8">
                  <c:v>1796</c:v>
                </c:pt>
                <c:pt idx="9">
                  <c:v>1940</c:v>
                </c:pt>
                <c:pt idx="10">
                  <c:v>1607</c:v>
                </c:pt>
                <c:pt idx="11">
                  <c:v>1407</c:v>
                </c:pt>
                <c:pt idx="12">
                  <c:v>1278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2000"/>
          <c:min val="1000"/>
        </c:scaling>
        <c:axPos val="l"/>
        <c:majorGridlines/>
        <c:numFmt formatCode="#,###,##0" sourceLinked="0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Next Day Air Avg Shipping Revenue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Services!$C$9:$C$21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Services!$M$9:$M$21</c:f>
              <c:numCache>
                <c:formatCode>General</c:formatCode>
                <c:ptCount val="13"/>
                <c:pt idx="0">
                  <c:v>18.23826398</c:v>
                </c:pt>
                <c:pt idx="1">
                  <c:v>18.91229153</c:v>
                </c:pt>
                <c:pt idx="2">
                  <c:v>18.01508055</c:v>
                </c:pt>
                <c:pt idx="3">
                  <c:v>17.54566667</c:v>
                </c:pt>
                <c:pt idx="4">
                  <c:v>18.11344775</c:v>
                </c:pt>
                <c:pt idx="5">
                  <c:v>18.26279762</c:v>
                </c:pt>
                <c:pt idx="6">
                  <c:v>19.38353599</c:v>
                </c:pt>
                <c:pt idx="7">
                  <c:v>19.30216495</c:v>
                </c:pt>
                <c:pt idx="8">
                  <c:v>18.89428174</c:v>
                </c:pt>
                <c:pt idx="9">
                  <c:v>19.26895876</c:v>
                </c:pt>
                <c:pt idx="10">
                  <c:v>19.09766024</c:v>
                </c:pt>
                <c:pt idx="11">
                  <c:v>21.98820185</c:v>
                </c:pt>
                <c:pt idx="12">
                  <c:v>20.0187011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22"/>
          <c:min val="16"/>
        </c:scaling>
        <c:axPos val="l"/>
        <c:majorGridlines/>
        <c:numFmt formatCode="&quot;$&quot;#,###,##0" sourceLinked="0"/>
        <c:tickLblPos val="nextTo"/>
        <c:crossAx val="501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2nd Day Air Revenue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Services!$C$9:$C$21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Services!$R$9:$R$21</c:f>
              <c:numCache>
                <c:formatCode>General</c:formatCode>
                <c:ptCount val="13"/>
                <c:pt idx="0">
                  <c:v>39563.04</c:v>
                </c:pt>
                <c:pt idx="1">
                  <c:v>40640.22</c:v>
                </c:pt>
                <c:pt idx="2">
                  <c:v>39045.24</c:v>
                </c:pt>
                <c:pt idx="3">
                  <c:v>46787.66</c:v>
                </c:pt>
                <c:pt idx="4">
                  <c:v>48808.96</c:v>
                </c:pt>
                <c:pt idx="5">
                  <c:v>50736.17</c:v>
                </c:pt>
                <c:pt idx="6">
                  <c:v>40916.35</c:v>
                </c:pt>
                <c:pt idx="7">
                  <c:v>44781.29</c:v>
                </c:pt>
                <c:pt idx="8">
                  <c:v>49603.65</c:v>
                </c:pt>
                <c:pt idx="9">
                  <c:v>45130.33</c:v>
                </c:pt>
                <c:pt idx="10">
                  <c:v>38921.41</c:v>
                </c:pt>
                <c:pt idx="11">
                  <c:v>36055.36</c:v>
                </c:pt>
                <c:pt idx="12">
                  <c:v>33754.88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55000"/>
          <c:min val="30000"/>
        </c:scaling>
        <c:axPos val="l"/>
        <c:majorGridlines/>
        <c:numFmt formatCode="&quot;$&quot;#,###,##0" sourceLinked="0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2nd Day Air OID Count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Services!$C$9:$C$21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Services!$S$9:$S$21</c:f>
              <c:numCache>
                <c:formatCode>General</c:formatCode>
                <c:ptCount val="13"/>
                <c:pt idx="0">
                  <c:v>3193</c:v>
                </c:pt>
                <c:pt idx="1">
                  <c:v>3259</c:v>
                </c:pt>
                <c:pt idx="2">
                  <c:v>3184</c:v>
                </c:pt>
                <c:pt idx="3">
                  <c:v>3881</c:v>
                </c:pt>
                <c:pt idx="4">
                  <c:v>3971</c:v>
                </c:pt>
                <c:pt idx="5">
                  <c:v>3956</c:v>
                </c:pt>
                <c:pt idx="6">
                  <c:v>3050</c:v>
                </c:pt>
                <c:pt idx="7">
                  <c:v>3377</c:v>
                </c:pt>
                <c:pt idx="8">
                  <c:v>3783</c:v>
                </c:pt>
                <c:pt idx="9">
                  <c:v>3386</c:v>
                </c:pt>
                <c:pt idx="10">
                  <c:v>2864</c:v>
                </c:pt>
                <c:pt idx="11">
                  <c:v>2676</c:v>
                </c:pt>
                <c:pt idx="12">
                  <c:v>2561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4000"/>
          <c:min val="2000"/>
        </c:scaling>
        <c:axPos val="l"/>
        <c:majorGridlines/>
        <c:numFmt formatCode="#,###,##0" sourceLinked="0"/>
        <c:tickLblPos val="nextTo"/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2nd Day Air Avg Shipping Revenue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Services!$C$9:$C$21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Services!$T$9:$T$21</c:f>
              <c:numCache>
                <c:formatCode>General</c:formatCode>
                <c:ptCount val="13"/>
                <c:pt idx="0">
                  <c:v>12.39055434</c:v>
                </c:pt>
                <c:pt idx="1">
                  <c:v>12.47015035</c:v>
                </c:pt>
                <c:pt idx="2">
                  <c:v>12.26295226</c:v>
                </c:pt>
                <c:pt idx="3">
                  <c:v>12.05556815</c:v>
                </c:pt>
                <c:pt idx="4">
                  <c:v>12.2913523</c:v>
                </c:pt>
                <c:pt idx="5">
                  <c:v>12.82511881</c:v>
                </c:pt>
                <c:pt idx="6">
                  <c:v>13.41519672</c:v>
                </c:pt>
                <c:pt idx="7">
                  <c:v>13.26067219</c:v>
                </c:pt>
                <c:pt idx="8">
                  <c:v>13.11225218</c:v>
                </c:pt>
                <c:pt idx="9">
                  <c:v>13.32850856</c:v>
                </c:pt>
                <c:pt idx="10">
                  <c:v>13.58987779</c:v>
                </c:pt>
                <c:pt idx="11">
                  <c:v>13.47360239</c:v>
                </c:pt>
                <c:pt idx="12">
                  <c:v>13.18035143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15"/>
          <c:min val="10"/>
        </c:scaling>
        <c:axPos val="l"/>
        <c:majorGridlines/>
        <c:numFmt formatCode="&quot;$&quot;#,###,##0" sourceLinked="0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3 Day Select Revenue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Services!$C$9:$C$21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Services!$Y$9:$Y$21</c:f>
              <c:numCache>
                <c:formatCode>General</c:formatCode>
                <c:ptCount val="13"/>
                <c:pt idx="0">
                  <c:v>18390.36</c:v>
                </c:pt>
                <c:pt idx="1">
                  <c:v>17967.7</c:v>
                </c:pt>
                <c:pt idx="2">
                  <c:v>19128.66</c:v>
                </c:pt>
                <c:pt idx="3">
                  <c:v>21558.73</c:v>
                </c:pt>
                <c:pt idx="4">
                  <c:v>26105.43</c:v>
                </c:pt>
                <c:pt idx="5">
                  <c:v>33068.41</c:v>
                </c:pt>
                <c:pt idx="6">
                  <c:v>22018.09</c:v>
                </c:pt>
                <c:pt idx="7">
                  <c:v>21450.89</c:v>
                </c:pt>
                <c:pt idx="8">
                  <c:v>23980.65</c:v>
                </c:pt>
                <c:pt idx="9">
                  <c:v>22391.77</c:v>
                </c:pt>
                <c:pt idx="10">
                  <c:v>18540.12</c:v>
                </c:pt>
                <c:pt idx="11">
                  <c:v>17245.06</c:v>
                </c:pt>
                <c:pt idx="12">
                  <c:v>14317.06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35000"/>
          <c:min val="12000"/>
        </c:scaling>
        <c:axPos val="l"/>
        <c:majorGridlines/>
        <c:numFmt formatCode="&quot;$&quot;#,###,##0" sourceLinked="0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3 Day Select OID Count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Services!$C$9:$C$21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Services!$Z$9:$Z$21</c:f>
              <c:numCache>
                <c:formatCode>General</c:formatCode>
                <c:ptCount val="13"/>
                <c:pt idx="0">
                  <c:v>1667</c:v>
                </c:pt>
                <c:pt idx="1">
                  <c:v>1609</c:v>
                </c:pt>
                <c:pt idx="2">
                  <c:v>1726</c:v>
                </c:pt>
                <c:pt idx="3">
                  <c:v>1970</c:v>
                </c:pt>
                <c:pt idx="4">
                  <c:v>2361</c:v>
                </c:pt>
                <c:pt idx="5">
                  <c:v>2835</c:v>
                </c:pt>
                <c:pt idx="6">
                  <c:v>1835</c:v>
                </c:pt>
                <c:pt idx="7">
                  <c:v>1815</c:v>
                </c:pt>
                <c:pt idx="8">
                  <c:v>2058</c:v>
                </c:pt>
                <c:pt idx="9">
                  <c:v>1907</c:v>
                </c:pt>
                <c:pt idx="10">
                  <c:v>1493</c:v>
                </c:pt>
                <c:pt idx="11">
                  <c:v>1440</c:v>
                </c:pt>
                <c:pt idx="12">
                  <c:v>1207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3000"/>
          <c:min val="1"/>
        </c:scaling>
        <c:axPos val="l"/>
        <c:majorGridlines/>
        <c:numFmt formatCode="#,###,##0" sourceLinked="0"/>
        <c:tickLblPos val="nextTo"/>
        <c:crossAx val="501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3 Day Select Avg Shipping Revenue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Services!$C$9:$C$21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Services!$AA$9:$AA$21</c:f>
              <c:numCache>
                <c:formatCode>General</c:formatCode>
                <c:ptCount val="13"/>
                <c:pt idx="0">
                  <c:v>11.0320096</c:v>
                </c:pt>
                <c:pt idx="1">
                  <c:v>11.16699814</c:v>
                </c:pt>
                <c:pt idx="2">
                  <c:v>11.08265353</c:v>
                </c:pt>
                <c:pt idx="3">
                  <c:v>10.94351777</c:v>
                </c:pt>
                <c:pt idx="4">
                  <c:v>11.05693774</c:v>
                </c:pt>
                <c:pt idx="5">
                  <c:v>11.66434215</c:v>
                </c:pt>
                <c:pt idx="6">
                  <c:v>11.99895913</c:v>
                </c:pt>
                <c:pt idx="7">
                  <c:v>11.81867218</c:v>
                </c:pt>
                <c:pt idx="8">
                  <c:v>11.65240525</c:v>
                </c:pt>
                <c:pt idx="9">
                  <c:v>11.74188254</c:v>
                </c:pt>
                <c:pt idx="10">
                  <c:v>12.41803081</c:v>
                </c:pt>
                <c:pt idx="11">
                  <c:v>11.97573611</c:v>
                </c:pt>
                <c:pt idx="12">
                  <c:v>11.86169014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13"/>
          <c:min val="9"/>
        </c:scaling>
        <c:axPos val="l"/>
        <c:majorGridlines/>
        <c:numFmt formatCode="&quot;$&quot;#,###,##0" sourceLinked="0"/>
        <c:tickLblPos val="nextTo"/>
        <c:crossAx val="501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Express Saver Revenue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Services!$C$9:$C$21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Services!$AF$9:$AF$21</c:f>
              <c:numCache>
                <c:formatCode>General</c:formatCode>
                <c:ptCount val="13"/>
                <c:pt idx="0">
                  <c:v>25134.07</c:v>
                </c:pt>
                <c:pt idx="1">
                  <c:v>25927.43</c:v>
                </c:pt>
                <c:pt idx="2">
                  <c:v>27548.95</c:v>
                </c:pt>
                <c:pt idx="3">
                  <c:v>29931.73</c:v>
                </c:pt>
                <c:pt idx="4">
                  <c:v>38378.03</c:v>
                </c:pt>
                <c:pt idx="5">
                  <c:v>31919.86</c:v>
                </c:pt>
                <c:pt idx="6">
                  <c:v>24628.95</c:v>
                </c:pt>
                <c:pt idx="7">
                  <c:v>24772.49</c:v>
                </c:pt>
                <c:pt idx="8">
                  <c:v>24420.81</c:v>
                </c:pt>
                <c:pt idx="9">
                  <c:v>23983.14</c:v>
                </c:pt>
                <c:pt idx="10">
                  <c:v>25082.38</c:v>
                </c:pt>
                <c:pt idx="11">
                  <c:v>23188.59</c:v>
                </c:pt>
                <c:pt idx="12">
                  <c:v>20199.68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ax val="40000"/>
          <c:min val="15000"/>
        </c:scaling>
        <c:axPos val="l"/>
        <c:majorGridlines/>
        <c:numFmt formatCode="&quot;$&quot;#,###,##0" sourceLinked="0"/>
        <c:tickLblPos val="nextTo"/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Express Saver OID Count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Services!$C$9:$C$21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Services!$AG$9:$AG$21</c:f>
              <c:numCache>
                <c:formatCode>General</c:formatCode>
                <c:ptCount val="13"/>
                <c:pt idx="0">
                  <c:v>636</c:v>
                </c:pt>
                <c:pt idx="1">
                  <c:v>617</c:v>
                </c:pt>
                <c:pt idx="2">
                  <c:v>693</c:v>
                </c:pt>
                <c:pt idx="3">
                  <c:v>741</c:v>
                </c:pt>
                <c:pt idx="4">
                  <c:v>921</c:v>
                </c:pt>
                <c:pt idx="5">
                  <c:v>725</c:v>
                </c:pt>
                <c:pt idx="6">
                  <c:v>472</c:v>
                </c:pt>
                <c:pt idx="7">
                  <c:v>481</c:v>
                </c:pt>
                <c:pt idx="8">
                  <c:v>487</c:v>
                </c:pt>
                <c:pt idx="9">
                  <c:v>462</c:v>
                </c:pt>
                <c:pt idx="10">
                  <c:v>495</c:v>
                </c:pt>
                <c:pt idx="11">
                  <c:v>445</c:v>
                </c:pt>
                <c:pt idx="12">
                  <c:v>433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1000"/>
          <c:min val="400"/>
        </c:scaling>
        <c:axPos val="l"/>
        <c:majorGridlines/>
        <c:numFmt formatCode="#,###,##0" sourceLinked="0"/>
        <c:tickLblPos val="nextTo"/>
        <c:crossAx val="501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Express Saver Avg Shipping Revenue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Services!$C$9:$C$21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Services!$AH$9:$AH$21</c:f>
              <c:numCache>
                <c:formatCode>General</c:formatCode>
                <c:ptCount val="13"/>
                <c:pt idx="0">
                  <c:v>39.51897799</c:v>
                </c:pt>
                <c:pt idx="1">
                  <c:v>42.02176661</c:v>
                </c:pt>
                <c:pt idx="2">
                  <c:v>39.7531746</c:v>
                </c:pt>
                <c:pt idx="3">
                  <c:v>40.39369771</c:v>
                </c:pt>
                <c:pt idx="4">
                  <c:v>41.66995657</c:v>
                </c:pt>
                <c:pt idx="5">
                  <c:v>44.0273931</c:v>
                </c:pt>
                <c:pt idx="6">
                  <c:v>52.17997881</c:v>
                </c:pt>
                <c:pt idx="7">
                  <c:v>51.50205821</c:v>
                </c:pt>
                <c:pt idx="8">
                  <c:v>50.14540041</c:v>
                </c:pt>
                <c:pt idx="9">
                  <c:v>51.91155844</c:v>
                </c:pt>
                <c:pt idx="10">
                  <c:v>50.67147475</c:v>
                </c:pt>
                <c:pt idx="11">
                  <c:v>52.10919101</c:v>
                </c:pt>
                <c:pt idx="12">
                  <c:v>46.65053118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  <c:max val="55"/>
          <c:min val="35"/>
        </c:scaling>
        <c:axPos val="l"/>
        <c:majorGridlines/>
        <c:numFmt formatCode="&quot;$&quot;#,###,##0" sourceLinked="0"/>
        <c:tickLblPos val="nextTo"/>
        <c:crossAx val="502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Worldwide Express Revenue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Services!$C$9:$C$21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Services!$AM$9:$AM$21</c:f>
              <c:numCache>
                <c:formatCode>General</c:formatCode>
                <c:ptCount val="13"/>
                <c:pt idx="0">
                  <c:v>60635.07</c:v>
                </c:pt>
                <c:pt idx="1">
                  <c:v>60890.58</c:v>
                </c:pt>
                <c:pt idx="2">
                  <c:v>64316.58</c:v>
                </c:pt>
                <c:pt idx="3">
                  <c:v>79222.74</c:v>
                </c:pt>
                <c:pt idx="4">
                  <c:v>98663.34</c:v>
                </c:pt>
                <c:pt idx="5">
                  <c:v>85665.14</c:v>
                </c:pt>
                <c:pt idx="6">
                  <c:v>96426.42</c:v>
                </c:pt>
                <c:pt idx="7">
                  <c:v>88967.15</c:v>
                </c:pt>
                <c:pt idx="8">
                  <c:v>91284.27</c:v>
                </c:pt>
                <c:pt idx="9">
                  <c:v>84938.14</c:v>
                </c:pt>
                <c:pt idx="10">
                  <c:v>84447.99</c:v>
                </c:pt>
                <c:pt idx="11">
                  <c:v>78706.71</c:v>
                </c:pt>
                <c:pt idx="12">
                  <c:v>73996.49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ax val="100000"/>
          <c:min val="60000"/>
        </c:scaling>
        <c:axPos val="l"/>
        <c:majorGridlines/>
        <c:numFmt formatCode="&quot;$&quot;#,###,##0" sourceLinked="0"/>
        <c:tickLblPos val="nextTo"/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Worldwide Express OID Count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Services!$C$9:$C$21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Services!$AN$9:$AN$21</c:f>
              <c:numCache>
                <c:formatCode>General</c:formatCode>
                <c:ptCount val="13"/>
                <c:pt idx="0">
                  <c:v>1585</c:v>
                </c:pt>
                <c:pt idx="1">
                  <c:v>1558</c:v>
                </c:pt>
                <c:pt idx="2">
                  <c:v>1684</c:v>
                </c:pt>
                <c:pt idx="3">
                  <c:v>2075</c:v>
                </c:pt>
                <c:pt idx="4">
                  <c:v>2627</c:v>
                </c:pt>
                <c:pt idx="5">
                  <c:v>2138</c:v>
                </c:pt>
                <c:pt idx="6">
                  <c:v>2336</c:v>
                </c:pt>
                <c:pt idx="7">
                  <c:v>2161</c:v>
                </c:pt>
                <c:pt idx="8">
                  <c:v>2291</c:v>
                </c:pt>
                <c:pt idx="9">
                  <c:v>2149</c:v>
                </c:pt>
                <c:pt idx="10">
                  <c:v>2087</c:v>
                </c:pt>
                <c:pt idx="11">
                  <c:v>1927</c:v>
                </c:pt>
                <c:pt idx="12">
                  <c:v>1902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  <c:max val="3000"/>
          <c:min val="1000"/>
        </c:scaling>
        <c:axPos val="l"/>
        <c:majorGridlines/>
        <c:numFmt formatCode="#,###,##0" sourceLinked="0"/>
        <c:tickLblPos val="nextTo"/>
        <c:crossAx val="502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Worldwide Express Avg Shipping Revenue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Services!$C$9:$C$21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Services!$AO$9:$AO$21</c:f>
              <c:numCache>
                <c:formatCode>General</c:formatCode>
                <c:ptCount val="13"/>
                <c:pt idx="0">
                  <c:v>38.25556467</c:v>
                </c:pt>
                <c:pt idx="1">
                  <c:v>39.08252888</c:v>
                </c:pt>
                <c:pt idx="2">
                  <c:v>38.19274347</c:v>
                </c:pt>
                <c:pt idx="3">
                  <c:v>38.17963373</c:v>
                </c:pt>
                <c:pt idx="4">
                  <c:v>37.55741911</c:v>
                </c:pt>
                <c:pt idx="5">
                  <c:v>40.06788587</c:v>
                </c:pt>
                <c:pt idx="6">
                  <c:v>41.27843322</c:v>
                </c:pt>
                <c:pt idx="7">
                  <c:v>41.16943545</c:v>
                </c:pt>
                <c:pt idx="8">
                  <c:v>39.84472719</c:v>
                </c:pt>
                <c:pt idx="9">
                  <c:v>39.52449511</c:v>
                </c:pt>
                <c:pt idx="10">
                  <c:v>40.46381888</c:v>
                </c:pt>
                <c:pt idx="11">
                  <c:v>40.8441671</c:v>
                </c:pt>
                <c:pt idx="12">
                  <c:v>38.90456887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  <c:max val="45"/>
          <c:min val="35"/>
        </c:scaling>
        <c:axPos val="l"/>
        <c:majorGridlines/>
        <c:numFmt formatCode="&quot;$&quot;#,###,##0" sourceLinked="0"/>
        <c:tickLblPos val="nextTo"/>
        <c:crossAx val="502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Count of Services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Charges!$D$9:$D$21</c:f>
              <c:numCache>
                <c:formatCode>General</c:formatCode>
                <c:ptCount val="13"/>
                <c:pt idx="0">
                  <c:v>14921</c:v>
                </c:pt>
                <c:pt idx="1">
                  <c:v>17047</c:v>
                </c:pt>
                <c:pt idx="2">
                  <c:v>18226</c:v>
                </c:pt>
                <c:pt idx="3">
                  <c:v>22002</c:v>
                </c:pt>
                <c:pt idx="4">
                  <c:v>25857</c:v>
                </c:pt>
                <c:pt idx="5">
                  <c:v>26839</c:v>
                </c:pt>
                <c:pt idx="6">
                  <c:v>22922</c:v>
                </c:pt>
                <c:pt idx="7">
                  <c:v>24139</c:v>
                </c:pt>
                <c:pt idx="8">
                  <c:v>27862</c:v>
                </c:pt>
                <c:pt idx="9">
                  <c:v>23945</c:v>
                </c:pt>
                <c:pt idx="10">
                  <c:v>21871</c:v>
                </c:pt>
                <c:pt idx="11">
                  <c:v>21598</c:v>
                </c:pt>
                <c:pt idx="12">
                  <c:v>21823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  <c:max val="30000"/>
          <c:min val="0"/>
        </c:scaling>
        <c:axPos val="l"/>
        <c:majorGridlines/>
        <c:numFmt formatCode="#,###,##0" sourceLinked="0"/>
        <c:tickLblPos val="nextTo"/>
        <c:crossAx val="50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Incentives for Services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Charges!$E$9:$E$21</c:f>
              <c:numCache>
                <c:formatCode>General</c:formatCode>
                <c:ptCount val="13"/>
                <c:pt idx="0">
                  <c:v>268450.199511111</c:v>
                </c:pt>
                <c:pt idx="1">
                  <c:v>299808.95921123</c:v>
                </c:pt>
                <c:pt idx="2">
                  <c:v>316673.669243932</c:v>
                </c:pt>
                <c:pt idx="3">
                  <c:v>369532.249396145</c:v>
                </c:pt>
                <c:pt idx="4">
                  <c:v>410214.459637523</c:v>
                </c:pt>
                <c:pt idx="5">
                  <c:v>413791.179461956</c:v>
                </c:pt>
                <c:pt idx="6">
                  <c:v>354444.010576487</c:v>
                </c:pt>
                <c:pt idx="7">
                  <c:v>358700.190953314</c:v>
                </c:pt>
                <c:pt idx="8">
                  <c:v>380257.300955296</c:v>
                </c:pt>
                <c:pt idx="9">
                  <c:v>361868.250885308</c:v>
                </c:pt>
                <c:pt idx="10">
                  <c:v>345067.940835714</c:v>
                </c:pt>
                <c:pt idx="11">
                  <c:v>335877.350685298</c:v>
                </c:pt>
                <c:pt idx="12">
                  <c:v>313669.889943004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  <c:max val="450000"/>
          <c:min val="200000"/>
        </c:scaling>
        <c:axPos val="l"/>
        <c:majorGridlines/>
        <c:numFmt formatCode="&quot;$&quot;#,###,##0" sourceLinked="0"/>
        <c:tickLblPos val="nextTo"/>
        <c:crossAx val="502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Net Amount for Services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Charges!$F$9:$F$21</c:f>
              <c:numCache>
                <c:formatCode>General</c:formatCode>
                <c:ptCount val="13"/>
                <c:pt idx="0">
                  <c:v>174142.230533719</c:v>
                </c:pt>
                <c:pt idx="1">
                  <c:v>196312.790457705</c:v>
                </c:pt>
                <c:pt idx="2">
                  <c:v>208793.890540211</c:v>
                </c:pt>
                <c:pt idx="3">
                  <c:v>247538.540857384</c:v>
                </c:pt>
                <c:pt idx="4">
                  <c:v>283490.941238016</c:v>
                </c:pt>
                <c:pt idx="5">
                  <c:v>292362.271176288</c:v>
                </c:pt>
                <c:pt idx="6">
                  <c:v>263853.110817567</c:v>
                </c:pt>
                <c:pt idx="7">
                  <c:v>271880.790761665</c:v>
                </c:pt>
                <c:pt idx="8">
                  <c:v>304499.611054122</c:v>
                </c:pt>
                <c:pt idx="9">
                  <c:v>271968.400640756</c:v>
                </c:pt>
                <c:pt idx="10">
                  <c:v>253753.450700998</c:v>
                </c:pt>
                <c:pt idx="11">
                  <c:v>247417.310766503</c:v>
                </c:pt>
                <c:pt idx="12">
                  <c:v>229039.722012103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tickLblPos val="nextTo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  <c:max val="325000"/>
          <c:min val="150000"/>
        </c:scaling>
        <c:axPos val="l"/>
        <c:majorGridlines/>
        <c:numFmt formatCode="&quot;$&quot;#,###,##0" sourceLinked="0"/>
        <c:tickLblPos val="nextTo"/>
        <c:crossAx val="502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Count of Shipping Charge Corrections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Charges!$K$9:$K$21</c:f>
              <c:numCache>
                <c:formatCode>General</c:formatCode>
                <c:ptCount val="13"/>
                <c:pt idx="0">
                  <c:v>1031</c:v>
                </c:pt>
                <c:pt idx="1">
                  <c:v>1903</c:v>
                </c:pt>
                <c:pt idx="2">
                  <c:v>1904</c:v>
                </c:pt>
                <c:pt idx="3">
                  <c:v>2098</c:v>
                </c:pt>
                <c:pt idx="4">
                  <c:v>2072</c:v>
                </c:pt>
                <c:pt idx="5">
                  <c:v>2642</c:v>
                </c:pt>
                <c:pt idx="6">
                  <c:v>1799</c:v>
                </c:pt>
                <c:pt idx="7">
                  <c:v>2249</c:v>
                </c:pt>
                <c:pt idx="8">
                  <c:v>1914</c:v>
                </c:pt>
                <c:pt idx="9">
                  <c:v>1824</c:v>
                </c:pt>
                <c:pt idx="10">
                  <c:v>2182</c:v>
                </c:pt>
                <c:pt idx="11">
                  <c:v>2032</c:v>
                </c:pt>
                <c:pt idx="12">
                  <c:v>2008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  <c:max val="3000"/>
          <c:min val="0"/>
        </c:scaling>
        <c:axPos val="l"/>
        <c:majorGridlines/>
        <c:numFmt formatCode="#,###,##0" sourceLinked="0"/>
        <c:tickLblPos val="nextTo"/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Incentives for Shipping Charge Corrections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Charges!$L$9:$L$21</c:f>
              <c:numCache>
                <c:formatCode>General</c:formatCode>
                <c:ptCount val="13"/>
                <c:pt idx="0">
                  <c:v>139.930000638589</c:v>
                </c:pt>
                <c:pt idx="1">
                  <c:v>235.669998388737</c:v>
                </c:pt>
                <c:pt idx="2">
                  <c:v>167.979999249801</c:v>
                </c:pt>
                <c:pt idx="3">
                  <c:v>135.05999962613</c:v>
                </c:pt>
                <c:pt idx="4">
                  <c:v>193.630000201985</c:v>
                </c:pt>
                <c:pt idx="5">
                  <c:v>220.879999408498</c:v>
                </c:pt>
                <c:pt idx="6">
                  <c:v>137.859999619424</c:v>
                </c:pt>
                <c:pt idx="7">
                  <c:v>133.439999992028</c:v>
                </c:pt>
                <c:pt idx="8">
                  <c:v>100.490000044927</c:v>
                </c:pt>
                <c:pt idx="9">
                  <c:v>96.8599999137223</c:v>
                </c:pt>
                <c:pt idx="10">
                  <c:v>124.560000045225</c:v>
                </c:pt>
                <c:pt idx="11">
                  <c:v>137.139999935403</c:v>
                </c:pt>
                <c:pt idx="12">
                  <c:v>172.889999508858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  <c:max val="300"/>
          <c:min val="50"/>
        </c:scaling>
        <c:axPos val="l"/>
        <c:majorGridlines/>
        <c:numFmt formatCode="&quot;$&quot;#,###,##0" sourceLinked="0"/>
        <c:tickLblPos val="nextTo"/>
        <c:crossAx val="502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Net Amount for Shipping Charge Corrections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Charges!$M$9:$M$21</c:f>
              <c:numCache>
                <c:formatCode>General</c:formatCode>
                <c:ptCount val="13"/>
                <c:pt idx="0">
                  <c:v>1068.79999743588</c:v>
                </c:pt>
                <c:pt idx="1">
                  <c:v>1879.31999140978</c:v>
                </c:pt>
                <c:pt idx="2">
                  <c:v>1951.17999443039</c:v>
                </c:pt>
                <c:pt idx="3">
                  <c:v>1718.74999470636</c:v>
                </c:pt>
                <c:pt idx="4">
                  <c:v>1776.21999569237</c:v>
                </c:pt>
                <c:pt idx="5">
                  <c:v>2477.66999961436</c:v>
                </c:pt>
                <c:pt idx="6">
                  <c:v>1571.59999746457</c:v>
                </c:pt>
                <c:pt idx="7">
                  <c:v>2161.46999755874</c:v>
                </c:pt>
                <c:pt idx="8">
                  <c:v>1914.32000005431</c:v>
                </c:pt>
                <c:pt idx="9">
                  <c:v>2198.38999800012</c:v>
                </c:pt>
                <c:pt idx="10">
                  <c:v>2097.33000182547</c:v>
                </c:pt>
                <c:pt idx="11">
                  <c:v>2030.00999740511</c:v>
                </c:pt>
                <c:pt idx="12">
                  <c:v>1947.67999964021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tickLblPos val="nextTo"/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  <c:max val="2500"/>
          <c:min val="1000"/>
        </c:scaling>
        <c:axPos val="l"/>
        <c:majorGridlines/>
        <c:numFmt formatCode="&quot;$&quot;#,###,##0" sourceLinked="0"/>
        <c:tickLblPos val="nextTo"/>
        <c:crossAx val="502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Count of Address Corrections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Charges!$R$9:$R$21</c:f>
              <c:numCache>
                <c:formatCode>General</c:formatCode>
                <c:ptCount val="13"/>
                <c:pt idx="0">
                  <c:v>22</c:v>
                </c:pt>
                <c:pt idx="1">
                  <c:v>49</c:v>
                </c:pt>
                <c:pt idx="2">
                  <c:v>46</c:v>
                </c:pt>
                <c:pt idx="3">
                  <c:v>58</c:v>
                </c:pt>
                <c:pt idx="4">
                  <c:v>51</c:v>
                </c:pt>
                <c:pt idx="5">
                  <c:v>74</c:v>
                </c:pt>
                <c:pt idx="6">
                  <c:v>44</c:v>
                </c:pt>
                <c:pt idx="7">
                  <c:v>50</c:v>
                </c:pt>
                <c:pt idx="8">
                  <c:v>54</c:v>
                </c:pt>
                <c:pt idx="9">
                  <c:v>56</c:v>
                </c:pt>
                <c:pt idx="10">
                  <c:v>53</c:v>
                </c:pt>
                <c:pt idx="11">
                  <c:v>60</c:v>
                </c:pt>
                <c:pt idx="12">
                  <c:v>41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tickLblPos val="nextTo"/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  <c:max val="100"/>
          <c:min val="20"/>
        </c:scaling>
        <c:axPos val="l"/>
        <c:majorGridlines/>
        <c:numFmt formatCode="#,###,##0" sourceLinked="0"/>
        <c:tickLblPos val="nextTo"/>
        <c:crossAx val="50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Incentives for Address Corrections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Charges!$S$9:$S$21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  <c:max val="100"/>
          <c:min val="0"/>
        </c:scaling>
        <c:axPos val="l"/>
        <c:majorGridlines/>
        <c:numFmt formatCode="&quot;$&quot;#,###,##0" sourceLinked="0"/>
        <c:tickLblPos val="nextTo"/>
        <c:crossAx val="503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Net Amount for Address Corrections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Charges!$T$9:$T$21</c:f>
              <c:numCache>
                <c:formatCode>General</c:formatCode>
                <c:ptCount val="13"/>
                <c:pt idx="0">
                  <c:v>275</c:v>
                </c:pt>
                <c:pt idx="1">
                  <c:v>612.5</c:v>
                </c:pt>
                <c:pt idx="2">
                  <c:v>575</c:v>
                </c:pt>
                <c:pt idx="3">
                  <c:v>725</c:v>
                </c:pt>
                <c:pt idx="4">
                  <c:v>637.5</c:v>
                </c:pt>
                <c:pt idx="5">
                  <c:v>926</c:v>
                </c:pt>
                <c:pt idx="6">
                  <c:v>571</c:v>
                </c:pt>
                <c:pt idx="7">
                  <c:v>650</c:v>
                </c:pt>
                <c:pt idx="8">
                  <c:v>702</c:v>
                </c:pt>
                <c:pt idx="9">
                  <c:v>728</c:v>
                </c:pt>
                <c:pt idx="10">
                  <c:v>689</c:v>
                </c:pt>
                <c:pt idx="11">
                  <c:v>780</c:v>
                </c:pt>
                <c:pt idx="12">
                  <c:v>533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tickLblPos val="nextTo"/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  <c:max val="1000"/>
          <c:min val="200"/>
        </c:scaling>
        <c:axPos val="l"/>
        <c:majorGridlines/>
        <c:numFmt formatCode="&quot;$&quot;#,###,##0" sourceLinked="0"/>
        <c:tickLblPos val="nextTo"/>
        <c:crossAx val="503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Count of Delivery/Extended/Remote Charges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Charges!$Y$9:$Y$21</c:f>
              <c:numCache>
                <c:formatCode>General</c:formatCode>
                <c:ptCount val="13"/>
                <c:pt idx="0">
                  <c:v>1823</c:v>
                </c:pt>
                <c:pt idx="1">
                  <c:v>2080</c:v>
                </c:pt>
                <c:pt idx="2">
                  <c:v>2236</c:v>
                </c:pt>
                <c:pt idx="3">
                  <c:v>2574</c:v>
                </c:pt>
                <c:pt idx="4">
                  <c:v>2890</c:v>
                </c:pt>
                <c:pt idx="5">
                  <c:v>3365</c:v>
                </c:pt>
                <c:pt idx="6">
                  <c:v>2642</c:v>
                </c:pt>
                <c:pt idx="7">
                  <c:v>2771</c:v>
                </c:pt>
                <c:pt idx="8">
                  <c:v>3109</c:v>
                </c:pt>
                <c:pt idx="9">
                  <c:v>2696</c:v>
                </c:pt>
                <c:pt idx="10">
                  <c:v>2652</c:v>
                </c:pt>
                <c:pt idx="11">
                  <c:v>2599</c:v>
                </c:pt>
                <c:pt idx="12">
                  <c:v>2597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tickLblPos val="nextTo"/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  <c:max val="4000"/>
          <c:min val="1000"/>
        </c:scaling>
        <c:axPos val="l"/>
        <c:majorGridlines/>
        <c:numFmt formatCode="#,###,##0" sourceLinked="0"/>
        <c:tickLblPos val="nextTo"/>
        <c:crossAx val="50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Incentives for Delivery/Extended/Remote Charges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Charges!$Z$9:$Z$21</c:f>
              <c:numCache>
                <c:formatCode>General</c:formatCode>
                <c:ptCount val="13"/>
                <c:pt idx="0">
                  <c:v>459.520018100739</c:v>
                </c:pt>
                <c:pt idx="1">
                  <c:v>621.720024704933</c:v>
                </c:pt>
                <c:pt idx="2">
                  <c:v>638.260025262833</c:v>
                </c:pt>
                <c:pt idx="3">
                  <c:v>718.080028533936</c:v>
                </c:pt>
                <c:pt idx="4">
                  <c:v>595.860023677349</c:v>
                </c:pt>
                <c:pt idx="5">
                  <c:v>577.390018939972</c:v>
                </c:pt>
                <c:pt idx="6">
                  <c:v>684.099990606308</c:v>
                </c:pt>
                <c:pt idx="7">
                  <c:v>673.399988532066</c:v>
                </c:pt>
                <c:pt idx="8">
                  <c:v>706.999987959862</c:v>
                </c:pt>
                <c:pt idx="9">
                  <c:v>715.399987816811</c:v>
                </c:pt>
                <c:pt idx="10">
                  <c:v>784.589987635612</c:v>
                </c:pt>
                <c:pt idx="11">
                  <c:v>788.199986577034</c:v>
                </c:pt>
                <c:pt idx="12">
                  <c:v>644.349989175797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  <c:max val="800"/>
          <c:min val="400"/>
        </c:scaling>
        <c:axPos val="l"/>
        <c:majorGridlines/>
        <c:numFmt formatCode="&quot;$&quot;#,###,##0" sourceLinked="0"/>
        <c:tickLblPos val="nextTo"/>
        <c:crossAx val="503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Net Amount for Delivery/Extended/Remote Charges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Charges!$AA$9:$AA$21</c:f>
              <c:numCache>
                <c:formatCode>General</c:formatCode>
                <c:ptCount val="13"/>
                <c:pt idx="0">
                  <c:v>7034.28999137878</c:v>
                </c:pt>
                <c:pt idx="1">
                  <c:v>8307.97999453545</c:v>
                </c:pt>
                <c:pt idx="2">
                  <c:v>8861.36999535561</c:v>
                </c:pt>
                <c:pt idx="3">
                  <c:v>9832.11999416351</c:v>
                </c:pt>
                <c:pt idx="4">
                  <c:v>10988.9899778366</c:v>
                </c:pt>
                <c:pt idx="5">
                  <c:v>13299.6199812889</c:v>
                </c:pt>
                <c:pt idx="6">
                  <c:v>10133.2300248146</c:v>
                </c:pt>
                <c:pt idx="7">
                  <c:v>10237.4000213146</c:v>
                </c:pt>
                <c:pt idx="8">
                  <c:v>11557.9500277042</c:v>
                </c:pt>
                <c:pt idx="9">
                  <c:v>10088.0500144958</c:v>
                </c:pt>
                <c:pt idx="10">
                  <c:v>10071.8300070763</c:v>
                </c:pt>
                <c:pt idx="11">
                  <c:v>9494.55000209808</c:v>
                </c:pt>
                <c:pt idx="12">
                  <c:v>9367.49001741409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tickLblPos val="nextTo"/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  <c:max val="14000"/>
          <c:min val="7000"/>
        </c:scaling>
        <c:axPos val="l"/>
        <c:majorGridlines/>
        <c:numFmt formatCode="&quot;$&quot;#,###,##0" sourceLinked="0"/>
        <c:tickLblPos val="nextTo"/>
        <c:crossAx val="503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Count of Fuel Charges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Charges!$AF$9:$AF$21</c:f>
              <c:numCache>
                <c:formatCode>General</c:formatCode>
                <c:ptCount val="13"/>
                <c:pt idx="0">
                  <c:v>14903</c:v>
                </c:pt>
                <c:pt idx="1">
                  <c:v>16972</c:v>
                </c:pt>
                <c:pt idx="2">
                  <c:v>18168</c:v>
                </c:pt>
                <c:pt idx="3">
                  <c:v>21920</c:v>
                </c:pt>
                <c:pt idx="4">
                  <c:v>25760</c:v>
                </c:pt>
                <c:pt idx="5">
                  <c:v>26754</c:v>
                </c:pt>
                <c:pt idx="6">
                  <c:v>22851</c:v>
                </c:pt>
                <c:pt idx="7">
                  <c:v>24101</c:v>
                </c:pt>
                <c:pt idx="8">
                  <c:v>27821</c:v>
                </c:pt>
                <c:pt idx="9">
                  <c:v>23902</c:v>
                </c:pt>
                <c:pt idx="10">
                  <c:v>21827</c:v>
                </c:pt>
                <c:pt idx="11">
                  <c:v>21545</c:v>
                </c:pt>
                <c:pt idx="12">
                  <c:v>21793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tickLblPos val="nextTo"/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  <c:max val="30000"/>
          <c:min val="12000"/>
        </c:scaling>
        <c:axPos val="l"/>
        <c:majorGridlines/>
        <c:numFmt formatCode="#,###,##0" sourceLinked="0"/>
        <c:tickLblPos val="nextTo"/>
        <c:crossAx val="50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Incentives for Fuel Charges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Charges!$AG$9:$AG$21</c:f>
              <c:numCache>
                <c:formatCode>General</c:formatCode>
                <c:ptCount val="13"/>
                <c:pt idx="0">
                  <c:v>14395.6599904206</c:v>
                </c:pt>
                <c:pt idx="1">
                  <c:v>14848.0100065973</c:v>
                </c:pt>
                <c:pt idx="2">
                  <c:v>13163.6200011317</c:v>
                </c:pt>
                <c:pt idx="3">
                  <c:v>12150.0599737</c:v>
                </c:pt>
                <c:pt idx="4">
                  <c:v>19480.6299711503</c:v>
                </c:pt>
                <c:pt idx="5">
                  <c:v>19709.8599630836</c:v>
                </c:pt>
                <c:pt idx="6">
                  <c:v>16063.0000177789</c:v>
                </c:pt>
                <c:pt idx="7">
                  <c:v>11915.4800090771</c:v>
                </c:pt>
                <c:pt idx="8">
                  <c:v>10370.3799906708</c:v>
                </c:pt>
                <c:pt idx="9">
                  <c:v>9135.67998766527</c:v>
                </c:pt>
                <c:pt idx="10">
                  <c:v>10456.2799910139</c:v>
                </c:pt>
                <c:pt idx="11">
                  <c:v>11530.9599846061</c:v>
                </c:pt>
                <c:pt idx="12">
                  <c:v>13601.7799523994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  <c:max val="20000"/>
          <c:min val="8000"/>
        </c:scaling>
        <c:axPos val="l"/>
        <c:majorGridlines/>
        <c:numFmt formatCode="&quot;$&quot;#,###,##0" sourceLinked="0"/>
        <c:tickLblPos val="nextTo"/>
        <c:crossAx val="503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Net Amount for Fuel Charges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Charges!$AH$9:$AH$21</c:f>
              <c:numCache>
                <c:formatCode>General</c:formatCode>
                <c:ptCount val="13"/>
                <c:pt idx="0">
                  <c:v>10368.0399712622</c:v>
                </c:pt>
                <c:pt idx="1">
                  <c:v>11092.4899385273</c:v>
                </c:pt>
                <c:pt idx="2">
                  <c:v>10470.8899244666</c:v>
                </c:pt>
                <c:pt idx="3">
                  <c:v>10386.999973774</c:v>
                </c:pt>
                <c:pt idx="4">
                  <c:v>15746.7299059927</c:v>
                </c:pt>
                <c:pt idx="5">
                  <c:v>16480.3499264419</c:v>
                </c:pt>
                <c:pt idx="6">
                  <c:v>14248.2999314368</c:v>
                </c:pt>
                <c:pt idx="7">
                  <c:v>12014.2099070847</c:v>
                </c:pt>
                <c:pt idx="8">
                  <c:v>11836.3699489981</c:v>
                </c:pt>
                <c:pt idx="9">
                  <c:v>9548.50992836058</c:v>
                </c:pt>
                <c:pt idx="10">
                  <c:v>10157.1199831814</c:v>
                </c:pt>
                <c:pt idx="11">
                  <c:v>10562.9600018263</c:v>
                </c:pt>
                <c:pt idx="12">
                  <c:v>11674.5999819338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tickLblPos val="nextTo"/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  <c:max val="17000"/>
          <c:min val="9000"/>
        </c:scaling>
        <c:axPos val="l"/>
        <c:majorGridlines/>
        <c:numFmt formatCode="&quot;$&quot;#,###,##0" sourceLinked="0"/>
        <c:tickLblPos val="nextTo"/>
        <c:crossAx val="503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Count of UPS Returns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Charges!$AM$9:$AM$21</c:f>
              <c:numCache>
                <c:formatCode>General</c:formatCode>
                <c:ptCount val="13"/>
                <c:pt idx="0">
                  <c:v>8</c:v>
                </c:pt>
                <c:pt idx="1">
                  <c:v>3</c:v>
                </c:pt>
                <c:pt idx="2">
                  <c:v>11</c:v>
                </c:pt>
                <c:pt idx="3">
                  <c:v>14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tickLblPos val="nextTo"/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  <c:max val="15"/>
          <c:min val="1"/>
        </c:scaling>
        <c:axPos val="l"/>
        <c:majorGridlines/>
        <c:numFmt formatCode="#,###,##0" sourceLinked="0"/>
        <c:tickLblPos val="nextTo"/>
        <c:crossAx val="503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Incentives for UPS Returns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Charges!$AN$9:$AN$21</c:f>
              <c:numCache>
                <c:formatCode>General</c:formatCode>
                <c:ptCount val="13"/>
                <c:pt idx="0">
                  <c:v>33.3299996852875</c:v>
                </c:pt>
                <c:pt idx="1">
                  <c:v>11.6900000572205</c:v>
                </c:pt>
                <c:pt idx="2">
                  <c:v>22.9100000858307</c:v>
                </c:pt>
                <c:pt idx="3">
                  <c:v>29.1699997186661</c:v>
                </c:pt>
                <c:pt idx="4">
                  <c:v>3.91999983787537</c:v>
                </c:pt>
                <c:pt idx="5">
                  <c:v>1.48000001907349</c:v>
                </c:pt>
                <c:pt idx="6">
                  <c:v>6.20000004768372</c:v>
                </c:pt>
                <c:pt idx="7">
                  <c:v>1.72000002861023</c:v>
                </c:pt>
                <c:pt idx="8">
                  <c:v>1.19000005722046</c:v>
                </c:pt>
                <c:pt idx="9">
                  <c:v>1.19000005722046</c:v>
                </c:pt>
                <c:pt idx="10">
                  <c:v>2.07999992370605</c:v>
                </c:pt>
                <c:pt idx="11">
                  <c:v>28.9199999570847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  <c:max val="35"/>
          <c:min val="1"/>
        </c:scaling>
        <c:axPos val="l"/>
        <c:majorGridlines/>
        <c:numFmt formatCode="&quot;$&quot;#,###,##0" sourceLinked="0"/>
        <c:tickLblPos val="nextTo"/>
        <c:crossAx val="504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Net Amount for UPS Returns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Charges!$AO$9:$AO$21</c:f>
              <c:numCache>
                <c:formatCode>General</c:formatCode>
                <c:ptCount val="13"/>
                <c:pt idx="0">
                  <c:v>56.8400001525879</c:v>
                </c:pt>
                <c:pt idx="1">
                  <c:v>20.8200001716614</c:v>
                </c:pt>
                <c:pt idx="2">
                  <c:v>79.4600005149841</c:v>
                </c:pt>
                <c:pt idx="3">
                  <c:v>115.590001583099</c:v>
                </c:pt>
                <c:pt idx="4">
                  <c:v>19.8300004005432</c:v>
                </c:pt>
                <c:pt idx="5">
                  <c:v>6.94000005722046</c:v>
                </c:pt>
                <c:pt idx="6">
                  <c:v>26.7799997329712</c:v>
                </c:pt>
                <c:pt idx="7">
                  <c:v>13.8800001144409</c:v>
                </c:pt>
                <c:pt idx="8">
                  <c:v>19.8399996757507</c:v>
                </c:pt>
                <c:pt idx="9">
                  <c:v>13.8800001144409</c:v>
                </c:pt>
                <c:pt idx="10">
                  <c:v>6.34000015258789</c:v>
                </c:pt>
                <c:pt idx="11">
                  <c:v>51.8099994659424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tickLblPos val="nextTo"/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  <c:max val="120"/>
          <c:min val="5"/>
        </c:scaling>
        <c:axPos val="l"/>
        <c:majorGridlines/>
        <c:numFmt formatCode="&quot;$&quot;#,###,##0" sourceLinked="0"/>
        <c:tickLblPos val="nextTo"/>
        <c:crossAx val="504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Count of Residential Charges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Charges!$AT$9:$AT$21</c:f>
              <c:numCache>
                <c:formatCode>General</c:formatCode>
                <c:ptCount val="13"/>
                <c:pt idx="0">
                  <c:v>8561</c:v>
                </c:pt>
                <c:pt idx="1">
                  <c:v>10160</c:v>
                </c:pt>
                <c:pt idx="2">
                  <c:v>10770</c:v>
                </c:pt>
                <c:pt idx="3">
                  <c:v>12989</c:v>
                </c:pt>
                <c:pt idx="4">
                  <c:v>16635</c:v>
                </c:pt>
                <c:pt idx="5">
                  <c:v>18413</c:v>
                </c:pt>
                <c:pt idx="6">
                  <c:v>14425</c:v>
                </c:pt>
                <c:pt idx="7">
                  <c:v>14667</c:v>
                </c:pt>
                <c:pt idx="8">
                  <c:v>17434</c:v>
                </c:pt>
                <c:pt idx="9">
                  <c:v>14291</c:v>
                </c:pt>
                <c:pt idx="10">
                  <c:v>13477</c:v>
                </c:pt>
                <c:pt idx="11">
                  <c:v>12866</c:v>
                </c:pt>
                <c:pt idx="12">
                  <c:v>13616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tickLblPos val="nextTo"/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  <c:max val="20000"/>
          <c:min val="8000"/>
        </c:scaling>
        <c:axPos val="l"/>
        <c:majorGridlines/>
        <c:numFmt formatCode="#,###,##0" sourceLinked="0"/>
        <c:tickLblPos val="nextTo"/>
        <c:crossAx val="504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Incentives for Residential Charges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Charges!$AU$9:$AU$21</c:f>
              <c:numCache>
                <c:formatCode>General</c:formatCode>
                <c:ptCount val="13"/>
                <c:pt idx="0">
                  <c:v>8619.17015635967</c:v>
                </c:pt>
                <c:pt idx="1">
                  <c:v>10184.840177536</c:v>
                </c:pt>
                <c:pt idx="2">
                  <c:v>10820.1301925182</c:v>
                </c:pt>
                <c:pt idx="3">
                  <c:v>13034.0902293921</c:v>
                </c:pt>
                <c:pt idx="4">
                  <c:v>16934.5203377008</c:v>
                </c:pt>
                <c:pt idx="5">
                  <c:v>18711.1302743554</c:v>
                </c:pt>
                <c:pt idx="6">
                  <c:v>15472.5199649334</c:v>
                </c:pt>
                <c:pt idx="7">
                  <c:v>15655.9399777651</c:v>
                </c:pt>
                <c:pt idx="8">
                  <c:v>18698.9999577999</c:v>
                </c:pt>
                <c:pt idx="9">
                  <c:v>15211.6599858999</c:v>
                </c:pt>
                <c:pt idx="10">
                  <c:v>14461.9499661326</c:v>
                </c:pt>
                <c:pt idx="11">
                  <c:v>14484.1900593638</c:v>
                </c:pt>
                <c:pt idx="12">
                  <c:v>18185.2604826689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  <c:max val="20000"/>
          <c:min val="8000"/>
        </c:scaling>
        <c:axPos val="l"/>
        <c:majorGridlines/>
        <c:numFmt formatCode="&quot;$&quot;#,###,##0" sourceLinked="0"/>
        <c:tickLblPos val="nextTo"/>
        <c:crossAx val="504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Net Amount for Residential Charges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Charges!$AV$9:$AV$21</c:f>
              <c:numCache>
                <c:formatCode>General</c:formatCode>
                <c:ptCount val="13"/>
                <c:pt idx="0">
                  <c:v>19276.729562521</c:v>
                </c:pt>
                <c:pt idx="1">
                  <c:v>23005.5594587326</c:v>
                </c:pt>
                <c:pt idx="2">
                  <c:v>24317.6694381237</c:v>
                </c:pt>
                <c:pt idx="3">
                  <c:v>29372.6093146801</c:v>
                </c:pt>
                <c:pt idx="4">
                  <c:v>36915.1792430878</c:v>
                </c:pt>
                <c:pt idx="5">
                  <c:v>41636.4689950943</c:v>
                </c:pt>
                <c:pt idx="6">
                  <c:v>33099.1289703846</c:v>
                </c:pt>
                <c:pt idx="7">
                  <c:v>33863.008991003</c:v>
                </c:pt>
                <c:pt idx="8">
                  <c:v>40006.2987561226</c:v>
                </c:pt>
                <c:pt idx="9">
                  <c:v>33112.489038229</c:v>
                </c:pt>
                <c:pt idx="10">
                  <c:v>30906.6990349293</c:v>
                </c:pt>
                <c:pt idx="11">
                  <c:v>28728.3091797829</c:v>
                </c:pt>
                <c:pt idx="12">
                  <c:v>27298.3396275043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tickLblPos val="nextTo"/>
        <c:crossAx val="50440002"/>
        <c:crosses val="autoZero"/>
        <c:auto val="1"/>
        <c:lblAlgn val="ctr"/>
        <c:lblOffset val="100"/>
      </c:catAx>
      <c:valAx>
        <c:axId val="50440002"/>
        <c:scaling>
          <c:orientation val="minMax"/>
          <c:max val="45000"/>
          <c:min val="19000"/>
        </c:scaling>
        <c:axPos val="l"/>
        <c:majorGridlines/>
        <c:numFmt formatCode="&quot;$&quot;#,###,##0" sourceLinked="0"/>
        <c:tickLblPos val="nextTo"/>
        <c:crossAx val="504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Count of Misc. Charges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Charges!$BA$9:$BA$21</c:f>
              <c:numCache>
                <c:formatCode>General</c:formatCode>
                <c:ptCount val="13"/>
                <c:pt idx="0">
                  <c:v>29</c:v>
                </c:pt>
                <c:pt idx="1">
                  <c:v>29</c:v>
                </c:pt>
                <c:pt idx="2">
                  <c:v>34</c:v>
                </c:pt>
                <c:pt idx="3">
                  <c:v>42</c:v>
                </c:pt>
                <c:pt idx="4">
                  <c:v>40</c:v>
                </c:pt>
                <c:pt idx="5">
                  <c:v>66</c:v>
                </c:pt>
                <c:pt idx="6">
                  <c:v>46</c:v>
                </c:pt>
                <c:pt idx="7">
                  <c:v>33</c:v>
                </c:pt>
                <c:pt idx="8">
                  <c:v>34</c:v>
                </c:pt>
                <c:pt idx="9">
                  <c:v>38</c:v>
                </c:pt>
                <c:pt idx="10">
                  <c:v>49</c:v>
                </c:pt>
                <c:pt idx="11">
                  <c:v>40</c:v>
                </c:pt>
                <c:pt idx="12">
                  <c:v>30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tickLblPos val="nextTo"/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  <c:max val="70"/>
          <c:min val="25"/>
        </c:scaling>
        <c:axPos val="l"/>
        <c:majorGridlines/>
        <c:numFmt formatCode="#,###,##0" sourceLinked="0"/>
        <c:tickLblPos val="nextTo"/>
        <c:crossAx val="50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Incentives for Misc. Charges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Charges!$BB$9:$BB$21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12.7600001990795</c:v>
                </c:pt>
                <c:pt idx="3">
                  <c:v>0</c:v>
                </c:pt>
                <c:pt idx="4">
                  <c:v>0</c:v>
                </c:pt>
                <c:pt idx="5">
                  <c:v>7.5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101.779999375343</c:v>
                </c:pt>
                <c:pt idx="12">
                  <c:v>5.25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tickLblPos val="nextTo"/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  <c:max val="115"/>
          <c:min val="0"/>
        </c:scaling>
        <c:axPos val="l"/>
        <c:majorGridlines/>
        <c:numFmt formatCode="&quot;$&quot;#,###,##0" sourceLinked="0"/>
        <c:tickLblPos val="nextTo"/>
        <c:crossAx val="504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Net Amount for Misc. Charges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x"/>
          </c:marker>
          <c:cat>
            <c:strRef>
              <c:f>Charges!$C$9:$C$21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Charges!$BC$9:$BC$21</c:f>
              <c:numCache>
                <c:formatCode>General</c:formatCode>
                <c:ptCount val="13"/>
                <c:pt idx="0">
                  <c:v>290.839999973774</c:v>
                </c:pt>
                <c:pt idx="1">
                  <c:v>292.5</c:v>
                </c:pt>
                <c:pt idx="2">
                  <c:v>325.139999985695</c:v>
                </c:pt>
                <c:pt idx="3">
                  <c:v>433</c:v>
                </c:pt>
                <c:pt idx="4">
                  <c:v>397.22000002861</c:v>
                </c:pt>
                <c:pt idx="5">
                  <c:v>582.859997272491</c:v>
                </c:pt>
                <c:pt idx="6">
                  <c:v>463.119999408722</c:v>
                </c:pt>
                <c:pt idx="7">
                  <c:v>310.759999513626</c:v>
                </c:pt>
                <c:pt idx="8">
                  <c:v>342.89999961853</c:v>
                </c:pt>
                <c:pt idx="9">
                  <c:v>380</c:v>
                </c:pt>
                <c:pt idx="10">
                  <c:v>533.109998941422</c:v>
                </c:pt>
                <c:pt idx="11">
                  <c:v>375.059999659657</c:v>
                </c:pt>
                <c:pt idx="12">
                  <c:v>347.019997835159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tickLblPos val="nextTo"/>
        <c:crossAx val="50470002"/>
        <c:crosses val="autoZero"/>
        <c:auto val="1"/>
        <c:lblAlgn val="ctr"/>
        <c:lblOffset val="100"/>
      </c:catAx>
      <c:valAx>
        <c:axId val="50470002"/>
        <c:scaling>
          <c:orientation val="minMax"/>
          <c:max val="600"/>
          <c:min val="250"/>
        </c:scaling>
        <c:axPos val="l"/>
        <c:majorGridlines/>
        <c:numFmt formatCode="&quot;$&quot;#,###,##0" sourceLinked="0"/>
        <c:tickLblPos val="nextTo"/>
        <c:crossAx val="504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Count of Non Reseller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Free_Shipping!$C$9:$C$21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Free_Shipping!$D$9:$D$21</c:f>
              <c:numCache>
                <c:formatCode>General</c:formatCode>
                <c:ptCount val="13"/>
                <c:pt idx="0">
                  <c:v>541</c:v>
                </c:pt>
                <c:pt idx="1">
                  <c:v>586</c:v>
                </c:pt>
                <c:pt idx="2">
                  <c:v>606</c:v>
                </c:pt>
                <c:pt idx="3">
                  <c:v>637</c:v>
                </c:pt>
                <c:pt idx="4">
                  <c:v>1008</c:v>
                </c:pt>
                <c:pt idx="5">
                  <c:v>804</c:v>
                </c:pt>
                <c:pt idx="6">
                  <c:v>667</c:v>
                </c:pt>
                <c:pt idx="7">
                  <c:v>682</c:v>
                </c:pt>
                <c:pt idx="8">
                  <c:v>744</c:v>
                </c:pt>
                <c:pt idx="9">
                  <c:v>690</c:v>
                </c:pt>
                <c:pt idx="10">
                  <c:v>708</c:v>
                </c:pt>
                <c:pt idx="11">
                  <c:v>619</c:v>
                </c:pt>
                <c:pt idx="12">
                  <c:v>621</c:v>
                </c:pt>
              </c:numCache>
            </c:numRef>
          </c:val>
        </c:ser>
        <c:axId val="50480001"/>
        <c:axId val="50480002"/>
      </c:barChart>
      <c:catAx>
        <c:axId val="50480001"/>
        <c:scaling>
          <c:orientation val="minMax"/>
        </c:scaling>
        <c:axPos val="b"/>
        <c:tickLblPos val="nextTo"/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  <c:max val="1200"/>
          <c:min val="1"/>
        </c:scaling>
        <c:axPos val="l"/>
        <c:majorGridlines/>
        <c:numFmt formatCode="#,###,##0" sourceLinked="0"/>
        <c:tickLblPos val="nextTo"/>
        <c:crossAx val="50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Count of Reseller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Free_Shipping!$C$9:$C$21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Free_Shipping!$F$9:$F$21</c:f>
              <c:numCache>
                <c:formatCode>General</c:formatCode>
                <c:ptCount val="13"/>
                <c:pt idx="0">
                  <c:v>27</c:v>
                </c:pt>
                <c:pt idx="1">
                  <c:v>34</c:v>
                </c:pt>
                <c:pt idx="2">
                  <c:v>23</c:v>
                </c:pt>
                <c:pt idx="3">
                  <c:v>14</c:v>
                </c:pt>
                <c:pt idx="4">
                  <c:v>35</c:v>
                </c:pt>
                <c:pt idx="5">
                  <c:v>42</c:v>
                </c:pt>
                <c:pt idx="6">
                  <c:v>43</c:v>
                </c:pt>
                <c:pt idx="7">
                  <c:v>53</c:v>
                </c:pt>
                <c:pt idx="8">
                  <c:v>65</c:v>
                </c:pt>
                <c:pt idx="9">
                  <c:v>61</c:v>
                </c:pt>
                <c:pt idx="10">
                  <c:v>48</c:v>
                </c:pt>
                <c:pt idx="11">
                  <c:v>46</c:v>
                </c:pt>
                <c:pt idx="12">
                  <c:v>36</c:v>
                </c:pt>
              </c:numCache>
            </c:numRef>
          </c:val>
        </c:ser>
        <c:axId val="50490001"/>
        <c:axId val="50490002"/>
      </c:barChart>
      <c:catAx>
        <c:axId val="50490001"/>
        <c:scaling>
          <c:orientation val="minMax"/>
        </c:scaling>
        <c:axPos val="b"/>
        <c:tickLblPos val="nextTo"/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  <c:max val="70"/>
          <c:min val="1"/>
        </c:scaling>
        <c:axPos val="l"/>
        <c:majorGridlines/>
        <c:numFmt formatCode="#,###,##0" sourceLinked="0"/>
        <c:tickLblPos val="nextTo"/>
        <c:crossAx val="504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Non Reseller Shipping 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Free_Shipping!$C$9:$C$21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Free_Shipping!$L$9:$L$21</c:f>
              <c:numCache>
                <c:formatCode>General</c:formatCode>
                <c:ptCount val="13"/>
                <c:pt idx="0">
                  <c:v>439091.549918766</c:v>
                </c:pt>
                <c:pt idx="1">
                  <c:v>542180.244908576</c:v>
                </c:pt>
                <c:pt idx="2">
                  <c:v>547680.079903414</c:v>
                </c:pt>
                <c:pt idx="3">
                  <c:v>566552.049885573</c:v>
                </c:pt>
                <c:pt idx="4">
                  <c:v>654017.714863338</c:v>
                </c:pt>
                <c:pt idx="5">
                  <c:v>522780.529926782</c:v>
                </c:pt>
                <c:pt idx="6">
                  <c:v>545385.087547422</c:v>
                </c:pt>
                <c:pt idx="7">
                  <c:v>625642.025047257</c:v>
                </c:pt>
                <c:pt idx="8">
                  <c:v>633172.280070074</c:v>
                </c:pt>
                <c:pt idx="9">
                  <c:v>596903.120053585</c:v>
                </c:pt>
                <c:pt idx="10">
                  <c:v>685723.020067471</c:v>
                </c:pt>
                <c:pt idx="11">
                  <c:v>642961.350025217</c:v>
                </c:pt>
                <c:pt idx="12">
                  <c:v>558662.899900957</c:v>
                </c:pt>
              </c:numCache>
            </c:numRef>
          </c:val>
        </c:ser>
        <c:axId val="50500001"/>
        <c:axId val="50500002"/>
      </c:barChart>
      <c:catAx>
        <c:axId val="50500001"/>
        <c:scaling>
          <c:orientation val="minMax"/>
        </c:scaling>
        <c:axPos val="b"/>
        <c:tickLblPos val="nextTo"/>
        <c:crossAx val="50500002"/>
        <c:crosses val="autoZero"/>
        <c:auto val="1"/>
        <c:lblAlgn val="ctr"/>
        <c:lblOffset val="100"/>
      </c:catAx>
      <c:valAx>
        <c:axId val="50500002"/>
        <c:scaling>
          <c:orientation val="minMax"/>
          <c:max val="700000"/>
          <c:min val="400000"/>
        </c:scaling>
        <c:axPos val="l"/>
        <c:majorGridlines/>
        <c:numFmt formatCode="&quot;$&quot;#,###,##0" sourceLinked="0"/>
        <c:tickLblPos val="nextTo"/>
        <c:crossAx val="505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Reseller Shipping 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Free_Shipping!$C$9:$C$21</c:f>
              <c:strCache>
                <c:ptCount val="1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  <c:pt idx="12">
                  <c:v>July</c:v>
                </c:pt>
              </c:strCache>
            </c:strRef>
          </c:cat>
          <c:val>
            <c:numRef>
              <c:f>Free_Shipping!$N$9:$N$21</c:f>
              <c:numCache>
                <c:formatCode>General</c:formatCode>
                <c:ptCount val="13"/>
                <c:pt idx="0">
                  <c:v>140192.430986045</c:v>
                </c:pt>
                <c:pt idx="1">
                  <c:v>254292.114976858</c:v>
                </c:pt>
                <c:pt idx="2">
                  <c:v>229152.599979742</c:v>
                </c:pt>
                <c:pt idx="3">
                  <c:v>261358.414981521</c:v>
                </c:pt>
                <c:pt idx="4">
                  <c:v>212185.074976289</c:v>
                </c:pt>
                <c:pt idx="5">
                  <c:v>251645.230983614</c:v>
                </c:pt>
                <c:pt idx="6">
                  <c:v>229327.845006483</c:v>
                </c:pt>
                <c:pt idx="7">
                  <c:v>285091.03500829</c:v>
                </c:pt>
                <c:pt idx="8">
                  <c:v>299157.980004783</c:v>
                </c:pt>
                <c:pt idx="9">
                  <c:v>353246.470014375</c:v>
                </c:pt>
                <c:pt idx="10">
                  <c:v>311114.330010098</c:v>
                </c:pt>
                <c:pt idx="11">
                  <c:v>266750.200002072</c:v>
                </c:pt>
                <c:pt idx="12">
                  <c:v>255581.909987413</c:v>
                </c:pt>
              </c:numCache>
            </c:numRef>
          </c:val>
        </c:ser>
        <c:axId val="50510001"/>
        <c:axId val="50510002"/>
      </c:barChart>
      <c:catAx>
        <c:axId val="50510001"/>
        <c:scaling>
          <c:orientation val="minMax"/>
        </c:scaling>
        <c:axPos val="b"/>
        <c:tickLblPos val="nextTo"/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  <c:max val="360000"/>
          <c:min val="140000"/>
        </c:scaling>
        <c:axPos val="l"/>
        <c:majorGridlines/>
        <c:numFmt formatCode="&quot;$&quot;#,###,##0" sourceLinked="0"/>
        <c:tickLblPos val="nextTo"/>
        <c:crossAx val="505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Relationship Id="rId8" Type="http://schemas.openxmlformats.org/officeDocument/2006/relationships/chart" Target="../charts/chart13.xml"/><Relationship Id="rId9" Type="http://schemas.openxmlformats.org/officeDocument/2006/relationships/chart" Target="../charts/chart14.xml"/><Relationship Id="rId10" Type="http://schemas.openxmlformats.org/officeDocument/2006/relationships/chart" Target="../charts/chart15.xml"/><Relationship Id="rId11" Type="http://schemas.openxmlformats.org/officeDocument/2006/relationships/chart" Target="../charts/chart16.xml"/><Relationship Id="rId12" Type="http://schemas.openxmlformats.org/officeDocument/2006/relationships/chart" Target="../charts/chart17.xml"/><Relationship Id="rId13" Type="http://schemas.openxmlformats.org/officeDocument/2006/relationships/chart" Target="../charts/chart18.xml"/><Relationship Id="rId14" Type="http://schemas.openxmlformats.org/officeDocument/2006/relationships/chart" Target="../charts/chart19.xml"/><Relationship Id="rId15" Type="http://schemas.openxmlformats.org/officeDocument/2006/relationships/chart" Target="../charts/chart20.xml"/><Relationship Id="rId16" Type="http://schemas.openxmlformats.org/officeDocument/2006/relationships/chart" Target="../charts/chart21.xml"/><Relationship Id="rId17" Type="http://schemas.openxmlformats.org/officeDocument/2006/relationships/chart" Target="../charts/chart22.xml"/><Relationship Id="rId18" Type="http://schemas.openxmlformats.org/officeDocument/2006/relationships/chart" Target="../charts/chart2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Relationship Id="rId3" Type="http://schemas.openxmlformats.org/officeDocument/2006/relationships/chart" Target="../charts/chart26.xml"/><Relationship Id="rId4" Type="http://schemas.openxmlformats.org/officeDocument/2006/relationships/chart" Target="../charts/chart27.xml"/><Relationship Id="rId5" Type="http://schemas.openxmlformats.org/officeDocument/2006/relationships/chart" Target="../charts/chart28.xml"/><Relationship Id="rId6" Type="http://schemas.openxmlformats.org/officeDocument/2006/relationships/chart" Target="../charts/chart29.xml"/><Relationship Id="rId7" Type="http://schemas.openxmlformats.org/officeDocument/2006/relationships/chart" Target="../charts/chart30.xml"/><Relationship Id="rId8" Type="http://schemas.openxmlformats.org/officeDocument/2006/relationships/chart" Target="../charts/chart31.xml"/><Relationship Id="rId9" Type="http://schemas.openxmlformats.org/officeDocument/2006/relationships/chart" Target="../charts/chart32.xml"/><Relationship Id="rId10" Type="http://schemas.openxmlformats.org/officeDocument/2006/relationships/chart" Target="../charts/chart33.xml"/><Relationship Id="rId11" Type="http://schemas.openxmlformats.org/officeDocument/2006/relationships/chart" Target="../charts/chart34.xml"/><Relationship Id="rId12" Type="http://schemas.openxmlformats.org/officeDocument/2006/relationships/chart" Target="../charts/chart35.xml"/><Relationship Id="rId13" Type="http://schemas.openxmlformats.org/officeDocument/2006/relationships/chart" Target="../charts/chart36.xml"/><Relationship Id="rId14" Type="http://schemas.openxmlformats.org/officeDocument/2006/relationships/chart" Target="../charts/chart37.xml"/><Relationship Id="rId15" Type="http://schemas.openxmlformats.org/officeDocument/2006/relationships/chart" Target="../charts/chart38.xml"/><Relationship Id="rId16" Type="http://schemas.openxmlformats.org/officeDocument/2006/relationships/chart" Target="../charts/chart39.xml"/><Relationship Id="rId17" Type="http://schemas.openxmlformats.org/officeDocument/2006/relationships/chart" Target="../charts/chart40.xml"/><Relationship Id="rId18" Type="http://schemas.openxmlformats.org/officeDocument/2006/relationships/chart" Target="../charts/chart41.xml"/><Relationship Id="rId19" Type="http://schemas.openxmlformats.org/officeDocument/2006/relationships/chart" Target="../charts/chart42.xml"/><Relationship Id="rId20" Type="http://schemas.openxmlformats.org/officeDocument/2006/relationships/chart" Target="../charts/chart43.xml"/><Relationship Id="rId21" Type="http://schemas.openxmlformats.org/officeDocument/2006/relationships/chart" Target="../charts/chart44.xml"/><Relationship Id="rId22" Type="http://schemas.openxmlformats.org/officeDocument/2006/relationships/chart" Target="../charts/chart45.xml"/><Relationship Id="rId23" Type="http://schemas.openxmlformats.org/officeDocument/2006/relationships/chart" Target="../charts/chart46.xml"/><Relationship Id="rId24" Type="http://schemas.openxmlformats.org/officeDocument/2006/relationships/chart" Target="../charts/chart47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.xml"/><Relationship Id="rId2" Type="http://schemas.openxmlformats.org/officeDocument/2006/relationships/chart" Target="../charts/chart49.xml"/><Relationship Id="rId3" Type="http://schemas.openxmlformats.org/officeDocument/2006/relationships/chart" Target="../charts/chart50.xml"/><Relationship Id="rId4" Type="http://schemas.openxmlformats.org/officeDocument/2006/relationships/chart" Target="../charts/chart5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22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22</xdr:row>
      <xdr:rowOff>0</xdr:rowOff>
    </xdr:from>
    <xdr:to>
      <xdr:col>19</xdr:col>
      <xdr:colOff>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22</xdr:row>
      <xdr:rowOff>0</xdr:rowOff>
    </xdr:from>
    <xdr:to>
      <xdr:col>26</xdr:col>
      <xdr:colOff>0</xdr:colOff>
      <xdr:row>36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22</xdr:row>
      <xdr:rowOff>0</xdr:rowOff>
    </xdr:from>
    <xdr:to>
      <xdr:col>34</xdr:col>
      <xdr:colOff>0</xdr:colOff>
      <xdr:row>36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0</xdr:colOff>
      <xdr:row>37</xdr:row>
      <xdr:rowOff>0</xdr:rowOff>
    </xdr:from>
    <xdr:to>
      <xdr:col>34</xdr:col>
      <xdr:colOff>0</xdr:colOff>
      <xdr:row>51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6</xdr:col>
      <xdr:colOff>0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52</xdr:row>
      <xdr:rowOff>0</xdr:rowOff>
    </xdr:from>
    <xdr:to>
      <xdr:col>6</xdr:col>
      <xdr:colOff>0</xdr:colOff>
      <xdr:row>66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13</xdr:col>
      <xdr:colOff>0</xdr:colOff>
      <xdr:row>51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52</xdr:row>
      <xdr:rowOff>0</xdr:rowOff>
    </xdr:from>
    <xdr:to>
      <xdr:col>13</xdr:col>
      <xdr:colOff>0</xdr:colOff>
      <xdr:row>66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37</xdr:row>
      <xdr:rowOff>0</xdr:rowOff>
    </xdr:from>
    <xdr:to>
      <xdr:col>20</xdr:col>
      <xdr:colOff>0</xdr:colOff>
      <xdr:row>51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52</xdr:row>
      <xdr:rowOff>0</xdr:rowOff>
    </xdr:from>
    <xdr:to>
      <xdr:col>20</xdr:col>
      <xdr:colOff>0</xdr:colOff>
      <xdr:row>66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0</xdr:colOff>
      <xdr:row>22</xdr:row>
      <xdr:rowOff>0</xdr:rowOff>
    </xdr:from>
    <xdr:to>
      <xdr:col>27</xdr:col>
      <xdr:colOff>0</xdr:colOff>
      <xdr:row>36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0</xdr:colOff>
      <xdr:row>37</xdr:row>
      <xdr:rowOff>0</xdr:rowOff>
    </xdr:from>
    <xdr:to>
      <xdr:col>27</xdr:col>
      <xdr:colOff>0</xdr:colOff>
      <xdr:row>51</xdr:row>
      <xdr:rowOff>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0</xdr:colOff>
      <xdr:row>52</xdr:row>
      <xdr:rowOff>0</xdr:rowOff>
    </xdr:from>
    <xdr:to>
      <xdr:col>27</xdr:col>
      <xdr:colOff>0</xdr:colOff>
      <xdr:row>66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29</xdr:col>
      <xdr:colOff>0</xdr:colOff>
      <xdr:row>22</xdr:row>
      <xdr:rowOff>0</xdr:rowOff>
    </xdr:from>
    <xdr:to>
      <xdr:col>34</xdr:col>
      <xdr:colOff>0</xdr:colOff>
      <xdr:row>36</xdr:row>
      <xdr:rowOff>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0</xdr:colOff>
      <xdr:row>37</xdr:row>
      <xdr:rowOff>0</xdr:rowOff>
    </xdr:from>
    <xdr:to>
      <xdr:col>34</xdr:col>
      <xdr:colOff>0</xdr:colOff>
      <xdr:row>51</xdr:row>
      <xdr:rowOff>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29</xdr:col>
      <xdr:colOff>0</xdr:colOff>
      <xdr:row>52</xdr:row>
      <xdr:rowOff>0</xdr:rowOff>
    </xdr:from>
    <xdr:to>
      <xdr:col>34</xdr:col>
      <xdr:colOff>0</xdr:colOff>
      <xdr:row>66</xdr:row>
      <xdr:rowOff>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36</xdr:col>
      <xdr:colOff>0</xdr:colOff>
      <xdr:row>22</xdr:row>
      <xdr:rowOff>0</xdr:rowOff>
    </xdr:from>
    <xdr:to>
      <xdr:col>41</xdr:col>
      <xdr:colOff>0</xdr:colOff>
      <xdr:row>36</xdr:row>
      <xdr:rowOff>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36</xdr:col>
      <xdr:colOff>0</xdr:colOff>
      <xdr:row>37</xdr:row>
      <xdr:rowOff>0</xdr:rowOff>
    </xdr:from>
    <xdr:to>
      <xdr:col>41</xdr:col>
      <xdr:colOff>0</xdr:colOff>
      <xdr:row>51</xdr:row>
      <xdr:rowOff>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36</xdr:col>
      <xdr:colOff>0</xdr:colOff>
      <xdr:row>52</xdr:row>
      <xdr:rowOff>0</xdr:rowOff>
    </xdr:from>
    <xdr:to>
      <xdr:col>41</xdr:col>
      <xdr:colOff>0</xdr:colOff>
      <xdr:row>66</xdr:row>
      <xdr:rowOff>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6</xdr:col>
      <xdr:colOff>0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52</xdr:row>
      <xdr:rowOff>0</xdr:rowOff>
    </xdr:from>
    <xdr:to>
      <xdr:col>6</xdr:col>
      <xdr:colOff>0</xdr:colOff>
      <xdr:row>66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13</xdr:col>
      <xdr:colOff>0</xdr:colOff>
      <xdr:row>51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52</xdr:row>
      <xdr:rowOff>0</xdr:rowOff>
    </xdr:from>
    <xdr:to>
      <xdr:col>13</xdr:col>
      <xdr:colOff>0</xdr:colOff>
      <xdr:row>66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37</xdr:row>
      <xdr:rowOff>0</xdr:rowOff>
    </xdr:from>
    <xdr:to>
      <xdr:col>20</xdr:col>
      <xdr:colOff>0</xdr:colOff>
      <xdr:row>51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52</xdr:row>
      <xdr:rowOff>0</xdr:rowOff>
    </xdr:from>
    <xdr:to>
      <xdr:col>20</xdr:col>
      <xdr:colOff>0</xdr:colOff>
      <xdr:row>66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0</xdr:colOff>
      <xdr:row>22</xdr:row>
      <xdr:rowOff>0</xdr:rowOff>
    </xdr:from>
    <xdr:to>
      <xdr:col>27</xdr:col>
      <xdr:colOff>0</xdr:colOff>
      <xdr:row>36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0</xdr:colOff>
      <xdr:row>37</xdr:row>
      <xdr:rowOff>0</xdr:rowOff>
    </xdr:from>
    <xdr:to>
      <xdr:col>27</xdr:col>
      <xdr:colOff>0</xdr:colOff>
      <xdr:row>51</xdr:row>
      <xdr:rowOff>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0</xdr:colOff>
      <xdr:row>52</xdr:row>
      <xdr:rowOff>0</xdr:rowOff>
    </xdr:from>
    <xdr:to>
      <xdr:col>27</xdr:col>
      <xdr:colOff>0</xdr:colOff>
      <xdr:row>66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29</xdr:col>
      <xdr:colOff>0</xdr:colOff>
      <xdr:row>22</xdr:row>
      <xdr:rowOff>0</xdr:rowOff>
    </xdr:from>
    <xdr:to>
      <xdr:col>34</xdr:col>
      <xdr:colOff>0</xdr:colOff>
      <xdr:row>36</xdr:row>
      <xdr:rowOff>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0</xdr:colOff>
      <xdr:row>37</xdr:row>
      <xdr:rowOff>0</xdr:rowOff>
    </xdr:from>
    <xdr:to>
      <xdr:col>34</xdr:col>
      <xdr:colOff>0</xdr:colOff>
      <xdr:row>51</xdr:row>
      <xdr:rowOff>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29</xdr:col>
      <xdr:colOff>0</xdr:colOff>
      <xdr:row>52</xdr:row>
      <xdr:rowOff>0</xdr:rowOff>
    </xdr:from>
    <xdr:to>
      <xdr:col>34</xdr:col>
      <xdr:colOff>0</xdr:colOff>
      <xdr:row>66</xdr:row>
      <xdr:rowOff>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36</xdr:col>
      <xdr:colOff>0</xdr:colOff>
      <xdr:row>22</xdr:row>
      <xdr:rowOff>0</xdr:rowOff>
    </xdr:from>
    <xdr:to>
      <xdr:col>41</xdr:col>
      <xdr:colOff>0</xdr:colOff>
      <xdr:row>36</xdr:row>
      <xdr:rowOff>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36</xdr:col>
      <xdr:colOff>0</xdr:colOff>
      <xdr:row>37</xdr:row>
      <xdr:rowOff>0</xdr:rowOff>
    </xdr:from>
    <xdr:to>
      <xdr:col>41</xdr:col>
      <xdr:colOff>0</xdr:colOff>
      <xdr:row>51</xdr:row>
      <xdr:rowOff>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36</xdr:col>
      <xdr:colOff>0</xdr:colOff>
      <xdr:row>52</xdr:row>
      <xdr:rowOff>0</xdr:rowOff>
    </xdr:from>
    <xdr:to>
      <xdr:col>41</xdr:col>
      <xdr:colOff>0</xdr:colOff>
      <xdr:row>66</xdr:row>
      <xdr:rowOff>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43</xdr:col>
      <xdr:colOff>0</xdr:colOff>
      <xdr:row>22</xdr:row>
      <xdr:rowOff>0</xdr:rowOff>
    </xdr:from>
    <xdr:to>
      <xdr:col>48</xdr:col>
      <xdr:colOff>0</xdr:colOff>
      <xdr:row>36</xdr:row>
      <xdr:rowOff>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43</xdr:col>
      <xdr:colOff>0</xdr:colOff>
      <xdr:row>37</xdr:row>
      <xdr:rowOff>0</xdr:rowOff>
    </xdr:from>
    <xdr:to>
      <xdr:col>48</xdr:col>
      <xdr:colOff>0</xdr:colOff>
      <xdr:row>51</xdr:row>
      <xdr:rowOff>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43</xdr:col>
      <xdr:colOff>0</xdr:colOff>
      <xdr:row>52</xdr:row>
      <xdr:rowOff>0</xdr:rowOff>
    </xdr:from>
    <xdr:to>
      <xdr:col>48</xdr:col>
      <xdr:colOff>0</xdr:colOff>
      <xdr:row>66</xdr:row>
      <xdr:rowOff>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50</xdr:col>
      <xdr:colOff>0</xdr:colOff>
      <xdr:row>22</xdr:row>
      <xdr:rowOff>0</xdr:rowOff>
    </xdr:from>
    <xdr:to>
      <xdr:col>55</xdr:col>
      <xdr:colOff>0</xdr:colOff>
      <xdr:row>36</xdr:row>
      <xdr:rowOff>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50</xdr:col>
      <xdr:colOff>0</xdr:colOff>
      <xdr:row>37</xdr:row>
      <xdr:rowOff>0</xdr:rowOff>
    </xdr:from>
    <xdr:to>
      <xdr:col>55</xdr:col>
      <xdr:colOff>0</xdr:colOff>
      <xdr:row>51</xdr:row>
      <xdr:rowOff>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50</xdr:col>
      <xdr:colOff>0</xdr:colOff>
      <xdr:row>52</xdr:row>
      <xdr:rowOff>0</xdr:rowOff>
    </xdr:from>
    <xdr:to>
      <xdr:col>55</xdr:col>
      <xdr:colOff>0</xdr:colOff>
      <xdr:row>66</xdr:row>
      <xdr:rowOff>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7</xdr:col>
      <xdr:colOff>9525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7</xdr:col>
      <xdr:colOff>9525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15</xdr:col>
      <xdr:colOff>9525</xdr:colOff>
      <xdr:row>36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15</xdr:col>
      <xdr:colOff>9525</xdr:colOff>
      <xdr:row>51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22"/>
  <sheetViews>
    <sheetView tabSelected="1" workbookViewId="0"/>
  </sheetViews>
  <sheetFormatPr defaultRowHeight="15"/>
  <cols>
    <col min="1" max="35" width="20.7109375" customWidth="1"/>
    <col min="2" max="4" width="9.140625" style="1"/>
    <col min="3" max="3" width="9.140625" style="2"/>
    <col min="4" max="4" width="9.140625" style="1"/>
    <col min="5" max="5" width="9.140625" style="3"/>
    <col min="10" max="10" width="9.140625" style="2"/>
    <col min="11" max="12" width="9.140625" style="3"/>
    <col min="17" max="17" width="9.140625" style="1"/>
    <col min="18" max="19" width="9.140625" style="3"/>
    <col min="24" max="24" width="9.140625" style="1"/>
    <col min="25" max="26" width="9.140625" style="3"/>
    <col min="31" max="31" width="9.140625" style="1"/>
    <col min="32" max="34" width="9.140625" style="3"/>
  </cols>
  <sheetData>
    <row r="1" spans="1:34">
      <c r="A1" s="4" t="s">
        <v>48</v>
      </c>
    </row>
    <row r="5" spans="1:34">
      <c r="B5" s="5" t="s">
        <v>49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7" spans="1:34">
      <c r="B7" s="5" t="s">
        <v>50</v>
      </c>
      <c r="C7" s="5"/>
      <c r="D7" s="5"/>
      <c r="E7" s="5"/>
      <c r="H7" s="5" t="s">
        <v>6</v>
      </c>
      <c r="I7" s="5"/>
      <c r="J7" s="5"/>
      <c r="K7" s="5"/>
      <c r="L7" s="5"/>
      <c r="O7" s="5" t="s">
        <v>21</v>
      </c>
      <c r="P7" s="5"/>
      <c r="Q7" s="5"/>
      <c r="R7" s="5"/>
      <c r="S7" s="5"/>
      <c r="V7" s="5" t="s">
        <v>52</v>
      </c>
      <c r="W7" s="5"/>
      <c r="X7" s="5"/>
      <c r="Y7" s="5"/>
      <c r="Z7" s="5"/>
      <c r="AC7" s="5" t="s">
        <v>2</v>
      </c>
      <c r="AD7" s="5"/>
      <c r="AE7" s="5"/>
      <c r="AF7" s="5"/>
      <c r="AG7" s="5"/>
      <c r="AH7" s="5"/>
    </row>
    <row r="8" spans="1:34">
      <c r="B8" s="6" t="s">
        <v>0</v>
      </c>
      <c r="C8" s="6" t="s">
        <v>1</v>
      </c>
      <c r="D8" s="6" t="s">
        <v>2</v>
      </c>
      <c r="E8" s="6" t="s">
        <v>3</v>
      </c>
      <c r="H8" s="6" t="s">
        <v>4</v>
      </c>
      <c r="I8" s="6" t="s">
        <v>5</v>
      </c>
      <c r="J8" s="6" t="s">
        <v>6</v>
      </c>
      <c r="K8" s="6" t="s">
        <v>7</v>
      </c>
      <c r="L8" s="6" t="s">
        <v>8</v>
      </c>
      <c r="O8" s="6" t="s">
        <v>4</v>
      </c>
      <c r="P8" s="6" t="s">
        <v>5</v>
      </c>
      <c r="Q8" s="6" t="s">
        <v>21</v>
      </c>
      <c r="R8" s="6" t="s">
        <v>7</v>
      </c>
      <c r="S8" s="6" t="s">
        <v>8</v>
      </c>
      <c r="V8" s="6" t="s">
        <v>4</v>
      </c>
      <c r="W8" s="6" t="s">
        <v>5</v>
      </c>
      <c r="X8" s="6" t="s">
        <v>22</v>
      </c>
      <c r="Y8" s="6" t="s">
        <v>7</v>
      </c>
      <c r="Z8" s="6" t="s">
        <v>8</v>
      </c>
      <c r="AC8" s="6" t="s">
        <v>4</v>
      </c>
      <c r="AD8" s="6" t="s">
        <v>5</v>
      </c>
      <c r="AE8" s="6" t="s">
        <v>2</v>
      </c>
      <c r="AF8" s="6" t="s">
        <v>3</v>
      </c>
      <c r="AG8" s="6" t="s">
        <v>7</v>
      </c>
      <c r="AH8" s="6" t="s">
        <v>8</v>
      </c>
    </row>
    <row r="9" spans="1:34">
      <c r="B9" s="1">
        <v>323686.63</v>
      </c>
      <c r="C9" s="2">
        <v>288511.841662513</v>
      </c>
      <c r="D9" s="1">
        <v>35174.7883374869</v>
      </c>
      <c r="E9" s="3">
        <v>10.8669265509938</v>
      </c>
      <c r="H9">
        <v>2015</v>
      </c>
      <c r="I9" t="s">
        <v>9</v>
      </c>
      <c r="J9" s="2">
        <v>17238</v>
      </c>
      <c r="O9">
        <v>2015</v>
      </c>
      <c r="P9" t="s">
        <v>9</v>
      </c>
      <c r="Q9" s="1">
        <v>237805.33</v>
      </c>
      <c r="V9">
        <v>2015</v>
      </c>
      <c r="W9" t="s">
        <v>9</v>
      </c>
      <c r="X9" s="1">
        <v>13.79541304</v>
      </c>
      <c r="AC9">
        <v>2015</v>
      </c>
      <c r="AD9" t="s">
        <v>9</v>
      </c>
      <c r="AE9" s="1">
        <v>59657.739957867</v>
      </c>
      <c r="AF9" s="3">
        <v>21.4914507753884</v>
      </c>
    </row>
    <row r="10" spans="1:34">
      <c r="H10">
        <v>2015</v>
      </c>
      <c r="I10" t="s">
        <v>10</v>
      </c>
      <c r="J10" s="2">
        <v>17190</v>
      </c>
      <c r="K10" s="3">
        <v>-0.278454577097109</v>
      </c>
      <c r="O10">
        <v>2015</v>
      </c>
      <c r="P10" t="s">
        <v>10</v>
      </c>
      <c r="Q10" s="1">
        <v>240208.33</v>
      </c>
      <c r="R10" s="3">
        <v>1.01049038724237</v>
      </c>
      <c r="V10">
        <v>2015</v>
      </c>
      <c r="W10" t="s">
        <v>10</v>
      </c>
      <c r="X10" s="1">
        <v>13.97453779</v>
      </c>
      <c r="Y10" s="3">
        <v>1.29843702019379</v>
      </c>
      <c r="AC10">
        <v>2015</v>
      </c>
      <c r="AD10" t="s">
        <v>10</v>
      </c>
      <c r="AE10" s="1">
        <v>33341.4101386498</v>
      </c>
      <c r="AF10" s="3">
        <v>11.9727018640535</v>
      </c>
      <c r="AG10" s="3">
        <v>-44.1121803102212</v>
      </c>
    </row>
    <row r="11" spans="1:34">
      <c r="H11">
        <v>2015</v>
      </c>
      <c r="I11" t="s">
        <v>11</v>
      </c>
      <c r="J11" s="2">
        <v>18193</v>
      </c>
      <c r="K11" s="3">
        <v>5.83478766724841</v>
      </c>
      <c r="O11">
        <v>2015</v>
      </c>
      <c r="P11" t="s">
        <v>11</v>
      </c>
      <c r="Q11" s="1">
        <v>251494.95</v>
      </c>
      <c r="R11" s="3">
        <v>4.69867968358966</v>
      </c>
      <c r="V11">
        <v>2015</v>
      </c>
      <c r="W11" t="s">
        <v>11</v>
      </c>
      <c r="X11" s="1">
        <v>13.82372066</v>
      </c>
      <c r="Y11" s="3">
        <v>-1.07922803792425</v>
      </c>
      <c r="AC11">
        <v>2015</v>
      </c>
      <c r="AD11" t="s">
        <v>11</v>
      </c>
      <c r="AE11" s="1">
        <v>29006.5601070185</v>
      </c>
      <c r="AF11" s="3">
        <v>10.2029768251059</v>
      </c>
      <c r="AG11" s="3">
        <v>-13.0013998016427</v>
      </c>
    </row>
    <row r="12" spans="1:34">
      <c r="B12" s="5" t="s">
        <v>51</v>
      </c>
      <c r="C12" s="5"/>
      <c r="D12" s="5"/>
      <c r="H12">
        <v>2015</v>
      </c>
      <c r="I12" t="s">
        <v>12</v>
      </c>
      <c r="J12" s="2">
        <v>21755</v>
      </c>
      <c r="K12" s="3">
        <v>19.5789589402517</v>
      </c>
      <c r="O12">
        <v>2015</v>
      </c>
      <c r="P12" t="s">
        <v>12</v>
      </c>
      <c r="Q12" s="1">
        <v>298215.08</v>
      </c>
      <c r="R12" s="3">
        <v>18.5769654619308</v>
      </c>
      <c r="V12">
        <v>2015</v>
      </c>
      <c r="W12" t="s">
        <v>12</v>
      </c>
      <c r="X12" s="1">
        <v>13.70788692</v>
      </c>
      <c r="Y12" s="3">
        <v>-0.837934611447788</v>
      </c>
      <c r="AC12">
        <v>2015</v>
      </c>
      <c r="AD12" t="s">
        <v>12</v>
      </c>
      <c r="AE12" s="1">
        <v>27581.2698541728</v>
      </c>
      <c r="AF12" s="3">
        <v>8.41276282852881</v>
      </c>
      <c r="AG12" s="3">
        <v>-4.91368244833991</v>
      </c>
    </row>
    <row r="13" spans="1:34">
      <c r="B13" s="6" t="s">
        <v>23</v>
      </c>
      <c r="C13" s="6" t="s">
        <v>24</v>
      </c>
      <c r="D13" s="6" t="s">
        <v>25</v>
      </c>
      <c r="H13">
        <v>2015</v>
      </c>
      <c r="I13" t="s">
        <v>13</v>
      </c>
      <c r="J13" s="2">
        <v>27481</v>
      </c>
      <c r="K13" s="3">
        <v>26.3203861181338</v>
      </c>
      <c r="O13">
        <v>2015</v>
      </c>
      <c r="P13" t="s">
        <v>13</v>
      </c>
      <c r="Q13" s="1">
        <v>374419.71</v>
      </c>
      <c r="R13" s="3">
        <v>25.5535803219609</v>
      </c>
      <c r="V13">
        <v>2015</v>
      </c>
      <c r="W13" t="s">
        <v>13</v>
      </c>
      <c r="X13" s="1">
        <v>13.62417983</v>
      </c>
      <c r="Y13" s="3">
        <v>-0.610649113816886</v>
      </c>
      <c r="AC13">
        <v>2015</v>
      </c>
      <c r="AD13" t="s">
        <v>13</v>
      </c>
      <c r="AE13" s="1">
        <v>38255.0095733181</v>
      </c>
      <c r="AF13" s="3">
        <v>9.21616096564193</v>
      </c>
      <c r="AG13" s="3">
        <v>38.6992323978532</v>
      </c>
    </row>
    <row r="14" spans="1:34">
      <c r="B14" s="1" t="s">
        <v>26</v>
      </c>
      <c r="C14" s="2">
        <v>193</v>
      </c>
      <c r="D14" s="1">
        <v>5775.9899777174</v>
      </c>
      <c r="H14">
        <v>2015</v>
      </c>
      <c r="I14" t="s">
        <v>14</v>
      </c>
      <c r="J14" s="2">
        <v>25318</v>
      </c>
      <c r="K14" s="3">
        <v>-7.87089261671701</v>
      </c>
      <c r="O14">
        <v>2015</v>
      </c>
      <c r="P14" t="s">
        <v>14</v>
      </c>
      <c r="Q14" s="1">
        <v>350681.37</v>
      </c>
      <c r="R14" s="3">
        <v>-6.34003482348726</v>
      </c>
      <c r="V14">
        <v>2015</v>
      </c>
      <c r="W14" t="s">
        <v>14</v>
      </c>
      <c r="X14" s="1">
        <v>13.8510692</v>
      </c>
      <c r="Y14" s="3">
        <v>1.66534332951476</v>
      </c>
      <c r="AC14">
        <v>2015</v>
      </c>
      <c r="AD14" t="s">
        <v>14</v>
      </c>
      <c r="AE14" s="1">
        <v>38891.6000103243</v>
      </c>
      <c r="AF14" s="3">
        <v>10.0518661702516</v>
      </c>
      <c r="AG14" s="3">
        <v>1.6640707821183</v>
      </c>
    </row>
    <row r="15" spans="1:34">
      <c r="B15" s="1" t="s">
        <v>27</v>
      </c>
      <c r="C15" s="2">
        <v>80</v>
      </c>
      <c r="D15" s="1">
        <v>3011.15002173185</v>
      </c>
      <c r="H15">
        <v>2016</v>
      </c>
      <c r="I15" t="s">
        <v>15</v>
      </c>
      <c r="J15" s="2">
        <v>23517</v>
      </c>
      <c r="K15" s="3">
        <v>-7.11351607551939</v>
      </c>
      <c r="O15">
        <v>2016</v>
      </c>
      <c r="P15" t="s">
        <v>15</v>
      </c>
      <c r="Q15" s="1">
        <v>335669.12</v>
      </c>
      <c r="R15" s="3">
        <v>-4.28088039008174</v>
      </c>
      <c r="V15">
        <v>2016</v>
      </c>
      <c r="W15" t="s">
        <v>15</v>
      </c>
      <c r="X15" s="1">
        <v>14.27346685</v>
      </c>
      <c r="Y15" s="3">
        <v>3.04956710489903</v>
      </c>
      <c r="AC15">
        <v>2016</v>
      </c>
      <c r="AD15" t="s">
        <v>15</v>
      </c>
      <c r="AE15" s="1">
        <v>39238.6602692003</v>
      </c>
      <c r="AF15" s="3">
        <v>10.5119187956017</v>
      </c>
      <c r="AG15" s="3">
        <v>0.892378453917764</v>
      </c>
    </row>
    <row r="16" spans="1:34">
      <c r="B16" s="1" t="s">
        <v>28</v>
      </c>
      <c r="C16" s="2">
        <v>76</v>
      </c>
      <c r="D16" s="1">
        <v>2707.97996401787</v>
      </c>
      <c r="H16">
        <v>2016</v>
      </c>
      <c r="I16" t="s">
        <v>16</v>
      </c>
      <c r="J16" s="2">
        <v>24001</v>
      </c>
      <c r="K16" s="3">
        <v>2.0580856401752</v>
      </c>
      <c r="O16">
        <v>2016</v>
      </c>
      <c r="P16" t="s">
        <v>16</v>
      </c>
      <c r="Q16" s="1">
        <v>333590.03</v>
      </c>
      <c r="R16" s="3">
        <v>-0.61938673417441</v>
      </c>
      <c r="V16">
        <v>2016</v>
      </c>
      <c r="W16" t="s">
        <v>16</v>
      </c>
      <c r="X16" s="1">
        <v>13.89958458</v>
      </c>
      <c r="Y16" s="3">
        <v>-2.61942157381336</v>
      </c>
      <c r="AC16">
        <v>2016</v>
      </c>
      <c r="AD16" t="s">
        <v>16</v>
      </c>
      <c r="AE16" s="1">
        <v>35374.4702805498</v>
      </c>
      <c r="AF16" s="3">
        <v>9.63015729679842</v>
      </c>
      <c r="AG16" s="3">
        <v>-9.84791519929535</v>
      </c>
    </row>
    <row r="17" spans="2:34">
      <c r="B17" s="1" t="s">
        <v>29</v>
      </c>
      <c r="C17" s="2">
        <v>23</v>
      </c>
      <c r="D17" s="1">
        <v>296.799998641014</v>
      </c>
      <c r="H17">
        <v>2016</v>
      </c>
      <c r="I17" t="s">
        <v>17</v>
      </c>
      <c r="J17" s="2">
        <v>27620</v>
      </c>
      <c r="K17" s="3">
        <v>15.0785383942336</v>
      </c>
      <c r="O17">
        <v>2016</v>
      </c>
      <c r="P17" t="s">
        <v>17</v>
      </c>
      <c r="Q17" s="1">
        <v>369436.94</v>
      </c>
      <c r="R17" s="3">
        <v>10.7457977685964</v>
      </c>
      <c r="V17">
        <v>2016</v>
      </c>
      <c r="W17" t="s">
        <v>17</v>
      </c>
      <c r="X17" s="1">
        <v>13.37570384</v>
      </c>
      <c r="Y17" s="3">
        <v>-3.76903882979214</v>
      </c>
      <c r="AC17">
        <v>2016</v>
      </c>
      <c r="AD17" t="s">
        <v>17</v>
      </c>
      <c r="AE17" s="1">
        <v>45433.6902574908</v>
      </c>
      <c r="AF17" s="3">
        <v>10.9417611214981</v>
      </c>
      <c r="AG17" s="3">
        <v>28.4363833498079</v>
      </c>
    </row>
    <row r="18" spans="2:34">
      <c r="B18" s="1" t="s">
        <v>30</v>
      </c>
      <c r="C18" s="2">
        <v>15</v>
      </c>
      <c r="D18" s="1">
        <v>97.9900016859174</v>
      </c>
      <c r="H18">
        <v>2016</v>
      </c>
      <c r="I18" t="s">
        <v>18</v>
      </c>
      <c r="J18" s="2">
        <v>24029</v>
      </c>
      <c r="K18" s="3">
        <v>-13.0014482259232</v>
      </c>
      <c r="O18">
        <v>2016</v>
      </c>
      <c r="P18" t="s">
        <v>18</v>
      </c>
      <c r="Q18" s="1">
        <v>331873.61</v>
      </c>
      <c r="R18" s="3">
        <v>-10.1677244295062</v>
      </c>
      <c r="V18">
        <v>2016</v>
      </c>
      <c r="W18" t="s">
        <v>18</v>
      </c>
      <c r="X18" s="1">
        <v>13.81137833</v>
      </c>
      <c r="Y18" s="3">
        <v>3.25720795863556</v>
      </c>
      <c r="AC18">
        <v>2016</v>
      </c>
      <c r="AD18" t="s">
        <v>18</v>
      </c>
      <c r="AE18" s="1">
        <v>36480.5603837206</v>
      </c>
      <c r="AF18" s="3">
        <v>9.93967878811689</v>
      </c>
      <c r="AG18" s="3">
        <v>-19.7059270841293</v>
      </c>
    </row>
    <row r="19" spans="2:34">
      <c r="B19" s="1" t="s">
        <v>31</v>
      </c>
      <c r="C19" s="2">
        <v>1</v>
      </c>
      <c r="D19" s="1">
        <v>55.9599990844727</v>
      </c>
      <c r="H19">
        <v>2016</v>
      </c>
      <c r="I19" t="s">
        <v>19</v>
      </c>
      <c r="J19" s="2">
        <v>21460</v>
      </c>
      <c r="K19" s="3">
        <v>-10.6912480752424</v>
      </c>
      <c r="O19">
        <v>2016</v>
      </c>
      <c r="P19" t="s">
        <v>19</v>
      </c>
      <c r="Q19" s="1">
        <v>305472.95</v>
      </c>
      <c r="R19" s="3">
        <v>-7.95503444820453</v>
      </c>
      <c r="V19">
        <v>2016</v>
      </c>
      <c r="W19" t="s">
        <v>19</v>
      </c>
      <c r="X19" s="1">
        <v>14.23452703</v>
      </c>
      <c r="Y19" s="3">
        <v>3.06376879909858</v>
      </c>
      <c r="AC19">
        <v>2016</v>
      </c>
      <c r="AD19" t="s">
        <v>19</v>
      </c>
      <c r="AE19" s="1">
        <v>33229.6802667262</v>
      </c>
      <c r="AF19" s="3">
        <v>9.74318678948563</v>
      </c>
      <c r="AG19" s="3">
        <v>-8.91126693998107</v>
      </c>
    </row>
    <row r="20" spans="2:34">
      <c r="B20" s="1" t="s">
        <v>32</v>
      </c>
      <c r="C20" s="2">
        <v>2</v>
      </c>
      <c r="D20" s="1">
        <v>27.9199995994568</v>
      </c>
      <c r="H20">
        <v>2016</v>
      </c>
      <c r="I20" t="s">
        <v>20</v>
      </c>
      <c r="J20" s="2">
        <v>21378</v>
      </c>
      <c r="K20" s="3">
        <v>-0.382106244175207</v>
      </c>
      <c r="O20">
        <v>2016</v>
      </c>
      <c r="P20" t="s">
        <v>20</v>
      </c>
      <c r="Q20" s="1">
        <v>295806.56</v>
      </c>
      <c r="R20" s="3">
        <v>-3.16440129968956</v>
      </c>
      <c r="V20">
        <v>2016</v>
      </c>
      <c r="W20" t="s">
        <v>20</v>
      </c>
      <c r="X20" s="1">
        <v>13.83760864</v>
      </c>
      <c r="Y20" s="3">
        <v>-2.7884199395138</v>
      </c>
      <c r="AC20">
        <v>2016</v>
      </c>
      <c r="AD20" t="s">
        <v>20</v>
      </c>
      <c r="AE20" s="1">
        <v>36484.7399869721</v>
      </c>
      <c r="AF20" s="3">
        <v>11.0058259308977</v>
      </c>
      <c r="AG20" s="3">
        <v>9.79563960326517</v>
      </c>
    </row>
    <row r="21" spans="2:34">
      <c r="B21" s="1" t="s">
        <v>33</v>
      </c>
      <c r="C21" s="2">
        <v>1</v>
      </c>
      <c r="D21" s="1">
        <v>17.3300004005432</v>
      </c>
      <c r="H21">
        <v>2016</v>
      </c>
      <c r="I21" t="s">
        <v>9</v>
      </c>
      <c r="J21" s="2">
        <v>22389</v>
      </c>
      <c r="K21" s="3">
        <v>4.7291608195341</v>
      </c>
      <c r="L21" s="3">
        <v>29.8816568047337</v>
      </c>
      <c r="O21">
        <v>2016</v>
      </c>
      <c r="P21" t="s">
        <v>9</v>
      </c>
      <c r="Q21" s="1">
        <v>284931.42</v>
      </c>
      <c r="R21" s="3">
        <v>-3.67643638464272</v>
      </c>
      <c r="S21" s="3">
        <v>19.8170873630124</v>
      </c>
      <c r="V21">
        <v>2016</v>
      </c>
      <c r="W21" t="s">
        <v>9</v>
      </c>
      <c r="X21" s="1">
        <v>12.7269707</v>
      </c>
      <c r="Y21" s="3">
        <v>-8.0262274276894</v>
      </c>
      <c r="Z21" s="3">
        <v>-7.74491011542775</v>
      </c>
      <c r="AC21">
        <v>2016</v>
      </c>
      <c r="AD21" t="s">
        <v>9</v>
      </c>
      <c r="AE21" s="1">
        <v>35174.7883374869</v>
      </c>
      <c r="AF21" s="3">
        <v>10.8669265509938</v>
      </c>
      <c r="AG21" s="3">
        <v>-3.59040971637159</v>
      </c>
      <c r="AH21" s="3">
        <v>-41.0390196438401</v>
      </c>
    </row>
    <row r="22" spans="2:34">
      <c r="B22" s="1" t="s">
        <v>34</v>
      </c>
      <c r="C22" s="2">
        <v>475</v>
      </c>
      <c r="D22" s="1">
        <v>11991.1199628785</v>
      </c>
    </row>
  </sheetData>
  <mergeCells count="7">
    <mergeCell ref="B5:AH5"/>
    <mergeCell ref="B7:E7"/>
    <mergeCell ref="B12:D12"/>
    <mergeCell ref="H7:L7"/>
    <mergeCell ref="O7:S7"/>
    <mergeCell ref="V7:Z7"/>
    <mergeCell ref="AC7:AH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21"/>
  <sheetViews>
    <sheetView workbookViewId="0"/>
  </sheetViews>
  <sheetFormatPr defaultRowHeight="15"/>
  <cols>
    <col min="1" max="41" width="20.7109375" customWidth="1"/>
    <col min="4" max="4" width="9.140625" style="1"/>
    <col min="5" max="5" width="9.140625" style="2"/>
    <col min="6" max="6" width="9.140625" style="1"/>
    <col min="11" max="11" width="9.140625" style="1"/>
    <col min="12" max="12" width="9.140625" style="2"/>
    <col min="13" max="13" width="9.140625" style="1"/>
    <col min="18" max="18" width="9.140625" style="1"/>
    <col min="19" max="19" width="9.140625" style="2"/>
    <col min="20" max="20" width="9.140625" style="1"/>
    <col min="25" max="25" width="9.140625" style="1"/>
    <col min="26" max="26" width="9.140625" style="2"/>
    <col min="27" max="27" width="9.140625" style="1"/>
    <col min="32" max="32" width="9.140625" style="1"/>
    <col min="33" max="33" width="9.140625" style="2"/>
    <col min="34" max="34" width="9.140625" style="1"/>
    <col min="39" max="39" width="9.140625" style="1"/>
    <col min="40" max="40" width="9.140625" style="2"/>
    <col min="41" max="41" width="9.140625" style="1"/>
  </cols>
  <sheetData>
    <row r="1" spans="1:41">
      <c r="A1" s="4" t="s">
        <v>53</v>
      </c>
    </row>
    <row r="5" spans="1:41">
      <c r="B5" s="5" t="s">
        <v>53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7" spans="1:41">
      <c r="B7" s="5" t="s">
        <v>54</v>
      </c>
      <c r="C7" s="5"/>
      <c r="D7" s="5"/>
      <c r="E7" s="5"/>
      <c r="F7" s="5"/>
      <c r="I7" s="5" t="s">
        <v>55</v>
      </c>
      <c r="J7" s="5"/>
      <c r="K7" s="5"/>
      <c r="L7" s="5"/>
      <c r="M7" s="5"/>
      <c r="P7" s="5" t="s">
        <v>56</v>
      </c>
      <c r="Q7" s="5"/>
      <c r="R7" s="5"/>
      <c r="S7" s="5"/>
      <c r="T7" s="5"/>
      <c r="W7" s="5" t="s">
        <v>57</v>
      </c>
      <c r="X7" s="5"/>
      <c r="Y7" s="5"/>
      <c r="Z7" s="5"/>
      <c r="AA7" s="5"/>
      <c r="AD7" s="5" t="s">
        <v>58</v>
      </c>
      <c r="AE7" s="5"/>
      <c r="AF7" s="5"/>
      <c r="AG7" s="5"/>
      <c r="AH7" s="5"/>
      <c r="AK7" s="5" t="s">
        <v>59</v>
      </c>
      <c r="AL7" s="5"/>
      <c r="AM7" s="5"/>
      <c r="AN7" s="5"/>
      <c r="AO7" s="5"/>
    </row>
    <row r="8" spans="1:41">
      <c r="B8" s="6" t="s">
        <v>4</v>
      </c>
      <c r="C8" s="6" t="s">
        <v>5</v>
      </c>
      <c r="D8" s="6" t="s">
        <v>35</v>
      </c>
      <c r="E8" s="6" t="s">
        <v>6</v>
      </c>
      <c r="F8" s="6" t="s">
        <v>36</v>
      </c>
      <c r="I8" s="6" t="s">
        <v>4</v>
      </c>
      <c r="J8" s="6" t="s">
        <v>5</v>
      </c>
      <c r="K8" s="6" t="s">
        <v>35</v>
      </c>
      <c r="L8" s="6" t="s">
        <v>6</v>
      </c>
      <c r="M8" s="6" t="s">
        <v>36</v>
      </c>
      <c r="P8" s="6" t="s">
        <v>4</v>
      </c>
      <c r="Q8" s="6" t="s">
        <v>5</v>
      </c>
      <c r="R8" s="6" t="s">
        <v>35</v>
      </c>
      <c r="S8" s="6" t="s">
        <v>6</v>
      </c>
      <c r="T8" s="6" t="s">
        <v>36</v>
      </c>
      <c r="W8" s="6" t="s">
        <v>4</v>
      </c>
      <c r="X8" s="6" t="s">
        <v>5</v>
      </c>
      <c r="Y8" s="6" t="s">
        <v>35</v>
      </c>
      <c r="Z8" s="6" t="s">
        <v>6</v>
      </c>
      <c r="AA8" s="6" t="s">
        <v>36</v>
      </c>
      <c r="AD8" s="6" t="s">
        <v>4</v>
      </c>
      <c r="AE8" s="6" t="s">
        <v>5</v>
      </c>
      <c r="AF8" s="6" t="s">
        <v>35</v>
      </c>
      <c r="AG8" s="6" t="s">
        <v>6</v>
      </c>
      <c r="AH8" s="6" t="s">
        <v>36</v>
      </c>
      <c r="AK8" s="6" t="s">
        <v>4</v>
      </c>
      <c r="AL8" s="6" t="s">
        <v>5</v>
      </c>
      <c r="AM8" s="6" t="s">
        <v>35</v>
      </c>
      <c r="AN8" s="6" t="s">
        <v>6</v>
      </c>
      <c r="AO8" s="6" t="s">
        <v>36</v>
      </c>
    </row>
    <row r="9" spans="1:41">
      <c r="B9">
        <v>2015</v>
      </c>
      <c r="C9" t="s">
        <v>9</v>
      </c>
      <c r="D9" s="1">
        <v>66032.34</v>
      </c>
      <c r="E9" s="2">
        <v>8619</v>
      </c>
      <c r="F9" s="1">
        <v>7.66125305</v>
      </c>
      <c r="I9">
        <v>2015</v>
      </c>
      <c r="J9" t="s">
        <v>9</v>
      </c>
      <c r="K9" s="1">
        <v>28050.45</v>
      </c>
      <c r="L9" s="2">
        <v>1538</v>
      </c>
      <c r="M9" s="1">
        <v>18.23826398</v>
      </c>
      <c r="P9">
        <v>2015</v>
      </c>
      <c r="Q9" t="s">
        <v>9</v>
      </c>
      <c r="R9" s="1">
        <v>39563.04</v>
      </c>
      <c r="S9" s="2">
        <v>3193</v>
      </c>
      <c r="T9" s="1">
        <v>12.39055434</v>
      </c>
      <c r="W9">
        <v>2015</v>
      </c>
      <c r="X9" t="s">
        <v>9</v>
      </c>
      <c r="Y9" s="1">
        <v>18390.36</v>
      </c>
      <c r="Z9" s="2">
        <v>1667</v>
      </c>
      <c r="AA9" s="1">
        <v>11.0320096</v>
      </c>
      <c r="AD9">
        <v>2015</v>
      </c>
      <c r="AE9" t="s">
        <v>9</v>
      </c>
      <c r="AF9" s="1">
        <v>25134.07</v>
      </c>
      <c r="AG9" s="2">
        <v>636</v>
      </c>
      <c r="AH9" s="1">
        <v>39.51897799</v>
      </c>
      <c r="AK9">
        <v>2015</v>
      </c>
      <c r="AL9" t="s">
        <v>9</v>
      </c>
      <c r="AM9" s="1">
        <v>60635.07</v>
      </c>
      <c r="AN9" s="2">
        <v>1585</v>
      </c>
      <c r="AO9" s="1">
        <v>38.25556467</v>
      </c>
    </row>
    <row r="10" spans="1:41">
      <c r="B10">
        <v>2015</v>
      </c>
      <c r="C10" t="s">
        <v>10</v>
      </c>
      <c r="D10" s="1">
        <v>65978.98</v>
      </c>
      <c r="E10" s="2">
        <v>8623</v>
      </c>
      <c r="F10" s="1">
        <v>7.65151108</v>
      </c>
      <c r="I10">
        <v>2015</v>
      </c>
      <c r="J10" t="s">
        <v>10</v>
      </c>
      <c r="K10" s="1">
        <v>28803.42</v>
      </c>
      <c r="L10" s="2">
        <v>1523</v>
      </c>
      <c r="M10" s="1">
        <v>18.91229153</v>
      </c>
      <c r="P10">
        <v>2015</v>
      </c>
      <c r="Q10" t="s">
        <v>10</v>
      </c>
      <c r="R10" s="1">
        <v>40640.22</v>
      </c>
      <c r="S10" s="2">
        <v>3259</v>
      </c>
      <c r="T10" s="1">
        <v>12.47015035</v>
      </c>
      <c r="W10">
        <v>2015</v>
      </c>
      <c r="X10" t="s">
        <v>10</v>
      </c>
      <c r="Y10" s="1">
        <v>17967.7</v>
      </c>
      <c r="Z10" s="2">
        <v>1609</v>
      </c>
      <c r="AA10" s="1">
        <v>11.16699814</v>
      </c>
      <c r="AD10">
        <v>2015</v>
      </c>
      <c r="AE10" t="s">
        <v>10</v>
      </c>
      <c r="AF10" s="1">
        <v>25927.43</v>
      </c>
      <c r="AG10" s="2">
        <v>617</v>
      </c>
      <c r="AH10" s="1">
        <v>42.02176661</v>
      </c>
      <c r="AK10">
        <v>2015</v>
      </c>
      <c r="AL10" t="s">
        <v>10</v>
      </c>
      <c r="AM10" s="1">
        <v>60890.58</v>
      </c>
      <c r="AN10" s="2">
        <v>1558</v>
      </c>
      <c r="AO10" s="1">
        <v>39.08252888</v>
      </c>
    </row>
    <row r="11" spans="1:41">
      <c r="B11">
        <v>2015</v>
      </c>
      <c r="C11" t="s">
        <v>11</v>
      </c>
      <c r="D11" s="1">
        <v>72379.18</v>
      </c>
      <c r="E11" s="2">
        <v>9292</v>
      </c>
      <c r="F11" s="1">
        <v>7.78940809</v>
      </c>
      <c r="I11">
        <v>2015</v>
      </c>
      <c r="J11" t="s">
        <v>11</v>
      </c>
      <c r="K11" s="1">
        <v>29076.34</v>
      </c>
      <c r="L11" s="2">
        <v>1614</v>
      </c>
      <c r="M11" s="1">
        <v>18.01508055</v>
      </c>
      <c r="P11">
        <v>2015</v>
      </c>
      <c r="Q11" t="s">
        <v>11</v>
      </c>
      <c r="R11" s="1">
        <v>39045.24</v>
      </c>
      <c r="S11" s="2">
        <v>3184</v>
      </c>
      <c r="T11" s="1">
        <v>12.26295226</v>
      </c>
      <c r="W11">
        <v>2015</v>
      </c>
      <c r="X11" t="s">
        <v>11</v>
      </c>
      <c r="Y11" s="1">
        <v>19128.66</v>
      </c>
      <c r="Z11" s="2">
        <v>1726</v>
      </c>
      <c r="AA11" s="1">
        <v>11.08265353</v>
      </c>
      <c r="AD11">
        <v>2015</v>
      </c>
      <c r="AE11" t="s">
        <v>11</v>
      </c>
      <c r="AF11" s="1">
        <v>27548.95</v>
      </c>
      <c r="AG11" s="2">
        <v>693</v>
      </c>
      <c r="AH11" s="1">
        <v>39.7531746</v>
      </c>
      <c r="AK11">
        <v>2015</v>
      </c>
      <c r="AL11" t="s">
        <v>11</v>
      </c>
      <c r="AM11" s="1">
        <v>64316.58</v>
      </c>
      <c r="AN11" s="2">
        <v>1684</v>
      </c>
      <c r="AO11" s="1">
        <v>38.19274347</v>
      </c>
    </row>
    <row r="12" spans="1:41">
      <c r="B12">
        <v>2015</v>
      </c>
      <c r="C12" t="s">
        <v>12</v>
      </c>
      <c r="D12" s="1">
        <v>88605.65</v>
      </c>
      <c r="E12" s="2">
        <v>11258</v>
      </c>
      <c r="F12" s="1">
        <v>7.87046101</v>
      </c>
      <c r="I12">
        <v>2015</v>
      </c>
      <c r="J12" t="s">
        <v>12</v>
      </c>
      <c r="K12" s="1">
        <v>32108.57</v>
      </c>
      <c r="L12" s="2">
        <v>1830</v>
      </c>
      <c r="M12" s="1">
        <v>17.54566667</v>
      </c>
      <c r="P12">
        <v>2015</v>
      </c>
      <c r="Q12" t="s">
        <v>12</v>
      </c>
      <c r="R12" s="1">
        <v>46787.66</v>
      </c>
      <c r="S12" s="2">
        <v>3881</v>
      </c>
      <c r="T12" s="1">
        <v>12.05556815</v>
      </c>
      <c r="W12">
        <v>2015</v>
      </c>
      <c r="X12" t="s">
        <v>12</v>
      </c>
      <c r="Y12" s="1">
        <v>21558.73</v>
      </c>
      <c r="Z12" s="2">
        <v>1970</v>
      </c>
      <c r="AA12" s="1">
        <v>10.94351777</v>
      </c>
      <c r="AD12">
        <v>2015</v>
      </c>
      <c r="AE12" t="s">
        <v>12</v>
      </c>
      <c r="AF12" s="1">
        <v>29931.73</v>
      </c>
      <c r="AG12" s="2">
        <v>741</v>
      </c>
      <c r="AH12" s="1">
        <v>40.39369771</v>
      </c>
      <c r="AK12">
        <v>2015</v>
      </c>
      <c r="AL12" t="s">
        <v>12</v>
      </c>
      <c r="AM12" s="1">
        <v>79222.74</v>
      </c>
      <c r="AN12" s="2">
        <v>2075</v>
      </c>
      <c r="AO12" s="1">
        <v>38.17963373</v>
      </c>
    </row>
    <row r="13" spans="1:41">
      <c r="B13">
        <v>2015</v>
      </c>
      <c r="C13" t="s">
        <v>13</v>
      </c>
      <c r="D13" s="1">
        <v>126581.21</v>
      </c>
      <c r="E13" s="2">
        <v>15621</v>
      </c>
      <c r="F13" s="1">
        <v>8.10327188</v>
      </c>
      <c r="I13">
        <v>2015</v>
      </c>
      <c r="J13" t="s">
        <v>13</v>
      </c>
      <c r="K13" s="1">
        <v>35882.74</v>
      </c>
      <c r="L13" s="2">
        <v>1981</v>
      </c>
      <c r="M13" s="1">
        <v>18.11344775</v>
      </c>
      <c r="P13">
        <v>2015</v>
      </c>
      <c r="Q13" t="s">
        <v>13</v>
      </c>
      <c r="R13" s="1">
        <v>48808.96</v>
      </c>
      <c r="S13" s="2">
        <v>3971</v>
      </c>
      <c r="T13" s="1">
        <v>12.2913523</v>
      </c>
      <c r="W13">
        <v>2015</v>
      </c>
      <c r="X13" t="s">
        <v>13</v>
      </c>
      <c r="Y13" s="1">
        <v>26105.43</v>
      </c>
      <c r="Z13" s="2">
        <v>2361</v>
      </c>
      <c r="AA13" s="1">
        <v>11.05693774</v>
      </c>
      <c r="AD13">
        <v>2015</v>
      </c>
      <c r="AE13" t="s">
        <v>13</v>
      </c>
      <c r="AF13" s="1">
        <v>38378.03</v>
      </c>
      <c r="AG13" s="2">
        <v>921</v>
      </c>
      <c r="AH13" s="1">
        <v>41.66995657</v>
      </c>
      <c r="AK13">
        <v>2015</v>
      </c>
      <c r="AL13" t="s">
        <v>13</v>
      </c>
      <c r="AM13" s="1">
        <v>98663.34</v>
      </c>
      <c r="AN13" s="2">
        <v>2627</v>
      </c>
      <c r="AO13" s="1">
        <v>37.55741911</v>
      </c>
    </row>
    <row r="14" spans="1:41">
      <c r="B14">
        <v>2015</v>
      </c>
      <c r="C14" t="s">
        <v>14</v>
      </c>
      <c r="D14" s="1">
        <v>115542.14</v>
      </c>
      <c r="E14" s="2">
        <v>13816</v>
      </c>
      <c r="F14" s="1">
        <v>8.3629227</v>
      </c>
      <c r="I14">
        <v>2015</v>
      </c>
      <c r="J14" t="s">
        <v>14</v>
      </c>
      <c r="K14" s="1">
        <v>33749.65</v>
      </c>
      <c r="L14" s="2">
        <v>1848</v>
      </c>
      <c r="M14" s="1">
        <v>18.26279762</v>
      </c>
      <c r="P14">
        <v>2015</v>
      </c>
      <c r="Q14" t="s">
        <v>14</v>
      </c>
      <c r="R14" s="1">
        <v>50736.17</v>
      </c>
      <c r="S14" s="2">
        <v>3956</v>
      </c>
      <c r="T14" s="1">
        <v>12.82511881</v>
      </c>
      <c r="W14">
        <v>2015</v>
      </c>
      <c r="X14" t="s">
        <v>14</v>
      </c>
      <c r="Y14" s="1">
        <v>33068.41</v>
      </c>
      <c r="Z14" s="2">
        <v>2835</v>
      </c>
      <c r="AA14" s="1">
        <v>11.66434215</v>
      </c>
      <c r="AD14">
        <v>2015</v>
      </c>
      <c r="AE14" t="s">
        <v>14</v>
      </c>
      <c r="AF14" s="1">
        <v>31919.86</v>
      </c>
      <c r="AG14" s="2">
        <v>725</v>
      </c>
      <c r="AH14" s="1">
        <v>44.0273931</v>
      </c>
      <c r="AK14">
        <v>2015</v>
      </c>
      <c r="AL14" t="s">
        <v>14</v>
      </c>
      <c r="AM14" s="1">
        <v>85665.14</v>
      </c>
      <c r="AN14" s="2">
        <v>2138</v>
      </c>
      <c r="AO14" s="1">
        <v>40.06788587</v>
      </c>
    </row>
    <row r="15" spans="1:41">
      <c r="B15">
        <v>2016</v>
      </c>
      <c r="C15" t="s">
        <v>15</v>
      </c>
      <c r="D15" s="1">
        <v>123941.47</v>
      </c>
      <c r="E15" s="2">
        <v>14393</v>
      </c>
      <c r="F15" s="1">
        <v>8.61123254</v>
      </c>
      <c r="I15">
        <v>2016</v>
      </c>
      <c r="J15" t="s">
        <v>15</v>
      </c>
      <c r="K15" s="1">
        <v>27737.84</v>
      </c>
      <c r="L15" s="2">
        <v>1431</v>
      </c>
      <c r="M15" s="1">
        <v>19.38353599</v>
      </c>
      <c r="P15">
        <v>2016</v>
      </c>
      <c r="Q15" t="s">
        <v>15</v>
      </c>
      <c r="R15" s="1">
        <v>40916.35</v>
      </c>
      <c r="S15" s="2">
        <v>3050</v>
      </c>
      <c r="T15" s="1">
        <v>13.41519672</v>
      </c>
      <c r="W15">
        <v>2016</v>
      </c>
      <c r="X15" t="s">
        <v>15</v>
      </c>
      <c r="Y15" s="1">
        <v>22018.09</v>
      </c>
      <c r="Z15" s="2">
        <v>1835</v>
      </c>
      <c r="AA15" s="1">
        <v>11.99895913</v>
      </c>
      <c r="AD15">
        <v>2016</v>
      </c>
      <c r="AE15" t="s">
        <v>15</v>
      </c>
      <c r="AF15" s="1">
        <v>24628.95</v>
      </c>
      <c r="AG15" s="2">
        <v>472</v>
      </c>
      <c r="AH15" s="1">
        <v>52.17997881</v>
      </c>
      <c r="AK15">
        <v>2016</v>
      </c>
      <c r="AL15" t="s">
        <v>15</v>
      </c>
      <c r="AM15" s="1">
        <v>96426.42</v>
      </c>
      <c r="AN15" s="2">
        <v>2336</v>
      </c>
      <c r="AO15" s="1">
        <v>41.27843322</v>
      </c>
    </row>
    <row r="16" spans="1:41">
      <c r="B16">
        <v>2016</v>
      </c>
      <c r="C16" t="s">
        <v>16</v>
      </c>
      <c r="D16" s="1">
        <v>121788.94</v>
      </c>
      <c r="E16" s="2">
        <v>14517</v>
      </c>
      <c r="F16" s="1">
        <v>8.38940139</v>
      </c>
      <c r="I16">
        <v>2016</v>
      </c>
      <c r="J16" t="s">
        <v>16</v>
      </c>
      <c r="K16" s="1">
        <v>31829.27</v>
      </c>
      <c r="L16" s="2">
        <v>1649</v>
      </c>
      <c r="M16" s="1">
        <v>19.30216495</v>
      </c>
      <c r="P16">
        <v>2016</v>
      </c>
      <c r="Q16" t="s">
        <v>16</v>
      </c>
      <c r="R16" s="1">
        <v>44781.29</v>
      </c>
      <c r="S16" s="2">
        <v>3377</v>
      </c>
      <c r="T16" s="1">
        <v>13.26067219</v>
      </c>
      <c r="W16">
        <v>2016</v>
      </c>
      <c r="X16" t="s">
        <v>16</v>
      </c>
      <c r="Y16" s="1">
        <v>21450.89</v>
      </c>
      <c r="Z16" s="2">
        <v>1815</v>
      </c>
      <c r="AA16" s="1">
        <v>11.81867218</v>
      </c>
      <c r="AD16">
        <v>2016</v>
      </c>
      <c r="AE16" t="s">
        <v>16</v>
      </c>
      <c r="AF16" s="1">
        <v>24772.49</v>
      </c>
      <c r="AG16" s="2">
        <v>481</v>
      </c>
      <c r="AH16" s="1">
        <v>51.50205821</v>
      </c>
      <c r="AK16">
        <v>2016</v>
      </c>
      <c r="AL16" t="s">
        <v>16</v>
      </c>
      <c r="AM16" s="1">
        <v>88967.15</v>
      </c>
      <c r="AN16" s="2">
        <v>2161</v>
      </c>
      <c r="AO16" s="1">
        <v>41.16943545</v>
      </c>
    </row>
    <row r="17" spans="2:41">
      <c r="B17">
        <v>2016</v>
      </c>
      <c r="C17" t="s">
        <v>17</v>
      </c>
      <c r="D17" s="1">
        <v>146213.43</v>
      </c>
      <c r="E17" s="2">
        <v>17205</v>
      </c>
      <c r="F17" s="1">
        <v>8.49831037</v>
      </c>
      <c r="I17">
        <v>2016</v>
      </c>
      <c r="J17" t="s">
        <v>17</v>
      </c>
      <c r="K17" s="1">
        <v>33934.13</v>
      </c>
      <c r="L17" s="2">
        <v>1796</v>
      </c>
      <c r="M17" s="1">
        <v>18.89428174</v>
      </c>
      <c r="P17">
        <v>2016</v>
      </c>
      <c r="Q17" t="s">
        <v>17</v>
      </c>
      <c r="R17" s="1">
        <v>49603.65</v>
      </c>
      <c r="S17" s="2">
        <v>3783</v>
      </c>
      <c r="T17" s="1">
        <v>13.11225218</v>
      </c>
      <c r="W17">
        <v>2016</v>
      </c>
      <c r="X17" t="s">
        <v>17</v>
      </c>
      <c r="Y17" s="1">
        <v>23980.65</v>
      </c>
      <c r="Z17" s="2">
        <v>2058</v>
      </c>
      <c r="AA17" s="1">
        <v>11.65240525</v>
      </c>
      <c r="AD17">
        <v>2016</v>
      </c>
      <c r="AE17" t="s">
        <v>17</v>
      </c>
      <c r="AF17" s="1">
        <v>24420.81</v>
      </c>
      <c r="AG17" s="2">
        <v>487</v>
      </c>
      <c r="AH17" s="1">
        <v>50.14540041</v>
      </c>
      <c r="AK17">
        <v>2016</v>
      </c>
      <c r="AL17" t="s">
        <v>17</v>
      </c>
      <c r="AM17" s="1">
        <v>91284.27</v>
      </c>
      <c r="AN17" s="2">
        <v>2291</v>
      </c>
      <c r="AO17" s="1">
        <v>39.84472719</v>
      </c>
    </row>
    <row r="18" spans="2:41">
      <c r="B18">
        <v>2016</v>
      </c>
      <c r="C18" t="s">
        <v>18</v>
      </c>
      <c r="D18" s="1">
        <v>118048.45</v>
      </c>
      <c r="E18" s="2">
        <v>14185</v>
      </c>
      <c r="F18" s="1">
        <v>8.32206204</v>
      </c>
      <c r="I18">
        <v>2016</v>
      </c>
      <c r="J18" t="s">
        <v>18</v>
      </c>
      <c r="K18" s="1">
        <v>37381.78</v>
      </c>
      <c r="L18" s="2">
        <v>1940</v>
      </c>
      <c r="M18" s="1">
        <v>19.26895876</v>
      </c>
      <c r="P18">
        <v>2016</v>
      </c>
      <c r="Q18" t="s">
        <v>18</v>
      </c>
      <c r="R18" s="1">
        <v>45130.33</v>
      </c>
      <c r="S18" s="2">
        <v>3386</v>
      </c>
      <c r="T18" s="1">
        <v>13.32850856</v>
      </c>
      <c r="W18">
        <v>2016</v>
      </c>
      <c r="X18" t="s">
        <v>18</v>
      </c>
      <c r="Y18" s="1">
        <v>22391.77</v>
      </c>
      <c r="Z18" s="2">
        <v>1907</v>
      </c>
      <c r="AA18" s="1">
        <v>11.74188254</v>
      </c>
      <c r="AD18">
        <v>2016</v>
      </c>
      <c r="AE18" t="s">
        <v>18</v>
      </c>
      <c r="AF18" s="1">
        <v>23983.14</v>
      </c>
      <c r="AG18" s="2">
        <v>462</v>
      </c>
      <c r="AH18" s="1">
        <v>51.91155844</v>
      </c>
      <c r="AK18">
        <v>2016</v>
      </c>
      <c r="AL18" t="s">
        <v>18</v>
      </c>
      <c r="AM18" s="1">
        <v>84938.14</v>
      </c>
      <c r="AN18" s="2">
        <v>2149</v>
      </c>
      <c r="AO18" s="1">
        <v>39.52449511</v>
      </c>
    </row>
    <row r="19" spans="2:41">
      <c r="B19">
        <v>2016</v>
      </c>
      <c r="C19" t="s">
        <v>19</v>
      </c>
      <c r="D19" s="1">
        <v>107791.11</v>
      </c>
      <c r="E19" s="2">
        <v>12914</v>
      </c>
      <c r="F19" s="1">
        <v>8.34684141</v>
      </c>
      <c r="I19">
        <v>2016</v>
      </c>
      <c r="J19" t="s">
        <v>19</v>
      </c>
      <c r="K19" s="1">
        <v>30689.94</v>
      </c>
      <c r="L19" s="2">
        <v>1607</v>
      </c>
      <c r="M19" s="1">
        <v>19.09766024</v>
      </c>
      <c r="P19">
        <v>2016</v>
      </c>
      <c r="Q19" t="s">
        <v>19</v>
      </c>
      <c r="R19" s="1">
        <v>38921.41</v>
      </c>
      <c r="S19" s="2">
        <v>2864</v>
      </c>
      <c r="T19" s="1">
        <v>13.58987779</v>
      </c>
      <c r="W19">
        <v>2016</v>
      </c>
      <c r="X19" t="s">
        <v>19</v>
      </c>
      <c r="Y19" s="1">
        <v>18540.12</v>
      </c>
      <c r="Z19" s="2">
        <v>1493</v>
      </c>
      <c r="AA19" s="1">
        <v>12.41803081</v>
      </c>
      <c r="AD19">
        <v>2016</v>
      </c>
      <c r="AE19" t="s">
        <v>19</v>
      </c>
      <c r="AF19" s="1">
        <v>25082.38</v>
      </c>
      <c r="AG19" s="2">
        <v>495</v>
      </c>
      <c r="AH19" s="1">
        <v>50.67147475</v>
      </c>
      <c r="AK19">
        <v>2016</v>
      </c>
      <c r="AL19" t="s">
        <v>19</v>
      </c>
      <c r="AM19" s="1">
        <v>84447.99</v>
      </c>
      <c r="AN19" s="2">
        <v>2087</v>
      </c>
      <c r="AO19" s="1">
        <v>40.46381888</v>
      </c>
    </row>
    <row r="20" spans="2:41">
      <c r="B20">
        <v>2016</v>
      </c>
      <c r="C20" t="s">
        <v>20</v>
      </c>
      <c r="D20" s="1">
        <v>109673.44</v>
      </c>
      <c r="E20" s="2">
        <v>13482</v>
      </c>
      <c r="F20" s="1">
        <v>8.13480493</v>
      </c>
      <c r="I20">
        <v>2016</v>
      </c>
      <c r="J20" t="s">
        <v>20</v>
      </c>
      <c r="K20" s="1">
        <v>30937.4</v>
      </c>
      <c r="L20" s="2">
        <v>1407</v>
      </c>
      <c r="M20" s="1">
        <v>21.98820185</v>
      </c>
      <c r="P20">
        <v>2016</v>
      </c>
      <c r="Q20" t="s">
        <v>20</v>
      </c>
      <c r="R20" s="1">
        <v>36055.36</v>
      </c>
      <c r="S20" s="2">
        <v>2676</v>
      </c>
      <c r="T20" s="1">
        <v>13.47360239</v>
      </c>
      <c r="W20">
        <v>2016</v>
      </c>
      <c r="X20" t="s">
        <v>20</v>
      </c>
      <c r="Y20" s="1">
        <v>17245.06</v>
      </c>
      <c r="Z20" s="2">
        <v>1440</v>
      </c>
      <c r="AA20" s="1">
        <v>11.97573611</v>
      </c>
      <c r="AD20">
        <v>2016</v>
      </c>
      <c r="AE20" t="s">
        <v>20</v>
      </c>
      <c r="AF20" s="1">
        <v>23188.59</v>
      </c>
      <c r="AG20" s="2">
        <v>445</v>
      </c>
      <c r="AH20" s="1">
        <v>52.10919101</v>
      </c>
      <c r="AK20">
        <v>2016</v>
      </c>
      <c r="AL20" t="s">
        <v>20</v>
      </c>
      <c r="AM20" s="1">
        <v>78706.71</v>
      </c>
      <c r="AN20" s="2">
        <v>1927</v>
      </c>
      <c r="AO20" s="1">
        <v>40.8441671</v>
      </c>
    </row>
    <row r="21" spans="2:41">
      <c r="B21">
        <v>2016</v>
      </c>
      <c r="C21" t="s">
        <v>9</v>
      </c>
      <c r="D21" s="1">
        <v>117079.41</v>
      </c>
      <c r="E21" s="2">
        <v>15007</v>
      </c>
      <c r="F21" s="1">
        <v>7.80165323</v>
      </c>
      <c r="I21">
        <v>2016</v>
      </c>
      <c r="J21" t="s">
        <v>9</v>
      </c>
      <c r="K21" s="1">
        <v>25583.9</v>
      </c>
      <c r="L21" s="2">
        <v>1278</v>
      </c>
      <c r="M21" s="1">
        <v>20.0187011</v>
      </c>
      <c r="P21">
        <v>2016</v>
      </c>
      <c r="Q21" t="s">
        <v>9</v>
      </c>
      <c r="R21" s="1">
        <v>33754.88</v>
      </c>
      <c r="S21" s="2">
        <v>2561</v>
      </c>
      <c r="T21" s="1">
        <v>13.18035143</v>
      </c>
      <c r="W21">
        <v>2016</v>
      </c>
      <c r="X21" t="s">
        <v>9</v>
      </c>
      <c r="Y21" s="1">
        <v>14317.06</v>
      </c>
      <c r="Z21" s="2">
        <v>1207</v>
      </c>
      <c r="AA21" s="1">
        <v>11.86169014</v>
      </c>
      <c r="AD21">
        <v>2016</v>
      </c>
      <c r="AE21" t="s">
        <v>9</v>
      </c>
      <c r="AF21" s="1">
        <v>20199.68</v>
      </c>
      <c r="AG21" s="2">
        <v>433</v>
      </c>
      <c r="AH21" s="1">
        <v>46.65053118</v>
      </c>
      <c r="AK21">
        <v>2016</v>
      </c>
      <c r="AL21" t="s">
        <v>9</v>
      </c>
      <c r="AM21" s="1">
        <v>73996.49</v>
      </c>
      <c r="AN21" s="2">
        <v>1902</v>
      </c>
      <c r="AO21" s="1">
        <v>38.90456887</v>
      </c>
    </row>
  </sheetData>
  <mergeCells count="7">
    <mergeCell ref="B5:AO5"/>
    <mergeCell ref="B7:F7"/>
    <mergeCell ref="I7:M7"/>
    <mergeCell ref="P7:T7"/>
    <mergeCell ref="W7:AA7"/>
    <mergeCell ref="AD7:AH7"/>
    <mergeCell ref="AK7:AO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21"/>
  <sheetViews>
    <sheetView workbookViewId="0"/>
  </sheetViews>
  <sheetFormatPr defaultRowHeight="15"/>
  <cols>
    <col min="1" max="56" width="20.7109375" customWidth="1"/>
    <col min="4" max="4" width="9.140625" style="2"/>
    <col min="5" max="5" width="9.140625" style="1"/>
    <col min="6" max="6" width="9.140625" style="1"/>
    <col min="11" max="11" width="9.140625" style="2"/>
    <col min="12" max="12" width="9.140625" style="1"/>
    <col min="13" max="13" width="9.140625" style="1"/>
    <col min="18" max="18" width="9.140625" style="2"/>
    <col min="19" max="19" width="9.140625" style="1"/>
    <col min="20" max="20" width="9.140625" style="1"/>
    <col min="25" max="25" width="9.140625" style="2"/>
    <col min="26" max="26" width="9.140625" style="1"/>
    <col min="27" max="27" width="9.140625" style="1"/>
    <col min="32" max="32" width="9.140625" style="2"/>
    <col min="33" max="33" width="9.140625" style="1"/>
    <col min="34" max="34" width="9.140625" style="1"/>
    <col min="39" max="39" width="9.140625" style="2"/>
    <col min="40" max="40" width="9.140625" style="1"/>
    <col min="41" max="41" width="9.140625" style="1"/>
    <col min="46" max="46" width="9.140625" style="2"/>
    <col min="47" max="47" width="9.140625" style="1"/>
    <col min="48" max="48" width="9.140625" style="1"/>
    <col min="53" max="53" width="9.140625" style="2"/>
    <col min="54" max="54" width="9.140625" style="1"/>
    <col min="55" max="55" width="9.140625" style="1"/>
  </cols>
  <sheetData>
    <row r="1" spans="1:55">
      <c r="A1" s="4" t="s">
        <v>60</v>
      </c>
    </row>
    <row r="5" spans="1:55">
      <c r="B5" s="5" t="s">
        <v>60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</row>
    <row r="7" spans="1:55">
      <c r="B7" s="5" t="s">
        <v>53</v>
      </c>
      <c r="C7" s="5"/>
      <c r="D7" s="5"/>
      <c r="E7" s="5"/>
      <c r="F7" s="5"/>
      <c r="I7" s="5" t="s">
        <v>61</v>
      </c>
      <c r="J7" s="5"/>
      <c r="K7" s="5"/>
      <c r="L7" s="5"/>
      <c r="M7" s="5"/>
      <c r="P7" s="5" t="s">
        <v>62</v>
      </c>
      <c r="Q7" s="5"/>
      <c r="R7" s="5"/>
      <c r="S7" s="5"/>
      <c r="T7" s="5"/>
      <c r="W7" s="5" t="s">
        <v>63</v>
      </c>
      <c r="X7" s="5"/>
      <c r="Y7" s="5"/>
      <c r="Z7" s="5"/>
      <c r="AA7" s="5"/>
      <c r="AD7" s="5" t="s">
        <v>64</v>
      </c>
      <c r="AE7" s="5"/>
      <c r="AF7" s="5"/>
      <c r="AG7" s="5"/>
      <c r="AH7" s="5"/>
      <c r="AK7" s="5" t="s">
        <v>65</v>
      </c>
      <c r="AL7" s="5"/>
      <c r="AM7" s="5"/>
      <c r="AN7" s="5"/>
      <c r="AO7" s="5"/>
      <c r="AR7" s="5" t="s">
        <v>66</v>
      </c>
      <c r="AS7" s="5"/>
      <c r="AT7" s="5"/>
      <c r="AU7" s="5"/>
      <c r="AV7" s="5"/>
      <c r="AY7" s="5" t="s">
        <v>67</v>
      </c>
      <c r="AZ7" s="5"/>
      <c r="BA7" s="5"/>
      <c r="BB7" s="5"/>
      <c r="BC7" s="5"/>
    </row>
    <row r="8" spans="1:55">
      <c r="B8" s="6" t="s">
        <v>4</v>
      </c>
      <c r="C8" s="6" t="s">
        <v>5</v>
      </c>
      <c r="D8" s="6" t="s">
        <v>37</v>
      </c>
      <c r="E8" s="6" t="s">
        <v>38</v>
      </c>
      <c r="F8" s="6" t="s">
        <v>39</v>
      </c>
      <c r="I8" s="6" t="s">
        <v>4</v>
      </c>
      <c r="J8" s="6" t="s">
        <v>5</v>
      </c>
      <c r="K8" s="6" t="s">
        <v>37</v>
      </c>
      <c r="L8" s="6" t="s">
        <v>38</v>
      </c>
      <c r="M8" s="6" t="s">
        <v>39</v>
      </c>
      <c r="P8" s="6" t="s">
        <v>4</v>
      </c>
      <c r="Q8" s="6" t="s">
        <v>5</v>
      </c>
      <c r="R8" s="6" t="s">
        <v>37</v>
      </c>
      <c r="S8" s="6" t="s">
        <v>38</v>
      </c>
      <c r="T8" s="6" t="s">
        <v>39</v>
      </c>
      <c r="W8" s="6" t="s">
        <v>4</v>
      </c>
      <c r="X8" s="6" t="s">
        <v>5</v>
      </c>
      <c r="Y8" s="6" t="s">
        <v>37</v>
      </c>
      <c r="Z8" s="6" t="s">
        <v>38</v>
      </c>
      <c r="AA8" s="6" t="s">
        <v>39</v>
      </c>
      <c r="AD8" s="6" t="s">
        <v>4</v>
      </c>
      <c r="AE8" s="6" t="s">
        <v>5</v>
      </c>
      <c r="AF8" s="6" t="s">
        <v>37</v>
      </c>
      <c r="AG8" s="6" t="s">
        <v>38</v>
      </c>
      <c r="AH8" s="6" t="s">
        <v>39</v>
      </c>
      <c r="AK8" s="6" t="s">
        <v>4</v>
      </c>
      <c r="AL8" s="6" t="s">
        <v>5</v>
      </c>
      <c r="AM8" s="6" t="s">
        <v>37</v>
      </c>
      <c r="AN8" s="6" t="s">
        <v>38</v>
      </c>
      <c r="AO8" s="6" t="s">
        <v>39</v>
      </c>
      <c r="AR8" s="6" t="s">
        <v>4</v>
      </c>
      <c r="AS8" s="6" t="s">
        <v>5</v>
      </c>
      <c r="AT8" s="6" t="s">
        <v>37</v>
      </c>
      <c r="AU8" s="6" t="s">
        <v>38</v>
      </c>
      <c r="AV8" s="6" t="s">
        <v>39</v>
      </c>
      <c r="AY8" s="6" t="s">
        <v>4</v>
      </c>
      <c r="AZ8" s="6" t="s">
        <v>5</v>
      </c>
      <c r="BA8" s="6" t="s">
        <v>37</v>
      </c>
      <c r="BB8" s="6" t="s">
        <v>38</v>
      </c>
      <c r="BC8" s="6" t="s">
        <v>39</v>
      </c>
    </row>
    <row r="9" spans="1:55">
      <c r="B9">
        <v>2015</v>
      </c>
      <c r="C9" t="s">
        <v>9</v>
      </c>
      <c r="D9" s="2">
        <v>14921</v>
      </c>
      <c r="E9" s="1">
        <v>268450.199511111</v>
      </c>
      <c r="F9" s="1">
        <v>174142.230533719</v>
      </c>
      <c r="I9">
        <v>2015</v>
      </c>
      <c r="J9" t="s">
        <v>9</v>
      </c>
      <c r="K9" s="2">
        <v>1031</v>
      </c>
      <c r="L9" s="1">
        <v>139.930000638589</v>
      </c>
      <c r="M9" s="1">
        <v>1068.79999743588</v>
      </c>
      <c r="P9">
        <v>2015</v>
      </c>
      <c r="Q9" t="s">
        <v>9</v>
      </c>
      <c r="R9" s="2">
        <v>22</v>
      </c>
      <c r="S9" s="1">
        <v>0</v>
      </c>
      <c r="T9" s="1">
        <v>275</v>
      </c>
      <c r="W9">
        <v>2015</v>
      </c>
      <c r="X9" t="s">
        <v>9</v>
      </c>
      <c r="Y9" s="2">
        <v>1823</v>
      </c>
      <c r="Z9" s="1">
        <v>459.520018100739</v>
      </c>
      <c r="AA9" s="1">
        <v>7034.28999137878</v>
      </c>
      <c r="AD9">
        <v>2015</v>
      </c>
      <c r="AE9" t="s">
        <v>9</v>
      </c>
      <c r="AF9" s="2">
        <v>14903</v>
      </c>
      <c r="AG9" s="1">
        <v>14395.6599904206</v>
      </c>
      <c r="AH9" s="1">
        <v>10368.0399712622</v>
      </c>
      <c r="AK9">
        <v>2015</v>
      </c>
      <c r="AL9" t="s">
        <v>9</v>
      </c>
      <c r="AM9" s="2">
        <v>8</v>
      </c>
      <c r="AN9" s="1">
        <v>33.3299996852875</v>
      </c>
      <c r="AO9" s="1">
        <v>56.8400001525879</v>
      </c>
      <c r="AR9">
        <v>2015</v>
      </c>
      <c r="AS9" t="s">
        <v>9</v>
      </c>
      <c r="AT9" s="2">
        <v>8561</v>
      </c>
      <c r="AU9" s="1">
        <v>8619.17015635967</v>
      </c>
      <c r="AV9" s="1">
        <v>19276.729562521</v>
      </c>
      <c r="AY9">
        <v>2015</v>
      </c>
      <c r="AZ9" t="s">
        <v>9</v>
      </c>
      <c r="BA9" s="2">
        <v>29</v>
      </c>
      <c r="BB9" s="1">
        <v>0</v>
      </c>
      <c r="BC9" s="1">
        <v>290.839999973774</v>
      </c>
    </row>
    <row r="10" spans="1:55">
      <c r="B10">
        <v>2015</v>
      </c>
      <c r="C10" t="s">
        <v>10</v>
      </c>
      <c r="D10" s="2">
        <v>17047</v>
      </c>
      <c r="E10" s="1">
        <v>299808.95921123</v>
      </c>
      <c r="F10" s="1">
        <v>196312.790457705</v>
      </c>
      <c r="I10">
        <v>2015</v>
      </c>
      <c r="J10" t="s">
        <v>10</v>
      </c>
      <c r="K10" s="2">
        <v>1903</v>
      </c>
      <c r="L10" s="1">
        <v>235.669998388737</v>
      </c>
      <c r="M10" s="1">
        <v>1879.31999140978</v>
      </c>
      <c r="P10">
        <v>2015</v>
      </c>
      <c r="Q10" t="s">
        <v>10</v>
      </c>
      <c r="R10" s="2">
        <v>49</v>
      </c>
      <c r="S10" s="1">
        <v>0</v>
      </c>
      <c r="T10" s="1">
        <v>612.5</v>
      </c>
      <c r="W10">
        <v>2015</v>
      </c>
      <c r="X10" t="s">
        <v>10</v>
      </c>
      <c r="Y10" s="2">
        <v>2080</v>
      </c>
      <c r="Z10" s="1">
        <v>621.720024704933</v>
      </c>
      <c r="AA10" s="1">
        <v>8307.97999453545</v>
      </c>
      <c r="AD10">
        <v>2015</v>
      </c>
      <c r="AE10" t="s">
        <v>10</v>
      </c>
      <c r="AF10" s="2">
        <v>16972</v>
      </c>
      <c r="AG10" s="1">
        <v>14848.0100065973</v>
      </c>
      <c r="AH10" s="1">
        <v>11092.4899385273</v>
      </c>
      <c r="AK10">
        <v>2015</v>
      </c>
      <c r="AL10" t="s">
        <v>10</v>
      </c>
      <c r="AM10" s="2">
        <v>3</v>
      </c>
      <c r="AN10" s="1">
        <v>11.6900000572205</v>
      </c>
      <c r="AO10" s="1">
        <v>20.8200001716614</v>
      </c>
      <c r="AR10">
        <v>2015</v>
      </c>
      <c r="AS10" t="s">
        <v>10</v>
      </c>
      <c r="AT10" s="2">
        <v>10160</v>
      </c>
      <c r="AU10" s="1">
        <v>10184.840177536</v>
      </c>
      <c r="AV10" s="1">
        <v>23005.5594587326</v>
      </c>
      <c r="AY10">
        <v>2015</v>
      </c>
      <c r="AZ10" t="s">
        <v>10</v>
      </c>
      <c r="BA10" s="2">
        <v>29</v>
      </c>
      <c r="BB10" s="1">
        <v>0</v>
      </c>
      <c r="BC10" s="1">
        <v>292.5</v>
      </c>
    </row>
    <row r="11" spans="1:55">
      <c r="B11">
        <v>2015</v>
      </c>
      <c r="C11" t="s">
        <v>11</v>
      </c>
      <c r="D11" s="2">
        <v>18226</v>
      </c>
      <c r="E11" s="1">
        <v>316673.669243932</v>
      </c>
      <c r="F11" s="1">
        <v>208793.890540211</v>
      </c>
      <c r="I11">
        <v>2015</v>
      </c>
      <c r="J11" t="s">
        <v>11</v>
      </c>
      <c r="K11" s="2">
        <v>1904</v>
      </c>
      <c r="L11" s="1">
        <v>167.979999249801</v>
      </c>
      <c r="M11" s="1">
        <v>1951.17999443039</v>
      </c>
      <c r="P11">
        <v>2015</v>
      </c>
      <c r="Q11" t="s">
        <v>11</v>
      </c>
      <c r="R11" s="2">
        <v>46</v>
      </c>
      <c r="S11" s="1">
        <v>0</v>
      </c>
      <c r="T11" s="1">
        <v>575</v>
      </c>
      <c r="W11">
        <v>2015</v>
      </c>
      <c r="X11" t="s">
        <v>11</v>
      </c>
      <c r="Y11" s="2">
        <v>2236</v>
      </c>
      <c r="Z11" s="1">
        <v>638.260025262833</v>
      </c>
      <c r="AA11" s="1">
        <v>8861.36999535561</v>
      </c>
      <c r="AD11">
        <v>2015</v>
      </c>
      <c r="AE11" t="s">
        <v>11</v>
      </c>
      <c r="AF11" s="2">
        <v>18168</v>
      </c>
      <c r="AG11" s="1">
        <v>13163.6200011317</v>
      </c>
      <c r="AH11" s="1">
        <v>10470.8899244666</v>
      </c>
      <c r="AK11">
        <v>2015</v>
      </c>
      <c r="AL11" t="s">
        <v>11</v>
      </c>
      <c r="AM11" s="2">
        <v>11</v>
      </c>
      <c r="AN11" s="1">
        <v>22.9100000858307</v>
      </c>
      <c r="AO11" s="1">
        <v>79.4600005149841</v>
      </c>
      <c r="AR11">
        <v>2015</v>
      </c>
      <c r="AS11" t="s">
        <v>11</v>
      </c>
      <c r="AT11" s="2">
        <v>10770</v>
      </c>
      <c r="AU11" s="1">
        <v>10820.1301925182</v>
      </c>
      <c r="AV11" s="1">
        <v>24317.6694381237</v>
      </c>
      <c r="AY11">
        <v>2015</v>
      </c>
      <c r="AZ11" t="s">
        <v>11</v>
      </c>
      <c r="BA11" s="2">
        <v>34</v>
      </c>
      <c r="BB11" s="1">
        <v>12.7600001990795</v>
      </c>
      <c r="BC11" s="1">
        <v>325.139999985695</v>
      </c>
    </row>
    <row r="12" spans="1:55">
      <c r="B12">
        <v>2015</v>
      </c>
      <c r="C12" t="s">
        <v>12</v>
      </c>
      <c r="D12" s="2">
        <v>22002</v>
      </c>
      <c r="E12" s="1">
        <v>369532.249396145</v>
      </c>
      <c r="F12" s="1">
        <v>247538.540857384</v>
      </c>
      <c r="I12">
        <v>2015</v>
      </c>
      <c r="J12" t="s">
        <v>12</v>
      </c>
      <c r="K12" s="2">
        <v>2098</v>
      </c>
      <c r="L12" s="1">
        <v>135.05999962613</v>
      </c>
      <c r="M12" s="1">
        <v>1718.74999470636</v>
      </c>
      <c r="P12">
        <v>2015</v>
      </c>
      <c r="Q12" t="s">
        <v>12</v>
      </c>
      <c r="R12" s="2">
        <v>58</v>
      </c>
      <c r="S12" s="1">
        <v>0</v>
      </c>
      <c r="T12" s="1">
        <v>725</v>
      </c>
      <c r="W12">
        <v>2015</v>
      </c>
      <c r="X12" t="s">
        <v>12</v>
      </c>
      <c r="Y12" s="2">
        <v>2574</v>
      </c>
      <c r="Z12" s="1">
        <v>718.080028533936</v>
      </c>
      <c r="AA12" s="1">
        <v>9832.11999416351</v>
      </c>
      <c r="AD12">
        <v>2015</v>
      </c>
      <c r="AE12" t="s">
        <v>12</v>
      </c>
      <c r="AF12" s="2">
        <v>21920</v>
      </c>
      <c r="AG12" s="1">
        <v>12150.0599737</v>
      </c>
      <c r="AH12" s="1">
        <v>10386.999973774</v>
      </c>
      <c r="AK12">
        <v>2015</v>
      </c>
      <c r="AL12" t="s">
        <v>12</v>
      </c>
      <c r="AM12" s="2">
        <v>14</v>
      </c>
      <c r="AN12" s="1">
        <v>29.1699997186661</v>
      </c>
      <c r="AO12" s="1">
        <v>115.590001583099</v>
      </c>
      <c r="AR12">
        <v>2015</v>
      </c>
      <c r="AS12" t="s">
        <v>12</v>
      </c>
      <c r="AT12" s="2">
        <v>12989</v>
      </c>
      <c r="AU12" s="1">
        <v>13034.0902293921</v>
      </c>
      <c r="AV12" s="1">
        <v>29372.6093146801</v>
      </c>
      <c r="AY12">
        <v>2015</v>
      </c>
      <c r="AZ12" t="s">
        <v>12</v>
      </c>
      <c r="BA12" s="2">
        <v>42</v>
      </c>
      <c r="BB12" s="1">
        <v>0</v>
      </c>
      <c r="BC12" s="1">
        <v>433</v>
      </c>
    </row>
    <row r="13" spans="1:55">
      <c r="B13">
        <v>2015</v>
      </c>
      <c r="C13" t="s">
        <v>13</v>
      </c>
      <c r="D13" s="2">
        <v>25857</v>
      </c>
      <c r="E13" s="1">
        <v>410214.459637523</v>
      </c>
      <c r="F13" s="1">
        <v>283490.941238016</v>
      </c>
      <c r="I13">
        <v>2015</v>
      </c>
      <c r="J13" t="s">
        <v>13</v>
      </c>
      <c r="K13" s="2">
        <v>2072</v>
      </c>
      <c r="L13" s="1">
        <v>193.630000201985</v>
      </c>
      <c r="M13" s="1">
        <v>1776.21999569237</v>
      </c>
      <c r="P13">
        <v>2015</v>
      </c>
      <c r="Q13" t="s">
        <v>13</v>
      </c>
      <c r="R13" s="2">
        <v>51</v>
      </c>
      <c r="S13" s="1">
        <v>0</v>
      </c>
      <c r="T13" s="1">
        <v>637.5</v>
      </c>
      <c r="W13">
        <v>2015</v>
      </c>
      <c r="X13" t="s">
        <v>13</v>
      </c>
      <c r="Y13" s="2">
        <v>2890</v>
      </c>
      <c r="Z13" s="1">
        <v>595.860023677349</v>
      </c>
      <c r="AA13" s="1">
        <v>10988.9899778366</v>
      </c>
      <c r="AD13">
        <v>2015</v>
      </c>
      <c r="AE13" t="s">
        <v>13</v>
      </c>
      <c r="AF13" s="2">
        <v>25760</v>
      </c>
      <c r="AG13" s="1">
        <v>19480.6299711503</v>
      </c>
      <c r="AH13" s="1">
        <v>15746.7299059927</v>
      </c>
      <c r="AK13">
        <v>2015</v>
      </c>
      <c r="AL13" t="s">
        <v>13</v>
      </c>
      <c r="AM13" s="2">
        <v>3</v>
      </c>
      <c r="AN13" s="1">
        <v>3.91999983787537</v>
      </c>
      <c r="AO13" s="1">
        <v>19.8300004005432</v>
      </c>
      <c r="AR13">
        <v>2015</v>
      </c>
      <c r="AS13" t="s">
        <v>13</v>
      </c>
      <c r="AT13" s="2">
        <v>16635</v>
      </c>
      <c r="AU13" s="1">
        <v>16934.5203377008</v>
      </c>
      <c r="AV13" s="1">
        <v>36915.1792430878</v>
      </c>
      <c r="AY13">
        <v>2015</v>
      </c>
      <c r="AZ13" t="s">
        <v>13</v>
      </c>
      <c r="BA13" s="2">
        <v>40</v>
      </c>
      <c r="BB13" s="1">
        <v>0</v>
      </c>
      <c r="BC13" s="1">
        <v>397.22000002861</v>
      </c>
    </row>
    <row r="14" spans="1:55">
      <c r="B14">
        <v>2015</v>
      </c>
      <c r="C14" t="s">
        <v>14</v>
      </c>
      <c r="D14" s="2">
        <v>26839</v>
      </c>
      <c r="E14" s="1">
        <v>413791.179461956</v>
      </c>
      <c r="F14" s="1">
        <v>292362.271176288</v>
      </c>
      <c r="I14">
        <v>2015</v>
      </c>
      <c r="J14" t="s">
        <v>14</v>
      </c>
      <c r="K14" s="2">
        <v>2642</v>
      </c>
      <c r="L14" s="1">
        <v>220.879999408498</v>
      </c>
      <c r="M14" s="1">
        <v>2477.66999961436</v>
      </c>
      <c r="P14">
        <v>2015</v>
      </c>
      <c r="Q14" t="s">
        <v>14</v>
      </c>
      <c r="R14" s="2">
        <v>74</v>
      </c>
      <c r="S14" s="1">
        <v>0</v>
      </c>
      <c r="T14" s="1">
        <v>926</v>
      </c>
      <c r="W14">
        <v>2015</v>
      </c>
      <c r="X14" t="s">
        <v>14</v>
      </c>
      <c r="Y14" s="2">
        <v>3365</v>
      </c>
      <c r="Z14" s="1">
        <v>577.390018939972</v>
      </c>
      <c r="AA14" s="1">
        <v>13299.6199812889</v>
      </c>
      <c r="AD14">
        <v>2015</v>
      </c>
      <c r="AE14" t="s">
        <v>14</v>
      </c>
      <c r="AF14" s="2">
        <v>26754</v>
      </c>
      <c r="AG14" s="1">
        <v>19709.8599630836</v>
      </c>
      <c r="AH14" s="1">
        <v>16480.3499264419</v>
      </c>
      <c r="AK14">
        <v>2015</v>
      </c>
      <c r="AL14" t="s">
        <v>14</v>
      </c>
      <c r="AM14" s="2">
        <v>1</v>
      </c>
      <c r="AN14" s="1">
        <v>1.48000001907349</v>
      </c>
      <c r="AO14" s="1">
        <v>6.94000005722046</v>
      </c>
      <c r="AR14">
        <v>2015</v>
      </c>
      <c r="AS14" t="s">
        <v>14</v>
      </c>
      <c r="AT14" s="2">
        <v>18413</v>
      </c>
      <c r="AU14" s="1">
        <v>18711.1302743554</v>
      </c>
      <c r="AV14" s="1">
        <v>41636.4689950943</v>
      </c>
      <c r="AY14">
        <v>2015</v>
      </c>
      <c r="AZ14" t="s">
        <v>14</v>
      </c>
      <c r="BA14" s="2">
        <v>66</v>
      </c>
      <c r="BB14" s="1">
        <v>7.5</v>
      </c>
      <c r="BC14" s="1">
        <v>582.859997272491</v>
      </c>
    </row>
    <row r="15" spans="1:55">
      <c r="B15">
        <v>2016</v>
      </c>
      <c r="C15" t="s">
        <v>15</v>
      </c>
      <c r="D15" s="2">
        <v>22922</v>
      </c>
      <c r="E15" s="1">
        <v>354444.010576487</v>
      </c>
      <c r="F15" s="1">
        <v>263853.110817567</v>
      </c>
      <c r="I15">
        <v>2016</v>
      </c>
      <c r="J15" t="s">
        <v>15</v>
      </c>
      <c r="K15" s="2">
        <v>1799</v>
      </c>
      <c r="L15" s="1">
        <v>137.859999619424</v>
      </c>
      <c r="M15" s="1">
        <v>1571.59999746457</v>
      </c>
      <c r="P15">
        <v>2016</v>
      </c>
      <c r="Q15" t="s">
        <v>15</v>
      </c>
      <c r="R15" s="2">
        <v>44</v>
      </c>
      <c r="S15" s="1">
        <v>0</v>
      </c>
      <c r="T15" s="1">
        <v>571</v>
      </c>
      <c r="W15">
        <v>2016</v>
      </c>
      <c r="X15" t="s">
        <v>15</v>
      </c>
      <c r="Y15" s="2">
        <v>2642</v>
      </c>
      <c r="Z15" s="1">
        <v>684.099990606308</v>
      </c>
      <c r="AA15" s="1">
        <v>10133.2300248146</v>
      </c>
      <c r="AD15">
        <v>2016</v>
      </c>
      <c r="AE15" t="s">
        <v>15</v>
      </c>
      <c r="AF15" s="2">
        <v>22851</v>
      </c>
      <c r="AG15" s="1">
        <v>16063.0000177789</v>
      </c>
      <c r="AH15" s="1">
        <v>14248.2999314368</v>
      </c>
      <c r="AK15">
        <v>2016</v>
      </c>
      <c r="AL15" t="s">
        <v>15</v>
      </c>
      <c r="AM15" s="2">
        <v>3</v>
      </c>
      <c r="AN15" s="1">
        <v>6.20000004768372</v>
      </c>
      <c r="AO15" s="1">
        <v>26.7799997329712</v>
      </c>
      <c r="AR15">
        <v>2016</v>
      </c>
      <c r="AS15" t="s">
        <v>15</v>
      </c>
      <c r="AT15" s="2">
        <v>14425</v>
      </c>
      <c r="AU15" s="1">
        <v>15472.5199649334</v>
      </c>
      <c r="AV15" s="1">
        <v>33099.1289703846</v>
      </c>
      <c r="AY15">
        <v>2016</v>
      </c>
      <c r="AZ15" t="s">
        <v>15</v>
      </c>
      <c r="BA15" s="2">
        <v>46</v>
      </c>
      <c r="BB15" s="1">
        <v>0</v>
      </c>
      <c r="BC15" s="1">
        <v>463.119999408722</v>
      </c>
    </row>
    <row r="16" spans="1:55">
      <c r="B16">
        <v>2016</v>
      </c>
      <c r="C16" t="s">
        <v>16</v>
      </c>
      <c r="D16" s="2">
        <v>24139</v>
      </c>
      <c r="E16" s="1">
        <v>358700.190953314</v>
      </c>
      <c r="F16" s="1">
        <v>271880.790761665</v>
      </c>
      <c r="I16">
        <v>2016</v>
      </c>
      <c r="J16" t="s">
        <v>16</v>
      </c>
      <c r="K16" s="2">
        <v>2249</v>
      </c>
      <c r="L16" s="1">
        <v>133.439999992028</v>
      </c>
      <c r="M16" s="1">
        <v>2161.46999755874</v>
      </c>
      <c r="P16">
        <v>2016</v>
      </c>
      <c r="Q16" t="s">
        <v>16</v>
      </c>
      <c r="R16" s="2">
        <v>50</v>
      </c>
      <c r="S16" s="1">
        <v>0</v>
      </c>
      <c r="T16" s="1">
        <v>650</v>
      </c>
      <c r="W16">
        <v>2016</v>
      </c>
      <c r="X16" t="s">
        <v>16</v>
      </c>
      <c r="Y16" s="2">
        <v>2771</v>
      </c>
      <c r="Z16" s="1">
        <v>673.399988532066</v>
      </c>
      <c r="AA16" s="1">
        <v>10237.4000213146</v>
      </c>
      <c r="AD16">
        <v>2016</v>
      </c>
      <c r="AE16" t="s">
        <v>16</v>
      </c>
      <c r="AF16" s="2">
        <v>24101</v>
      </c>
      <c r="AG16" s="1">
        <v>11915.4800090771</v>
      </c>
      <c r="AH16" s="1">
        <v>12014.2099070847</v>
      </c>
      <c r="AK16">
        <v>2016</v>
      </c>
      <c r="AL16" t="s">
        <v>16</v>
      </c>
      <c r="AM16" s="2">
        <v>2</v>
      </c>
      <c r="AN16" s="1">
        <v>1.72000002861023</v>
      </c>
      <c r="AO16" s="1">
        <v>13.8800001144409</v>
      </c>
      <c r="AR16">
        <v>2016</v>
      </c>
      <c r="AS16" t="s">
        <v>16</v>
      </c>
      <c r="AT16" s="2">
        <v>14667</v>
      </c>
      <c r="AU16" s="1">
        <v>15655.9399777651</v>
      </c>
      <c r="AV16" s="1">
        <v>33863.008991003</v>
      </c>
      <c r="AY16">
        <v>2016</v>
      </c>
      <c r="AZ16" t="s">
        <v>16</v>
      </c>
      <c r="BA16" s="2">
        <v>33</v>
      </c>
      <c r="BB16" s="1">
        <v>0</v>
      </c>
      <c r="BC16" s="1">
        <v>310.759999513626</v>
      </c>
    </row>
    <row r="17" spans="2:55">
      <c r="B17">
        <v>2016</v>
      </c>
      <c r="C17" t="s">
        <v>17</v>
      </c>
      <c r="D17" s="2">
        <v>27862</v>
      </c>
      <c r="E17" s="1">
        <v>380257.300955296</v>
      </c>
      <c r="F17" s="1">
        <v>304499.611054122</v>
      </c>
      <c r="I17">
        <v>2016</v>
      </c>
      <c r="J17" t="s">
        <v>17</v>
      </c>
      <c r="K17" s="2">
        <v>1914</v>
      </c>
      <c r="L17" s="1">
        <v>100.490000044927</v>
      </c>
      <c r="M17" s="1">
        <v>1914.32000005431</v>
      </c>
      <c r="P17">
        <v>2016</v>
      </c>
      <c r="Q17" t="s">
        <v>17</v>
      </c>
      <c r="R17" s="2">
        <v>54</v>
      </c>
      <c r="S17" s="1">
        <v>0</v>
      </c>
      <c r="T17" s="1">
        <v>702</v>
      </c>
      <c r="W17">
        <v>2016</v>
      </c>
      <c r="X17" t="s">
        <v>17</v>
      </c>
      <c r="Y17" s="2">
        <v>3109</v>
      </c>
      <c r="Z17" s="1">
        <v>706.999987959862</v>
      </c>
      <c r="AA17" s="1">
        <v>11557.9500277042</v>
      </c>
      <c r="AD17">
        <v>2016</v>
      </c>
      <c r="AE17" t="s">
        <v>17</v>
      </c>
      <c r="AF17" s="2">
        <v>27821</v>
      </c>
      <c r="AG17" s="1">
        <v>10370.3799906708</v>
      </c>
      <c r="AH17" s="1">
        <v>11836.3699489981</v>
      </c>
      <c r="AK17">
        <v>2016</v>
      </c>
      <c r="AL17" t="s">
        <v>17</v>
      </c>
      <c r="AM17" s="2">
        <v>2</v>
      </c>
      <c r="AN17" s="1">
        <v>1.19000005722046</v>
      </c>
      <c r="AO17" s="1">
        <v>19.8399996757507</v>
      </c>
      <c r="AR17">
        <v>2016</v>
      </c>
      <c r="AS17" t="s">
        <v>17</v>
      </c>
      <c r="AT17" s="2">
        <v>17434</v>
      </c>
      <c r="AU17" s="1">
        <v>18698.9999577999</v>
      </c>
      <c r="AV17" s="1">
        <v>40006.2987561226</v>
      </c>
      <c r="AY17">
        <v>2016</v>
      </c>
      <c r="AZ17" t="s">
        <v>17</v>
      </c>
      <c r="BA17" s="2">
        <v>34</v>
      </c>
      <c r="BB17" s="1">
        <v>0</v>
      </c>
      <c r="BC17" s="1">
        <v>342.89999961853</v>
      </c>
    </row>
    <row r="18" spans="2:55">
      <c r="B18">
        <v>2016</v>
      </c>
      <c r="C18" t="s">
        <v>18</v>
      </c>
      <c r="D18" s="2">
        <v>23945</v>
      </c>
      <c r="E18" s="1">
        <v>361868.250885308</v>
      </c>
      <c r="F18" s="1">
        <v>271968.400640756</v>
      </c>
      <c r="I18">
        <v>2016</v>
      </c>
      <c r="J18" t="s">
        <v>18</v>
      </c>
      <c r="K18" s="2">
        <v>1824</v>
      </c>
      <c r="L18" s="1">
        <v>96.8599999137223</v>
      </c>
      <c r="M18" s="1">
        <v>2198.38999800012</v>
      </c>
      <c r="P18">
        <v>2016</v>
      </c>
      <c r="Q18" t="s">
        <v>18</v>
      </c>
      <c r="R18" s="2">
        <v>56</v>
      </c>
      <c r="S18" s="1">
        <v>0</v>
      </c>
      <c r="T18" s="1">
        <v>728</v>
      </c>
      <c r="W18">
        <v>2016</v>
      </c>
      <c r="X18" t="s">
        <v>18</v>
      </c>
      <c r="Y18" s="2">
        <v>2696</v>
      </c>
      <c r="Z18" s="1">
        <v>715.399987816811</v>
      </c>
      <c r="AA18" s="1">
        <v>10088.0500144958</v>
      </c>
      <c r="AD18">
        <v>2016</v>
      </c>
      <c r="AE18" t="s">
        <v>18</v>
      </c>
      <c r="AF18" s="2">
        <v>23902</v>
      </c>
      <c r="AG18" s="1">
        <v>9135.67998766527</v>
      </c>
      <c r="AH18" s="1">
        <v>9548.50992836058</v>
      </c>
      <c r="AK18">
        <v>2016</v>
      </c>
      <c r="AL18" t="s">
        <v>18</v>
      </c>
      <c r="AM18" s="2">
        <v>2</v>
      </c>
      <c r="AN18" s="1">
        <v>1.19000005722046</v>
      </c>
      <c r="AO18" s="1">
        <v>13.8800001144409</v>
      </c>
      <c r="AR18">
        <v>2016</v>
      </c>
      <c r="AS18" t="s">
        <v>18</v>
      </c>
      <c r="AT18" s="2">
        <v>14291</v>
      </c>
      <c r="AU18" s="1">
        <v>15211.6599858999</v>
      </c>
      <c r="AV18" s="1">
        <v>33112.489038229</v>
      </c>
      <c r="AY18">
        <v>2016</v>
      </c>
      <c r="AZ18" t="s">
        <v>18</v>
      </c>
      <c r="BA18" s="2">
        <v>38</v>
      </c>
      <c r="BB18" s="1">
        <v>0</v>
      </c>
      <c r="BC18" s="1">
        <v>380</v>
      </c>
    </row>
    <row r="19" spans="2:55">
      <c r="B19">
        <v>2016</v>
      </c>
      <c r="C19" t="s">
        <v>19</v>
      </c>
      <c r="D19" s="2">
        <v>21871</v>
      </c>
      <c r="E19" s="1">
        <v>345067.940835714</v>
      </c>
      <c r="F19" s="1">
        <v>253753.450700998</v>
      </c>
      <c r="I19">
        <v>2016</v>
      </c>
      <c r="J19" t="s">
        <v>19</v>
      </c>
      <c r="K19" s="2">
        <v>2182</v>
      </c>
      <c r="L19" s="1">
        <v>124.560000045225</v>
      </c>
      <c r="M19" s="1">
        <v>2097.33000182547</v>
      </c>
      <c r="P19">
        <v>2016</v>
      </c>
      <c r="Q19" t="s">
        <v>19</v>
      </c>
      <c r="R19" s="2">
        <v>53</v>
      </c>
      <c r="S19" s="1">
        <v>0</v>
      </c>
      <c r="T19" s="1">
        <v>689</v>
      </c>
      <c r="W19">
        <v>2016</v>
      </c>
      <c r="X19" t="s">
        <v>19</v>
      </c>
      <c r="Y19" s="2">
        <v>2652</v>
      </c>
      <c r="Z19" s="1">
        <v>784.589987635612</v>
      </c>
      <c r="AA19" s="1">
        <v>10071.8300070763</v>
      </c>
      <c r="AD19">
        <v>2016</v>
      </c>
      <c r="AE19" t="s">
        <v>19</v>
      </c>
      <c r="AF19" s="2">
        <v>21827</v>
      </c>
      <c r="AG19" s="1">
        <v>10456.2799910139</v>
      </c>
      <c r="AH19" s="1">
        <v>10157.1199831814</v>
      </c>
      <c r="AK19">
        <v>2016</v>
      </c>
      <c r="AL19" t="s">
        <v>20</v>
      </c>
      <c r="AM19" s="2">
        <v>1</v>
      </c>
      <c r="AN19" s="1">
        <v>2.07999992370605</v>
      </c>
      <c r="AO19" s="1">
        <v>6.34000015258789</v>
      </c>
      <c r="AR19">
        <v>2016</v>
      </c>
      <c r="AS19" t="s">
        <v>19</v>
      </c>
      <c r="AT19" s="2">
        <v>13477</v>
      </c>
      <c r="AU19" s="1">
        <v>14461.9499661326</v>
      </c>
      <c r="AV19" s="1">
        <v>30906.6990349293</v>
      </c>
      <c r="AY19">
        <v>2016</v>
      </c>
      <c r="AZ19" t="s">
        <v>19</v>
      </c>
      <c r="BA19" s="2">
        <v>49</v>
      </c>
      <c r="BB19" s="1">
        <v>0</v>
      </c>
      <c r="BC19" s="1">
        <v>533.109998941422</v>
      </c>
    </row>
    <row r="20" spans="2:55">
      <c r="B20">
        <v>2016</v>
      </c>
      <c r="C20" t="s">
        <v>20</v>
      </c>
      <c r="D20" s="2">
        <v>21598</v>
      </c>
      <c r="E20" s="1">
        <v>335877.350685298</v>
      </c>
      <c r="F20" s="1">
        <v>247417.310766503</v>
      </c>
      <c r="I20">
        <v>2016</v>
      </c>
      <c r="J20" t="s">
        <v>20</v>
      </c>
      <c r="K20" s="2">
        <v>2032</v>
      </c>
      <c r="L20" s="1">
        <v>137.139999935403</v>
      </c>
      <c r="M20" s="1">
        <v>2030.00999740511</v>
      </c>
      <c r="P20">
        <v>2016</v>
      </c>
      <c r="Q20" t="s">
        <v>20</v>
      </c>
      <c r="R20" s="2">
        <v>60</v>
      </c>
      <c r="S20" s="1">
        <v>0</v>
      </c>
      <c r="T20" s="1">
        <v>780</v>
      </c>
      <c r="W20">
        <v>2016</v>
      </c>
      <c r="X20" t="s">
        <v>20</v>
      </c>
      <c r="Y20" s="2">
        <v>2599</v>
      </c>
      <c r="Z20" s="1">
        <v>788.199986577034</v>
      </c>
      <c r="AA20" s="1">
        <v>9494.55000209808</v>
      </c>
      <c r="AD20">
        <v>2016</v>
      </c>
      <c r="AE20" t="s">
        <v>20</v>
      </c>
      <c r="AF20" s="2">
        <v>21545</v>
      </c>
      <c r="AG20" s="1">
        <v>11530.9599846061</v>
      </c>
      <c r="AH20" s="1">
        <v>10562.9600018263</v>
      </c>
      <c r="AK20">
        <v>2016</v>
      </c>
      <c r="AL20" t="s">
        <v>9</v>
      </c>
      <c r="AM20" s="2">
        <v>5</v>
      </c>
      <c r="AN20" s="1">
        <v>28.9199999570847</v>
      </c>
      <c r="AO20" s="1">
        <v>51.8099994659424</v>
      </c>
      <c r="AR20">
        <v>2016</v>
      </c>
      <c r="AS20" t="s">
        <v>20</v>
      </c>
      <c r="AT20" s="2">
        <v>12866</v>
      </c>
      <c r="AU20" s="1">
        <v>14484.1900593638</v>
      </c>
      <c r="AV20" s="1">
        <v>28728.3091797829</v>
      </c>
      <c r="AY20">
        <v>2016</v>
      </c>
      <c r="AZ20" t="s">
        <v>20</v>
      </c>
      <c r="BA20" s="2">
        <v>40</v>
      </c>
      <c r="BB20" s="1">
        <v>101.779999375343</v>
      </c>
      <c r="BC20" s="1">
        <v>375.059999659657</v>
      </c>
    </row>
    <row r="21" spans="2:55">
      <c r="B21">
        <v>2016</v>
      </c>
      <c r="C21" t="s">
        <v>9</v>
      </c>
      <c r="D21" s="2">
        <v>21823</v>
      </c>
      <c r="E21" s="1">
        <v>313669.889943004</v>
      </c>
      <c r="F21" s="1">
        <v>229039.722012103</v>
      </c>
      <c r="I21">
        <v>2016</v>
      </c>
      <c r="J21" t="s">
        <v>9</v>
      </c>
      <c r="K21" s="2">
        <v>2008</v>
      </c>
      <c r="L21" s="1">
        <v>172.889999508858</v>
      </c>
      <c r="M21" s="1">
        <v>1947.67999964021</v>
      </c>
      <c r="P21">
        <v>2016</v>
      </c>
      <c r="Q21" t="s">
        <v>9</v>
      </c>
      <c r="R21" s="2">
        <v>41</v>
      </c>
      <c r="S21" s="1">
        <v>0</v>
      </c>
      <c r="T21" s="1">
        <v>533</v>
      </c>
      <c r="W21">
        <v>2016</v>
      </c>
      <c r="X21" t="s">
        <v>9</v>
      </c>
      <c r="Y21" s="2">
        <v>2597</v>
      </c>
      <c r="Z21" s="1">
        <v>644.349989175797</v>
      </c>
      <c r="AA21" s="1">
        <v>9367.49001741409</v>
      </c>
      <c r="AD21">
        <v>2016</v>
      </c>
      <c r="AE21" t="s">
        <v>9</v>
      </c>
      <c r="AF21" s="2">
        <v>21793</v>
      </c>
      <c r="AG21" s="1">
        <v>13601.7799523994</v>
      </c>
      <c r="AH21" s="1">
        <v>11674.5999819338</v>
      </c>
      <c r="AR21">
        <v>2016</v>
      </c>
      <c r="AS21" t="s">
        <v>9</v>
      </c>
      <c r="AT21" s="2">
        <v>13616</v>
      </c>
      <c r="AU21" s="1">
        <v>18185.2604826689</v>
      </c>
      <c r="AV21" s="1">
        <v>27298.3396275043</v>
      </c>
      <c r="AY21">
        <v>2016</v>
      </c>
      <c r="AZ21" t="s">
        <v>9</v>
      </c>
      <c r="BA21" s="2">
        <v>30</v>
      </c>
      <c r="BB21" s="1">
        <v>5.25</v>
      </c>
      <c r="BC21" s="1">
        <v>347.019997835159</v>
      </c>
    </row>
  </sheetData>
  <mergeCells count="9">
    <mergeCell ref="B5:BC5"/>
    <mergeCell ref="B7:F7"/>
    <mergeCell ref="I7:M7"/>
    <mergeCell ref="P7:T7"/>
    <mergeCell ref="W7:AA7"/>
    <mergeCell ref="AD7:AH7"/>
    <mergeCell ref="AK7:AO7"/>
    <mergeCell ref="AR7:AV7"/>
    <mergeCell ref="AY7:BC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cols>
    <col min="1" max="26" width="20.7109375" customWidth="1"/>
    <col min="4" max="4" width="9.140625" style="2"/>
    <col min="5" max="5" width="9.140625" style="3"/>
    <col min="6" max="6" width="9.140625" style="2"/>
    <col min="7" max="7" width="9.140625" style="3"/>
    <col min="12" max="12" width="9.140625" style="1"/>
    <col min="13" max="13" width="9.140625" style="3"/>
    <col min="14" max="14" width="9.140625" style="1"/>
    <col min="15" max="15" width="9.140625" style="3"/>
    <col min="16" max="16" width="9.140625" style="2"/>
  </cols>
  <sheetData>
    <row r="1" spans="1:15">
      <c r="A1" s="4" t="s">
        <v>68</v>
      </c>
    </row>
    <row r="5" spans="1:15">
      <c r="B5" s="5" t="s">
        <v>68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7" spans="1:15">
      <c r="B7" s="5" t="s">
        <v>69</v>
      </c>
      <c r="C7" s="5"/>
      <c r="D7" s="5"/>
      <c r="E7" s="5"/>
      <c r="F7" s="5"/>
      <c r="G7" s="5"/>
      <c r="J7" s="5" t="s">
        <v>70</v>
      </c>
      <c r="K7" s="5"/>
      <c r="L7" s="5"/>
      <c r="M7" s="5"/>
      <c r="N7" s="5"/>
      <c r="O7" s="5"/>
    </row>
    <row r="8" spans="1:15">
      <c r="B8" s="6" t="s">
        <v>4</v>
      </c>
      <c r="C8" s="6" t="s">
        <v>5</v>
      </c>
      <c r="D8" s="6" t="s">
        <v>40</v>
      </c>
      <c r="E8" s="6" t="s">
        <v>41</v>
      </c>
      <c r="F8" s="6" t="s">
        <v>42</v>
      </c>
      <c r="G8" s="6" t="s">
        <v>43</v>
      </c>
      <c r="J8" s="6" t="s">
        <v>4</v>
      </c>
      <c r="K8" s="6" t="s">
        <v>5</v>
      </c>
      <c r="L8" s="6" t="s">
        <v>44</v>
      </c>
      <c r="M8" s="6" t="s">
        <v>45</v>
      </c>
      <c r="N8" s="6" t="s">
        <v>46</v>
      </c>
      <c r="O8" s="6" t="s">
        <v>47</v>
      </c>
    </row>
    <row r="9" spans="1:15">
      <c r="B9">
        <v>2015</v>
      </c>
      <c r="C9" t="s">
        <v>9</v>
      </c>
      <c r="D9" s="2">
        <v>541</v>
      </c>
      <c r="E9" s="3">
        <v>10.2989</v>
      </c>
      <c r="F9" s="2">
        <v>27</v>
      </c>
      <c r="G9" s="3">
        <v>0.514</v>
      </c>
      <c r="J9">
        <v>2015</v>
      </c>
      <c r="K9" t="s">
        <v>9</v>
      </c>
      <c r="L9" s="1">
        <v>439091.549918766</v>
      </c>
      <c r="M9" s="3">
        <v>97.7062553253028</v>
      </c>
      <c r="N9" s="1">
        <v>140192.430986045</v>
      </c>
      <c r="O9" s="3">
        <v>98.9696086157263</v>
      </c>
    </row>
    <row r="10" spans="1:15">
      <c r="B10">
        <v>2015</v>
      </c>
      <c r="C10" t="s">
        <v>10</v>
      </c>
      <c r="D10" s="2">
        <v>586</v>
      </c>
      <c r="E10" s="3">
        <v>9.7602</v>
      </c>
      <c r="F10" s="2">
        <v>34</v>
      </c>
      <c r="G10" s="3">
        <v>0.5663</v>
      </c>
      <c r="J10">
        <v>2015</v>
      </c>
      <c r="K10" t="s">
        <v>10</v>
      </c>
      <c r="L10" s="1">
        <v>542180.244908576</v>
      </c>
      <c r="M10" s="3">
        <v>97.940826557407</v>
      </c>
      <c r="N10" s="1">
        <v>254292.114976858</v>
      </c>
      <c r="O10" s="3">
        <v>99.0198097654269</v>
      </c>
    </row>
    <row r="11" spans="1:15">
      <c r="B11">
        <v>2015</v>
      </c>
      <c r="C11" t="s">
        <v>11</v>
      </c>
      <c r="D11" s="2">
        <v>606</v>
      </c>
      <c r="E11" s="3">
        <v>9.4525</v>
      </c>
      <c r="F11" s="2">
        <v>23</v>
      </c>
      <c r="G11" s="3">
        <v>0.3588</v>
      </c>
      <c r="J11">
        <v>2015</v>
      </c>
      <c r="K11" t="s">
        <v>11</v>
      </c>
      <c r="L11" s="1">
        <v>547680.079903414</v>
      </c>
      <c r="M11" s="3">
        <v>97.8627565282459</v>
      </c>
      <c r="N11" s="1">
        <v>229152.599979742</v>
      </c>
      <c r="O11" s="3">
        <v>99.0612737625444</v>
      </c>
    </row>
    <row r="12" spans="1:15">
      <c r="B12">
        <v>2015</v>
      </c>
      <c r="C12" t="s">
        <v>12</v>
      </c>
      <c r="D12" s="2">
        <v>637</v>
      </c>
      <c r="E12" s="3">
        <v>8.3882</v>
      </c>
      <c r="F12" s="2">
        <v>14</v>
      </c>
      <c r="G12" s="3">
        <v>0.1844</v>
      </c>
      <c r="J12">
        <v>2015</v>
      </c>
      <c r="K12" t="s">
        <v>12</v>
      </c>
      <c r="L12" s="1">
        <v>566552.049885573</v>
      </c>
      <c r="M12" s="3">
        <v>97.8714948528595</v>
      </c>
      <c r="N12" s="1">
        <v>261358.414981521</v>
      </c>
      <c r="O12" s="3">
        <v>99.2058511239787</v>
      </c>
    </row>
    <row r="13" spans="1:15">
      <c r="B13">
        <v>2015</v>
      </c>
      <c r="C13" t="s">
        <v>13</v>
      </c>
      <c r="D13" s="2">
        <v>1008</v>
      </c>
      <c r="E13" s="3">
        <v>8.5707</v>
      </c>
      <c r="F13" s="2">
        <v>35</v>
      </c>
      <c r="G13" s="3">
        <v>0.2976</v>
      </c>
      <c r="J13">
        <v>2015</v>
      </c>
      <c r="K13" t="s">
        <v>13</v>
      </c>
      <c r="L13" s="1">
        <v>654017.714863338</v>
      </c>
      <c r="M13" s="3">
        <v>97.5858583812158</v>
      </c>
      <c r="N13" s="1">
        <v>212185.074976289</v>
      </c>
      <c r="O13" s="3">
        <v>99.0429130225543</v>
      </c>
    </row>
    <row r="14" spans="1:15">
      <c r="B14">
        <v>2015</v>
      </c>
      <c r="C14" t="s">
        <v>14</v>
      </c>
      <c r="D14" s="2">
        <v>804</v>
      </c>
      <c r="E14" s="3">
        <v>7.4958</v>
      </c>
      <c r="F14" s="2">
        <v>42</v>
      </c>
      <c r="G14" s="3">
        <v>0.3916</v>
      </c>
      <c r="J14">
        <v>2015</v>
      </c>
      <c r="K14" t="s">
        <v>14</v>
      </c>
      <c r="L14" s="1">
        <v>522780.529926782</v>
      </c>
      <c r="M14" s="3">
        <v>97.5862992705791</v>
      </c>
      <c r="N14" s="1">
        <v>251645.230983614</v>
      </c>
      <c r="O14" s="3">
        <v>99.0960879291561</v>
      </c>
    </row>
    <row r="15" spans="1:15">
      <c r="B15">
        <v>2016</v>
      </c>
      <c r="C15" t="s">
        <v>15</v>
      </c>
      <c r="D15" s="2">
        <v>667</v>
      </c>
      <c r="E15" s="3">
        <v>6.3657</v>
      </c>
      <c r="F15" s="2">
        <v>43</v>
      </c>
      <c r="G15" s="3">
        <v>0.4104</v>
      </c>
      <c r="J15">
        <v>2016</v>
      </c>
      <c r="K15" t="s">
        <v>15</v>
      </c>
      <c r="L15" s="1">
        <v>545385.087547422</v>
      </c>
      <c r="M15" s="3">
        <v>97.6764879154788</v>
      </c>
      <c r="N15" s="1">
        <v>229327.845006483</v>
      </c>
      <c r="O15" s="3">
        <v>98.8272444733255</v>
      </c>
    </row>
    <row r="16" spans="1:15">
      <c r="B16">
        <v>2016</v>
      </c>
      <c r="C16" t="s">
        <v>16</v>
      </c>
      <c r="D16" s="2">
        <v>682</v>
      </c>
      <c r="E16" s="3">
        <v>6.9049</v>
      </c>
      <c r="F16" s="2">
        <v>53</v>
      </c>
      <c r="G16" s="3">
        <v>0.5366</v>
      </c>
      <c r="J16">
        <v>2016</v>
      </c>
      <c r="K16" t="s">
        <v>16</v>
      </c>
      <c r="L16" s="1">
        <v>625642.025047257</v>
      </c>
      <c r="M16" s="3">
        <v>97.7118273740487</v>
      </c>
      <c r="N16" s="1">
        <v>285091.03500829</v>
      </c>
      <c r="O16" s="3">
        <v>99.1127478796739</v>
      </c>
    </row>
    <row r="17" spans="2:15">
      <c r="B17">
        <v>2016</v>
      </c>
      <c r="C17" t="s">
        <v>17</v>
      </c>
      <c r="D17" s="2">
        <v>744</v>
      </c>
      <c r="E17" s="3">
        <v>6.1079</v>
      </c>
      <c r="F17" s="2">
        <v>65</v>
      </c>
      <c r="G17" s="3">
        <v>0.5336</v>
      </c>
      <c r="J17">
        <v>2016</v>
      </c>
      <c r="K17" t="s">
        <v>17</v>
      </c>
      <c r="L17" s="1">
        <v>633172.280070074</v>
      </c>
      <c r="M17" s="3">
        <v>97.6609336741673</v>
      </c>
      <c r="N17" s="1">
        <v>299157.980004783</v>
      </c>
      <c r="O17" s="3">
        <v>98.9878100515737</v>
      </c>
    </row>
    <row r="18" spans="2:15">
      <c r="B18">
        <v>2016</v>
      </c>
      <c r="C18" t="s">
        <v>18</v>
      </c>
      <c r="D18" s="2">
        <v>690</v>
      </c>
      <c r="E18" s="3">
        <v>7.0351</v>
      </c>
      <c r="F18" s="2">
        <v>61</v>
      </c>
      <c r="G18" s="3">
        <v>0.6219</v>
      </c>
      <c r="J18">
        <v>2016</v>
      </c>
      <c r="K18" t="s">
        <v>18</v>
      </c>
      <c r="L18" s="1">
        <v>596903.120053585</v>
      </c>
      <c r="M18" s="3">
        <v>97.6362692019857</v>
      </c>
      <c r="N18" s="1">
        <v>353246.470014375</v>
      </c>
      <c r="O18" s="3">
        <v>99.1238570131651</v>
      </c>
    </row>
    <row r="19" spans="2:15">
      <c r="B19">
        <v>2016</v>
      </c>
      <c r="C19" t="s">
        <v>19</v>
      </c>
      <c r="D19" s="2">
        <v>708</v>
      </c>
      <c r="E19" s="3">
        <v>7.7074</v>
      </c>
      <c r="F19" s="2">
        <v>48</v>
      </c>
      <c r="G19" s="3">
        <v>0.5225</v>
      </c>
      <c r="J19">
        <v>2016</v>
      </c>
      <c r="K19" t="s">
        <v>19</v>
      </c>
      <c r="L19" s="1">
        <v>685723.020067471</v>
      </c>
      <c r="M19" s="3">
        <v>97.8926561569532</v>
      </c>
      <c r="N19" s="1">
        <v>311114.330010098</v>
      </c>
      <c r="O19" s="3">
        <v>99.0976067135387</v>
      </c>
    </row>
    <row r="20" spans="2:15">
      <c r="B20">
        <v>2016</v>
      </c>
      <c r="C20" t="s">
        <v>20</v>
      </c>
      <c r="D20" s="2">
        <v>619</v>
      </c>
      <c r="E20" s="3">
        <v>6.6189</v>
      </c>
      <c r="F20" s="2">
        <v>46</v>
      </c>
      <c r="G20" s="3">
        <v>0.4919</v>
      </c>
      <c r="J20">
        <v>2016</v>
      </c>
      <c r="K20" t="s">
        <v>20</v>
      </c>
      <c r="L20" s="1">
        <v>642961.350025217</v>
      </c>
      <c r="M20" s="3">
        <v>97.8687382637357</v>
      </c>
      <c r="N20" s="1">
        <v>266750.200002072</v>
      </c>
      <c r="O20" s="3">
        <v>98.9198186411048</v>
      </c>
    </row>
    <row r="21" spans="2:15">
      <c r="B21">
        <v>2016</v>
      </c>
      <c r="C21" t="s">
        <v>9</v>
      </c>
      <c r="D21" s="2">
        <v>621</v>
      </c>
      <c r="E21" s="3">
        <v>5.6728</v>
      </c>
      <c r="F21" s="2">
        <v>36</v>
      </c>
      <c r="G21" s="3">
        <v>0.3289</v>
      </c>
      <c r="J21">
        <v>2016</v>
      </c>
      <c r="K21" t="s">
        <v>9</v>
      </c>
      <c r="L21" s="1">
        <v>558662.899900957</v>
      </c>
      <c r="M21" s="3">
        <v>97.9381793741709</v>
      </c>
      <c r="N21" s="1">
        <v>255581.909987413</v>
      </c>
      <c r="O21" s="3">
        <v>99.0524819935005</v>
      </c>
    </row>
  </sheetData>
  <mergeCells count="3">
    <mergeCell ref="B5:O5"/>
    <mergeCell ref="B7:G7"/>
    <mergeCell ref="J7:O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Services</vt:lpstr>
      <vt:lpstr>Charges</vt:lpstr>
      <vt:lpstr>Free_Shipping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2016-09-30T09:34:45Z</dcterms:created>
  <dcterms:modified xsi:type="dcterms:W3CDTF">2016-09-30T09:34:45Z</dcterms:modified>
</cp:coreProperties>
</file>