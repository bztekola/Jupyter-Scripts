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arad/Scripts/Fake Folder/Fab/Recurring/Fab Op Report/CSVs/"/>
    </mc:Choice>
  </mc:AlternateContent>
  <xr:revisionPtr revIDLastSave="0" documentId="13_ncr:1_{D09A8450-CB41-8F49-B3AB-336C32E1B999}" xr6:coauthVersionLast="36" xr6:coauthVersionMax="36" xr10:uidLastSave="{00000000-0000-0000-0000-000000000000}"/>
  <bookViews>
    <workbookView xWindow="820" yWindow="580" windowWidth="27040" windowHeight="1586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M8" i="1" l="1"/>
  <c r="M7" i="1"/>
  <c r="M6" i="1"/>
  <c r="M4" i="1"/>
  <c r="M2" i="1"/>
</calcChain>
</file>

<file path=xl/sharedStrings.xml><?xml version="1.0" encoding="utf-8"?>
<sst xmlns="http://schemas.openxmlformats.org/spreadsheetml/2006/main" count="386" uniqueCount="386">
  <si>
    <t>part id</t>
  </si>
  <si>
    <t>total days oos</t>
  </si>
  <si>
    <t>part id, products name</t>
  </si>
  <si>
    <t>163, adxl335 - 5v ready triple-axis accelerometer (+-3g analog out)</t>
  </si>
  <si>
    <t>254, microsd card breakout board+</t>
  </si>
  <si>
    <t>259, usb liion/lipoly charger</t>
  </si>
  <si>
    <t>269, thermocouple amplifier max31855 breakout board (max6675 upgrade)</t>
  </si>
  <si>
    <t>284, ftdi friend + extras</t>
  </si>
  <si>
    <t>292, i2c / spi character lcd backpack</t>
  </si>
  <si>
    <t>326, monochrome 0.96" 128x64 oled graphic display</t>
  </si>
  <si>
    <t>334, touch screen breakout board (0.5mm fpc)</t>
  </si>
  <si>
    <t>358, 1.8" color tft lcd display with microsd card breakout</t>
  </si>
  <si>
    <t>364, pn532 nfc/rfid controller breakout board</t>
  </si>
  <si>
    <t>390, usb / dc / solar lithium ion/polymer charger</t>
  </si>
  <si>
    <t>395, 8-channel bi-directional logic level converter</t>
  </si>
  <si>
    <t>466, vcnl4010 proximity/light sensor</t>
  </si>
  <si>
    <t>661, monochrome 128x32 spi oled graphic display</t>
  </si>
  <si>
    <t>684, oled breakout board - 16-bit color 0.96" w/microsd holder</t>
  </si>
  <si>
    <t>746, adafruit ultimate gps breakout - 66 channel w/10 hz updates</t>
  </si>
  <si>
    <t>757, 4-channel i2c-safe bi-directional logic level converter</t>
  </si>
  <si>
    <t>781, adafruit usb + serial lcd backpack add-on with cable</t>
  </si>
  <si>
    <t>789, adafruit pn532 nfc/rfid controller shield for arduino + extras</t>
  </si>
  <si>
    <t>802, adafruit 1.8" color tft shield w/microsd and joystick</t>
  </si>
  <si>
    <t>815, adafruit 16-channel 12-bit pwm/servo driver - i2c interface</t>
  </si>
  <si>
    <t>877, adafruit 7-segment led matrix backpack</t>
  </si>
  <si>
    <t>904, ina219  high side dc current sensor breakout - 26v â±3.2a max</t>
  </si>
  <si>
    <t>931, monochrome 128x32 i2c oled graphic display</t>
  </si>
  <si>
    <t>935, mcp4725 breakout board - 12-bit dac w/i2c interface</t>
  </si>
  <si>
    <t>987, stereo 3.7w class d audio amplifier - max98306</t>
  </si>
  <si>
    <t>992, mpl115a2 - i2c barometric pressure/temperature sensor</t>
  </si>
  <si>
    <t>1018, adxl326 - 5v ready triple-axis accelerometer (+-16g analog out)</t>
  </si>
  <si>
    <t>1032, l3gd20h triple-axis gyro breakout board - l3gd20/l3g4200 upgrade</t>
  </si>
  <si>
    <t>1048, adafruit 1.2" 8x8 led matrix backpack</t>
  </si>
  <si>
    <t>1059, flora wearable ultimate gps module</t>
  </si>
  <si>
    <t>1083, ads1015 12-bit adc - 4 channel with programmable gain amplifier</t>
  </si>
  <si>
    <t>1085, ads1115 16-bit adc - 4 channel with programmable gain amplifier</t>
  </si>
  <si>
    <t>1120, triple-axis accelerometer+magnetometer (compass) board - lsm303</t>
  </si>
  <si>
    <t>1141, adafruit assembled data logging shield for arduino</t>
  </si>
  <si>
    <t>1164, ina169 analog dc current sensor breakout - 60v 5a max</t>
  </si>
  <si>
    <t>1222, adafruit gemma v2 - miniature wearable electronic platform</t>
  </si>
  <si>
    <t>1231, adxl345 - triple-axis accelerometer (+-2g/4g/8g/16g) w/ i2c/spi</t>
  </si>
  <si>
    <t>1247, flora accelerometer/compass sensor - lsm303</t>
  </si>
  <si>
    <t>1271, adafruit 7-segment backpack - 1.2" tall digits</t>
  </si>
  <si>
    <t>1272, adafruit ultimate gps logger shield - includes gps module</t>
  </si>
  <si>
    <t>1296, contact-less infrared thermopile sensor breakout - tmp006</t>
  </si>
  <si>
    <t>1304, adafruit micro lipo - usb liion/lipoly charger</t>
  </si>
  <si>
    <t>1334, rgb color sensor with ir filter and white led - tcs34725</t>
  </si>
  <si>
    <t>1356, flora color sensor with white illumination led - tcs34725</t>
  </si>
  <si>
    <t>1362, standalone 5-pad capacitive touch sensor breakout - at42qt1070</t>
  </si>
  <si>
    <t>1374, standalone momentary capacitive touch sensor breakout</t>
  </si>
  <si>
    <t>1375, standalone toggle capacitive touch sensor breakout</t>
  </si>
  <si>
    <t>1381, vs1053 codec + microsd breakout - mp3/wav/midi/ogg play + record</t>
  </si>
  <si>
    <t>1384, ga1a12s202 log-scale analog light sensor</t>
  </si>
  <si>
    <t>1400, adafruit push-button power switch breakout</t>
  </si>
  <si>
    <t>1411, adafruit 16-channel 12-bit pwm/servo shield - i2c interface</t>
  </si>
  <si>
    <t>1413, adxl377 - high-g triple-axis accelerometer (+-200g analog out)</t>
  </si>
  <si>
    <t>1427, adafruit 16x8 led matrix driver backpack -  ht16k33 breakout</t>
  </si>
  <si>
    <t>1429, adafruit 24-channel 12-bit pwm led driver - spi interface</t>
  </si>
  <si>
    <t>1431, oled breakout board - 16-bit color 1.5" w/microsd holder</t>
  </si>
  <si>
    <t>1455, adafruit 12-channel 16-bit pwm led driver - spi interface</t>
  </si>
  <si>
    <t>1480, 2.2" 18-bit color tft lcd display with microsd card breakout</t>
  </si>
  <si>
    <t>1500, adafruit trinket - mini microcontroller - 3.3v logic</t>
  </si>
  <si>
    <t>1551, ds2413 1-wire two gpio controller breakout</t>
  </si>
  <si>
    <t>1552, stereo 2.1w class d audio amplifier - tpa2012</t>
  </si>
  <si>
    <t>1571, resistive touch screen controller - stmpe610</t>
  </si>
  <si>
    <t>1580, resistive touch screen to usb mouse controller - ar1100</t>
  </si>
  <si>
    <t>1590, ra8875 driver board for 40-pin tft touch displays - 800x480 max</t>
  </si>
  <si>
    <t>1602, cap1188 - 8-key capacitive touch sensor breakout - i2c or spi</t>
  </si>
  <si>
    <t>1616, adafruit trellis monochrome driver pcb for 4x4 keypad &amp; 3mm leds</t>
  </si>
  <si>
    <t>1651, 2.8" tft touch shield for arduino with resistive touch screen</t>
  </si>
  <si>
    <t>1652, adafruit qualia 9.7" displayport monitor - 2048x1536 resolution</t>
  </si>
  <si>
    <t>1673, oled breakout board - 16-bit color 1.27" w/microsd holder</t>
  </si>
  <si>
    <t>1689, fadecandy - dithering usb-controlled driver for rgb neopixels</t>
  </si>
  <si>
    <t>1697, bluefruit le - bluetooth low energy (ble 4.0) - nrf8001 breakout</t>
  </si>
  <si>
    <t>1712, stereo 2.8w class d audio amplifier - i2c control agc - tpa2016</t>
  </si>
  <si>
    <t>1713, electret microphone amplifier - max9814 with auto gain control</t>
  </si>
  <si>
    <t>1727, thermocouple amplifier with 1-wire breakout board - max31850k</t>
  </si>
  <si>
    <t>1743, 3.2" tft lcd with touchscreen breakout board w/microsd socket</t>
  </si>
  <si>
    <t>1752, stereo 20w class d audio amplifier - max9744</t>
  </si>
  <si>
    <t>1755, adafruit led sequins - ruby red - pack of 5</t>
  </si>
  <si>
    <t>1756, adafruit led sequins - emerald green - pack of 5</t>
  </si>
  <si>
    <t>1757, adafruit led sequins - royal blue - pack of 5</t>
  </si>
  <si>
    <t>1758, adafruit led sequins - warm white - pack of 5</t>
  </si>
  <si>
    <t>1764, usb mini-b breakout board</t>
  </si>
  <si>
    <t>1770, 2.8" tft lcd with touchscreen breakout board w/microsd socket</t>
  </si>
  <si>
    <t>1777, si1145 digital uv index / ir / visible light sensor</t>
  </si>
  <si>
    <t>1778, analog output k-type thermocouple amplifier - ad8495 breakout</t>
  </si>
  <si>
    <t>1782, mcp9808 high accuracy i2c temperature sensor breakout board</t>
  </si>
  <si>
    <t>1788, adafruit "music maker" mp3 shield for arduino w/3w stereo amp</t>
  </si>
  <si>
    <t>1790, adafruit "music maker" mp3 shield for arduino (mp3/ogg/wav...)</t>
  </si>
  <si>
    <t>1792, adafruit led sequins - rose pink - pack of 5</t>
  </si>
  <si>
    <t>1833, usb micro-b breakout board</t>
  </si>
  <si>
    <t>1862, jst-ph 2-pin smt right angle breakout board</t>
  </si>
  <si>
    <t>1863, switched jst-ph 2-pin smt right angle breakout board</t>
  </si>
  <si>
    <t>1867, 12mm coin cell breakout w/ on-off switch</t>
  </si>
  <si>
    <t>1868, 12mm coin cell breakout board</t>
  </si>
  <si>
    <t>1870, 20mm coin cell breakout board (cr2032)</t>
  </si>
  <si>
    <t>1871, 20mm coin cell breakout w/on-off switch (cr2032)</t>
  </si>
  <si>
    <t>1875, txb0104 bi-directional level shifter</t>
  </si>
  <si>
    <t>1893, mpl3115a2 - i2c barometric pressure/altitude/temperature sensor</t>
  </si>
  <si>
    <t>1895, adafruit i2c non-volatile fram breakout - 256kbit / 32kbyte</t>
  </si>
  <si>
    <t>1897, adafruit spi non-volatile fram breakout - 64kbit / 8kbyte</t>
  </si>
  <si>
    <t>1899, adafruit htu21d-f temperature &amp; humidity sensor breakout board</t>
  </si>
  <si>
    <t>1903, powerboost 500 basic - 5v usb boost @ 500ma from 1.8v+</t>
  </si>
  <si>
    <t>1904, adafruit micro-lipo charger for lipo/liion batt w/microusb jack</t>
  </si>
  <si>
    <t>1905, adafruit mini lipo w/mini-b usb jack - usb liion/lipoly charger</t>
  </si>
  <si>
    <t>1910, adafruit 14-segment led alphanumeric backpack</t>
  </si>
  <si>
    <t>1916, cupcade v1 adapter pcb + parts pack</t>
  </si>
  <si>
    <t>1918, analog uv light sensor breakout - guva-s12sd</t>
  </si>
  <si>
    <t>1932, 40-pin tft friend - fpc breakout with led backlight driver</t>
  </si>
  <si>
    <t>1944, powerboost 500 charger - rechargeable 5v lipo usb boost @ 500ma+</t>
  </si>
  <si>
    <t>1946, adafruit fona - mini cellular gsm breakout ufl version</t>
  </si>
  <si>
    <t>1947, 2.8" tft touch shield for arduino w/capacitive touch</t>
  </si>
  <si>
    <t>1958, adafruit stereo fm transmitter with rds/rbds breakout - si4713</t>
  </si>
  <si>
    <t>1963, adafruit fona - mini cellular gsm breakout - sma version</t>
  </si>
  <si>
    <t>1980, adafruit tsl2591 high dynamic range digital light sensor</t>
  </si>
  <si>
    <t>1981, flora uv index sensor - si1145 light sensor</t>
  </si>
  <si>
    <t>1982, adafruit 12-key capacitive touch sensor breakout - mpr121</t>
  </si>
  <si>
    <t>2010, adafruit pro trinket - 3v 12mhz</t>
  </si>
  <si>
    <t>2019, adafruit triple-axis accelerometer - â±2/4/8g @ 14-bit - mma8451</t>
  </si>
  <si>
    <t>2024, adafruit 12 x capacitive touch shield for arduino - mpr121</t>
  </si>
  <si>
    <t>2030, powerboost 1000 basic - 5v usb boost @ 1000ma from 1.8v+</t>
  </si>
  <si>
    <t>2045, adafruit si5351a clock generator breakout board - 8khz to 160mhz</t>
  </si>
  <si>
    <t>2050, 3.5" tft 320x480 + touchscreen breakout board w/microsd socket</t>
  </si>
  <si>
    <t>2078, adafruit powerboost 500 shield - rechargeable 5v power shield</t>
  </si>
  <si>
    <t>2088, adafruit 1.44" color tft lcd display with microsd card breakout</t>
  </si>
  <si>
    <t>2090, 2.8" tft lcd with cap touch breakout board w/microsd socket</t>
  </si>
  <si>
    <t>2094, jtag (2x10 2.54mm) to swd (2x5 1.27mm) cable adapter board</t>
  </si>
  <si>
    <t>2107, adafruit usb isolator - 100ma isolated low/full speed usb</t>
  </si>
  <si>
    <t>2124, adafruit liion/lipoly backpack add-on for pro trinket/itsybitsy</t>
  </si>
  <si>
    <t>2130, adafruit mono 2.5w class d audio amplifier - pam8302</t>
  </si>
  <si>
    <t>2133, adafruit audio fx sound board - wav/ogg trigger with 2mb flash</t>
  </si>
  <si>
    <t>2190, verter 5v usb buck-boost - 500ma from 3v-5v / 1000ma from 5v-12v</t>
  </si>
  <si>
    <t>2200, precision lm4040 voltage reference breakout - 2.048v and 4.096v</t>
  </si>
  <si>
    <t>2210, adafruit audio fx sound board + 2x2w amp - wav/ogg trigger - 2mb</t>
  </si>
  <si>
    <t>2217, adafruit audio fx sound board + 2x2w amp - wav/ogg trigger -16mb</t>
  </si>
  <si>
    <t>2218, tfp401 hdmi/dvi decoder to 40-pin ttl breakout - without touch</t>
  </si>
  <si>
    <t>2219, tfp401 hdmi/dvi decoder to 40-pin ttl breakout - with touch</t>
  </si>
  <si>
    <t>2220, adafruit audio fx sound board - wav/ogg trigger with 16mb flash</t>
  </si>
  <si>
    <t>2264, adafruit ft232h breakout - general purpose usb to gpio+spi+i2c</t>
  </si>
  <si>
    <t>2267, bluefruit le friend - bluetooth low energy (ble 4.0) - nrf51822</t>
  </si>
  <si>
    <t>2268, adafruit particle/spark neopixel ring kit - 24 neopixels</t>
  </si>
  <si>
    <t>2269, bluefruit le sniffer - bluetooth low energy (ble 4.0) - nrf51822</t>
  </si>
  <si>
    <t>2305, adafruit drv2605l haptic motor controller</t>
  </si>
  <si>
    <t>2314, adafruit perma-proto hat for pi mini kit - with eeprom</t>
  </si>
  <si>
    <t>2315, adafruit pitft 2.2" hat mini kit - 320x240 2.2" tft - no touch</t>
  </si>
  <si>
    <t>2324, adafruit ultimate gps hat for raspberry pi a+/b+/pi 2/pi 3</t>
  </si>
  <si>
    <t>2327, adafruit 16-channel pwm / servo hat for raspberry pi - mini kit</t>
  </si>
  <si>
    <t>2340, adafruit capacitive touch hat for raspberry pi - mini kit</t>
  </si>
  <si>
    <t>2341, adafruit audio fx mini sound board - wav/ogg trigger 16mb flash</t>
  </si>
  <si>
    <t>2342, adafruit audio fx mini sound board - wav/ogg trigger - 2mb flash</t>
  </si>
  <si>
    <t>2345, adafruit rgb matrix hat + rtc for raspberry pi - mini kit</t>
  </si>
  <si>
    <t>2348, adafruit dc &amp; stepper motor hat for raspberry pi - mini kit</t>
  </si>
  <si>
    <t>2448, adafruit tb6612 1.2a dc/stepper motor driver breakout board</t>
  </si>
  <si>
    <t>2453, adafruit dpi tft kippah for raspberry pi with touch support</t>
  </si>
  <si>
    <t>2454, adafruit dpi tft kippah for raspberry pi</t>
  </si>
  <si>
    <t>2455, adafruit pitft 2.4" hat mini kit - 320x240 tft touchscreen</t>
  </si>
  <si>
    <t>2466, adafruit metro 328 without headers</t>
  </si>
  <si>
    <t>2468, adafruit fona 800 shield - voice/data cellular gsm for arduino</t>
  </si>
  <si>
    <t>2472, adafruit 9-dof absolute orientation imu fusion breakout - bno055</t>
  </si>
  <si>
    <t>2478, adafruit 2.4" tft lcd with touchscreen breakout w/microsd socket</t>
  </si>
  <si>
    <t>2479, adafruit bluefruit le uart friend - bluetooth low energy (ble)</t>
  </si>
  <si>
    <t>2487, flora wearable bluefruit le module</t>
  </si>
  <si>
    <t>2488, adafruit metro 328 - arduino compatible - with headers</t>
  </si>
  <si>
    <t>2542, adafruit fona 808 - mini cellular gsm + gps breakout</t>
  </si>
  <si>
    <t>2566, flora sewable 3-pin jst wiring adapter</t>
  </si>
  <si>
    <t>2590, adafruit metro mini 328 - arduino-compatible - 5v 16mhz</t>
  </si>
  <si>
    <t>2616, pitft plus 320x240 3.2" tft + resistive touchscreen</t>
  </si>
  <si>
    <t>2633, adafruit bluefruit le spi friend - bluetooth low energy (ble)</t>
  </si>
  <si>
    <t>2636, adafruit fona 808 shield - mini cellular gsm + gps for arduino</t>
  </si>
  <si>
    <t>2651, adafruit bmp280 i2c or spi barometric pressure &amp; altitude sensor</t>
  </si>
  <si>
    <t>2652, adafruit bme280 i2c or spi temperature humidity pressure sensor</t>
  </si>
  <si>
    <t>2687, adafruit fona 3g cellular breakout - american version</t>
  </si>
  <si>
    <t>2691, adafruit fona 3g cellular breakout - european version</t>
  </si>
  <si>
    <t>2716, adafruit silicon mems microphone breakout - spw2430</t>
  </si>
  <si>
    <t>2717, tca9548a i2c multiplexer</t>
  </si>
  <si>
    <t>2741, pixie - 3w chainable smart led pixel</t>
  </si>
  <si>
    <t>2743, swd (2x5 1.27mm) cable breakout board</t>
  </si>
  <si>
    <t>2745, lm3671 3.3v buck converter breakout  - 3.3v output 600ma max</t>
  </si>
  <si>
    <t>2746, adafruit bluefruit le shield - bluetooth le for arduino</t>
  </si>
  <si>
    <t>2748, adafruit als-pt19 analog light sensor breakout</t>
  </si>
  <si>
    <t>2772, adafruit feather m0 basic proto - atsamd21 cortex m0</t>
  </si>
  <si>
    <t>2795, adafruit feather 32u4 adalogger</t>
  </si>
  <si>
    <t>2796, adafruit feather m0 adalogger</t>
  </si>
  <si>
    <t>2809, adafruit lis3dh triple-axis accelerometer (+-2g/4g/8g/16g)</t>
  </si>
  <si>
    <t>2829, adafruit feather 32u4 bluefruit le</t>
  </si>
  <si>
    <t>2857, adafruit sensirion sht31-d</t>
  </si>
  <si>
    <t>2895, adafruit non-latching mini relay featherwing</t>
  </si>
  <si>
    <t>2899, adafruit veml6070 uv index sensor breakout</t>
  </si>
  <si>
    <t>2900, adafruit featherwing oled - 128x32 oled add-on for feather</t>
  </si>
  <si>
    <t>2922, adalogger featherwing - rtc + sd add-on for all feather boards</t>
  </si>
  <si>
    <t>2923, adafruit latching mini relay featherwing</t>
  </si>
  <si>
    <t>2927, dc motor + stepper featherwing add-on for all feather boards</t>
  </si>
  <si>
    <t>2928, 8-channel pwm or servo featherwing add-on for all feather boards</t>
  </si>
  <si>
    <t>2945, neopixel featherwing - 4x8 rgb led add-on for all feather boards</t>
  </si>
  <si>
    <t>2946, adafruit 16x9 charlieplexed pwm led matrix driver - is31fl3731</t>
  </si>
  <si>
    <t>2947, led charlieplexed matrix - 9x16 leds - red</t>
  </si>
  <si>
    <t>2948, led charlieplexed matrix - 9x16 leds - yellow</t>
  </si>
  <si>
    <t>2972, led charlieplexed matrix - 9x16 leds - green</t>
  </si>
  <si>
    <t>2973, led charlieplexed matrix - 9x16 leds - blue</t>
  </si>
  <si>
    <t>2974, led charlieplexed matrix - 9x16 leds - cool white</t>
  </si>
  <si>
    <t>2995, adafruit feather m0 bluefruit le</t>
  </si>
  <si>
    <t>2999, adafruit atwinc1500 wifi breakout</t>
  </si>
  <si>
    <t>3000, circuit playground classic</t>
  </si>
  <si>
    <t>3006, adafruit i2s 3w class d amplifier breakout - max98357a</t>
  </si>
  <si>
    <t>3010, adafruit feather m0 wifi - atsamd21 + atwinc1500</t>
  </si>
  <si>
    <t>3013, adafruit ds3231 precision rtc breakout</t>
  </si>
  <si>
    <t>3027, adafruit feather 32u4 fona</t>
  </si>
  <si>
    <t>3028, ds3231 precision rtc featherwing - rtc add-on for feather boards</t>
  </si>
  <si>
    <t>3036, adafruit rgb matrix featherwing kit - for m0 and m4 feathers</t>
  </si>
  <si>
    <t>3044, assembled adafruit feather m0 wifi with stacking headers</t>
  </si>
  <si>
    <t>3046, assembled adafruit feather huzzah with esp8266 with headers</t>
  </si>
  <si>
    <t>3056, adafruit wiced wifi feather - stm32f205 with cypress wiced wifi</t>
  </si>
  <si>
    <t>3060, adafruit atwinc1500 wifi breakout with ufl connector</t>
  </si>
  <si>
    <t>3061, adafruit feather m0 wifi with ufl - atsamd21 + atwinc1500</t>
  </si>
  <si>
    <t>3070, adafruit rfm69hcw transceiver radio breakout - 868 or 915 mhz</t>
  </si>
  <si>
    <t>3071, adafruit rfm69hcw transceiver radio breakout - 433 mhz</t>
  </si>
  <si>
    <t>3072, adafruit rfm95w lora radio transceiver breakout - 868 or 915 mhz</t>
  </si>
  <si>
    <t>3073, adafruit rfm96w lora radio transceiver breakout - 433 mhz</t>
  </si>
  <si>
    <t>3076, adafruit feather 32u4 rfm69hcw packet radio - 868 or 915 mhz</t>
  </si>
  <si>
    <t>3077, adafruit feather 32u4 with rfm69hcw packet radio - 433mhz</t>
  </si>
  <si>
    <t>3078, adafruit feather 32u4 rfm95 lora radio- 868 or 915 mhz</t>
  </si>
  <si>
    <t>3079, adafruit feather 32u4 rfm96 lora radio - 433mhz</t>
  </si>
  <si>
    <t>3088, adafruit 4-digit 7-segment led matrix display featherwing</t>
  </si>
  <si>
    <t>3089, adafruit 14-segment alphanumeric led featherwing</t>
  </si>
  <si>
    <t>3090, adafruit 8x16 led matrix featherwing w/o matrices</t>
  </si>
  <si>
    <t>3093, adafruit crickit for circuit playground express</t>
  </si>
  <si>
    <t>3133, adafruit ultimate gps featherwing</t>
  </si>
  <si>
    <t>3134, adafruit 15x7 charlieplex led matrix display featherwing - red</t>
  </si>
  <si>
    <t>3135, adafruit 15x7 charlieplex led matrix display featherwing yellow</t>
  </si>
  <si>
    <t>3136, adafruit 15x7 charlieplex led matrix display featherwing - green</t>
  </si>
  <si>
    <t>3137, adafruit 15x7 charlieplex led matrix display featherwing - blue</t>
  </si>
  <si>
    <t>3138, adafruit 15x7 charlieplex led matrix featherwing - cool white</t>
  </si>
  <si>
    <t>3162, led charlieplexed matrix - 9x16 leds - warm white</t>
  </si>
  <si>
    <t>3163, adafruit 15x7 charlieplex led matrix featherwing - warm white</t>
  </si>
  <si>
    <t>3176, adafruit feather m0 rfm69hcw packet radio - 868 or 915 mhz</t>
  </si>
  <si>
    <t>3177, adafruit feather m0 rfm69hcw packet radio - 433mhz</t>
  </si>
  <si>
    <t>3178, adafruit feather m0 with rfm95 lora radio - 900mhz</t>
  </si>
  <si>
    <t>3179, adafruit feather m0 rfm96 lora radio - 433mhz</t>
  </si>
  <si>
    <t>3190, adafruit drv8871 dc motor driver breakout board - 3.6a max</t>
  </si>
  <si>
    <t>3191, adafruit power relay featherwing</t>
  </si>
  <si>
    <t>3199, adafruit mics5524 co, alcohol and voc gas sensor breakout</t>
  </si>
  <si>
    <t>3200, teensy 3.x feather adapter</t>
  </si>
  <si>
    <t>3201, adafruit ethernet featherwing</t>
  </si>
  <si>
    <t>3211, adafruit rgb matrix bonnet for raspberry pi</t>
  </si>
  <si>
    <t>3213, assembled feather huzzah w/ esp8266 wifi with stacking headers</t>
  </si>
  <si>
    <t>3229, adafruit radio featherwing - rfm69hcw 900mhz</t>
  </si>
  <si>
    <t>3230, adafruit radio featherwing - rfm69hcw 433mhz</t>
  </si>
  <si>
    <t>3231, adafruit lora radio featherwing - rfm95w 900 mhz</t>
  </si>
  <si>
    <t>3232, adafruit lora radio featherwing - rfm95w 433 mhz</t>
  </si>
  <si>
    <t>3249, adafruit neopxl8 featherwing for feather m0 - 8 x dma neopixels!</t>
  </si>
  <si>
    <t>3251, adafruit si7021 temperature &amp; humidity sensor breakout board</t>
  </si>
  <si>
    <t>3263, adafruit universal thermocouple amplifier max31856 breakout</t>
  </si>
  <si>
    <t>3295, adafruit pcf8523 real time clock assembled breakout board</t>
  </si>
  <si>
    <t>3296, adafruit ds1307 real time clock assembled breakout board</t>
  </si>
  <si>
    <t>3297, adafruit drv8833 dc/stepper motor driver breakout board</t>
  </si>
  <si>
    <t>3305, adafruit tft 50pin to 40pin + ar1100 touchscreen adapter</t>
  </si>
  <si>
    <t>3309, adafruit cp2104 friend - usb to serial converter</t>
  </si>
  <si>
    <t>3315, tft featherwing - 2.4" 320x240 touchscreen for all feathers</t>
  </si>
  <si>
    <t>3316, adafruit vl6180x time of flight distance ranging sensor (vl6180)</t>
  </si>
  <si>
    <t>3317, adafruit vl53l0x time of flight distance sensor - ~30 to 1000mm</t>
  </si>
  <si>
    <t>3321, adafruit mini color tft with joystick featherwing</t>
  </si>
  <si>
    <t>3328, adafruit pt100 rtd temperature sensor amplifier - max31865</t>
  </si>
  <si>
    <t>3333, circuit playground express</t>
  </si>
  <si>
    <t>3343, adafruit crickit featherwing for any feather</t>
  </si>
  <si>
    <t>3346, adafruit i2s 3w stereo speaker bonnet for raspberry pi</t>
  </si>
  <si>
    <t>3356, adafruit animated eyes bonnet for raspberry pi mini kit</t>
  </si>
  <si>
    <t>3357, adafruit music maker featherwing - mp3 ogg wav midi synth player</t>
  </si>
  <si>
    <t>3377, adafruit led sequins - multicolor pack of 5</t>
  </si>
  <si>
    <t>3382, adafruit metro m4 feat. microchip atsamd51</t>
  </si>
  <si>
    <t>3386, adafruit pirtc - pcf8523 real time clock for raspberry pi</t>
  </si>
  <si>
    <t>3387, adafruit 9-dof accel/mag/gyro+temp breakout board - lsm9ds1</t>
  </si>
  <si>
    <t>3403, adafruit feather m0 express - designed for circuitpython</t>
  </si>
  <si>
    <t>3405, adafruit huzzah32 â esp32 feather board</t>
  </si>
  <si>
    <t>3406, adafruit feather nrf52 bluefruit le</t>
  </si>
  <si>
    <t>3416, adafruit 16-channel pwm / servo bonnet for raspberry pi</t>
  </si>
  <si>
    <t>3421, adafruit i2s mems microphone breakout - sph0645lm4h</t>
  </si>
  <si>
    <t>3422, adafruit arcade bonnet for raspberry pi with jst connectors</t>
  </si>
  <si>
    <t>3435, adafruit tpl5110 low power timer breakout</t>
  </si>
  <si>
    <t>3436, music maker featherwing w/ amp - mp3 ogg wav midi synth player</t>
  </si>
  <si>
    <t>3444, adafruit dotstar high density 8x8 grid - 64 rgb led pixel matrix</t>
  </si>
  <si>
    <t>3449, adafruit dotstar featherwing - 6 x 12 rgb leds</t>
  </si>
  <si>
    <t>3458, adafruit feather 328p - atmega328p 3.3v @ 8 mhz</t>
  </si>
  <si>
    <t>3463, adafruit precision nxp 9-dof breakout board</t>
  </si>
  <si>
    <t>3464, adafruit joy bonnet for raspberry pi</t>
  </si>
  <si>
    <t>3467, adafruit charlieplex led matrix bonnet - 8x16 blue leds</t>
  </si>
  <si>
    <t>3492, adafruit pdm mems microphone breakout</t>
  </si>
  <si>
    <t>3500, adafruit trinket m0 - for use with circuitpython &amp; arduino ide</t>
  </si>
  <si>
    <t>3501, adafruit gemma m0 - miniature wearable electronic platform</t>
  </si>
  <si>
    <t>3502, adafruit sharp memory display breakout - 1.3" 168x144 monochrome</t>
  </si>
  <si>
    <t>3505, adafruit metro m0 express - designed for circuitpython</t>
  </si>
  <si>
    <t>3515, adafruit htu21d-f temperature &amp; humidity sensor breakout board</t>
  </si>
  <si>
    <t>3527, adafruit pioled - 128x32 monochrome oled add-on for raspberry pi</t>
  </si>
  <si>
    <t>3531, adafruit 128x64 oled bonnet for raspberry pi</t>
  </si>
  <si>
    <t>3533, adafruit 0.96" 160x80 color tft display w/ microsd card breakout</t>
  </si>
  <si>
    <t>3538, adafruit amg8833 ir thermal camera breakout</t>
  </si>
  <si>
    <t>3566, adafruit ccs811 air quality sensor breakout - voc and eco2</t>
  </si>
  <si>
    <t>3573, adafruit tpl5111 low power timer breakout</t>
  </si>
  <si>
    <t>3574, adafruit feather nrf52 pro with mynewt bootloader</t>
  </si>
  <si>
    <t>3575, adafruit touch screen breakout board for 4 pin 1.0mm fpc</t>
  </si>
  <si>
    <t>3589, adafruit piuart - usb console and power add-on for raspberry pi</t>
  </si>
  <si>
    <t>3591, adafruit huzzah32 â esp32 feather board (pre-soldered)</t>
  </si>
  <si>
    <t>3595, adafruit apds9960 proximity, light, rgb, and gesture sensor</t>
  </si>
  <si>
    <t>3619, assembled adafruit huzzah32 â esp32 feather board</t>
  </si>
  <si>
    <t>3622, adafruit amg8833 ir thermal camera featherwing</t>
  </si>
  <si>
    <t>3625, adafruit 1.54" tri-color eink / epaper display with sram</t>
  </si>
  <si>
    <t>3632, adafruit joy featherwing for all feathers</t>
  </si>
  <si>
    <t>3648, adafruit pt1000 rtd temperature sensor amplifier - max31865</t>
  </si>
  <si>
    <t>3650, adafruit ina219 featherwing</t>
  </si>
  <si>
    <t>3651, adafruit tft featherwing - 3.5" 480x320 touchscreen for feathers</t>
  </si>
  <si>
    <t>3653, adafruit winc1500 wifi shield with pcb antenna</t>
  </si>
  <si>
    <t>3654, adafruit winc1500 wifi shield with ufl connector</t>
  </si>
  <si>
    <t>3657, adafruit atsamd09 breakout with seesaw</t>
  </si>
  <si>
    <t>3660, adafruit bme680 - temperature, humidity, pressure and gas sensor</t>
  </si>
  <si>
    <t>3661, adafruit miniboost 5v @ 100ma charge pump - ap3602a</t>
  </si>
  <si>
    <t>3671, adafruit csi or dsi cable extender thingy for raspberry pi</t>
  </si>
  <si>
    <t>3675, adafruit itsybitsy 32u4 - 3v 8mhz</t>
  </si>
  <si>
    <t>3677, adafruit itsybitsy 32u4 - 5v 16mhz</t>
  </si>
  <si>
    <t>3678, adafruit i2s stereo decoder - uda1334a breakout</t>
  </si>
  <si>
    <t>3695, adafruit dragontail for micro:bit - fully assembled</t>
  </si>
  <si>
    <t>3709, adafruit sgp30 air quality sensor breakout - voc and eco2</t>
  </si>
  <si>
    <t>3727, adafruit itsybitsy m0 express - for circuitpython &amp; arduino ide</t>
  </si>
  <si>
    <t>3779, adafruit as7262 6-channel visible light / color sensor breakout</t>
  </si>
  <si>
    <t>3787, adafruit 1.54" 240x240 wide angle tft lcd display with microsd</t>
  </si>
  <si>
    <t>3800, adafruit itsybitsy m4 express featuring atsamd51</t>
  </si>
  <si>
    <t>3857, adafruit feather m4 express - featuring atsamd51</t>
  </si>
  <si>
    <t>3900, adafruit hallowing m0 express</t>
  </si>
  <si>
    <t>3928, adafruit crickit for micro:bit</t>
  </si>
  <si>
    <t>3938, adafruit neotrellis m4 mainboard - featuring samd51</t>
  </si>
  <si>
    <t>3939, adafruit pybadge lc - makecode arcade, circuitpython or arduino</t>
  </si>
  <si>
    <t>3954, adafruit neotrellis rgb driver pcb for 4x4 keypad</t>
  </si>
  <si>
    <t>3957, adafruit crickit hat for raspberry pi</t>
  </si>
  <si>
    <t>3964, adafruit veml6075 uva uvb and uv index sensor breakout</t>
  </si>
  <si>
    <t>3965, adafruit mprls ported pressure sensor breakout - 0 to 25 psi</t>
  </si>
  <si>
    <t>3966, adafruit bmp388 - precision barometric pressure and altimeter</t>
  </si>
  <si>
    <t>3975, adafruit neopxl8 friend - 8 x strands neopixel level shifter</t>
  </si>
  <si>
    <t>3988, adafruit prop-maker featherwing</t>
  </si>
  <si>
    <t>4000, adafruit metro m4 express airlift (wifi) - lite</t>
  </si>
  <si>
    <t>4022, adafruit wide-range triple-axis magnetometer - mlx90393</t>
  </si>
  <si>
    <t>4026, adafruit stemma soil sensor - i2c capacitive moisture sensor</t>
  </si>
  <si>
    <t>4037, adafruit i2s audio bonnet for raspberry pi</t>
  </si>
  <si>
    <t>4062, adafruit feather nrf52840 express</t>
  </si>
  <si>
    <t>4064, adafruit grand central m4 express featuring the samd51</t>
  </si>
  <si>
    <t>4072, adafruit rfm69hcw transceiver radio bonnet - 868 or 915 mhz</t>
  </si>
  <si>
    <t>4073, adafruit rfm69hcw transceiver radio bonnet - 433 mhz</t>
  </si>
  <si>
    <t>4074, adafruit lora radio bonnet with oled - rfm95w @ 915mhz</t>
  </si>
  <si>
    <t>4075, adafruit lora radio bonnet rfm96w @ 433mhz</t>
  </si>
  <si>
    <t>4084, adafruit grand central m4 express featuring samd51</t>
  </si>
  <si>
    <t>4086, adafruit 2.13" tri-color eink / epaper display with sram</t>
  </si>
  <si>
    <t>4089, adt7410 high accuracy i2c temperature sensor breakout board</t>
  </si>
  <si>
    <t>4090, adafruit usb c breakout board - downstream connection</t>
  </si>
  <si>
    <t>4097, adxl343 - triple-axis accelerometer (+-2g/4g/8g/16g) w/ i2c/spi</t>
  </si>
  <si>
    <t>4098, adafruit 2.7" tri-color eink / epaper display with sram</t>
  </si>
  <si>
    <t>4101, adafruit mcp9600 i2c thermocouple amplifier</t>
  </si>
  <si>
    <t>4116, adafruit pyportal - circuitpython powered internet display</t>
  </si>
  <si>
    <t>4119, adafruit charlieplex led matrix bonnet - 8x16 yellow leds</t>
  </si>
  <si>
    <t>4120, adafruit charlieplex led matrix bonnet - 8x16 green leds</t>
  </si>
  <si>
    <t>4121, adafruit charlieplex led matrix bonnet - 8x16 cool white leds</t>
  </si>
  <si>
    <t>4122, adafruit charlieplex led matrix bonnet - 8x16 warm white leds</t>
  </si>
  <si>
    <t>4128, adafruit 2.13" tri-color eink / epaper display featherwing</t>
  </si>
  <si>
    <t>4132, adafruit gpio expander bonnet - 16 additional i/o over i2c</t>
  </si>
  <si>
    <t>4145, assembled adafruit prop-maker featherwing</t>
  </si>
  <si>
    <t>4147, adafruit adxl343 + adt7410 sensor featherwing</t>
  </si>
  <si>
    <t>4162, adafruit veml7700 lux sensor - i2c light sensor</t>
  </si>
  <si>
    <t>4172, adafruit huzzah32 â esp32 breakout board</t>
  </si>
  <si>
    <t>4195, adafruit 2.13" monochrome eink / epaper display featherwing</t>
  </si>
  <si>
    <t>4196, adafruit 1.54" monochrome eink / epaper display with sram</t>
  </si>
  <si>
    <t>4197, adafruit 2.13" monochrome eink / epaper display with sram</t>
  </si>
  <si>
    <t>4200, adafruit pybadge for makecode arcade, circuitpython or arduino</t>
  </si>
  <si>
    <t>4201, adafruit airlift â esp32 wifi co-processor breakout board</t>
  </si>
  <si>
    <t>4224, adafruit eink breakout friend with 32kb sram</t>
  </si>
  <si>
    <t>4226, adafruit ina260 high or low side voltage, current, power sensor</t>
  </si>
  <si>
    <t>4229, adafruit 2.7" tri-color eink / epaper shield with sram</t>
  </si>
  <si>
    <t>4242, adafruit pygamer for makecode arcade, circuitpython or arduino</t>
  </si>
  <si>
    <t>4258, adafruit lps35hw water resistant pressure sensor</t>
  </si>
  <si>
    <t>4264, adafruit airlift featherwing â esp32 wifi co-processor</t>
  </si>
  <si>
    <t>4279, adafruit ultimate gps with usb - 66 channel w/10 hz updates</t>
  </si>
  <si>
    <t>4280, adafruit dc &amp; stepper motor bonnet for raspberry pi</t>
  </si>
  <si>
    <t>4282, adafruit pirtc - precise ds3231 real time clock for raspberry pi</t>
  </si>
  <si>
    <t>4285, adafruit airlift shield - esp32 wifi co-processor</t>
  </si>
  <si>
    <t>part count</t>
  </si>
  <si>
    <t>day count</t>
  </si>
  <si>
    <t>opportunities to be oos</t>
  </si>
  <si>
    <t>actual oos</t>
  </si>
  <si>
    <t>oos %</t>
  </si>
  <si>
    <t>in stock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</si>
</sst>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0.0%"/>
    <numFmt numFmtId="167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65" fontId="0" fillId="0" borderId="0" xfId="2" applyNumberFormat="1" applyFont="1"/>
    <xf numFmtId="167" fontId="0" fillId="0" borderId="0" xfId="1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8"/>
  <sheetViews>
    <sheetView tabSelected="1" workbookViewId="0">
      <selection activeCell="M14" sqref="M14"/>
    </sheetView>
  </sheetViews>
  <sheetFormatPr baseColWidth="10" defaultColWidth="8.83203125" defaultRowHeight="15" x14ac:dyDescent="0.2"/>
  <cols>
    <col min="1" max="1" width="6.1640625" bestFit="1" customWidth="1"/>
    <col min="2" max="8" width="10.1640625" bestFit="1" customWidth="1"/>
    <col min="9" max="9" width="11.5" bestFit="1" customWidth="1"/>
    <col min="10" max="10" width="60" bestFit="1" customWidth="1"/>
    <col min="12" max="12" width="19" bestFit="1" customWidth="1"/>
    <col min="13" max="13" width="9.1640625" bestFit="1" customWidth="1"/>
  </cols>
  <sheetData>
    <row r="1" spans="1:13" x14ac:dyDescent="0.2">
      <c r="A1" s="1" t="s">
        <v>0</v>
      </c>
      <c r="B1" s="2">
        <v>43630</v>
      </c>
      <c r="C1" s="2">
        <v>43631</v>
      </c>
      <c r="D1" s="2">
        <v>43632</v>
      </c>
      <c r="E1" s="2">
        <v>43633</v>
      </c>
      <c r="F1" s="2">
        <v>43634</v>
      </c>
      <c r="G1" s="2">
        <v>43635</v>
      </c>
      <c r="H1" s="2">
        <v>43636</v>
      </c>
      <c r="I1" s="1" t="s">
        <v>1</v>
      </c>
      <c r="J1" s="1" t="s">
        <v>2</v>
      </c>
    </row>
    <row r="2" spans="1:13" x14ac:dyDescent="0.2">
      <c r="A2">
        <v>163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 t="s">
        <v>3</v>
      </c>
      <c r="L2" t="s">
        <v>380</v>
      </c>
      <c r="M2" s="4">
        <f>COUNT(A2:A378)</f>
        <v>377</v>
      </c>
    </row>
    <row r="3" spans="1:13" x14ac:dyDescent="0.2">
      <c r="A3">
        <v>254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 t="s">
        <v>4</v>
      </c>
      <c r="L3" t="s">
        <v>381</v>
      </c>
      <c r="M3" s="4">
        <v>7</v>
      </c>
    </row>
    <row r="4" spans="1:13" x14ac:dyDescent="0.2">
      <c r="A4">
        <v>259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5</v>
      </c>
      <c r="L4" t="s">
        <v>382</v>
      </c>
      <c r="M4" s="4">
        <f>PRODUCT(M2:M3)</f>
        <v>2639</v>
      </c>
    </row>
    <row r="5" spans="1:13" x14ac:dyDescent="0.2">
      <c r="A5">
        <v>269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6</v>
      </c>
      <c r="M5" s="4"/>
    </row>
    <row r="6" spans="1:13" x14ac:dyDescent="0.2">
      <c r="A6">
        <v>284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 t="s">
        <v>7</v>
      </c>
      <c r="L6" t="s">
        <v>383</v>
      </c>
      <c r="M6" s="4">
        <f>SUM(I2:I378)</f>
        <v>399</v>
      </c>
    </row>
    <row r="7" spans="1:13" x14ac:dyDescent="0.2">
      <c r="A7">
        <v>292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8</v>
      </c>
      <c r="L7" t="s">
        <v>384</v>
      </c>
      <c r="M7" s="3">
        <f>M6/M4</f>
        <v>0.15119363395225463</v>
      </c>
    </row>
    <row r="8" spans="1:13" x14ac:dyDescent="0.2">
      <c r="A8">
        <v>326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 t="s">
        <v>9</v>
      </c>
      <c r="L8" t="s">
        <v>385</v>
      </c>
      <c r="M8" s="3">
        <f>1-M7</f>
        <v>0.8488063660477454</v>
      </c>
    </row>
    <row r="9" spans="1:13" x14ac:dyDescent="0.2">
      <c r="A9">
        <v>334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t="s">
        <v>10</v>
      </c>
    </row>
    <row r="10" spans="1:13" x14ac:dyDescent="0.2">
      <c r="A10">
        <v>358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 t="s">
        <v>11</v>
      </c>
    </row>
    <row r="11" spans="1:13" x14ac:dyDescent="0.2">
      <c r="A11">
        <v>364</v>
      </c>
      <c r="B11">
        <v>0</v>
      </c>
      <c r="C11">
        <v>1</v>
      </c>
      <c r="D11">
        <v>1</v>
      </c>
      <c r="E11">
        <v>1</v>
      </c>
      <c r="F11">
        <v>1</v>
      </c>
      <c r="G11">
        <v>0</v>
      </c>
      <c r="H11">
        <v>0</v>
      </c>
      <c r="I11">
        <v>4</v>
      </c>
      <c r="J11" t="s">
        <v>12</v>
      </c>
    </row>
    <row r="12" spans="1:13" x14ac:dyDescent="0.2">
      <c r="A12">
        <v>390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 t="s">
        <v>13</v>
      </c>
    </row>
    <row r="13" spans="1:13" x14ac:dyDescent="0.2">
      <c r="A13">
        <v>395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14</v>
      </c>
    </row>
    <row r="14" spans="1:13" x14ac:dyDescent="0.2">
      <c r="A14">
        <v>466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 t="s">
        <v>15</v>
      </c>
    </row>
    <row r="15" spans="1:13" x14ac:dyDescent="0.2">
      <c r="A15">
        <v>661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t="s">
        <v>16</v>
      </c>
    </row>
    <row r="16" spans="1:13" x14ac:dyDescent="0.2">
      <c r="A16">
        <v>684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 t="s">
        <v>17</v>
      </c>
    </row>
    <row r="17" spans="1:10" x14ac:dyDescent="0.2">
      <c r="A17">
        <v>746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0</v>
      </c>
      <c r="I17">
        <v>1</v>
      </c>
      <c r="J17" t="s">
        <v>18</v>
      </c>
    </row>
    <row r="18" spans="1:10" x14ac:dyDescent="0.2">
      <c r="A18">
        <v>757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19</v>
      </c>
    </row>
    <row r="19" spans="1:10" x14ac:dyDescent="0.2">
      <c r="A19">
        <v>781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7</v>
      </c>
      <c r="J19" t="s">
        <v>20</v>
      </c>
    </row>
    <row r="20" spans="1:10" x14ac:dyDescent="0.2">
      <c r="A20">
        <v>789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 t="s">
        <v>21</v>
      </c>
    </row>
    <row r="21" spans="1:10" x14ac:dyDescent="0.2">
      <c r="A21">
        <v>802</v>
      </c>
      <c r="B21">
        <v>0</v>
      </c>
      <c r="C21">
        <v>0</v>
      </c>
      <c r="D21">
        <v>0</v>
      </c>
      <c r="E21">
        <v>1</v>
      </c>
      <c r="F21">
        <v>1</v>
      </c>
      <c r="G21">
        <v>1</v>
      </c>
      <c r="H21">
        <v>1</v>
      </c>
      <c r="I21">
        <v>4</v>
      </c>
      <c r="J21" t="s">
        <v>22</v>
      </c>
    </row>
    <row r="22" spans="1:10" x14ac:dyDescent="0.2">
      <c r="A22">
        <v>815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 t="s">
        <v>23</v>
      </c>
    </row>
    <row r="23" spans="1:10" x14ac:dyDescent="0.2">
      <c r="A23">
        <v>877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 t="s">
        <v>24</v>
      </c>
    </row>
    <row r="24" spans="1:10" x14ac:dyDescent="0.2">
      <c r="A24">
        <v>904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25</v>
      </c>
    </row>
    <row r="25" spans="1:10" x14ac:dyDescent="0.2">
      <c r="A25">
        <v>931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26</v>
      </c>
    </row>
    <row r="26" spans="1:10" x14ac:dyDescent="0.2">
      <c r="A26">
        <v>935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 t="s">
        <v>27</v>
      </c>
    </row>
    <row r="27" spans="1:10" x14ac:dyDescent="0.2">
      <c r="A27">
        <v>987</v>
      </c>
      <c r="B27">
        <v>0</v>
      </c>
      <c r="C27">
        <v>0</v>
      </c>
      <c r="D27">
        <v>0</v>
      </c>
      <c r="E27">
        <v>1</v>
      </c>
      <c r="F27">
        <v>1</v>
      </c>
      <c r="G27">
        <v>0</v>
      </c>
      <c r="H27">
        <v>0</v>
      </c>
      <c r="I27">
        <v>2</v>
      </c>
      <c r="J27" t="s">
        <v>28</v>
      </c>
    </row>
    <row r="28" spans="1:10" x14ac:dyDescent="0.2">
      <c r="A28">
        <v>992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 t="s">
        <v>29</v>
      </c>
    </row>
    <row r="29" spans="1:10" x14ac:dyDescent="0.2">
      <c r="A29">
        <v>1018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 t="s">
        <v>30</v>
      </c>
    </row>
    <row r="30" spans="1:10" x14ac:dyDescent="0.2">
      <c r="A30">
        <v>1032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 t="s">
        <v>31</v>
      </c>
    </row>
    <row r="31" spans="1:10" x14ac:dyDescent="0.2">
      <c r="A31">
        <v>1048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32</v>
      </c>
    </row>
    <row r="32" spans="1:10" x14ac:dyDescent="0.2">
      <c r="A32">
        <v>1059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 t="s">
        <v>33</v>
      </c>
    </row>
    <row r="33" spans="1:10" x14ac:dyDescent="0.2">
      <c r="A33">
        <v>1083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 t="s">
        <v>34</v>
      </c>
    </row>
    <row r="34" spans="1:10" x14ac:dyDescent="0.2">
      <c r="A34">
        <v>1085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 t="s">
        <v>35</v>
      </c>
    </row>
    <row r="35" spans="1:10" x14ac:dyDescent="0.2">
      <c r="A35">
        <v>1120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 t="s">
        <v>36</v>
      </c>
    </row>
    <row r="36" spans="1:10" x14ac:dyDescent="0.2">
      <c r="A36">
        <v>1141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37</v>
      </c>
    </row>
    <row r="37" spans="1:10" x14ac:dyDescent="0.2">
      <c r="A37">
        <v>1164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38</v>
      </c>
    </row>
    <row r="38" spans="1:10" x14ac:dyDescent="0.2">
      <c r="A38">
        <v>1222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 t="s">
        <v>39</v>
      </c>
    </row>
    <row r="39" spans="1:10" x14ac:dyDescent="0.2">
      <c r="A39">
        <v>1231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 t="s">
        <v>40</v>
      </c>
    </row>
    <row r="40" spans="1:10" x14ac:dyDescent="0.2">
      <c r="A40">
        <v>1247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 t="s">
        <v>41</v>
      </c>
    </row>
    <row r="41" spans="1:10" x14ac:dyDescent="0.2">
      <c r="A41">
        <v>1271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 t="s">
        <v>42</v>
      </c>
    </row>
    <row r="42" spans="1:10" x14ac:dyDescent="0.2">
      <c r="A42">
        <v>1272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43</v>
      </c>
    </row>
    <row r="43" spans="1:10" x14ac:dyDescent="0.2">
      <c r="A43">
        <v>1296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44</v>
      </c>
    </row>
    <row r="44" spans="1:10" x14ac:dyDescent="0.2">
      <c r="A44">
        <v>1304</v>
      </c>
      <c r="B44">
        <v>0</v>
      </c>
      <c r="C44">
        <v>1</v>
      </c>
      <c r="D44">
        <v>1</v>
      </c>
      <c r="E44">
        <v>1</v>
      </c>
      <c r="F44">
        <v>0</v>
      </c>
      <c r="G44">
        <v>0</v>
      </c>
      <c r="H44">
        <v>0</v>
      </c>
      <c r="I44">
        <v>3</v>
      </c>
      <c r="J44" t="s">
        <v>45</v>
      </c>
    </row>
    <row r="45" spans="1:10" x14ac:dyDescent="0.2">
      <c r="A45">
        <v>1334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 t="s">
        <v>46</v>
      </c>
    </row>
    <row r="46" spans="1:10" x14ac:dyDescent="0.2">
      <c r="A46">
        <v>1356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47</v>
      </c>
    </row>
    <row r="47" spans="1:10" x14ac:dyDescent="0.2">
      <c r="A47">
        <v>1362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 t="s">
        <v>48</v>
      </c>
    </row>
    <row r="48" spans="1:10" x14ac:dyDescent="0.2">
      <c r="A48">
        <v>1374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49</v>
      </c>
    </row>
    <row r="49" spans="1:10" x14ac:dyDescent="0.2">
      <c r="A49">
        <v>1375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50</v>
      </c>
    </row>
    <row r="50" spans="1:10" x14ac:dyDescent="0.2">
      <c r="A50">
        <v>1381</v>
      </c>
      <c r="B50">
        <v>0</v>
      </c>
      <c r="C50">
        <v>1</v>
      </c>
      <c r="D50">
        <v>1</v>
      </c>
      <c r="E50">
        <v>1</v>
      </c>
      <c r="F50">
        <v>1</v>
      </c>
      <c r="G50">
        <v>1</v>
      </c>
      <c r="H50">
        <v>1</v>
      </c>
      <c r="I50">
        <v>6</v>
      </c>
      <c r="J50" t="s">
        <v>51</v>
      </c>
    </row>
    <row r="51" spans="1:10" x14ac:dyDescent="0.2">
      <c r="A51">
        <v>1384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 t="s">
        <v>52</v>
      </c>
    </row>
    <row r="52" spans="1:10" x14ac:dyDescent="0.2">
      <c r="A52">
        <v>1400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 t="s">
        <v>53</v>
      </c>
    </row>
    <row r="53" spans="1:10" x14ac:dyDescent="0.2">
      <c r="A53">
        <v>1411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 t="s">
        <v>54</v>
      </c>
    </row>
    <row r="54" spans="1:10" x14ac:dyDescent="0.2">
      <c r="A54">
        <v>1413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 t="s">
        <v>55</v>
      </c>
    </row>
    <row r="55" spans="1:10" x14ac:dyDescent="0.2">
      <c r="A55">
        <v>1427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56</v>
      </c>
    </row>
    <row r="56" spans="1:10" x14ac:dyDescent="0.2">
      <c r="A56">
        <v>1429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 t="s">
        <v>57</v>
      </c>
    </row>
    <row r="57" spans="1:10" x14ac:dyDescent="0.2">
      <c r="A57">
        <v>1431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 t="s">
        <v>58</v>
      </c>
    </row>
    <row r="58" spans="1:10" x14ac:dyDescent="0.2">
      <c r="A58">
        <v>1455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 t="s">
        <v>59</v>
      </c>
    </row>
    <row r="59" spans="1:10" x14ac:dyDescent="0.2">
      <c r="A59">
        <v>1480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 t="s">
        <v>60</v>
      </c>
    </row>
    <row r="60" spans="1:10" x14ac:dyDescent="0.2">
      <c r="A60">
        <v>1500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 t="s">
        <v>61</v>
      </c>
    </row>
    <row r="61" spans="1:10" x14ac:dyDescent="0.2">
      <c r="A61">
        <v>1551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62</v>
      </c>
    </row>
    <row r="62" spans="1:10" x14ac:dyDescent="0.2">
      <c r="A62">
        <v>1552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 t="s">
        <v>63</v>
      </c>
    </row>
    <row r="63" spans="1:10" x14ac:dyDescent="0.2">
      <c r="A63">
        <v>1571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 t="s">
        <v>64</v>
      </c>
    </row>
    <row r="64" spans="1:10" x14ac:dyDescent="0.2">
      <c r="A64">
        <v>1580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 t="s">
        <v>65</v>
      </c>
    </row>
    <row r="65" spans="1:10" x14ac:dyDescent="0.2">
      <c r="A65">
        <v>1590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1</v>
      </c>
      <c r="I65">
        <v>1</v>
      </c>
      <c r="J65" t="s">
        <v>66</v>
      </c>
    </row>
    <row r="66" spans="1:10" x14ac:dyDescent="0.2">
      <c r="A66">
        <v>1602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 t="s">
        <v>67</v>
      </c>
    </row>
    <row r="67" spans="1:10" x14ac:dyDescent="0.2">
      <c r="A67">
        <v>1616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68</v>
      </c>
    </row>
    <row r="68" spans="1:10" x14ac:dyDescent="0.2">
      <c r="A68">
        <v>1651</v>
      </c>
      <c r="B68">
        <v>1</v>
      </c>
      <c r="C68">
        <v>1</v>
      </c>
      <c r="D68">
        <v>1</v>
      </c>
      <c r="E68">
        <v>1</v>
      </c>
      <c r="F68">
        <v>1</v>
      </c>
      <c r="G68">
        <v>1</v>
      </c>
      <c r="H68">
        <v>1</v>
      </c>
      <c r="I68">
        <v>7</v>
      </c>
      <c r="J68" t="s">
        <v>69</v>
      </c>
    </row>
    <row r="69" spans="1:10" x14ac:dyDescent="0.2">
      <c r="A69">
        <v>1652</v>
      </c>
      <c r="B69">
        <v>1</v>
      </c>
      <c r="C69">
        <v>1</v>
      </c>
      <c r="D69">
        <v>1</v>
      </c>
      <c r="E69">
        <v>1</v>
      </c>
      <c r="F69">
        <v>1</v>
      </c>
      <c r="G69">
        <v>1</v>
      </c>
      <c r="H69">
        <v>1</v>
      </c>
      <c r="I69">
        <v>7</v>
      </c>
      <c r="J69" t="s">
        <v>70</v>
      </c>
    </row>
    <row r="70" spans="1:10" x14ac:dyDescent="0.2">
      <c r="A70">
        <v>1673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 t="s">
        <v>71</v>
      </c>
    </row>
    <row r="71" spans="1:10" x14ac:dyDescent="0.2">
      <c r="A71">
        <v>1689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 t="s">
        <v>72</v>
      </c>
    </row>
    <row r="72" spans="1:10" x14ac:dyDescent="0.2">
      <c r="A72">
        <v>1697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73</v>
      </c>
    </row>
    <row r="73" spans="1:10" x14ac:dyDescent="0.2">
      <c r="A73">
        <v>1712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74</v>
      </c>
    </row>
    <row r="74" spans="1:10" x14ac:dyDescent="0.2">
      <c r="A74">
        <v>1713</v>
      </c>
      <c r="B74">
        <v>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2</v>
      </c>
      <c r="J74" t="s">
        <v>75</v>
      </c>
    </row>
    <row r="75" spans="1:10" x14ac:dyDescent="0.2">
      <c r="A75">
        <v>1727</v>
      </c>
      <c r="B75">
        <v>1</v>
      </c>
      <c r="C75">
        <v>1</v>
      </c>
      <c r="D75">
        <v>1</v>
      </c>
      <c r="E75">
        <v>1</v>
      </c>
      <c r="F75">
        <v>1</v>
      </c>
      <c r="G75">
        <v>0</v>
      </c>
      <c r="H75">
        <v>0</v>
      </c>
      <c r="I75">
        <v>5</v>
      </c>
      <c r="J75" t="s">
        <v>76</v>
      </c>
    </row>
    <row r="76" spans="1:10" x14ac:dyDescent="0.2">
      <c r="A76">
        <v>1743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 t="s">
        <v>77</v>
      </c>
    </row>
    <row r="77" spans="1:10" x14ac:dyDescent="0.2">
      <c r="A77">
        <v>1752</v>
      </c>
      <c r="B77">
        <v>0</v>
      </c>
      <c r="C77">
        <v>0</v>
      </c>
      <c r="D77">
        <v>0</v>
      </c>
      <c r="E77">
        <v>0</v>
      </c>
      <c r="F77">
        <v>1</v>
      </c>
      <c r="G77">
        <v>1</v>
      </c>
      <c r="H77">
        <v>0</v>
      </c>
      <c r="I77">
        <v>2</v>
      </c>
      <c r="J77" t="s">
        <v>78</v>
      </c>
    </row>
    <row r="78" spans="1:10" x14ac:dyDescent="0.2">
      <c r="A78">
        <v>1755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79</v>
      </c>
    </row>
    <row r="79" spans="1:10" x14ac:dyDescent="0.2">
      <c r="A79">
        <v>1756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80</v>
      </c>
    </row>
    <row r="80" spans="1:10" x14ac:dyDescent="0.2">
      <c r="A80">
        <v>1757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 t="s">
        <v>81</v>
      </c>
    </row>
    <row r="81" spans="1:10" x14ac:dyDescent="0.2">
      <c r="A81">
        <v>1758</v>
      </c>
      <c r="B81">
        <v>1</v>
      </c>
      <c r="C81">
        <v>1</v>
      </c>
      <c r="D81">
        <v>1</v>
      </c>
      <c r="E81">
        <v>1</v>
      </c>
      <c r="F81">
        <v>1</v>
      </c>
      <c r="G81">
        <v>1</v>
      </c>
      <c r="H81">
        <v>1</v>
      </c>
      <c r="I81">
        <v>7</v>
      </c>
      <c r="J81" t="s">
        <v>82</v>
      </c>
    </row>
    <row r="82" spans="1:10" x14ac:dyDescent="0.2">
      <c r="A82">
        <v>1764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 t="s">
        <v>83</v>
      </c>
    </row>
    <row r="83" spans="1:10" x14ac:dyDescent="0.2">
      <c r="A83">
        <v>1770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 t="s">
        <v>84</v>
      </c>
    </row>
    <row r="84" spans="1:10" x14ac:dyDescent="0.2">
      <c r="A84">
        <v>1777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 t="s">
        <v>85</v>
      </c>
    </row>
    <row r="85" spans="1:10" x14ac:dyDescent="0.2">
      <c r="A85">
        <v>1778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1</v>
      </c>
      <c r="I85">
        <v>1</v>
      </c>
      <c r="J85" t="s">
        <v>86</v>
      </c>
    </row>
    <row r="86" spans="1:10" x14ac:dyDescent="0.2">
      <c r="A86">
        <v>1782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 t="s">
        <v>87</v>
      </c>
    </row>
    <row r="87" spans="1:10" x14ac:dyDescent="0.2">
      <c r="A87">
        <v>1788</v>
      </c>
      <c r="B87">
        <v>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2</v>
      </c>
      <c r="J87" t="s">
        <v>88</v>
      </c>
    </row>
    <row r="88" spans="1:10" x14ac:dyDescent="0.2">
      <c r="A88">
        <v>1790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 t="s">
        <v>89</v>
      </c>
    </row>
    <row r="89" spans="1:10" x14ac:dyDescent="0.2">
      <c r="A89">
        <v>1792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 t="s">
        <v>90</v>
      </c>
    </row>
    <row r="90" spans="1:10" x14ac:dyDescent="0.2">
      <c r="A90">
        <v>1833</v>
      </c>
      <c r="B90">
        <v>0</v>
      </c>
      <c r="C90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1</v>
      </c>
      <c r="J90" t="s">
        <v>91</v>
      </c>
    </row>
    <row r="91" spans="1:10" x14ac:dyDescent="0.2">
      <c r="A91">
        <v>1862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92</v>
      </c>
    </row>
    <row r="92" spans="1:10" x14ac:dyDescent="0.2">
      <c r="A92">
        <v>1863</v>
      </c>
      <c r="B92">
        <v>0</v>
      </c>
      <c r="C92">
        <v>0</v>
      </c>
      <c r="D92">
        <v>0</v>
      </c>
      <c r="E92">
        <v>0</v>
      </c>
      <c r="F92">
        <v>1</v>
      </c>
      <c r="G92">
        <v>1</v>
      </c>
      <c r="H92">
        <v>1</v>
      </c>
      <c r="I92">
        <v>3</v>
      </c>
      <c r="J92" t="s">
        <v>93</v>
      </c>
    </row>
    <row r="93" spans="1:10" x14ac:dyDescent="0.2">
      <c r="A93">
        <v>1867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 t="s">
        <v>94</v>
      </c>
    </row>
    <row r="94" spans="1:10" x14ac:dyDescent="0.2">
      <c r="A94">
        <v>1868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 t="s">
        <v>95</v>
      </c>
    </row>
    <row r="95" spans="1:10" x14ac:dyDescent="0.2">
      <c r="A95">
        <v>1870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 t="s">
        <v>96</v>
      </c>
    </row>
    <row r="96" spans="1:10" x14ac:dyDescent="0.2">
      <c r="A96">
        <v>1871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97</v>
      </c>
    </row>
    <row r="97" spans="1:10" x14ac:dyDescent="0.2">
      <c r="A97">
        <v>1875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98</v>
      </c>
    </row>
    <row r="98" spans="1:10" x14ac:dyDescent="0.2">
      <c r="A98">
        <v>1893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 t="s">
        <v>99</v>
      </c>
    </row>
    <row r="99" spans="1:10" x14ac:dyDescent="0.2">
      <c r="A99">
        <v>1895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 t="s">
        <v>100</v>
      </c>
    </row>
    <row r="100" spans="1:10" x14ac:dyDescent="0.2">
      <c r="A100">
        <v>1897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 t="s">
        <v>101</v>
      </c>
    </row>
    <row r="101" spans="1:10" x14ac:dyDescent="0.2">
      <c r="A101">
        <v>1899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 t="s">
        <v>102</v>
      </c>
    </row>
    <row r="102" spans="1:10" x14ac:dyDescent="0.2">
      <c r="A102">
        <v>1903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 t="s">
        <v>103</v>
      </c>
    </row>
    <row r="103" spans="1:10" x14ac:dyDescent="0.2">
      <c r="A103">
        <v>1904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104</v>
      </c>
    </row>
    <row r="104" spans="1:10" x14ac:dyDescent="0.2">
      <c r="A104">
        <v>1905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 t="s">
        <v>105</v>
      </c>
    </row>
    <row r="105" spans="1:10" x14ac:dyDescent="0.2">
      <c r="A105">
        <v>1910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 t="s">
        <v>106</v>
      </c>
    </row>
    <row r="106" spans="1:10" x14ac:dyDescent="0.2">
      <c r="A106">
        <v>1916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 t="s">
        <v>107</v>
      </c>
    </row>
    <row r="107" spans="1:10" x14ac:dyDescent="0.2">
      <c r="A107">
        <v>1918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 t="s">
        <v>108</v>
      </c>
    </row>
    <row r="108" spans="1:10" x14ac:dyDescent="0.2">
      <c r="A108">
        <v>1932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 t="s">
        <v>109</v>
      </c>
    </row>
    <row r="109" spans="1:10" x14ac:dyDescent="0.2">
      <c r="A109">
        <v>1944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110</v>
      </c>
    </row>
    <row r="110" spans="1:10" x14ac:dyDescent="0.2">
      <c r="A110">
        <v>1946</v>
      </c>
      <c r="B110">
        <v>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7</v>
      </c>
      <c r="J110" t="s">
        <v>111</v>
      </c>
    </row>
    <row r="111" spans="1:10" x14ac:dyDescent="0.2">
      <c r="A111">
        <v>1947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 t="s">
        <v>112</v>
      </c>
    </row>
    <row r="112" spans="1:10" x14ac:dyDescent="0.2">
      <c r="A112">
        <v>1958</v>
      </c>
      <c r="B112">
        <v>1</v>
      </c>
      <c r="C112">
        <v>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7</v>
      </c>
      <c r="J112" t="s">
        <v>113</v>
      </c>
    </row>
    <row r="113" spans="1:10" x14ac:dyDescent="0.2">
      <c r="A113">
        <v>1963</v>
      </c>
      <c r="B113">
        <v>1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7</v>
      </c>
      <c r="J113" t="s">
        <v>114</v>
      </c>
    </row>
    <row r="114" spans="1:10" x14ac:dyDescent="0.2">
      <c r="A114">
        <v>1980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1</v>
      </c>
      <c r="H114">
        <v>0</v>
      </c>
      <c r="I114">
        <v>1</v>
      </c>
      <c r="J114" t="s">
        <v>115</v>
      </c>
    </row>
    <row r="115" spans="1:10" x14ac:dyDescent="0.2">
      <c r="A115">
        <v>1981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116</v>
      </c>
    </row>
    <row r="116" spans="1:10" x14ac:dyDescent="0.2">
      <c r="A116">
        <v>1982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 t="s">
        <v>117</v>
      </c>
    </row>
    <row r="117" spans="1:10" x14ac:dyDescent="0.2">
      <c r="A117">
        <v>2010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 t="s">
        <v>118</v>
      </c>
    </row>
    <row r="118" spans="1:10" x14ac:dyDescent="0.2">
      <c r="A118">
        <v>2019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 t="s">
        <v>119</v>
      </c>
    </row>
    <row r="119" spans="1:10" x14ac:dyDescent="0.2">
      <c r="A119">
        <v>2024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 t="s">
        <v>120</v>
      </c>
    </row>
    <row r="120" spans="1:10" x14ac:dyDescent="0.2">
      <c r="A120">
        <v>2030</v>
      </c>
      <c r="B120">
        <v>1</v>
      </c>
      <c r="C120">
        <v>1</v>
      </c>
      <c r="D120">
        <v>1</v>
      </c>
      <c r="E120">
        <v>1</v>
      </c>
      <c r="F120">
        <v>0</v>
      </c>
      <c r="G120">
        <v>0</v>
      </c>
      <c r="H120">
        <v>0</v>
      </c>
      <c r="I120">
        <v>4</v>
      </c>
      <c r="J120" t="s">
        <v>121</v>
      </c>
    </row>
    <row r="121" spans="1:10" x14ac:dyDescent="0.2">
      <c r="A121">
        <v>2045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122</v>
      </c>
    </row>
    <row r="122" spans="1:10" x14ac:dyDescent="0.2">
      <c r="A122">
        <v>2050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 t="s">
        <v>123</v>
      </c>
    </row>
    <row r="123" spans="1:10" x14ac:dyDescent="0.2">
      <c r="A123">
        <v>2078</v>
      </c>
      <c r="B123">
        <v>0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  <c r="I123">
        <v>6</v>
      </c>
      <c r="J123" t="s">
        <v>124</v>
      </c>
    </row>
    <row r="124" spans="1:10" x14ac:dyDescent="0.2">
      <c r="A124">
        <v>2088</v>
      </c>
      <c r="B124">
        <v>0</v>
      </c>
      <c r="C124">
        <v>0</v>
      </c>
      <c r="D124">
        <v>0</v>
      </c>
      <c r="E124">
        <v>0</v>
      </c>
      <c r="F124">
        <v>1</v>
      </c>
      <c r="G124">
        <v>1</v>
      </c>
      <c r="H124">
        <v>1</v>
      </c>
      <c r="I124">
        <v>3</v>
      </c>
      <c r="J124" t="s">
        <v>125</v>
      </c>
    </row>
    <row r="125" spans="1:10" x14ac:dyDescent="0.2">
      <c r="A125">
        <v>2090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0</v>
      </c>
      <c r="H125">
        <v>0</v>
      </c>
      <c r="I125">
        <v>5</v>
      </c>
      <c r="J125" t="s">
        <v>126</v>
      </c>
    </row>
    <row r="126" spans="1:10" x14ac:dyDescent="0.2">
      <c r="A126">
        <v>2094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127</v>
      </c>
    </row>
    <row r="127" spans="1:10" x14ac:dyDescent="0.2">
      <c r="A127">
        <v>2107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128</v>
      </c>
    </row>
    <row r="128" spans="1:10" x14ac:dyDescent="0.2">
      <c r="A128">
        <v>2124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 t="s">
        <v>129</v>
      </c>
    </row>
    <row r="129" spans="1:10" x14ac:dyDescent="0.2">
      <c r="A129">
        <v>2130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 t="s">
        <v>130</v>
      </c>
    </row>
    <row r="130" spans="1:10" x14ac:dyDescent="0.2">
      <c r="A130">
        <v>2133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 t="s">
        <v>131</v>
      </c>
    </row>
    <row r="131" spans="1:10" x14ac:dyDescent="0.2">
      <c r="A131">
        <v>2190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 t="s">
        <v>132</v>
      </c>
    </row>
    <row r="132" spans="1:10" x14ac:dyDescent="0.2">
      <c r="A132">
        <v>2200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133</v>
      </c>
    </row>
    <row r="133" spans="1:10" x14ac:dyDescent="0.2">
      <c r="A133">
        <v>2210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7</v>
      </c>
      <c r="J133" t="s">
        <v>134</v>
      </c>
    </row>
    <row r="134" spans="1:10" x14ac:dyDescent="0.2">
      <c r="A134">
        <v>2217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0</v>
      </c>
      <c r="I134">
        <v>6</v>
      </c>
      <c r="J134" t="s">
        <v>135</v>
      </c>
    </row>
    <row r="135" spans="1:10" x14ac:dyDescent="0.2">
      <c r="A135">
        <v>2218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</v>
      </c>
      <c r="I135">
        <v>1</v>
      </c>
      <c r="J135" t="s">
        <v>136</v>
      </c>
    </row>
    <row r="136" spans="1:10" x14ac:dyDescent="0.2">
      <c r="A136">
        <v>2219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 t="s">
        <v>137</v>
      </c>
    </row>
    <row r="137" spans="1:10" x14ac:dyDescent="0.2">
      <c r="A137">
        <v>2220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 t="s">
        <v>138</v>
      </c>
    </row>
    <row r="138" spans="1:10" x14ac:dyDescent="0.2">
      <c r="A138">
        <v>2264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 t="s">
        <v>139</v>
      </c>
    </row>
    <row r="139" spans="1:10" x14ac:dyDescent="0.2">
      <c r="A139">
        <v>2267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140</v>
      </c>
    </row>
    <row r="140" spans="1:10" x14ac:dyDescent="0.2">
      <c r="A140">
        <v>2268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 t="s">
        <v>141</v>
      </c>
    </row>
    <row r="141" spans="1:10" x14ac:dyDescent="0.2">
      <c r="A141">
        <v>2269</v>
      </c>
      <c r="B141">
        <v>0</v>
      </c>
      <c r="C141">
        <v>0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5</v>
      </c>
      <c r="J141" t="s">
        <v>142</v>
      </c>
    </row>
    <row r="142" spans="1:10" x14ac:dyDescent="0.2">
      <c r="A142">
        <v>2305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 t="s">
        <v>143</v>
      </c>
    </row>
    <row r="143" spans="1:10" x14ac:dyDescent="0.2">
      <c r="A143">
        <v>2314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 t="s">
        <v>144</v>
      </c>
    </row>
    <row r="144" spans="1:10" x14ac:dyDescent="0.2">
      <c r="A144">
        <v>2315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 t="s">
        <v>145</v>
      </c>
    </row>
    <row r="145" spans="1:10" x14ac:dyDescent="0.2">
      <c r="A145">
        <v>2324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146</v>
      </c>
    </row>
    <row r="146" spans="1:10" x14ac:dyDescent="0.2">
      <c r="A146">
        <v>2327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 t="s">
        <v>147</v>
      </c>
    </row>
    <row r="147" spans="1:10" x14ac:dyDescent="0.2">
      <c r="A147">
        <v>2340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 t="s">
        <v>148</v>
      </c>
    </row>
    <row r="148" spans="1:10" x14ac:dyDescent="0.2">
      <c r="A148">
        <v>2341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149</v>
      </c>
    </row>
    <row r="149" spans="1:10" x14ac:dyDescent="0.2">
      <c r="A149">
        <v>2342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1</v>
      </c>
      <c r="I149">
        <v>1</v>
      </c>
      <c r="J149" t="s">
        <v>150</v>
      </c>
    </row>
    <row r="150" spans="1:10" x14ac:dyDescent="0.2">
      <c r="A150">
        <v>2345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 t="s">
        <v>151</v>
      </c>
    </row>
    <row r="151" spans="1:10" x14ac:dyDescent="0.2">
      <c r="A151">
        <v>2348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152</v>
      </c>
    </row>
    <row r="152" spans="1:10" x14ac:dyDescent="0.2">
      <c r="A152">
        <v>2448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 t="s">
        <v>153</v>
      </c>
    </row>
    <row r="153" spans="1:10" x14ac:dyDescent="0.2">
      <c r="A153">
        <v>2453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7</v>
      </c>
      <c r="J153" t="s">
        <v>154</v>
      </c>
    </row>
    <row r="154" spans="1:10" x14ac:dyDescent="0.2">
      <c r="A154">
        <v>2454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 t="s">
        <v>155</v>
      </c>
    </row>
    <row r="155" spans="1:10" x14ac:dyDescent="0.2">
      <c r="A155">
        <v>2455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 t="s">
        <v>156</v>
      </c>
    </row>
    <row r="156" spans="1:10" x14ac:dyDescent="0.2">
      <c r="A156">
        <v>2466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157</v>
      </c>
    </row>
    <row r="157" spans="1:10" x14ac:dyDescent="0.2">
      <c r="A157">
        <v>2468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1</v>
      </c>
      <c r="H157">
        <v>1</v>
      </c>
      <c r="I157">
        <v>2</v>
      </c>
      <c r="J157" t="s">
        <v>158</v>
      </c>
    </row>
    <row r="158" spans="1:10" x14ac:dyDescent="0.2">
      <c r="A158">
        <v>2472</v>
      </c>
      <c r="B158">
        <v>1</v>
      </c>
      <c r="C158">
        <v>1</v>
      </c>
      <c r="D158">
        <v>1</v>
      </c>
      <c r="E158">
        <v>1</v>
      </c>
      <c r="F158">
        <v>0</v>
      </c>
      <c r="G158">
        <v>0</v>
      </c>
      <c r="H158">
        <v>0</v>
      </c>
      <c r="I158">
        <v>4</v>
      </c>
      <c r="J158" t="s">
        <v>159</v>
      </c>
    </row>
    <row r="159" spans="1:10" x14ac:dyDescent="0.2">
      <c r="A159">
        <v>2478</v>
      </c>
      <c r="B159">
        <v>1</v>
      </c>
      <c r="C159">
        <v>1</v>
      </c>
      <c r="D159">
        <v>1</v>
      </c>
      <c r="E159">
        <v>1</v>
      </c>
      <c r="F159">
        <v>0</v>
      </c>
      <c r="G159">
        <v>0</v>
      </c>
      <c r="H159">
        <v>0</v>
      </c>
      <c r="I159">
        <v>4</v>
      </c>
      <c r="J159" t="s">
        <v>160</v>
      </c>
    </row>
    <row r="160" spans="1:10" x14ac:dyDescent="0.2">
      <c r="A160">
        <v>2479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 t="s">
        <v>161</v>
      </c>
    </row>
    <row r="161" spans="1:10" x14ac:dyDescent="0.2">
      <c r="A161">
        <v>2487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 t="s">
        <v>162</v>
      </c>
    </row>
    <row r="162" spans="1:10" x14ac:dyDescent="0.2">
      <c r="A162">
        <v>2488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163</v>
      </c>
    </row>
    <row r="163" spans="1:10" x14ac:dyDescent="0.2">
      <c r="A163">
        <v>2542</v>
      </c>
      <c r="B163">
        <v>1</v>
      </c>
      <c r="C163">
        <v>1</v>
      </c>
      <c r="D163">
        <v>1</v>
      </c>
      <c r="E163">
        <v>1</v>
      </c>
      <c r="F163">
        <v>1</v>
      </c>
      <c r="G163">
        <v>1</v>
      </c>
      <c r="H163">
        <v>1</v>
      </c>
      <c r="I163">
        <v>7</v>
      </c>
      <c r="J163" t="s">
        <v>164</v>
      </c>
    </row>
    <row r="164" spans="1:10" x14ac:dyDescent="0.2">
      <c r="A164">
        <v>2566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 t="s">
        <v>165</v>
      </c>
    </row>
    <row r="165" spans="1:10" x14ac:dyDescent="0.2">
      <c r="A165">
        <v>2590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1</v>
      </c>
      <c r="H165">
        <v>0</v>
      </c>
      <c r="I165">
        <v>1</v>
      </c>
      <c r="J165" t="s">
        <v>166</v>
      </c>
    </row>
    <row r="166" spans="1:10" x14ac:dyDescent="0.2">
      <c r="A166">
        <v>2616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 t="s">
        <v>167</v>
      </c>
    </row>
    <row r="167" spans="1:10" x14ac:dyDescent="0.2">
      <c r="A167">
        <v>2633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 t="s">
        <v>168</v>
      </c>
    </row>
    <row r="168" spans="1:10" x14ac:dyDescent="0.2">
      <c r="A168">
        <v>2636</v>
      </c>
      <c r="B168">
        <v>1</v>
      </c>
      <c r="C168">
        <v>1</v>
      </c>
      <c r="D168">
        <v>1</v>
      </c>
      <c r="E168">
        <v>1</v>
      </c>
      <c r="F168">
        <v>1</v>
      </c>
      <c r="G168">
        <v>1</v>
      </c>
      <c r="H168">
        <v>1</v>
      </c>
      <c r="I168">
        <v>7</v>
      </c>
      <c r="J168" t="s">
        <v>169</v>
      </c>
    </row>
    <row r="169" spans="1:10" x14ac:dyDescent="0.2">
      <c r="A169">
        <v>2651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170</v>
      </c>
    </row>
    <row r="170" spans="1:10" x14ac:dyDescent="0.2">
      <c r="A170">
        <v>2652</v>
      </c>
      <c r="B170">
        <v>0</v>
      </c>
      <c r="C170">
        <v>1</v>
      </c>
      <c r="D170">
        <v>1</v>
      </c>
      <c r="E170">
        <v>1</v>
      </c>
      <c r="F170">
        <v>0</v>
      </c>
      <c r="G170">
        <v>0</v>
      </c>
      <c r="H170">
        <v>0</v>
      </c>
      <c r="I170">
        <v>3</v>
      </c>
      <c r="J170" t="s">
        <v>171</v>
      </c>
    </row>
    <row r="171" spans="1:10" x14ac:dyDescent="0.2">
      <c r="A171">
        <v>2687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 t="s">
        <v>172</v>
      </c>
    </row>
    <row r="172" spans="1:10" x14ac:dyDescent="0.2">
      <c r="A172">
        <v>2691</v>
      </c>
      <c r="B172">
        <v>1</v>
      </c>
      <c r="C172">
        <v>1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7</v>
      </c>
      <c r="J172" t="s">
        <v>173</v>
      </c>
    </row>
    <row r="173" spans="1:10" x14ac:dyDescent="0.2">
      <c r="A173">
        <v>2716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 t="s">
        <v>174</v>
      </c>
    </row>
    <row r="174" spans="1:10" x14ac:dyDescent="0.2">
      <c r="A174">
        <v>2717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175</v>
      </c>
    </row>
    <row r="175" spans="1:10" x14ac:dyDescent="0.2">
      <c r="A175">
        <v>2741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176</v>
      </c>
    </row>
    <row r="176" spans="1:10" x14ac:dyDescent="0.2">
      <c r="A176">
        <v>2743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 t="s">
        <v>177</v>
      </c>
    </row>
    <row r="177" spans="1:10" x14ac:dyDescent="0.2">
      <c r="A177">
        <v>2745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 t="s">
        <v>178</v>
      </c>
    </row>
    <row r="178" spans="1:10" x14ac:dyDescent="0.2">
      <c r="A178">
        <v>2746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 t="s">
        <v>179</v>
      </c>
    </row>
    <row r="179" spans="1:10" x14ac:dyDescent="0.2">
      <c r="A179">
        <v>2748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 t="s">
        <v>180</v>
      </c>
    </row>
    <row r="180" spans="1:10" x14ac:dyDescent="0.2">
      <c r="A180">
        <v>2772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181</v>
      </c>
    </row>
    <row r="181" spans="1:10" x14ac:dyDescent="0.2">
      <c r="A181">
        <v>2795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182</v>
      </c>
    </row>
    <row r="182" spans="1:10" x14ac:dyDescent="0.2">
      <c r="A182">
        <v>2796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 t="s">
        <v>183</v>
      </c>
    </row>
    <row r="183" spans="1:10" x14ac:dyDescent="0.2">
      <c r="A183">
        <v>2809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 t="s">
        <v>184</v>
      </c>
    </row>
    <row r="184" spans="1:10" x14ac:dyDescent="0.2">
      <c r="A184">
        <v>2829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 t="s">
        <v>185</v>
      </c>
    </row>
    <row r="185" spans="1:10" x14ac:dyDescent="0.2">
      <c r="A185">
        <v>2857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 t="s">
        <v>186</v>
      </c>
    </row>
    <row r="186" spans="1:10" x14ac:dyDescent="0.2">
      <c r="A186">
        <v>2895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 t="s">
        <v>187</v>
      </c>
    </row>
    <row r="187" spans="1:10" x14ac:dyDescent="0.2">
      <c r="A187">
        <v>2899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188</v>
      </c>
    </row>
    <row r="188" spans="1:10" x14ac:dyDescent="0.2">
      <c r="A188">
        <v>2900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 t="s">
        <v>189</v>
      </c>
    </row>
    <row r="189" spans="1:10" x14ac:dyDescent="0.2">
      <c r="A189">
        <v>2922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 t="s">
        <v>190</v>
      </c>
    </row>
    <row r="190" spans="1:10" x14ac:dyDescent="0.2">
      <c r="A190">
        <v>2923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1</v>
      </c>
      <c r="I190">
        <v>1</v>
      </c>
      <c r="J190" t="s">
        <v>191</v>
      </c>
    </row>
    <row r="191" spans="1:10" x14ac:dyDescent="0.2">
      <c r="A191">
        <v>2927</v>
      </c>
      <c r="B191">
        <v>1</v>
      </c>
      <c r="C191">
        <v>1</v>
      </c>
      <c r="D191">
        <v>1</v>
      </c>
      <c r="E191">
        <v>1</v>
      </c>
      <c r="F191">
        <v>0</v>
      </c>
      <c r="G191">
        <v>0</v>
      </c>
      <c r="H191">
        <v>0</v>
      </c>
      <c r="I191">
        <v>4</v>
      </c>
      <c r="J191" t="s">
        <v>192</v>
      </c>
    </row>
    <row r="192" spans="1:10" x14ac:dyDescent="0.2">
      <c r="A192">
        <v>2928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193</v>
      </c>
    </row>
    <row r="193" spans="1:10" x14ac:dyDescent="0.2">
      <c r="A193">
        <v>2945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194</v>
      </c>
    </row>
    <row r="194" spans="1:10" x14ac:dyDescent="0.2">
      <c r="A194">
        <v>2946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 t="s">
        <v>195</v>
      </c>
    </row>
    <row r="195" spans="1:10" x14ac:dyDescent="0.2">
      <c r="A195">
        <v>2947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 t="s">
        <v>196</v>
      </c>
    </row>
    <row r="196" spans="1:10" x14ac:dyDescent="0.2">
      <c r="A196">
        <v>2948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 t="s">
        <v>197</v>
      </c>
    </row>
    <row r="197" spans="1:10" x14ac:dyDescent="0.2">
      <c r="A197">
        <v>2972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 t="s">
        <v>198</v>
      </c>
    </row>
    <row r="198" spans="1:10" x14ac:dyDescent="0.2">
      <c r="A198">
        <v>2973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199</v>
      </c>
    </row>
    <row r="199" spans="1:10" x14ac:dyDescent="0.2">
      <c r="A199">
        <v>2974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200</v>
      </c>
    </row>
    <row r="200" spans="1:10" x14ac:dyDescent="0.2">
      <c r="A200">
        <v>2995</v>
      </c>
      <c r="B200">
        <v>0</v>
      </c>
      <c r="C200">
        <v>0</v>
      </c>
      <c r="D200">
        <v>0</v>
      </c>
      <c r="E200">
        <v>0</v>
      </c>
      <c r="F200">
        <v>1</v>
      </c>
      <c r="G200">
        <v>1</v>
      </c>
      <c r="H200">
        <v>1</v>
      </c>
      <c r="I200">
        <v>3</v>
      </c>
      <c r="J200" t="s">
        <v>201</v>
      </c>
    </row>
    <row r="201" spans="1:10" x14ac:dyDescent="0.2">
      <c r="A201">
        <v>2999</v>
      </c>
      <c r="B201">
        <v>0</v>
      </c>
      <c r="C201">
        <v>0</v>
      </c>
      <c r="D201">
        <v>0</v>
      </c>
      <c r="E201">
        <v>0</v>
      </c>
      <c r="F201">
        <v>1</v>
      </c>
      <c r="G201">
        <v>1</v>
      </c>
      <c r="H201">
        <v>1</v>
      </c>
      <c r="I201">
        <v>3</v>
      </c>
      <c r="J201" t="s">
        <v>202</v>
      </c>
    </row>
    <row r="202" spans="1:10" x14ac:dyDescent="0.2">
      <c r="A202">
        <v>3000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 t="s">
        <v>203</v>
      </c>
    </row>
    <row r="203" spans="1:10" x14ac:dyDescent="0.2">
      <c r="A203">
        <v>3006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 t="s">
        <v>204</v>
      </c>
    </row>
    <row r="204" spans="1:10" x14ac:dyDescent="0.2">
      <c r="A204">
        <v>3010</v>
      </c>
      <c r="B204">
        <v>1</v>
      </c>
      <c r="C204">
        <v>1</v>
      </c>
      <c r="D204">
        <v>1</v>
      </c>
      <c r="E204">
        <v>0</v>
      </c>
      <c r="F204">
        <v>0</v>
      </c>
      <c r="G204">
        <v>0</v>
      </c>
      <c r="H204">
        <v>0</v>
      </c>
      <c r="I204">
        <v>3</v>
      </c>
      <c r="J204" t="s">
        <v>205</v>
      </c>
    </row>
    <row r="205" spans="1:10" x14ac:dyDescent="0.2">
      <c r="A205">
        <v>3013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206</v>
      </c>
    </row>
    <row r="206" spans="1:10" x14ac:dyDescent="0.2">
      <c r="A206">
        <v>3027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 t="s">
        <v>207</v>
      </c>
    </row>
    <row r="207" spans="1:10" x14ac:dyDescent="0.2">
      <c r="A207">
        <v>3028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1</v>
      </c>
      <c r="I207">
        <v>1</v>
      </c>
      <c r="J207" t="s">
        <v>208</v>
      </c>
    </row>
    <row r="208" spans="1:10" x14ac:dyDescent="0.2">
      <c r="A208">
        <v>3036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 t="s">
        <v>209</v>
      </c>
    </row>
    <row r="209" spans="1:10" x14ac:dyDescent="0.2">
      <c r="A209">
        <v>3044</v>
      </c>
      <c r="B209">
        <v>1</v>
      </c>
      <c r="C209">
        <v>1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7</v>
      </c>
      <c r="J209" t="s">
        <v>210</v>
      </c>
    </row>
    <row r="210" spans="1:10" x14ac:dyDescent="0.2">
      <c r="A210">
        <v>3046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 t="s">
        <v>211</v>
      </c>
    </row>
    <row r="211" spans="1:10" x14ac:dyDescent="0.2">
      <c r="A211">
        <v>3056</v>
      </c>
      <c r="B211">
        <v>1</v>
      </c>
      <c r="C211">
        <v>1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7</v>
      </c>
      <c r="J211" t="s">
        <v>212</v>
      </c>
    </row>
    <row r="212" spans="1:10" x14ac:dyDescent="0.2">
      <c r="A212">
        <v>3060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 t="s">
        <v>213</v>
      </c>
    </row>
    <row r="213" spans="1:10" x14ac:dyDescent="0.2">
      <c r="A213">
        <v>3061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 t="s">
        <v>214</v>
      </c>
    </row>
    <row r="214" spans="1:10" x14ac:dyDescent="0.2">
      <c r="A214">
        <v>3070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 t="s">
        <v>215</v>
      </c>
    </row>
    <row r="215" spans="1:10" x14ac:dyDescent="0.2">
      <c r="A215">
        <v>3071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 t="s">
        <v>216</v>
      </c>
    </row>
    <row r="216" spans="1:10" x14ac:dyDescent="0.2">
      <c r="A216">
        <v>3072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217</v>
      </c>
    </row>
    <row r="217" spans="1:10" x14ac:dyDescent="0.2">
      <c r="A217">
        <v>3073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218</v>
      </c>
    </row>
    <row r="218" spans="1:10" x14ac:dyDescent="0.2">
      <c r="A218">
        <v>3076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 t="s">
        <v>219</v>
      </c>
    </row>
    <row r="219" spans="1:10" x14ac:dyDescent="0.2">
      <c r="A219">
        <v>3077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 t="s">
        <v>220</v>
      </c>
    </row>
    <row r="220" spans="1:10" x14ac:dyDescent="0.2">
      <c r="A220">
        <v>3078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 t="s">
        <v>221</v>
      </c>
    </row>
    <row r="221" spans="1:10" x14ac:dyDescent="0.2">
      <c r="A221">
        <v>3079</v>
      </c>
      <c r="B221">
        <v>1</v>
      </c>
      <c r="C221">
        <v>1</v>
      </c>
      <c r="D221">
        <v>1</v>
      </c>
      <c r="E221">
        <v>0</v>
      </c>
      <c r="F221">
        <v>0</v>
      </c>
      <c r="G221">
        <v>0</v>
      </c>
      <c r="H221">
        <v>0</v>
      </c>
      <c r="I221">
        <v>3</v>
      </c>
      <c r="J221" t="s">
        <v>222</v>
      </c>
    </row>
    <row r="222" spans="1:10" x14ac:dyDescent="0.2">
      <c r="A222">
        <v>3088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 t="s">
        <v>223</v>
      </c>
    </row>
    <row r="223" spans="1:10" x14ac:dyDescent="0.2">
      <c r="A223">
        <v>3089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224</v>
      </c>
    </row>
    <row r="224" spans="1:10" x14ac:dyDescent="0.2">
      <c r="A224">
        <v>3090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 t="s">
        <v>225</v>
      </c>
    </row>
    <row r="225" spans="1:10" x14ac:dyDescent="0.2">
      <c r="A225">
        <v>3093</v>
      </c>
      <c r="B225">
        <v>1</v>
      </c>
      <c r="C225">
        <v>1</v>
      </c>
      <c r="D225">
        <v>1</v>
      </c>
      <c r="E225">
        <v>1</v>
      </c>
      <c r="F225">
        <v>1</v>
      </c>
      <c r="G225">
        <v>1</v>
      </c>
      <c r="H225">
        <v>1</v>
      </c>
      <c r="I225">
        <v>7</v>
      </c>
      <c r="J225" t="s">
        <v>226</v>
      </c>
    </row>
    <row r="226" spans="1:10" x14ac:dyDescent="0.2">
      <c r="A226">
        <v>3133</v>
      </c>
      <c r="B226">
        <v>0</v>
      </c>
      <c r="C226">
        <v>0</v>
      </c>
      <c r="D226">
        <v>0</v>
      </c>
      <c r="E226">
        <v>0</v>
      </c>
      <c r="F226">
        <v>1</v>
      </c>
      <c r="G226">
        <v>1</v>
      </c>
      <c r="H226">
        <v>1</v>
      </c>
      <c r="I226">
        <v>3</v>
      </c>
      <c r="J226" t="s">
        <v>227</v>
      </c>
    </row>
    <row r="227" spans="1:10" x14ac:dyDescent="0.2">
      <c r="A227">
        <v>3134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 t="s">
        <v>228</v>
      </c>
    </row>
    <row r="228" spans="1:10" x14ac:dyDescent="0.2">
      <c r="A228">
        <v>3135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 t="s">
        <v>229</v>
      </c>
    </row>
    <row r="229" spans="1:10" x14ac:dyDescent="0.2">
      <c r="A229">
        <v>3136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230</v>
      </c>
    </row>
    <row r="230" spans="1:10" x14ac:dyDescent="0.2">
      <c r="A230">
        <v>3137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 t="s">
        <v>231</v>
      </c>
    </row>
    <row r="231" spans="1:10" x14ac:dyDescent="0.2">
      <c r="A231">
        <v>3138</v>
      </c>
      <c r="B231">
        <v>1</v>
      </c>
      <c r="C231">
        <v>1</v>
      </c>
      <c r="D231">
        <v>1</v>
      </c>
      <c r="E231">
        <v>1</v>
      </c>
      <c r="F231">
        <v>1</v>
      </c>
      <c r="G231">
        <v>1</v>
      </c>
      <c r="H231">
        <v>0</v>
      </c>
      <c r="I231">
        <v>6</v>
      </c>
      <c r="J231" t="s">
        <v>232</v>
      </c>
    </row>
    <row r="232" spans="1:10" x14ac:dyDescent="0.2">
      <c r="A232">
        <v>3162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 t="s">
        <v>233</v>
      </c>
    </row>
    <row r="233" spans="1:10" x14ac:dyDescent="0.2">
      <c r="A233">
        <v>3163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 t="s">
        <v>234</v>
      </c>
    </row>
    <row r="234" spans="1:10" x14ac:dyDescent="0.2">
      <c r="A234">
        <v>3176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235</v>
      </c>
    </row>
    <row r="235" spans="1:10" x14ac:dyDescent="0.2">
      <c r="A235">
        <v>3177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236</v>
      </c>
    </row>
    <row r="236" spans="1:10" x14ac:dyDescent="0.2">
      <c r="A236">
        <v>3178</v>
      </c>
      <c r="B236">
        <v>1</v>
      </c>
      <c r="C236">
        <v>1</v>
      </c>
      <c r="D236">
        <v>1</v>
      </c>
      <c r="E236">
        <v>1</v>
      </c>
      <c r="F236">
        <v>0</v>
      </c>
      <c r="G236">
        <v>0</v>
      </c>
      <c r="H236">
        <v>1</v>
      </c>
      <c r="I236">
        <v>5</v>
      </c>
      <c r="J236" t="s">
        <v>237</v>
      </c>
    </row>
    <row r="237" spans="1:10" x14ac:dyDescent="0.2">
      <c r="A237">
        <v>3179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 t="s">
        <v>238</v>
      </c>
    </row>
    <row r="238" spans="1:10" x14ac:dyDescent="0.2">
      <c r="A238">
        <v>3190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 t="s">
        <v>239</v>
      </c>
    </row>
    <row r="239" spans="1:10" x14ac:dyDescent="0.2">
      <c r="A239">
        <v>3191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 t="s">
        <v>240</v>
      </c>
    </row>
    <row r="240" spans="1:10" x14ac:dyDescent="0.2">
      <c r="A240">
        <v>3199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 t="s">
        <v>241</v>
      </c>
    </row>
    <row r="241" spans="1:10" x14ac:dyDescent="0.2">
      <c r="A241">
        <v>3200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242</v>
      </c>
    </row>
    <row r="242" spans="1:10" x14ac:dyDescent="0.2">
      <c r="A242">
        <v>3201</v>
      </c>
      <c r="B242">
        <v>1</v>
      </c>
      <c r="C242">
        <v>1</v>
      </c>
      <c r="D242">
        <v>1</v>
      </c>
      <c r="E242">
        <v>1</v>
      </c>
      <c r="F242">
        <v>1</v>
      </c>
      <c r="G242">
        <v>0</v>
      </c>
      <c r="H242">
        <v>0</v>
      </c>
      <c r="I242">
        <v>5</v>
      </c>
      <c r="J242" t="s">
        <v>243</v>
      </c>
    </row>
    <row r="243" spans="1:10" x14ac:dyDescent="0.2">
      <c r="A243">
        <v>3211</v>
      </c>
      <c r="B243">
        <v>1</v>
      </c>
      <c r="C243">
        <v>1</v>
      </c>
      <c r="D243">
        <v>1</v>
      </c>
      <c r="E243">
        <v>1</v>
      </c>
      <c r="F243">
        <v>1</v>
      </c>
      <c r="G243">
        <v>0</v>
      </c>
      <c r="H243">
        <v>0</v>
      </c>
      <c r="I243">
        <v>5</v>
      </c>
      <c r="J243" t="s">
        <v>244</v>
      </c>
    </row>
    <row r="244" spans="1:10" x14ac:dyDescent="0.2">
      <c r="A244">
        <v>3213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 t="s">
        <v>245</v>
      </c>
    </row>
    <row r="245" spans="1:10" x14ac:dyDescent="0.2">
      <c r="A245">
        <v>3229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 t="s">
        <v>246</v>
      </c>
    </row>
    <row r="246" spans="1:10" x14ac:dyDescent="0.2">
      <c r="A246">
        <v>3230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247</v>
      </c>
    </row>
    <row r="247" spans="1:10" x14ac:dyDescent="0.2">
      <c r="A247">
        <v>3231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248</v>
      </c>
    </row>
    <row r="248" spans="1:10" x14ac:dyDescent="0.2">
      <c r="A248">
        <v>3232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 t="s">
        <v>249</v>
      </c>
    </row>
    <row r="249" spans="1:10" x14ac:dyDescent="0.2">
      <c r="A249">
        <v>3249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 t="s">
        <v>250</v>
      </c>
    </row>
    <row r="250" spans="1:10" x14ac:dyDescent="0.2">
      <c r="A250">
        <v>3251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 t="s">
        <v>251</v>
      </c>
    </row>
    <row r="251" spans="1:10" x14ac:dyDescent="0.2">
      <c r="A251">
        <v>3263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 t="s">
        <v>252</v>
      </c>
    </row>
    <row r="252" spans="1:10" x14ac:dyDescent="0.2">
      <c r="A252">
        <v>3295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253</v>
      </c>
    </row>
    <row r="253" spans="1:10" x14ac:dyDescent="0.2">
      <c r="A253">
        <v>3296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254</v>
      </c>
    </row>
    <row r="254" spans="1:10" x14ac:dyDescent="0.2">
      <c r="A254">
        <v>3297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 t="s">
        <v>255</v>
      </c>
    </row>
    <row r="255" spans="1:10" x14ac:dyDescent="0.2">
      <c r="A255">
        <v>3305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 t="s">
        <v>256</v>
      </c>
    </row>
    <row r="256" spans="1:10" x14ac:dyDescent="0.2">
      <c r="A256">
        <v>3309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 t="s">
        <v>257</v>
      </c>
    </row>
    <row r="257" spans="1:10" x14ac:dyDescent="0.2">
      <c r="A257">
        <v>3315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 t="s">
        <v>258</v>
      </c>
    </row>
    <row r="258" spans="1:10" x14ac:dyDescent="0.2">
      <c r="A258">
        <v>3316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 t="s">
        <v>259</v>
      </c>
    </row>
    <row r="259" spans="1:10" x14ac:dyDescent="0.2">
      <c r="A259">
        <v>3317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260</v>
      </c>
    </row>
    <row r="260" spans="1:10" x14ac:dyDescent="0.2">
      <c r="A260">
        <v>3321</v>
      </c>
      <c r="B260">
        <v>1</v>
      </c>
      <c r="C260">
        <v>1</v>
      </c>
      <c r="D260">
        <v>1</v>
      </c>
      <c r="E260">
        <v>1</v>
      </c>
      <c r="F260">
        <v>1</v>
      </c>
      <c r="G260">
        <v>1</v>
      </c>
      <c r="H260">
        <v>1</v>
      </c>
      <c r="I260">
        <v>7</v>
      </c>
      <c r="J260" t="s">
        <v>261</v>
      </c>
    </row>
    <row r="261" spans="1:10" x14ac:dyDescent="0.2">
      <c r="A261">
        <v>3328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 t="s">
        <v>262</v>
      </c>
    </row>
    <row r="262" spans="1:10" x14ac:dyDescent="0.2">
      <c r="A262">
        <v>3333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 t="s">
        <v>263</v>
      </c>
    </row>
    <row r="263" spans="1:10" x14ac:dyDescent="0.2">
      <c r="A263">
        <v>3343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 t="s">
        <v>264</v>
      </c>
    </row>
    <row r="264" spans="1:10" x14ac:dyDescent="0.2">
      <c r="A264">
        <v>3346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265</v>
      </c>
    </row>
    <row r="265" spans="1:10" x14ac:dyDescent="0.2">
      <c r="A265">
        <v>3356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266</v>
      </c>
    </row>
    <row r="266" spans="1:10" x14ac:dyDescent="0.2">
      <c r="A266">
        <v>3357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 t="s">
        <v>267</v>
      </c>
    </row>
    <row r="267" spans="1:10" x14ac:dyDescent="0.2">
      <c r="A267">
        <v>3377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 t="s">
        <v>268</v>
      </c>
    </row>
    <row r="268" spans="1:10" x14ac:dyDescent="0.2">
      <c r="A268">
        <v>3382</v>
      </c>
      <c r="B268">
        <v>1</v>
      </c>
      <c r="C268">
        <v>1</v>
      </c>
      <c r="D268">
        <v>1</v>
      </c>
      <c r="E268">
        <v>0</v>
      </c>
      <c r="F268">
        <v>0</v>
      </c>
      <c r="G268">
        <v>0</v>
      </c>
      <c r="H268">
        <v>0</v>
      </c>
      <c r="I268">
        <v>3</v>
      </c>
      <c r="J268" t="s">
        <v>269</v>
      </c>
    </row>
    <row r="269" spans="1:10" x14ac:dyDescent="0.2">
      <c r="A269">
        <v>3386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 t="s">
        <v>270</v>
      </c>
    </row>
    <row r="270" spans="1:10" x14ac:dyDescent="0.2">
      <c r="A270">
        <v>3387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 t="s">
        <v>271</v>
      </c>
    </row>
    <row r="271" spans="1:10" x14ac:dyDescent="0.2">
      <c r="A271">
        <v>3403</v>
      </c>
      <c r="B271">
        <v>1</v>
      </c>
      <c r="C271">
        <v>1</v>
      </c>
      <c r="D271">
        <v>1</v>
      </c>
      <c r="E271">
        <v>1</v>
      </c>
      <c r="F271">
        <v>1</v>
      </c>
      <c r="G271">
        <v>1</v>
      </c>
      <c r="H271">
        <v>1</v>
      </c>
      <c r="I271">
        <v>7</v>
      </c>
      <c r="J271" t="s">
        <v>272</v>
      </c>
    </row>
    <row r="272" spans="1:10" x14ac:dyDescent="0.2">
      <c r="A272">
        <v>3405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 t="s">
        <v>273</v>
      </c>
    </row>
    <row r="273" spans="1:10" x14ac:dyDescent="0.2">
      <c r="A273">
        <v>3406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1</v>
      </c>
      <c r="H273">
        <v>1</v>
      </c>
      <c r="I273">
        <v>2</v>
      </c>
      <c r="J273" t="s">
        <v>274</v>
      </c>
    </row>
    <row r="274" spans="1:10" x14ac:dyDescent="0.2">
      <c r="A274">
        <v>3416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275</v>
      </c>
    </row>
    <row r="275" spans="1:10" x14ac:dyDescent="0.2">
      <c r="A275">
        <v>3421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 t="s">
        <v>276</v>
      </c>
    </row>
    <row r="276" spans="1:10" x14ac:dyDescent="0.2">
      <c r="A276">
        <v>3422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277</v>
      </c>
    </row>
    <row r="277" spans="1:10" x14ac:dyDescent="0.2">
      <c r="A277">
        <v>3435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278</v>
      </c>
    </row>
    <row r="278" spans="1:10" x14ac:dyDescent="0.2">
      <c r="A278">
        <v>3436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 t="s">
        <v>279</v>
      </c>
    </row>
    <row r="279" spans="1:10" x14ac:dyDescent="0.2">
      <c r="A279">
        <v>3444</v>
      </c>
      <c r="B279">
        <v>1</v>
      </c>
      <c r="C279">
        <v>1</v>
      </c>
      <c r="D279">
        <v>1</v>
      </c>
      <c r="E279">
        <v>1</v>
      </c>
      <c r="F279">
        <v>1</v>
      </c>
      <c r="G279">
        <v>1</v>
      </c>
      <c r="H279">
        <v>0</v>
      </c>
      <c r="I279">
        <v>6</v>
      </c>
      <c r="J279" t="s">
        <v>280</v>
      </c>
    </row>
    <row r="280" spans="1:10" x14ac:dyDescent="0.2">
      <c r="A280">
        <v>3449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 t="s">
        <v>281</v>
      </c>
    </row>
    <row r="281" spans="1:10" x14ac:dyDescent="0.2">
      <c r="A281">
        <v>3458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 t="s">
        <v>282</v>
      </c>
    </row>
    <row r="282" spans="1:10" x14ac:dyDescent="0.2">
      <c r="A282">
        <v>3463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 t="s">
        <v>283</v>
      </c>
    </row>
    <row r="283" spans="1:10" x14ac:dyDescent="0.2">
      <c r="A283">
        <v>3464</v>
      </c>
      <c r="B283">
        <v>1</v>
      </c>
      <c r="C283">
        <v>1</v>
      </c>
      <c r="D283">
        <v>1</v>
      </c>
      <c r="E283">
        <v>1</v>
      </c>
      <c r="F283">
        <v>0</v>
      </c>
      <c r="G283">
        <v>0</v>
      </c>
      <c r="H283">
        <v>0</v>
      </c>
      <c r="I283">
        <v>4</v>
      </c>
      <c r="J283" t="s">
        <v>284</v>
      </c>
    </row>
    <row r="284" spans="1:10" x14ac:dyDescent="0.2">
      <c r="A284">
        <v>3467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 t="s">
        <v>285</v>
      </c>
    </row>
    <row r="285" spans="1:10" x14ac:dyDescent="0.2">
      <c r="A285">
        <v>3492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 t="s">
        <v>286</v>
      </c>
    </row>
    <row r="286" spans="1:10" x14ac:dyDescent="0.2">
      <c r="A286">
        <v>3500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 t="s">
        <v>287</v>
      </c>
    </row>
    <row r="287" spans="1:10" x14ac:dyDescent="0.2">
      <c r="A287">
        <v>3501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 t="s">
        <v>288</v>
      </c>
    </row>
    <row r="288" spans="1:10" x14ac:dyDescent="0.2">
      <c r="A288">
        <v>3502</v>
      </c>
      <c r="B288">
        <v>1</v>
      </c>
      <c r="C288">
        <v>1</v>
      </c>
      <c r="D288">
        <v>1</v>
      </c>
      <c r="E288">
        <v>0</v>
      </c>
      <c r="F288">
        <v>0</v>
      </c>
      <c r="G288">
        <v>0</v>
      </c>
      <c r="H288">
        <v>0</v>
      </c>
      <c r="I288">
        <v>3</v>
      </c>
      <c r="J288" t="s">
        <v>289</v>
      </c>
    </row>
    <row r="289" spans="1:10" x14ac:dyDescent="0.2">
      <c r="A289">
        <v>3505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290</v>
      </c>
    </row>
    <row r="290" spans="1:10" x14ac:dyDescent="0.2">
      <c r="A290">
        <v>3515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 t="s">
        <v>291</v>
      </c>
    </row>
    <row r="291" spans="1:10" x14ac:dyDescent="0.2">
      <c r="A291">
        <v>3527</v>
      </c>
      <c r="B291">
        <v>1</v>
      </c>
      <c r="C291">
        <v>1</v>
      </c>
      <c r="D291">
        <v>1</v>
      </c>
      <c r="E291">
        <v>1</v>
      </c>
      <c r="F291">
        <v>1</v>
      </c>
      <c r="G291">
        <v>1</v>
      </c>
      <c r="H291">
        <v>1</v>
      </c>
      <c r="I291">
        <v>7</v>
      </c>
      <c r="J291" t="s">
        <v>292</v>
      </c>
    </row>
    <row r="292" spans="1:10" x14ac:dyDescent="0.2">
      <c r="A292">
        <v>3531</v>
      </c>
      <c r="B292">
        <v>1</v>
      </c>
      <c r="C292">
        <v>1</v>
      </c>
      <c r="D292">
        <v>1</v>
      </c>
      <c r="E292">
        <v>1</v>
      </c>
      <c r="F292">
        <v>1</v>
      </c>
      <c r="G292">
        <v>1</v>
      </c>
      <c r="H292">
        <v>1</v>
      </c>
      <c r="I292">
        <v>7</v>
      </c>
      <c r="J292" t="s">
        <v>293</v>
      </c>
    </row>
    <row r="293" spans="1:10" x14ac:dyDescent="0.2">
      <c r="A293">
        <v>3533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 t="s">
        <v>294</v>
      </c>
    </row>
    <row r="294" spans="1:10" x14ac:dyDescent="0.2">
      <c r="A294">
        <v>3538</v>
      </c>
      <c r="B294">
        <v>1</v>
      </c>
      <c r="C294">
        <v>1</v>
      </c>
      <c r="D294">
        <v>1</v>
      </c>
      <c r="E294">
        <v>1</v>
      </c>
      <c r="F294">
        <v>1</v>
      </c>
      <c r="G294">
        <v>0</v>
      </c>
      <c r="H294">
        <v>0</v>
      </c>
      <c r="I294">
        <v>5</v>
      </c>
      <c r="J294" t="s">
        <v>295</v>
      </c>
    </row>
    <row r="295" spans="1:10" x14ac:dyDescent="0.2">
      <c r="A295">
        <v>3566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296</v>
      </c>
    </row>
    <row r="296" spans="1:10" x14ac:dyDescent="0.2">
      <c r="A296">
        <v>3573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 t="s">
        <v>297</v>
      </c>
    </row>
    <row r="297" spans="1:10" x14ac:dyDescent="0.2">
      <c r="A297">
        <v>3574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 t="s">
        <v>298</v>
      </c>
    </row>
    <row r="298" spans="1:10" x14ac:dyDescent="0.2">
      <c r="A298">
        <v>3575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299</v>
      </c>
    </row>
    <row r="299" spans="1:10" x14ac:dyDescent="0.2">
      <c r="A299">
        <v>3589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 t="s">
        <v>300</v>
      </c>
    </row>
    <row r="300" spans="1:10" x14ac:dyDescent="0.2">
      <c r="A300">
        <v>3591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301</v>
      </c>
    </row>
    <row r="301" spans="1:10" x14ac:dyDescent="0.2">
      <c r="A301">
        <v>3595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302</v>
      </c>
    </row>
    <row r="302" spans="1:10" x14ac:dyDescent="0.2">
      <c r="A302">
        <v>3619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 t="s">
        <v>303</v>
      </c>
    </row>
    <row r="303" spans="1:10" x14ac:dyDescent="0.2">
      <c r="A303">
        <v>3622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 t="s">
        <v>304</v>
      </c>
    </row>
    <row r="304" spans="1:10" x14ac:dyDescent="0.2">
      <c r="A304">
        <v>3625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 t="s">
        <v>305</v>
      </c>
    </row>
    <row r="305" spans="1:10" x14ac:dyDescent="0.2">
      <c r="A305">
        <v>3632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 t="s">
        <v>306</v>
      </c>
    </row>
    <row r="306" spans="1:10" x14ac:dyDescent="0.2">
      <c r="A306">
        <v>3648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 t="s">
        <v>307</v>
      </c>
    </row>
    <row r="307" spans="1:10" x14ac:dyDescent="0.2">
      <c r="A307">
        <v>3650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 t="s">
        <v>308</v>
      </c>
    </row>
    <row r="308" spans="1:10" x14ac:dyDescent="0.2">
      <c r="A308">
        <v>3651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 t="s">
        <v>309</v>
      </c>
    </row>
    <row r="309" spans="1:10" x14ac:dyDescent="0.2">
      <c r="A309">
        <v>3653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 t="s">
        <v>310</v>
      </c>
    </row>
    <row r="310" spans="1:10" x14ac:dyDescent="0.2">
      <c r="A310">
        <v>3654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 t="s">
        <v>311</v>
      </c>
    </row>
    <row r="311" spans="1:10" x14ac:dyDescent="0.2">
      <c r="A311">
        <v>3657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 t="s">
        <v>312</v>
      </c>
    </row>
    <row r="312" spans="1:10" x14ac:dyDescent="0.2">
      <c r="A312">
        <v>3660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 t="s">
        <v>313</v>
      </c>
    </row>
    <row r="313" spans="1:10" x14ac:dyDescent="0.2">
      <c r="A313">
        <v>3661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 t="s">
        <v>314</v>
      </c>
    </row>
    <row r="314" spans="1:10" x14ac:dyDescent="0.2">
      <c r="A314">
        <v>3671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 t="s">
        <v>315</v>
      </c>
    </row>
    <row r="315" spans="1:10" x14ac:dyDescent="0.2">
      <c r="A315">
        <v>3675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1</v>
      </c>
      <c r="H315">
        <v>1</v>
      </c>
      <c r="I315">
        <v>2</v>
      </c>
      <c r="J315" t="s">
        <v>316</v>
      </c>
    </row>
    <row r="316" spans="1:10" x14ac:dyDescent="0.2">
      <c r="A316">
        <v>3677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1</v>
      </c>
      <c r="H316">
        <v>0</v>
      </c>
      <c r="I316">
        <v>1</v>
      </c>
      <c r="J316" t="s">
        <v>317</v>
      </c>
    </row>
    <row r="317" spans="1:10" x14ac:dyDescent="0.2">
      <c r="A317">
        <v>3678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 t="s">
        <v>318</v>
      </c>
    </row>
    <row r="318" spans="1:10" x14ac:dyDescent="0.2">
      <c r="A318">
        <v>3695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 t="s">
        <v>319</v>
      </c>
    </row>
    <row r="319" spans="1:10" x14ac:dyDescent="0.2">
      <c r="A319">
        <v>3709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 t="s">
        <v>320</v>
      </c>
    </row>
    <row r="320" spans="1:10" x14ac:dyDescent="0.2">
      <c r="A320">
        <v>3727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 t="s">
        <v>321</v>
      </c>
    </row>
    <row r="321" spans="1:10" x14ac:dyDescent="0.2">
      <c r="A321">
        <v>3779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 t="s">
        <v>322</v>
      </c>
    </row>
    <row r="322" spans="1:10" x14ac:dyDescent="0.2">
      <c r="A322">
        <v>3787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 t="s">
        <v>323</v>
      </c>
    </row>
    <row r="323" spans="1:10" x14ac:dyDescent="0.2">
      <c r="A323">
        <v>3800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 t="s">
        <v>324</v>
      </c>
    </row>
    <row r="324" spans="1:10" x14ac:dyDescent="0.2">
      <c r="A324">
        <v>3857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 t="s">
        <v>325</v>
      </c>
    </row>
    <row r="325" spans="1:10" x14ac:dyDescent="0.2">
      <c r="A325">
        <v>3900</v>
      </c>
      <c r="B325">
        <v>1</v>
      </c>
      <c r="C325">
        <v>1</v>
      </c>
      <c r="D325">
        <v>1</v>
      </c>
      <c r="E325">
        <v>1</v>
      </c>
      <c r="F325">
        <v>1</v>
      </c>
      <c r="G325">
        <v>1</v>
      </c>
      <c r="H325">
        <v>1</v>
      </c>
      <c r="I325">
        <v>7</v>
      </c>
      <c r="J325" t="s">
        <v>326</v>
      </c>
    </row>
    <row r="326" spans="1:10" x14ac:dyDescent="0.2">
      <c r="A326">
        <v>3928</v>
      </c>
      <c r="B326">
        <v>1</v>
      </c>
      <c r="C326">
        <v>1</v>
      </c>
      <c r="D326">
        <v>1</v>
      </c>
      <c r="E326">
        <v>1</v>
      </c>
      <c r="F326">
        <v>1</v>
      </c>
      <c r="G326">
        <v>0</v>
      </c>
      <c r="H326">
        <v>0</v>
      </c>
      <c r="I326">
        <v>5</v>
      </c>
      <c r="J326" t="s">
        <v>327</v>
      </c>
    </row>
    <row r="327" spans="1:10" x14ac:dyDescent="0.2">
      <c r="A327">
        <v>3938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 t="s">
        <v>328</v>
      </c>
    </row>
    <row r="328" spans="1:10" x14ac:dyDescent="0.2">
      <c r="A328">
        <v>3939</v>
      </c>
      <c r="B328">
        <v>1</v>
      </c>
      <c r="C328">
        <v>1</v>
      </c>
      <c r="D328">
        <v>1</v>
      </c>
      <c r="E328">
        <v>1</v>
      </c>
      <c r="F328">
        <v>1</v>
      </c>
      <c r="G328">
        <v>1</v>
      </c>
      <c r="H328">
        <v>1</v>
      </c>
      <c r="I328">
        <v>7</v>
      </c>
      <c r="J328" t="s">
        <v>329</v>
      </c>
    </row>
    <row r="329" spans="1:10" x14ac:dyDescent="0.2">
      <c r="A329">
        <v>3954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 t="s">
        <v>330</v>
      </c>
    </row>
    <row r="330" spans="1:10" x14ac:dyDescent="0.2">
      <c r="A330">
        <v>3957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 t="s">
        <v>331</v>
      </c>
    </row>
    <row r="331" spans="1:10" x14ac:dyDescent="0.2">
      <c r="A331">
        <v>3964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 t="s">
        <v>332</v>
      </c>
    </row>
    <row r="332" spans="1:10" x14ac:dyDescent="0.2">
      <c r="A332">
        <v>3965</v>
      </c>
      <c r="B332">
        <v>1</v>
      </c>
      <c r="C332">
        <v>1</v>
      </c>
      <c r="D332">
        <v>1</v>
      </c>
      <c r="E332">
        <v>0</v>
      </c>
      <c r="F332">
        <v>0</v>
      </c>
      <c r="G332">
        <v>0</v>
      </c>
      <c r="H332">
        <v>0</v>
      </c>
      <c r="I332">
        <v>3</v>
      </c>
      <c r="J332" t="s">
        <v>333</v>
      </c>
    </row>
    <row r="333" spans="1:10" x14ac:dyDescent="0.2">
      <c r="A333">
        <v>3966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 t="s">
        <v>334</v>
      </c>
    </row>
    <row r="334" spans="1:10" x14ac:dyDescent="0.2">
      <c r="A334">
        <v>3975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 t="s">
        <v>335</v>
      </c>
    </row>
    <row r="335" spans="1:10" x14ac:dyDescent="0.2">
      <c r="A335">
        <v>3988</v>
      </c>
      <c r="B335">
        <v>1</v>
      </c>
      <c r="C335">
        <v>1</v>
      </c>
      <c r="D335">
        <v>1</v>
      </c>
      <c r="E335">
        <v>1</v>
      </c>
      <c r="F335">
        <v>1</v>
      </c>
      <c r="G335">
        <v>0</v>
      </c>
      <c r="H335">
        <v>0</v>
      </c>
      <c r="I335">
        <v>5</v>
      </c>
      <c r="J335" t="s">
        <v>336</v>
      </c>
    </row>
    <row r="336" spans="1:10" x14ac:dyDescent="0.2">
      <c r="A336">
        <v>4000</v>
      </c>
      <c r="B336">
        <v>1</v>
      </c>
      <c r="C336">
        <v>1</v>
      </c>
      <c r="D336">
        <v>1</v>
      </c>
      <c r="E336">
        <v>1</v>
      </c>
      <c r="F336">
        <v>1</v>
      </c>
      <c r="G336">
        <v>1</v>
      </c>
      <c r="H336">
        <v>1</v>
      </c>
      <c r="I336">
        <v>7</v>
      </c>
      <c r="J336" t="s">
        <v>337</v>
      </c>
    </row>
    <row r="337" spans="1:10" x14ac:dyDescent="0.2">
      <c r="A337">
        <v>4022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 t="s">
        <v>338</v>
      </c>
    </row>
    <row r="338" spans="1:10" x14ac:dyDescent="0.2">
      <c r="A338">
        <v>4026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 t="s">
        <v>339</v>
      </c>
    </row>
    <row r="339" spans="1:10" x14ac:dyDescent="0.2">
      <c r="A339">
        <v>4037</v>
      </c>
      <c r="B339">
        <v>1</v>
      </c>
      <c r="C339">
        <v>1</v>
      </c>
      <c r="D339">
        <v>1</v>
      </c>
      <c r="E339">
        <v>1</v>
      </c>
      <c r="F339">
        <v>1</v>
      </c>
      <c r="G339">
        <v>0</v>
      </c>
      <c r="H339">
        <v>0</v>
      </c>
      <c r="I339">
        <v>5</v>
      </c>
      <c r="J339" t="s">
        <v>340</v>
      </c>
    </row>
    <row r="340" spans="1:10" x14ac:dyDescent="0.2">
      <c r="A340">
        <v>4062</v>
      </c>
      <c r="B340">
        <v>1</v>
      </c>
      <c r="C340">
        <v>1</v>
      </c>
      <c r="D340">
        <v>1</v>
      </c>
      <c r="E340">
        <v>1</v>
      </c>
      <c r="F340">
        <v>1</v>
      </c>
      <c r="G340">
        <v>1</v>
      </c>
      <c r="H340">
        <v>1</v>
      </c>
      <c r="I340">
        <v>7</v>
      </c>
      <c r="J340" t="s">
        <v>341</v>
      </c>
    </row>
    <row r="341" spans="1:10" x14ac:dyDescent="0.2">
      <c r="A341">
        <v>4064</v>
      </c>
      <c r="B341">
        <v>1</v>
      </c>
      <c r="C341">
        <v>1</v>
      </c>
      <c r="D341">
        <v>1</v>
      </c>
      <c r="E341">
        <v>1</v>
      </c>
      <c r="F341">
        <v>1</v>
      </c>
      <c r="G341">
        <v>1</v>
      </c>
      <c r="H341">
        <v>1</v>
      </c>
      <c r="I341">
        <v>7</v>
      </c>
      <c r="J341" t="s">
        <v>342</v>
      </c>
    </row>
    <row r="342" spans="1:10" x14ac:dyDescent="0.2">
      <c r="A342">
        <v>4072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 t="s">
        <v>343</v>
      </c>
    </row>
    <row r="343" spans="1:10" x14ac:dyDescent="0.2">
      <c r="A343">
        <v>4073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 t="s">
        <v>344</v>
      </c>
    </row>
    <row r="344" spans="1:10" x14ac:dyDescent="0.2">
      <c r="A344">
        <v>4074</v>
      </c>
      <c r="B344">
        <v>1</v>
      </c>
      <c r="C344">
        <v>1</v>
      </c>
      <c r="D344">
        <v>1</v>
      </c>
      <c r="E344">
        <v>1</v>
      </c>
      <c r="F344">
        <v>1</v>
      </c>
      <c r="G344">
        <v>1</v>
      </c>
      <c r="H344">
        <v>1</v>
      </c>
      <c r="I344">
        <v>7</v>
      </c>
      <c r="J344" t="s">
        <v>345</v>
      </c>
    </row>
    <row r="345" spans="1:10" x14ac:dyDescent="0.2">
      <c r="A345">
        <v>4075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 t="s">
        <v>346</v>
      </c>
    </row>
    <row r="346" spans="1:10" x14ac:dyDescent="0.2">
      <c r="A346">
        <v>4084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 t="s">
        <v>347</v>
      </c>
    </row>
    <row r="347" spans="1:10" x14ac:dyDescent="0.2">
      <c r="A347">
        <v>4086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 t="s">
        <v>348</v>
      </c>
    </row>
    <row r="348" spans="1:10" x14ac:dyDescent="0.2">
      <c r="A348">
        <v>4089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 t="s">
        <v>349</v>
      </c>
    </row>
    <row r="349" spans="1:10" x14ac:dyDescent="0.2">
      <c r="A349">
        <v>4090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 t="s">
        <v>350</v>
      </c>
    </row>
    <row r="350" spans="1:10" x14ac:dyDescent="0.2">
      <c r="A350">
        <v>4097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 t="s">
        <v>351</v>
      </c>
    </row>
    <row r="351" spans="1:10" x14ac:dyDescent="0.2">
      <c r="A351">
        <v>4098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 t="s">
        <v>352</v>
      </c>
    </row>
    <row r="352" spans="1:10" x14ac:dyDescent="0.2">
      <c r="A352">
        <v>4101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 t="s">
        <v>353</v>
      </c>
    </row>
    <row r="353" spans="1:10" x14ac:dyDescent="0.2">
      <c r="A353">
        <v>4116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 t="s">
        <v>354</v>
      </c>
    </row>
    <row r="354" spans="1:10" x14ac:dyDescent="0.2">
      <c r="A354">
        <v>4119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 t="s">
        <v>355</v>
      </c>
    </row>
    <row r="355" spans="1:10" x14ac:dyDescent="0.2">
      <c r="A355">
        <v>4120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 t="s">
        <v>356</v>
      </c>
    </row>
    <row r="356" spans="1:10" x14ac:dyDescent="0.2">
      <c r="A356">
        <v>4121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 t="s">
        <v>357</v>
      </c>
    </row>
    <row r="357" spans="1:10" x14ac:dyDescent="0.2">
      <c r="A357">
        <v>4122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 t="s">
        <v>358</v>
      </c>
    </row>
    <row r="358" spans="1:10" x14ac:dyDescent="0.2">
      <c r="A358">
        <v>4128</v>
      </c>
      <c r="B358">
        <v>1</v>
      </c>
      <c r="C358">
        <v>1</v>
      </c>
      <c r="D358">
        <v>1</v>
      </c>
      <c r="E358">
        <v>1</v>
      </c>
      <c r="F358">
        <v>1</v>
      </c>
      <c r="G358">
        <v>1</v>
      </c>
      <c r="H358">
        <v>0</v>
      </c>
      <c r="I358">
        <v>6</v>
      </c>
      <c r="J358" t="s">
        <v>359</v>
      </c>
    </row>
    <row r="359" spans="1:10" x14ac:dyDescent="0.2">
      <c r="A359">
        <v>4132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 t="s">
        <v>360</v>
      </c>
    </row>
    <row r="360" spans="1:10" x14ac:dyDescent="0.2">
      <c r="A360">
        <v>4145</v>
      </c>
      <c r="B360">
        <v>1</v>
      </c>
      <c r="C360">
        <v>1</v>
      </c>
      <c r="D360">
        <v>1</v>
      </c>
      <c r="E360">
        <v>1</v>
      </c>
      <c r="F360">
        <v>1</v>
      </c>
      <c r="G360">
        <v>1</v>
      </c>
      <c r="H360">
        <v>1</v>
      </c>
      <c r="I360">
        <v>7</v>
      </c>
      <c r="J360" t="s">
        <v>361</v>
      </c>
    </row>
    <row r="361" spans="1:10" x14ac:dyDescent="0.2">
      <c r="A361">
        <v>4147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 t="s">
        <v>362</v>
      </c>
    </row>
    <row r="362" spans="1:10" x14ac:dyDescent="0.2">
      <c r="A362">
        <v>4162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 t="s">
        <v>363</v>
      </c>
    </row>
    <row r="363" spans="1:10" x14ac:dyDescent="0.2">
      <c r="A363">
        <v>4172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 t="s">
        <v>364</v>
      </c>
    </row>
    <row r="364" spans="1:10" x14ac:dyDescent="0.2">
      <c r="A364">
        <v>4195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 t="s">
        <v>365</v>
      </c>
    </row>
    <row r="365" spans="1:10" x14ac:dyDescent="0.2">
      <c r="A365">
        <v>4196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 t="s">
        <v>366</v>
      </c>
    </row>
    <row r="366" spans="1:10" x14ac:dyDescent="0.2">
      <c r="A366">
        <v>4197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 t="s">
        <v>367</v>
      </c>
    </row>
    <row r="367" spans="1:10" x14ac:dyDescent="0.2">
      <c r="A367">
        <v>4200</v>
      </c>
      <c r="B367">
        <v>1</v>
      </c>
      <c r="C367">
        <v>1</v>
      </c>
      <c r="D367">
        <v>1</v>
      </c>
      <c r="E367">
        <v>1</v>
      </c>
      <c r="F367">
        <v>1</v>
      </c>
      <c r="G367">
        <v>1</v>
      </c>
      <c r="H367">
        <v>1</v>
      </c>
      <c r="I367">
        <v>7</v>
      </c>
      <c r="J367" t="s">
        <v>368</v>
      </c>
    </row>
    <row r="368" spans="1:10" x14ac:dyDescent="0.2">
      <c r="A368">
        <v>4201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 t="s">
        <v>369</v>
      </c>
    </row>
    <row r="369" spans="1:10" x14ac:dyDescent="0.2">
      <c r="A369">
        <v>4224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 t="s">
        <v>370</v>
      </c>
    </row>
    <row r="370" spans="1:10" x14ac:dyDescent="0.2">
      <c r="A370">
        <v>4226</v>
      </c>
      <c r="B370">
        <v>1</v>
      </c>
      <c r="C370">
        <v>1</v>
      </c>
      <c r="D370">
        <v>1</v>
      </c>
      <c r="E370">
        <v>1</v>
      </c>
      <c r="F370">
        <v>1</v>
      </c>
      <c r="G370">
        <v>0</v>
      </c>
      <c r="H370">
        <v>0</v>
      </c>
      <c r="I370">
        <v>5</v>
      </c>
      <c r="J370" t="s">
        <v>371</v>
      </c>
    </row>
    <row r="371" spans="1:10" x14ac:dyDescent="0.2">
      <c r="A371">
        <v>4229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 t="s">
        <v>372</v>
      </c>
    </row>
    <row r="372" spans="1:10" x14ac:dyDescent="0.2">
      <c r="A372">
        <v>4242</v>
      </c>
      <c r="B372">
        <v>1</v>
      </c>
      <c r="C372">
        <v>1</v>
      </c>
      <c r="D372">
        <v>1</v>
      </c>
      <c r="E372">
        <v>1</v>
      </c>
      <c r="F372">
        <v>1</v>
      </c>
      <c r="G372">
        <v>1</v>
      </c>
      <c r="H372">
        <v>1</v>
      </c>
      <c r="I372">
        <v>7</v>
      </c>
      <c r="J372" t="s">
        <v>373</v>
      </c>
    </row>
    <row r="373" spans="1:10" x14ac:dyDescent="0.2">
      <c r="A373">
        <v>4258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 t="s">
        <v>374</v>
      </c>
    </row>
    <row r="374" spans="1:10" x14ac:dyDescent="0.2">
      <c r="A374">
        <v>4264</v>
      </c>
      <c r="B374">
        <v>1</v>
      </c>
      <c r="C374">
        <v>1</v>
      </c>
      <c r="D374">
        <v>1</v>
      </c>
      <c r="E374">
        <v>1</v>
      </c>
      <c r="F374">
        <v>1</v>
      </c>
      <c r="G374">
        <v>1</v>
      </c>
      <c r="H374">
        <v>1</v>
      </c>
      <c r="I374">
        <v>7</v>
      </c>
      <c r="J374" t="s">
        <v>375</v>
      </c>
    </row>
    <row r="375" spans="1:10" x14ac:dyDescent="0.2">
      <c r="A375">
        <v>4279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 t="s">
        <v>376</v>
      </c>
    </row>
    <row r="376" spans="1:10" x14ac:dyDescent="0.2">
      <c r="A376">
        <v>4280</v>
      </c>
      <c r="B376">
        <v>1</v>
      </c>
      <c r="C376">
        <v>1</v>
      </c>
      <c r="D376">
        <v>1</v>
      </c>
      <c r="E376">
        <v>1</v>
      </c>
      <c r="F376">
        <v>0</v>
      </c>
      <c r="G376">
        <v>0</v>
      </c>
      <c r="H376">
        <v>0</v>
      </c>
      <c r="I376">
        <v>4</v>
      </c>
      <c r="J376" t="s">
        <v>377</v>
      </c>
    </row>
    <row r="377" spans="1:10" x14ac:dyDescent="0.2">
      <c r="A377">
        <v>4282</v>
      </c>
      <c r="B377">
        <v>1</v>
      </c>
      <c r="C377">
        <v>1</v>
      </c>
      <c r="D377">
        <v>1</v>
      </c>
      <c r="E377">
        <v>1</v>
      </c>
      <c r="F377">
        <v>1</v>
      </c>
      <c r="G377">
        <v>1</v>
      </c>
      <c r="H377">
        <v>1</v>
      </c>
      <c r="I377">
        <v>7</v>
      </c>
      <c r="J377" t="s">
        <v>378</v>
      </c>
    </row>
    <row r="378" spans="1:10" x14ac:dyDescent="0.2">
      <c r="A378">
        <v>4285</v>
      </c>
      <c r="B378">
        <v>1</v>
      </c>
      <c r="C378">
        <v>1</v>
      </c>
      <c r="D378">
        <v>1</v>
      </c>
      <c r="E378">
        <v>1</v>
      </c>
      <c r="F378">
        <v>1</v>
      </c>
      <c r="G378">
        <v>0</v>
      </c>
      <c r="H378">
        <v>0</v>
      </c>
      <c r="I378">
        <v>5</v>
      </c>
      <c r="J378" t="s">
        <v>379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jarad</cp:lastModifiedBy>
  <dcterms:created xsi:type="dcterms:W3CDTF">2019-06-27T14:31:20Z</dcterms:created>
  <dcterms:modified xsi:type="dcterms:W3CDTF">2019-06-27T14:33:08Z</dcterms:modified>
</cp:coreProperties>
</file>