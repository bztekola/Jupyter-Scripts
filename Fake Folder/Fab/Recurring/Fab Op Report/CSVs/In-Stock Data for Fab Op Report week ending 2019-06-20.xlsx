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Scripts/Fake Folder/Fab/Recurring/Fab Op Report/CSVs/"/>
    </mc:Choice>
  </mc:AlternateContent>
  <xr:revisionPtr revIDLastSave="0" documentId="13_ncr:1_{7A6B8D71-06A3-5C40-AB92-1954EC0EEB7E}" xr6:coauthVersionLast="36" xr6:coauthVersionMax="36" xr10:uidLastSave="{00000000-0000-0000-0000-000000000000}"/>
  <bookViews>
    <workbookView xWindow="15380" yWindow="2880" windowWidth="33020" windowHeight="235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M2" i="1" l="1"/>
  <c r="M6" i="1" l="1"/>
  <c r="M3" i="1"/>
  <c r="M4" i="1" s="1"/>
  <c r="M7" i="1" l="1"/>
  <c r="M8" i="1" s="1"/>
</calcChain>
</file>

<file path=xl/sharedStrings.xml><?xml version="1.0" encoding="utf-8"?>
<sst xmlns="http://schemas.openxmlformats.org/spreadsheetml/2006/main" count="458" uniqueCount="458">
  <si>
    <t>sku id</t>
  </si>
  <si>
    <t>total days oos</t>
  </si>
  <si>
    <t>sku id, sku name</t>
  </si>
  <si>
    <t>1958, Pi Cobbler Assembled P914A</t>
  </si>
  <si>
    <t>2008,  Pi T-Cobbler (ASSEMBLED) Kit P1754A (OUTSOURCED)</t>
  </si>
  <si>
    <t>2267,  Motor/Stepper/Servo Shield P1438C</t>
  </si>
  <si>
    <t>2459,  Flora NeoPixel 4 pack P1260B</t>
  </si>
  <si>
    <t>2460,  Flora NeoPixel v2 Sheet of 20 P1559B</t>
  </si>
  <si>
    <t>2549, pi t cobbler Bplus P2028B (OUTSOURCED ASSEMBLED AQS CHINA)</t>
  </si>
  <si>
    <t>2743,  Ultimate GPS Logging Shield P1272C (Surf-Tech)</t>
  </si>
  <si>
    <t>2849,  piTFT B+ 2.8" (ASSEMBLED) w/CTP LICENSED P2423B (AQS China)</t>
  </si>
  <si>
    <t>2850, piTFT B+ 2.8" (ASSEMBLED) w/RTP LICENSED P2298B (OUTSOURCED)</t>
  </si>
  <si>
    <t>2880,  Breadboard-friendly RGB Smart NeoPixel - Pack of 4 P1312B (AQS China)</t>
  </si>
  <si>
    <t>2881,  Breadboard-friendly RGB Smart NeoPixel - Sheet of 25 P1558B (AQS)</t>
  </si>
  <si>
    <t>3132,  Neopixel Ring 12B P1643D</t>
  </si>
  <si>
    <t>3137,  Neopixel Ring 24B SK9812 P1586D (C3222-B)</t>
  </si>
  <si>
    <t>3169,  piTFT 3.5" P2097B (LICENSED OUTSOURCED AQS-CHINA)</t>
  </si>
  <si>
    <t>3232, HDMI 5 inch Touch Display Backpack P2260B (AQS-China) LICENSED</t>
  </si>
  <si>
    <t>3233, HDMI 5" Display Backpack - Without Touch P2232C (LICENSED AQS-CHINA)</t>
  </si>
  <si>
    <t>3234, HDMI 7" 800x480 Display Backpack - With Touchscreen P2407C (AQS-CHINA) LICENSED</t>
  </si>
  <si>
    <t>3235, HDMI 7" 800x480 Display Backpack - Without Touch P2406B (AQS-China)</t>
  </si>
  <si>
    <t>3242,  Neopixel Shield P1430C (C3223-B) w/SK6812</t>
  </si>
  <si>
    <t>3243,  NeoPixel Stick - 8 x SK6812 5050 RGB LED with Integrated Drivers P1426D (AQS)</t>
  </si>
  <si>
    <t>3244,  NeoPixel Matrix P1487C (C3224-B)</t>
  </si>
  <si>
    <t>3245,  Neopixel Ring 16B P1463D (C3220-B)</t>
  </si>
  <si>
    <t>3246,  neopixel 1/4 60 ring P1768C (C3219-B)</t>
  </si>
  <si>
    <t>3247,  neopixel jewel P2226C</t>
  </si>
  <si>
    <t>3284, NeoRing-12 RGBW Warm P2851A</t>
  </si>
  <si>
    <t>3285, NeoRing-12 RGBW Natural P2852A</t>
  </si>
  <si>
    <t>3286, NeoRing-12 RGBW Cool P2853A</t>
  </si>
  <si>
    <t>3293, NeoStick8 RGBW Warm P2867A</t>
  </si>
  <si>
    <t>3294, NeoStick8 RGBW Natural P2868A</t>
  </si>
  <si>
    <t>3295, NeoStick8 RGBW Cool P2869A</t>
  </si>
  <si>
    <t>3299, NeoRing-16 RGBW Warm P2854A</t>
  </si>
  <si>
    <t>3302, NeoRing60 RGBW Warm P2873A</t>
  </si>
  <si>
    <t>3303, NeoRing60 RGBW Natural P2874A</t>
  </si>
  <si>
    <t>3304, NeoRing60 RGBW Cool P2875A</t>
  </si>
  <si>
    <t>3305, NeoJewel-7 RGBW Warm P2858A</t>
  </si>
  <si>
    <t>3306, NeoJewel-7 RGBW Natural P2859A</t>
  </si>
  <si>
    <t>3307, NeoJewel-7 RGBW Cool P2860A</t>
  </si>
  <si>
    <t>3789,  2.8" TFT Raspberry Pi Touchscreen Shield P1601 (ASSEMBLED) RETAIL PKG LICENSED</t>
  </si>
  <si>
    <t>3845, piTFT Plus 3.5" P2441C retail packaging (LICENSED)</t>
  </si>
  <si>
    <t>3904, Adafruit Pro Trinket - 5V 16MHz P2000C (AQS-China)</t>
  </si>
  <si>
    <t>3905, Adafruit Trinket - Mini Microcontroller - 5V Logic P1501D (AQS-CHINA) LICENSED</t>
  </si>
  <si>
    <t>4035,  FeatherWing OLED - 128x32 OLED Add-on For All Feather Boards P2900C</t>
  </si>
  <si>
    <t>4036,  Monochrome 1.3" 128x64 OLED graphic display P938C (AQS China)</t>
  </si>
  <si>
    <t>4072, PowerBoost 1000 Charger - Rechargeable 5V Lipo USB Boost @ 1A - 1000C P2465C LICENSED (AQS-China)</t>
  </si>
  <si>
    <t>4161, FLORA v3 P659B LICENSED (AQS China EMS)</t>
  </si>
  <si>
    <t>4204, Feather 32u4 Bluefruit LE - w/ Stacking Headers P3242A</t>
  </si>
  <si>
    <t>4216, Adafruit Feather 32u4 Basic Proto P2771B (CONSIGNED)</t>
  </si>
  <si>
    <t>4379, Feather 32u4 Bluefruit LE - w/regular headers P3379A (P2829B w/headers installed)</t>
  </si>
  <si>
    <t>4433,  Assembled FeatherWing OLED P3045C (AQS-China)</t>
  </si>
  <si>
    <t>4434,  Electret Microphone Amplifier - MAX4466 with Adjustable Gain P1063C (AQS China)</t>
  </si>
  <si>
    <t>8258, ADXL335 - 5V ready triple-axis accelerometer (+-3g analog out)</t>
  </si>
  <si>
    <t>8281, MicroSD card breakout board+</t>
  </si>
  <si>
    <t>8283, USB LiIon/LiPoly charger</t>
  </si>
  <si>
    <t>8285, Thermocouple Amplifier MAX31855 breakout board (MAX6675 upgrade)</t>
  </si>
  <si>
    <t>8294, i2c / SPI character LCD backpack</t>
  </si>
  <si>
    <t>8298, Monochrome 0.96" 128x64 OLED graphic display</t>
  </si>
  <si>
    <t>8302, Touch screen breakout board (0.5mm FPC)</t>
  </si>
  <si>
    <t>8308, 1.8" Color TFT LCD display with MicroSD Card Breakout</t>
  </si>
  <si>
    <t>8309, PN532 NFC/RFID controller breakout board</t>
  </si>
  <si>
    <t>8313, USB / DC / Solar Lithium Ion/Polymer charger</t>
  </si>
  <si>
    <t>8315, 8-channel Bi-directional Logic Level Converter</t>
  </si>
  <si>
    <t>8327, VCNL4010 Proximity/Light sensor</t>
  </si>
  <si>
    <t>8355, OLED Breakout Board - 16-bit Color 0.96" w/microSD holder</t>
  </si>
  <si>
    <t>8366, 4-channel I2C-safe Bi-directional Logic Level Converter</t>
  </si>
  <si>
    <t>8375, Adafruit PN532 NFC/RFID Controller Shield for Arduino + Extras</t>
  </si>
  <si>
    <t>8381, Adafruit 16-Channel 12-bit PWM/Servo Driver - I2C interface</t>
  </si>
  <si>
    <t>8390, Adafruit mini 8x8 LED matrix backpack</t>
  </si>
  <si>
    <t>8392, Adafruit 7-segment LED matrix backpack</t>
  </si>
  <si>
    <t>8395, Adafruit Bicolor 8x8 LED matrix backpack</t>
  </si>
  <si>
    <t>8396, INA219  High Side DC Current Sensor Breakout - 26V Â±3.2A Max</t>
  </si>
  <si>
    <t>8409, MCP4725 Breakout Board - 12-Bit DAC w/I2C Interface</t>
  </si>
  <si>
    <t>8420, Stereo 3.7W Class D Audio Amplifier - MAX98306</t>
  </si>
  <si>
    <t>8421, MPL115A2 - I2C Barometric Pressure/Temperature Sensor</t>
  </si>
  <si>
    <t>8424, ADXL326 - 5V ready triple-axis accelerometer (+-16g analog out)</t>
  </si>
  <si>
    <t>8428, L3GD20H Triple-Axis Gyro Breakout Board - L3GD20/L3G4200 Upgrade</t>
  </si>
  <si>
    <t>8434, Adafruit 1.2" 8x8 LED matrix backpack</t>
  </si>
  <si>
    <t>8441, ADS1115 16-Bit ADC - 4 Channel with Programmable Gain Amplifier</t>
  </si>
  <si>
    <t>8449, Triple-axis Accelerometer+Magnetometer (Compass) Board - LSM303</t>
  </si>
  <si>
    <t>8456, INA169 Analog DC Current Sensor Breakout - 60V 5A Max</t>
  </si>
  <si>
    <t>8459, Adafruit GEMMA v2 - Miniature wearable electronic platform</t>
  </si>
  <si>
    <t>8466, ADXL345 - Triple-Axis Accelerometer (+-2g/4g/8g/16g) w/ I2C/SPI</t>
  </si>
  <si>
    <t>8469, FLORA Accelerometer/Compass Sensor - LSM303</t>
  </si>
  <si>
    <t>8475, Adafruit Seven-Segment Backpack - 1.2" Tall Digits</t>
  </si>
  <si>
    <t>8486, Adafruit Micro Lipo - USB LiIon/LiPoly charger</t>
  </si>
  <si>
    <t>8489, RGB Color Sensor with IR filter and White LED - TCS34725</t>
  </si>
  <si>
    <t>8491, Flora Color Sensor with White Illumination LED - TCS34725</t>
  </si>
  <si>
    <t>8492, Standalone 5-Pad Capacitive Touch Sensor Breakout - AT42QT1070</t>
  </si>
  <si>
    <t>8495, Standalone Momentary Capacitive Touch Sensor Breakout</t>
  </si>
  <si>
    <t>8496, Standalone Toggle Capacitive Touch Sensor Breakout</t>
  </si>
  <si>
    <t>8497, VS1053 Codec + MicroSD Breakout - MP3/WAV/MIDI/OGG Play + Record</t>
  </si>
  <si>
    <t>8498, GA1A12S202 Log-scale Analog Light Sensor</t>
  </si>
  <si>
    <t>8501, Adafruit Push-button Power Switch Breakout</t>
  </si>
  <si>
    <t>8504, Adafruit 16-Channel 12-bit PWM/Servo Shield - I2C interface</t>
  </si>
  <si>
    <t>8505, ADXL377 - High-G Triple-Axis Accelerometer (+-200g Analog Out)</t>
  </si>
  <si>
    <t>8507, Adafruit 16x8 LED Matrix Driver Backpack -  HT16K33 Breakout</t>
  </si>
  <si>
    <t>8508, Adafruit 24-Channel 12-bit PWM LED Driver - SPI Interface</t>
  </si>
  <si>
    <t>8514, Adafruit 12-Channel 16-bit PWM LED Driver - SPI Interface</t>
  </si>
  <si>
    <t>8518, 2.2" 18-bit color TFT LCD display with microSD card breakout</t>
  </si>
  <si>
    <t>8520, Adafruit Trinket - Mini Microcontroller - 3.3V Logic</t>
  </si>
  <si>
    <t>8529, DS2413 1-Wire Two GPIO Controller Breakout</t>
  </si>
  <si>
    <t>8530, Stereo 2.1W Class D Audio Amplifier - TPA2012</t>
  </si>
  <si>
    <t>8535, Resistive Touch Screen Controller - STMPE610</t>
  </si>
  <si>
    <t>8538, Resistive Touch Screen to USB Mouse Controller - AR1100</t>
  </si>
  <si>
    <t>8542, RA8875 Driver Board for 40-pin TFT Touch Displays - 800x480 Max</t>
  </si>
  <si>
    <t>8545, CAP1188 - 8-Key Capacitive Touch Sensor Breakout - I2C or SPI</t>
  </si>
  <si>
    <t>8549, Adafruit Trellis Monochrome Driver PCB for 4x4 Keypad &amp; 3mm LEDs</t>
  </si>
  <si>
    <t>8555, Bluefruit EZ-Link Shield - Bluetooth Arduino Serial &amp; Programmer</t>
  </si>
  <si>
    <t>8556, 2.8" TFT Touch Shield for Arduino with Resistive Touch Screen</t>
  </si>
  <si>
    <t>8560, OLED Breakout Board - 16-bit Color 1.27" w/microSD holder</t>
  </si>
  <si>
    <t>8570, Stereo 2.8W Class D Audio Amplifier - I2C Control AGC - TPA2016</t>
  </si>
  <si>
    <t>8571, Electret Microphone Amplifier - MAX9814 with Auto Gain Control</t>
  </si>
  <si>
    <t>8575, 24-bar Graph I2C Backpack</t>
  </si>
  <si>
    <t>8577, Thermocouple Amplifier with 1-Wire Breakout Board - MAX31850K</t>
  </si>
  <si>
    <t>8583, Stereo 20W Class D Audio Amplifier - MAX9744</t>
  </si>
  <si>
    <t>8589, USB Mini-B Breakout Board</t>
  </si>
  <si>
    <t>8590, 2.8" TFT LCD with Touchscreen Breakout Board w/MicroSD Socket</t>
  </si>
  <si>
    <t>8595, SI1145 Digital UV Index / IR / Visible Light Sensor</t>
  </si>
  <si>
    <t>8596, Analog Output K-Type Thermocouple Amplifier - AD8495 Breakout</t>
  </si>
  <si>
    <t>8597, MCP9808 High Accuracy I2C Temperature Sensor Breakout Board</t>
  </si>
  <si>
    <t>8601, Adafruit "Music Maker" MP3 Shield for Arduino w/3W Stereo Amp</t>
  </si>
  <si>
    <t>8602, Adafruit "Music Maker" MP3 Shield for Arduino (MP3/Ogg/WAV...)</t>
  </si>
  <si>
    <t>8606, USB Micro-B Breakout Board</t>
  </si>
  <si>
    <t>8607, JST-PH 2-Pin SMT Right Angle Breakout Board</t>
  </si>
  <si>
    <t>8608, Switched JST-PH 2-Pin SMT Right Angle Breakout Board</t>
  </si>
  <si>
    <t>8609, 12mm Coin Cell Breakout w/ On-Off Switch</t>
  </si>
  <si>
    <t>8610, 12mm Coin Cell Breakout Board</t>
  </si>
  <si>
    <t>8611, 20mm Coin Cell Breakout Board (CR2032)</t>
  </si>
  <si>
    <t>8612, 20mm Coin Cell Breakout w/On-Off Switch (CR2032)</t>
  </si>
  <si>
    <t>8615, MPL3115A2 - I2C Barometric Pressure/Altitude/Temperature Sensor</t>
  </si>
  <si>
    <t>8616, Adafruit I2C Non-Volatile FRAM Breakout - 256Kbit / 32KByte</t>
  </si>
  <si>
    <t>8617, Adafruit SPI Non-Volatile FRAM Breakout - 64Kbit / 8KByte</t>
  </si>
  <si>
    <t>8618, Adafruit HTU21D-F Temperature &amp; Humidity Sensor Breakout Board</t>
  </si>
  <si>
    <t>8620, PowerBoost 500 Basic - 5V USB Boost @ 500mA from 1.8V+</t>
  </si>
  <si>
    <t>8621, Adafruit Micro Lipo w/MicroUSB Jack - USB LiIon/LiPoly charger</t>
  </si>
  <si>
    <t>8622, Adafruit Mini Lipo w/Mini-B USB Jack - USB LiIon/LiPoly charger</t>
  </si>
  <si>
    <t>8623, Adafruit 14-segment LED Alphanumeric backpack</t>
  </si>
  <si>
    <t>8626, Analog UV Light Sensor Breakout - GUVA-S12SD</t>
  </si>
  <si>
    <t>8632, 40-pin TFT Friend - FPC Breakout with LED Backlight Driver</t>
  </si>
  <si>
    <t>8635, PowerBoost 500 Charger - Rechargeable 5V Lipo USB Boost @ 500mA+</t>
  </si>
  <si>
    <t>8637, Adafruit FONA - Mini Cellular GSM Breakout uFL Version</t>
  </si>
  <si>
    <t>8639, Adafruit Stereo FM Transmitter with RDS/RBDS Breakout - Si4713</t>
  </si>
  <si>
    <t>8640, Adafruit FONA - Mini Cellular GSM Breakout - SMA Version</t>
  </si>
  <si>
    <t>8642, Adafruit TSL2591 High Dynamic Range Digital Light Sensor</t>
  </si>
  <si>
    <t>8643, Flora UV Index Sensor - Si1145 Light Sensor</t>
  </si>
  <si>
    <t>8644, Adafruit 12-Key Capacitive Touch Sensor Breakout - MPR121</t>
  </si>
  <si>
    <t>8648, Adafruit Pro Trinket - 3V 12MHz</t>
  </si>
  <si>
    <t>8650, Adafruit Triple-Axis Accelerometer - Â±2/4/8g @ 14-bit - MMA8451</t>
  </si>
  <si>
    <t>8654, Adafruit 12 x Capacitive Touch Shield for Arduino - MPR121</t>
  </si>
  <si>
    <t>8657, Adafruit Si5351A Clock Generator Breakout Board - 8KHz to 160MHz</t>
  </si>
  <si>
    <t>8658, Adafruit 16x8 LED Matrix Backpack</t>
  </si>
  <si>
    <t>8659, 3.5" TFT 320x480 + Touchscreen Breakout Board w/MicroSD Socket</t>
  </si>
  <si>
    <t>8662, Adafruit PowerBoost 500 Shield - Rechargeable 5V Power Shield</t>
  </si>
  <si>
    <t>8665, Adafruit 1.44" Color TFT LCD Display with MicroSD Card breakout</t>
  </si>
  <si>
    <t>8666, 2.8" TFT LCD with Cap Touch Breakout Board w/MicroSD Socket</t>
  </si>
  <si>
    <t>8670, JTAG (2x10 2.54mm) to SWD (2x5 1.27mm) Cable Adapter Board</t>
  </si>
  <si>
    <t>8673, 50pin to 40pin + AR1100 Adapter (same as P3305)</t>
  </si>
  <si>
    <t>8683, Adafruit Pro Trinket - 5V 16MHz - Hackaday Edition</t>
  </si>
  <si>
    <t>8688, VERTER 5V USB Buck-Boost - 500mA from 3V-5V / 1000ma from 5V-12V</t>
  </si>
  <si>
    <t>8689, Precision LM4040 Voltage Reference Breakout - 2.048V and 4.096V</t>
  </si>
  <si>
    <t>8692, TFP401 HDMI/DVI Decoder to 40-Pin TTL Breakout - Without Touch</t>
  </si>
  <si>
    <t>8693, TFP401 HDMI/DVI Decoder to 40-Pin TTL Breakout - With Touch</t>
  </si>
  <si>
    <t>8713, Adafruit DRV2605L Haptic Motor Controller</t>
  </si>
  <si>
    <t>8715, Adafruit Perma-Proto HAT for Pi Mini Kit - With EEPROM</t>
  </si>
  <si>
    <t>8716, Adafruit PiTFT 2.2" HAT Mini Kit - 320x240 2.2" TFT - No Touch</t>
  </si>
  <si>
    <t>8719, Adafruit 16-Channel PWM / Servo HAT for Raspberry Pi - Mini Kit</t>
  </si>
  <si>
    <t>8721, Adafruit Capacitive Touch HAT for Raspberry Pi - Mini Kit</t>
  </si>
  <si>
    <t>8726, Adafruit DC &amp; Stepper Motor HAT for Raspberry Pi - Mini Kit</t>
  </si>
  <si>
    <t>8745, Adafruit DPI TFT Kippah for Raspberry Pi with Touch Support</t>
  </si>
  <si>
    <t>8746, Adafruit DPI TFT Kippah for Raspberry Pi</t>
  </si>
  <si>
    <t>8747, Adafruit PiTFT 2.4" HAT Mini Kit - 320x240 TFT Touchscreen</t>
  </si>
  <si>
    <t>8749, Adafruit FONA 800 Shield - Voice/Data Cellular GSM for Arduino</t>
  </si>
  <si>
    <t>8752, Adafruit 9-DOF Absolute Orientation IMU Fusion Breakout - BNO055</t>
  </si>
  <si>
    <t>8753, Adafruit 2.4" TFT LCD with Touchscreen Breakout w/MicroSD Socket</t>
  </si>
  <si>
    <t>8754, Adafruit Bluefruit LE UART Friend - Bluetooth Low Energy (BLE)</t>
  </si>
  <si>
    <t>8760, Flora Wearable Bluefruit LE Module</t>
  </si>
  <si>
    <t>8817, Adafruit Metro Mini 328 - 5V 16MHz</t>
  </si>
  <si>
    <t>8827, Assembled Drawdio PCB</t>
  </si>
  <si>
    <t>8830, Adafruit Bluefruit LE SPI Friend - Bluetooth Low Energy (BLE)</t>
  </si>
  <si>
    <t>8834, Adafruit BMP280 I2C or SPI Barometric Pressure &amp; Altitude Sensor</t>
  </si>
  <si>
    <t>8835, Adafruit BME280 I2C or SPI Temperature Humidity Pressure Sensor</t>
  </si>
  <si>
    <t>8847, Adafruit Silicon MEMS Microphone Breakout - SPW2430</t>
  </si>
  <si>
    <t>8848, TCA9548A I2C Multiplexer</t>
  </si>
  <si>
    <t>8852, Assembled Adafruit BMP280 (same as PID 2651)</t>
  </si>
  <si>
    <t>8853, Assembled TCS34725 RGB Color Sensor (same as PID 1334)</t>
  </si>
  <si>
    <t>8857, Pixie - 3W Chainable Smart LED Pixel</t>
  </si>
  <si>
    <t>8858, SWD (2x5 1.27mm) Cable Breakout Board</t>
  </si>
  <si>
    <t>8859, LM3671 3.3V Buck Converter Breakout  - 3.3V Output 600mA Max</t>
  </si>
  <si>
    <t>8860, Adafruit Bluefruit LE Shield - Bluetooth LE for Arduino</t>
  </si>
  <si>
    <t>8861, Adafruit ALS-PT19 Analog Light Sensor Breakout</t>
  </si>
  <si>
    <t>8868, Adafruit Feather M0 Basic Proto - ATSAMD21 Cortex M0</t>
  </si>
  <si>
    <t>8870, Adafruit Feather 32u4 Adalogger</t>
  </si>
  <si>
    <t>8871, Adafruit Feather M0 Adalogger</t>
  </si>
  <si>
    <t>8872, Adafruit LIS3DH Triple-Axis Accelerometer (+-2g/4g/8g/16g)</t>
  </si>
  <si>
    <t>8894, Adafruit Non-Latching Mini Relay FeatherWing</t>
  </si>
  <si>
    <t>8896, Adafruit VEML6070 UV Index Sensor Breakout</t>
  </si>
  <si>
    <t>8906, LASER - Monochron Acrylic INTERNAL</t>
  </si>
  <si>
    <t>8907, LASER - IoT Pi Printer ACRYLIC INTERNAL</t>
  </si>
  <si>
    <t>8909, LASER - TIMESQUARE Watch Acrylic INTERNAL</t>
  </si>
  <si>
    <t>8911, Adafruit Latching Mini Relay FeatherWing</t>
  </si>
  <si>
    <t>8913, 8-Channel PWM or Servo FeatherWing Add-on For All Feather Boards</t>
  </si>
  <si>
    <t>8916, LASER - IoT Pi Printer (Cloud) ACRYLIC INTERNAL</t>
  </si>
  <si>
    <t>8917, NeoPixel FeatherWing - 4x8 RGB LED Add-on For All Feather Boards</t>
  </si>
  <si>
    <t>8918, Adafruit 16x9 Charlieplexed PWM LED Matrix Driver - IS31FL3731</t>
  </si>
  <si>
    <t>8919, LED Charlieplexed Matrix - 9x16 LEDs - Red</t>
  </si>
  <si>
    <t>8920, LED Charlieplexed Matrix - 9x16 LEDs - Yellow</t>
  </si>
  <si>
    <t>8932, LED Charlieplexed Matrix - 9x16 LEDs - Green</t>
  </si>
  <si>
    <t>8933, LED Charlieplexed Matrix - 9x16 LEDs - Blue</t>
  </si>
  <si>
    <t>8934, LED Charlieplexed Matrix - 9x16 LEDs - Cool White</t>
  </si>
  <si>
    <t>8935, Adafruit Feather M0 Bluefruit LE</t>
  </si>
  <si>
    <t>8938, Adafruit I2S 3W Class D Amplifier Breakout - MAX98357A</t>
  </si>
  <si>
    <t>8942, Adafruit Feather 32u4 FONA</t>
  </si>
  <si>
    <t>8943, DS3231 Precision RTC FeatherWing - RTC Add-on For Feather Boards</t>
  </si>
  <si>
    <t>8952, Assembled BME280 Sensor (same as P2652)</t>
  </si>
  <si>
    <t>8963, Adafruit RFM69HCW Transceiver Radio Breakout - 868 or 915 MHz</t>
  </si>
  <si>
    <t>8964, Adafruit RFM69HCW Transceiver Radio Breakout - 433 MHz</t>
  </si>
  <si>
    <t>8965, Adafruit RFM95W LoRa Radio Transceiver Breakout - 868 or 915 MHz</t>
  </si>
  <si>
    <t>8966, Adafruit RFM96W LoRa Radio Transceiver Breakout - 433 MHz</t>
  </si>
  <si>
    <t>8967, Adafruit Feather 32u4 RFM69HCW Packet Radio - 868 or 915 MHz</t>
  </si>
  <si>
    <t>8968, Adafruit Feather 32u4 with RFM69HCW Packet Radio - 433MHz</t>
  </si>
  <si>
    <t>8969, Adafruit Feather 32u4 RFM95 LoRa Radio - 868 or 915 MHz</t>
  </si>
  <si>
    <t>8970, Adafruit Feather 32u4 RFM96 LoRa Radio - 433MHz</t>
  </si>
  <si>
    <t>8971, Adafruit 4-Digit 7-Segment LED Matrix Display FeatherWing</t>
  </si>
  <si>
    <t>8972, Adafruit 14-Segment Alphanumeric LED FeatherWing</t>
  </si>
  <si>
    <t>8973, Adafruit 8x16 LED Matrix FeatherWing w/o Matrices</t>
  </si>
  <si>
    <t>8978, Adafruit Ultimate GPS FeatherWing</t>
  </si>
  <si>
    <t>8979, Adafruit 15x7 CharliePlex LED Matrix Display FeatherWing - Red</t>
  </si>
  <si>
    <t>8980, Adafruit 15x7 CharliePlex LED Matrix Display FeatherWing Yellow</t>
  </si>
  <si>
    <t>8981, Adafruit 15x7 CharliePlex LED Matrix Display FeatherWing - Green</t>
  </si>
  <si>
    <t>8982, Adafruit 15x7 CharliePlex LED Matrix Display FeatherWing - Blue</t>
  </si>
  <si>
    <t>8983, Adafruit 15x7 CharliePlex LED Matrix FeatherWing - Cool White</t>
  </si>
  <si>
    <t>8987, LED Charlieplexed Matrix - 9x16 LEDs - Warm White</t>
  </si>
  <si>
    <t>8988, Adafruit 15x7 CharliePlex LED Matrix FeatherWing - Warm White</t>
  </si>
  <si>
    <t>8989, Adafruit Feather M0 RFM69HCW Packet Radio - 868 or 915 MHz</t>
  </si>
  <si>
    <t>8990, Adafruit Feather M0 RFM69HCW Packet Radio - 433MHz</t>
  </si>
  <si>
    <t>8991, Adafruit Feather M0 with RFM95 LoRa Radio - 900MHz</t>
  </si>
  <si>
    <t>8992, Adafruit Feather M0 RFM96 LoRa Radio - 433MHz</t>
  </si>
  <si>
    <t>8995, Adafruit DRV8871 DC Motor Driver Breakout Board - 3.6A Max</t>
  </si>
  <si>
    <t>8996, Adafruit Power Relay FeatherWing</t>
  </si>
  <si>
    <t>8998, Adafruit MiCS5524 CO, Alcohol and VOC Gas Sensor Breakout</t>
  </si>
  <si>
    <t>8999, Teensy 3.x Feather Adapter</t>
  </si>
  <si>
    <t>9000, Adafruit Ethernet FeatherWing</t>
  </si>
  <si>
    <t>9011, Adafruit Radio FeatherWing - RFM69HCW 900MHz</t>
  </si>
  <si>
    <t>9012, Adafruit Radio FeatherWing - RFM69HCW 433MHz</t>
  </si>
  <si>
    <t>9013, Adafruit LoRa Radio FeatherWing - RFM95W 900 MHz</t>
  </si>
  <si>
    <t>9014, Adafruit LoRa Radio FeatherWing - RFM95W 433 MHz</t>
  </si>
  <si>
    <t>9016, Resistive Touch Screen to USB Mouse Controller - AR1100</t>
  </si>
  <si>
    <t>9021, Adafruit Si7021 Temperature &amp; Humidity Sensor Breakout Board</t>
  </si>
  <si>
    <t>9022, Adafruit Universal Thermocouple Amplifier MAX31856 Breakout</t>
  </si>
  <si>
    <t>9031, Adafruit DS1307 Real Time Clock Assembled Breakout Board</t>
  </si>
  <si>
    <t>9032, Adafruit DRV8833 DC/Stepper Motor Driver Breakout Board</t>
  </si>
  <si>
    <t>9033, Adafruit TFT 50pin to 40pin + AR1100 Touchscreen Adapter</t>
  </si>
  <si>
    <t>9034, Adafruit CP2104 Friend - USB to Serial Converter</t>
  </si>
  <si>
    <t>9036, TFT FeatherWing - 2.4" 320x240 Touchscreen For All Feathers</t>
  </si>
  <si>
    <t>9037, Adafruit VL6180X Time of Flight Distance Ranging Sensor (VL6180)</t>
  </si>
  <si>
    <t>9038, Adafruit VL53L0X Time of Flight Distance Sensor - ~30 to 1000mm</t>
  </si>
  <si>
    <t>9041, Adafruit 14-segment LED Alphanumeric backpack (same as P1910)</t>
  </si>
  <si>
    <t>9043, LASER - UNTZtrument Add-on Acrylic Tweaker/Hacker Panel (P1945)</t>
  </si>
  <si>
    <t>9045, Adafruit PT100 RTD Temperature Sensor Amplifier - MAX31865</t>
  </si>
  <si>
    <t>9108, Adafruit Ultimate GPS Breakout - 66 channel w/10 Hz</t>
  </si>
  <si>
    <t>9110, Adafruit PiRTC - PCF8523 Real Time Clock for Raspberry Pi</t>
  </si>
  <si>
    <t>9111, Adafrut LSM9DS1 Breakout Board</t>
  </si>
  <si>
    <t>9132, Adalogger FeatherWing - RTC + SD Add-on For All Feather Boards</t>
  </si>
  <si>
    <t>9133, Bluefruit LE Friend - Bluetooth Low Energy (BLE 4.0) - nRF51822</t>
  </si>
  <si>
    <t>9140, Adafruit LED Sequins - Multicolor Pack P3377B (OUTSOURCED CIXI)</t>
  </si>
  <si>
    <t>9223, Adafruit Arcade Bonnet with Connectors</t>
  </si>
  <si>
    <t>9225, TFT FeatherWing - 2.4" 320x240 Touchscreen For All Feathers P3315B (LICENSED outsourced AQS China )</t>
  </si>
  <si>
    <t>9234, Adafruit I2S Mic breakout</t>
  </si>
  <si>
    <t>9248, DC Motor + Stepper FeatherWing Add-on For All Feather Boards</t>
  </si>
  <si>
    <t>9250, Adafruit TPL5110 Breakout</t>
  </si>
  <si>
    <t>9258, Adafruit LED Sequins - Multicolor Pack (In House)</t>
  </si>
  <si>
    <t>9312, Adafruit Music Maker Featherwing w/Amp</t>
  </si>
  <si>
    <t>9375, Adafruit Mono 2.5W Class D Audio Amplifier - PAM8302 P2130B (Outsourced)</t>
  </si>
  <si>
    <t>9391, Adafruit Precision NXP 9-DOF - FXOS8700+FXAS21002</t>
  </si>
  <si>
    <t>9406, Adafruit Particle/Spark NeoPixel Ring Kit - 24 NeoPixels</t>
  </si>
  <si>
    <t>9418, TXB0104 Bi-Directional Level Shifter</t>
  </si>
  <si>
    <t>9464, Adafruit Pro Trinket - 5V 16MHz P2000D (Surf Consigned)</t>
  </si>
  <si>
    <t>9483, Circuit Playground Classic Developer Edition C8937-011.P3000I (AQS China w/Retail Package) LICENSED</t>
  </si>
  <si>
    <t>9495, Adafruit PDM MEMS Microphone Breakout</t>
  </si>
  <si>
    <t>9506, Adafruit SHARP memory display - 168x144</t>
  </si>
  <si>
    <t>9702, Adafruit Sensiron SHT31-D Temperature &amp; Humidity Sensor Breakout</t>
  </si>
  <si>
    <t>9731, [In House Soldered] Adafruit HTU21D-F Temperature &amp; Humidity Sensor Breakout Board SAME as PN 1899</t>
  </si>
  <si>
    <t>9785, Qualia Bare Driver Board for LP097QX1 Display</t>
  </si>
  <si>
    <t>9884, Adafruit AMG8833 Breakout</t>
  </si>
  <si>
    <t>9891, Adafruit 128x64 OLED Bonnet</t>
  </si>
  <si>
    <t>9915, Adafruit Mini TFT - 160x80 16-bit Color</t>
  </si>
  <si>
    <t>9974, Adafruit Assembled Data Logging shield for Arduino P1141C (AQS China - TURNKEY)</t>
  </si>
  <si>
    <t>10113, Adafruit LED Sequins - Ruby Red - Pack of 5 (OUTSOURCED) P1755B</t>
  </si>
  <si>
    <t>10114, Adafruit LED Sequins - Emerald Green - Pack of 5 (OUTSOURCED) P1756B</t>
  </si>
  <si>
    <t>10115, Adafruit LED Sequins - Royal Blue - Pack of 5 (OUTSOURCED) P1757B</t>
  </si>
  <si>
    <t>10116, Adafruit LED Sequins - Warm White - Pack of 5 (OUTSOURCED) P1758B</t>
  </si>
  <si>
    <t>10117, Adafruit LED Sequins - Rose Pink - Pack of 5 (OUTSOURCED) P1792B</t>
  </si>
  <si>
    <t>10164, Adafruit Animated Eyes Bonnet for Raspberry Pi Mini Kit</t>
  </si>
  <si>
    <t>10457, Adafruit TPL5111 Low Power Timer Breakout</t>
  </si>
  <si>
    <t>10464, 1.0mm touch screen breakout</t>
  </si>
  <si>
    <t>10477, Adafruit I2S 3W Stereo Speaker Bonnet for Raspberry Pi</t>
  </si>
  <si>
    <t>10513, Adafruit PCF8523 Real Time Clock Assembled Breakout Board</t>
  </si>
  <si>
    <t>10569, Adafruit HUZZAH ESP8266 Breakout with DOIT module P2471G (LICENSED AQS-China EMS)</t>
  </si>
  <si>
    <t>10583, Adafruit PiUART</t>
  </si>
  <si>
    <t>10625, Adafruit APDS9960 Breakout</t>
  </si>
  <si>
    <t>10641, Adafruit mini 8x8 LED backpack + Yellow/green matrix [fully assembled]</t>
  </si>
  <si>
    <t>10686, Adafruit ATWINC1500 WiFi Breakout</t>
  </si>
  <si>
    <t>10687, Adafruit Feather M0 WiFi - ATSAMD21 + ATWINC1500</t>
  </si>
  <si>
    <t>10688, Assembled Adafruit Feather M0 WiFi (same as P3010)</t>
  </si>
  <si>
    <t>10691,  Ultimate GPS Logging Shield P1272 Adafruit IN HOUSE</t>
  </si>
  <si>
    <t>10748, Adafruit AMG8833 FeatherWing</t>
  </si>
  <si>
    <t>10766, Adafruit METRO328 w/CP2104 with THM Headers PCBA Only - Assembled Outsourced (Ordered as part of C10746-002)</t>
  </si>
  <si>
    <t>10860, Adafruit PT1000 RTD Temperature Sensor Amplifier - MAX31865</t>
  </si>
  <si>
    <t>10880, Adafruit INA219 FeatherWing</t>
  </si>
  <si>
    <t>10881, Adafruit 3.5" TFT FeatherWing</t>
  </si>
  <si>
    <t>10897, Adafruit SAMD09 Breakout w/SeeSaw</t>
  </si>
  <si>
    <t>10933, PowerBoost 1000 Basic - 5V USB Boost @ 1000mA from 1.8V+</t>
  </si>
  <si>
    <t>10943, Adafruit MiniBoost 5V @ 100mA Charge Pump</t>
  </si>
  <si>
    <t>10945, Adafruit Feather HUZZAH with with ESP-F v1.1 QIO Flash (DOIT) P3046D(is C4733C.P2821D w/headers installed) AQS China</t>
  </si>
  <si>
    <t>10961, Adafruit Dragon Tail for micro:bit Assembly P3695A (LICENSED OUTSOURCED)</t>
  </si>
  <si>
    <t>10992, Adafruit BME680 Breakout</t>
  </si>
  <si>
    <t>11004, Adafruit CSI or DSI Cable Extender Thingy for Raspberry Pi</t>
  </si>
  <si>
    <t>11010, UDA1334 Breakout</t>
  </si>
  <si>
    <t>11026, Assembled Feather HUZZAH w/ DOIT ESP8266 WiFi P3213E (P2821-StackingHeaders) OUTSOURCED</t>
  </si>
  <si>
    <t>11027, Adafruit Feather HUZZAH with ESP-F v1.1 QIO Flash (DOIT) P2821I (AQS CHINA)</t>
  </si>
  <si>
    <t>11095, Circuit Playground Express 4H Version Retail Pkg (OUTSOURCED LICENSED AQS-CHINA)</t>
  </si>
  <si>
    <t>11111, Adafruit DotStar Featherwing</t>
  </si>
  <si>
    <t>11112, Adafruit GEMMA M0 - Miniature wearable electronic platform</t>
  </si>
  <si>
    <t>11134, Itsy Bitsy 32u4 5V</t>
  </si>
  <si>
    <t>11136, Itsy Bitsy 32u4 3V</t>
  </si>
  <si>
    <t>11147, Adafruit SGP30 Breakout</t>
  </si>
  <si>
    <t>11236, Itsy Bitsy M0 Express</t>
  </si>
  <si>
    <t>11275, Adafruit FT232H Breakout - General Purpose USB to GPIO+SPI+I2C</t>
  </si>
  <si>
    <t>11282, Adafruit Audio FX Sound Board + 2x2W Amp - WAV/OGG Trigger - 2MB</t>
  </si>
  <si>
    <t>11286, Adafruit Matrix Bonnet</t>
  </si>
  <si>
    <t>11298, Adafruit USB Isolator - 100mA Isolated Low/Full Speed USB</t>
  </si>
  <si>
    <t>11302, Adafruit DotStar HD 8x8 Grid</t>
  </si>
  <si>
    <t>11373, Adafruit nRF52 Feather Pro</t>
  </si>
  <si>
    <t>11395, Adafruit Metro M0 Express</t>
  </si>
  <si>
    <t>11497, Adafruit Audio FX Sound Board - WAV/OGG Trigger with 2MB Flash</t>
  </si>
  <si>
    <t>11499, Adafruit Audio FX Mini Sound Board - WAV/OGG Trigger - 2MB Flash</t>
  </si>
  <si>
    <t>11515, Adafruit Joy Bonnet Outsourced (AQS China) P3464C</t>
  </si>
  <si>
    <t>11517, Adafruit Servo Bonnet</t>
  </si>
  <si>
    <t>11539, AS7262 6-Channel Visible Light / Color sensor breakout</t>
  </si>
  <si>
    <t>11547, Bluefruit LE Sniffer - Bluetooth Low Energy (BLE 4.0) - nRF51822</t>
  </si>
  <si>
    <t>11704, Feather M0 Express</t>
  </si>
  <si>
    <t>11770, Adafruit Feather 32u4 Basic Proto P2771C (OUTSOURCED)</t>
  </si>
  <si>
    <t>11771, Adafruit Feather 32u4 Bluefruit LE P2829C (OUTSOURCED TURNKEY)</t>
  </si>
  <si>
    <t>11780, Circuit Playground Express Retail Pkg P3333G (OUTSOURCED LICENSED AQS-CHINA)</t>
  </si>
  <si>
    <t>11812, Adafruit pIRkey</t>
  </si>
  <si>
    <t>11850, Adafruit NeoPXL8 Featherwing</t>
  </si>
  <si>
    <t>11888, Adafruit RGB Matrix HAT + RTC for Raspberry Pi - Mini Kit</t>
  </si>
  <si>
    <t>11903, Circuit Playground Crickit Robot CCA (raw) for KITTING (adabox008)</t>
  </si>
  <si>
    <t>11956, FadeCandy - Dithering USB-Controlled Driver for NeoPixels</t>
  </si>
  <si>
    <t>12119, LASER - Acrylic Stand for 16x2 Character LCD ACRYLIC P2917B (OUTSOURCED)</t>
  </si>
  <si>
    <t>12194, Adafruit Feather M4</t>
  </si>
  <si>
    <t>12237, Adafruit Feather M0 WiFi - ATSAMD21 + ATWINC1500 (w/pre-soldered headers)</t>
  </si>
  <si>
    <t>12250, 1.5" Red/Black/White eInk Display Breakout</t>
  </si>
  <si>
    <t>12284, Mini TFT FeatherWing</t>
  </si>
  <si>
    <t>12296, Crickit Feather Wing</t>
  </si>
  <si>
    <t>12363, OLED Breakout Board - 16-bit Color 1.5" w/microSD holder</t>
  </si>
  <si>
    <t>12382, NeoTrellis 4x4</t>
  </si>
  <si>
    <t>12384, Adafruit 1.8" Color TFT Shield w/microSD and Joystick</t>
  </si>
  <si>
    <t>12401, Adafruit ATWINC1500 WiFi Breakout with uFL Connector</t>
  </si>
  <si>
    <t>12402, Adafruit Feather M0 WiFi with uFL - ATSAMD21 + ATWINC1500</t>
  </si>
  <si>
    <t>12408, Adafruit Pro Trinket LiIon/LiPoly Backpack Add-On</t>
  </si>
  <si>
    <t>12477, hallowing P3900C - hatched silkscreen</t>
  </si>
  <si>
    <t>12479, Adafruit USB + Serial LCD Backpack Add-On with Cable</t>
  </si>
  <si>
    <t>12487, Crickit:bit</t>
  </si>
  <si>
    <t>12513, Pre-Kitted FTDI Friend +extras v1.0 P284B (In house)</t>
  </si>
  <si>
    <t>12532, Adafruit PiOLED 128x32 P3527B (OUTSOURCED)</t>
  </si>
  <si>
    <t>12533, Monochrome 128x32 SPI OLED graphic display P661C (OUTSOURCED)</t>
  </si>
  <si>
    <t>12610, Adafruit TB6612 1.2A DC/Stepper Motor Driver Breakout Board</t>
  </si>
  <si>
    <t>12619, 2.8" TFT Touch Shield for Arduino w/Capacitive Touch</t>
  </si>
  <si>
    <t>12635, Feather nRF52</t>
  </si>
  <si>
    <t>12652, Metro M4 Express</t>
  </si>
  <si>
    <t>12654, Adafruit ESP32 Feather w/Reg Headers Assembled P3591E (OUTSOURCED)</t>
  </si>
  <si>
    <t>12655, Adafruit ESP32 Feather w/ stacking headers P3619D (OUTSOURCED)</t>
  </si>
  <si>
    <t>12656, Adafruit ESP32 Feather P3405E (OUTSOURCED)</t>
  </si>
  <si>
    <t>12679, Adafruit VEML6075 UV Sensor Breakout</t>
  </si>
  <si>
    <t>12680, Adafruit MPRLS 0-25 PSI Pressure Sensor</t>
  </si>
  <si>
    <t>12701, Adafruit METRO 328 without Headers</t>
  </si>
  <si>
    <t>12710, Adafruit Ultimate GPS HAT for Raspberry Pi A+/B+/Pi 2</t>
  </si>
  <si>
    <t>12711, Adafruit NeoPXL8 Friend</t>
  </si>
  <si>
    <t>12795, Adabox010 - NeoTrellis  M4 feat. Analog Devices ADXL343</t>
  </si>
  <si>
    <t>12807, Adafruit BMP388 BReakout</t>
  </si>
  <si>
    <t>12844, adafruit prop maker wing</t>
  </si>
  <si>
    <t>12855, Adafruit Trinket M0 P3500C (OUTSOURCED)</t>
  </si>
  <si>
    <t>12856, adafruit itsybitsy m4 xpress P3800B (OUTSOURCED)</t>
  </si>
  <si>
    <t>12868, LASER - IoT Pi Printer ACRYLIC INTERNAL (OUTSOURCED)</t>
  </si>
  <si>
    <t>12869, LASER - IoT Pi Printer (Cloud) ACRYLIC (OUTSOURCED)</t>
  </si>
  <si>
    <t>12920, Soil Sensor</t>
  </si>
  <si>
    <t>12925, Adafruit Audio FX Sound Board - WAV/OGG Trigger with 16MB Flash</t>
  </si>
  <si>
    <t>12926, Adafruit Audio FX Mini Sound Board - WAV/OGG Trigger 16MB Flash</t>
  </si>
  <si>
    <t>12930, Adafruit FONA 808 Shield - Mini Cellular GSM + GPS for Arduino</t>
  </si>
  <si>
    <t>12936, Adafruit UDA1334A I2S Audio Bonnet</t>
  </si>
  <si>
    <t>12941, Adafruit Audio FX Sound Board + 2x2W Amp - WAV/OGG Trigger -16MB</t>
  </si>
  <si>
    <t>12958, Adafruit FONA 3G Cellular Breakout - American version</t>
  </si>
  <si>
    <t>12959, Adafruit FONA 3G Cellular Breakout - European version</t>
  </si>
  <si>
    <t>12961, Adafruit Music Maker FeatherWing - MP3 OGG WAV MIDI Synth Player</t>
  </si>
  <si>
    <t>13002, nRF52840 Feather</t>
  </si>
  <si>
    <t>13017, Monochrome 128x32 I2C OLED graphic display P931C (OUTSOURCED)</t>
  </si>
  <si>
    <t>13029,  Flora GPS P1059C</t>
  </si>
  <si>
    <t>13031, Adafruit RFM69HCW Transceiver Radio Bonnet - 868 or 915 MHz - RadioFruit</t>
  </si>
  <si>
    <t>13033, Adafruit RFM69HCW Transceiver Radio Bonnet - 433 MHz - RadioFruit</t>
  </si>
  <si>
    <t>13035, Adafruit Radio Bonnet RFM95W @ 915MHz RadioFruit</t>
  </si>
  <si>
    <t>13036, Adafruit Radio Bonnet  RFM96W @ 433MHz - RadioFruit</t>
  </si>
  <si>
    <t>13050, Adafruit Crickit HAT for Raspberry Pi</t>
  </si>
  <si>
    <t>13052, ADS1015 12-Bit ADC - 4 Channel with Programmable Gain Amplifier</t>
  </si>
  <si>
    <t>13068, Grand Central M4 without headers</t>
  </si>
  <si>
    <t>13079, 2.13"  Red/Black/White eInk Display Breakout</t>
  </si>
  <si>
    <t>13093, Circuit Playground Crickit Robot CCA + extras P3093D (OUTSOURCED)</t>
  </si>
  <si>
    <t>13096, 3.2" TFT LCD with Touchscreen Breakout Board w/MicroSD Socket</t>
  </si>
  <si>
    <t>13112, Adafruit WINC1500 Shield w/antenna</t>
  </si>
  <si>
    <t>13113, Adafruit WINC1500 Shield w/uFL</t>
  </si>
  <si>
    <t>13131, ADT7410 Breakout Board</t>
  </si>
  <si>
    <t>13140, MLX90393 breakout</t>
  </si>
  <si>
    <t>13141, 2.7 inch eInk breakout</t>
  </si>
  <si>
    <t>13162, Adafruit 8x16 CharliePlex LED Matrix Display Bonnet - Blue</t>
  </si>
  <si>
    <t>13169, USB C Downstream Breakout</t>
  </si>
  <si>
    <t>13180, PyPortal</t>
  </si>
  <si>
    <t>13189, Adafruit DS3231 Precision RTC Breakout</t>
  </si>
  <si>
    <t>13195, Adafruit Metro M0 Express P3505C (OUTSOURCED)</t>
  </si>
  <si>
    <t>13200, Adafruit 8x16 CharliePlex LED Matrix Display Bonnet - Green</t>
  </si>
  <si>
    <t>13201, Adafruit 8x16 CharliePlex LED Matrix Display Bonnet - Yellow</t>
  </si>
  <si>
    <t>13202, Adafruit 8x16 CharliePlex LED Matrix Display Bonnet - Warm White</t>
  </si>
  <si>
    <t>13203, Adafruit 8x16 CharliePlex LED Matrix Display Bonnet - Cool White</t>
  </si>
  <si>
    <t>13204, Adafruit 2.13" Tri-Color E-Ink FeatherWing</t>
  </si>
  <si>
    <t>13219, ADXL343 Breakout</t>
  </si>
  <si>
    <t>13232, adafruit prop maker wing (assembled)</t>
  </si>
  <si>
    <t>13235, ADI Featherwing</t>
  </si>
  <si>
    <t>13241, Adafruit GPIO Bonnet</t>
  </si>
  <si>
    <t>13331, Adafruit HUZZAH32 â ESP32 Breakout Board</t>
  </si>
  <si>
    <t>13370, Metro M4 Express P3382E (OUTSOURCED AQS)</t>
  </si>
  <si>
    <t>13385, Adafruit 2.13" Monochrome eInk / ePaper Display FeatherWing</t>
  </si>
  <si>
    <t>13386, 1.54" Monochrome eInk / ePaper Display with SRAM</t>
  </si>
  <si>
    <t>13387, 2.13" Monochrome eInk / ePaper Display with SRAM</t>
  </si>
  <si>
    <t>13395, VEML7700 breakout</t>
  </si>
  <si>
    <t>13428, Adafruit AirLift Breakout</t>
  </si>
  <si>
    <t>13429, Adafruit EInk Friend</t>
  </si>
  <si>
    <t>13434, Adafruit Feather 328P</t>
  </si>
  <si>
    <t>13448, Grand Central M4 (OUTSOURCED SURF)</t>
  </si>
  <si>
    <t>13457, Adafruit 2.7" Tri-Color eInk / ePaper Shield with SRAM - Red Black White</t>
  </si>
  <si>
    <t>13483, pybadge</t>
  </si>
  <si>
    <t>13486, pybadge LC</t>
  </si>
  <si>
    <t>13500, Metro M4 WiFi Airlift</t>
  </si>
  <si>
    <t>13519, INA260 Breakout</t>
  </si>
  <si>
    <t>13536, Adafruit CCS811 Breakout</t>
  </si>
  <si>
    <t>13559, Pygamer</t>
  </si>
  <si>
    <t>13594, Adafruit LPS35HW Breakout</t>
  </si>
  <si>
    <t>13608, Adafruit AirLift FeatherWing</t>
  </si>
  <si>
    <t>13613, Adafruit Motor Bonnet</t>
  </si>
  <si>
    <t>13645, Ultimate GPS USB</t>
  </si>
  <si>
    <t>13696, AirLift Shield</t>
  </si>
  <si>
    <t>unique sku count</t>
  </si>
  <si>
    <t>days in week</t>
  </si>
  <si>
    <t>opportunities to be out of stock</t>
  </si>
  <si>
    <t>Fab Op In-Stock Metric</t>
  </si>
  <si>
    <t>total days out of stock (OOS)</t>
  </si>
  <si>
    <t>out of stock percentage</t>
  </si>
  <si>
    <t>in stock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</si>
</sst>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_(* #,##0_);_(* \(#,##0\);_(* &quot;-&quot;??_);_(@_)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6" fontId="0" fillId="0" borderId="0" xfId="2" applyNumberFormat="1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9"/>
  <sheetViews>
    <sheetView tabSelected="1" workbookViewId="0">
      <selection activeCell="M2" sqref="M2"/>
    </sheetView>
  </sheetViews>
  <sheetFormatPr baseColWidth="10" defaultColWidth="8.83203125" defaultRowHeight="15" x14ac:dyDescent="0.2"/>
  <cols>
    <col min="1" max="1" width="6.1640625" style="5" bestFit="1" customWidth="1"/>
    <col min="2" max="8" width="10.1640625" style="5" bestFit="1" customWidth="1"/>
    <col min="9" max="9" width="11.5" style="5" bestFit="1" customWidth="1"/>
    <col min="10" max="10" width="101.1640625" style="5" bestFit="1" customWidth="1"/>
    <col min="12" max="12" width="28.1640625" bestFit="1" customWidth="1"/>
    <col min="13" max="13" width="9.1640625" bestFit="1" customWidth="1"/>
  </cols>
  <sheetData>
    <row r="1" spans="1:13" x14ac:dyDescent="0.2">
      <c r="A1" s="3" t="s">
        <v>0</v>
      </c>
      <c r="B1" s="4">
        <v>43630</v>
      </c>
      <c r="C1" s="4">
        <v>43631</v>
      </c>
      <c r="D1" s="4">
        <v>43632</v>
      </c>
      <c r="E1" s="4">
        <v>43633</v>
      </c>
      <c r="F1" s="4">
        <v>43634</v>
      </c>
      <c r="G1" s="4">
        <v>43635</v>
      </c>
      <c r="H1" s="4">
        <v>43636</v>
      </c>
      <c r="I1" s="3" t="s">
        <v>1</v>
      </c>
      <c r="J1" s="3" t="s">
        <v>2</v>
      </c>
      <c r="L1" t="s">
        <v>454</v>
      </c>
    </row>
    <row r="2" spans="1:13" x14ac:dyDescent="0.2">
      <c r="A2" s="5">
        <v>1958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6" t="s">
        <v>3</v>
      </c>
      <c r="L2" t="s">
        <v>451</v>
      </c>
      <c r="M2" s="1">
        <f>COUNT(A2:A449)</f>
        <v>448</v>
      </c>
    </row>
    <row r="3" spans="1:13" x14ac:dyDescent="0.2">
      <c r="A3" s="5">
        <v>2008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6" t="s">
        <v>4</v>
      </c>
      <c r="L3" t="s">
        <v>452</v>
      </c>
      <c r="M3" s="1">
        <f>COUNT(B1:H1)</f>
        <v>7</v>
      </c>
    </row>
    <row r="4" spans="1:13" x14ac:dyDescent="0.2">
      <c r="A4" s="5">
        <v>2267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6" t="s">
        <v>5</v>
      </c>
      <c r="L4" t="s">
        <v>453</v>
      </c>
      <c r="M4" s="1">
        <f>PRODUCT(M2:M3)</f>
        <v>3136</v>
      </c>
    </row>
    <row r="5" spans="1:13" x14ac:dyDescent="0.2">
      <c r="A5" s="5">
        <v>2459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6" t="s">
        <v>6</v>
      </c>
    </row>
    <row r="6" spans="1:13" x14ac:dyDescent="0.2">
      <c r="A6" s="5">
        <v>2460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6" t="s">
        <v>7</v>
      </c>
      <c r="L6" t="s">
        <v>455</v>
      </c>
      <c r="M6" s="1">
        <f>SUM(I2:I449)</f>
        <v>205</v>
      </c>
    </row>
    <row r="7" spans="1:13" x14ac:dyDescent="0.2">
      <c r="A7" s="5">
        <v>2549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6" t="s">
        <v>8</v>
      </c>
      <c r="L7" t="s">
        <v>456</v>
      </c>
      <c r="M7" s="2">
        <f>M6/M4</f>
        <v>6.5369897959183673E-2</v>
      </c>
    </row>
    <row r="8" spans="1:13" x14ac:dyDescent="0.2">
      <c r="A8" s="5">
        <v>2743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7</v>
      </c>
      <c r="J8" s="6" t="s">
        <v>9</v>
      </c>
      <c r="L8" t="s">
        <v>457</v>
      </c>
      <c r="M8" s="2">
        <f>1-M7</f>
        <v>0.93463010204081631</v>
      </c>
    </row>
    <row r="9" spans="1:13" x14ac:dyDescent="0.2">
      <c r="A9" s="5">
        <v>2849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6" t="s">
        <v>10</v>
      </c>
    </row>
    <row r="10" spans="1:13" x14ac:dyDescent="0.2">
      <c r="A10" s="5">
        <v>2850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6" t="s">
        <v>11</v>
      </c>
    </row>
    <row r="11" spans="1:13" x14ac:dyDescent="0.2">
      <c r="A11" s="5">
        <v>2880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6" t="s">
        <v>12</v>
      </c>
    </row>
    <row r="12" spans="1:13" x14ac:dyDescent="0.2">
      <c r="A12" s="5">
        <v>2881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6" t="s">
        <v>13</v>
      </c>
    </row>
    <row r="13" spans="1:13" x14ac:dyDescent="0.2">
      <c r="A13" s="5">
        <v>3132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6" t="s">
        <v>14</v>
      </c>
    </row>
    <row r="14" spans="1:13" x14ac:dyDescent="0.2">
      <c r="A14" s="5">
        <v>3137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6" t="s">
        <v>15</v>
      </c>
    </row>
    <row r="15" spans="1:13" x14ac:dyDescent="0.2">
      <c r="A15" s="5">
        <v>3169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6" t="s">
        <v>16</v>
      </c>
    </row>
    <row r="16" spans="1:13" x14ac:dyDescent="0.2">
      <c r="A16" s="5">
        <v>3232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6" t="s">
        <v>17</v>
      </c>
    </row>
    <row r="17" spans="1:10" x14ac:dyDescent="0.2">
      <c r="A17" s="5">
        <v>3233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6" t="s">
        <v>18</v>
      </c>
    </row>
    <row r="18" spans="1:10" x14ac:dyDescent="0.2">
      <c r="A18" s="5">
        <v>3234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6" t="s">
        <v>19</v>
      </c>
    </row>
    <row r="19" spans="1:10" x14ac:dyDescent="0.2">
      <c r="A19" s="5">
        <v>3235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6" t="s">
        <v>20</v>
      </c>
    </row>
    <row r="20" spans="1:10" x14ac:dyDescent="0.2">
      <c r="A20" s="5">
        <v>3242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6" t="s">
        <v>21</v>
      </c>
    </row>
    <row r="21" spans="1:10" x14ac:dyDescent="0.2">
      <c r="A21" s="5">
        <v>3243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6" t="s">
        <v>22</v>
      </c>
    </row>
    <row r="22" spans="1:10" x14ac:dyDescent="0.2">
      <c r="A22" s="5">
        <v>3244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6" t="s">
        <v>23</v>
      </c>
    </row>
    <row r="23" spans="1:10" x14ac:dyDescent="0.2">
      <c r="A23" s="5">
        <v>3245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6" t="s">
        <v>24</v>
      </c>
    </row>
    <row r="24" spans="1:10" x14ac:dyDescent="0.2">
      <c r="A24" s="5">
        <v>3246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6" t="s">
        <v>25</v>
      </c>
    </row>
    <row r="25" spans="1:10" x14ac:dyDescent="0.2">
      <c r="A25" s="5">
        <v>3247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6" t="s">
        <v>26</v>
      </c>
    </row>
    <row r="26" spans="1:10" x14ac:dyDescent="0.2">
      <c r="A26" s="5">
        <v>3284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6" t="s">
        <v>27</v>
      </c>
    </row>
    <row r="27" spans="1:10" x14ac:dyDescent="0.2">
      <c r="A27" s="5">
        <v>3285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6" t="s">
        <v>28</v>
      </c>
    </row>
    <row r="28" spans="1:10" x14ac:dyDescent="0.2">
      <c r="A28" s="5">
        <v>3286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6" t="s">
        <v>29</v>
      </c>
    </row>
    <row r="29" spans="1:10" x14ac:dyDescent="0.2">
      <c r="A29" s="5">
        <v>3293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6" t="s">
        <v>30</v>
      </c>
    </row>
    <row r="30" spans="1:10" x14ac:dyDescent="0.2">
      <c r="A30" s="5">
        <v>3294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6" t="s">
        <v>31</v>
      </c>
    </row>
    <row r="31" spans="1:10" x14ac:dyDescent="0.2">
      <c r="A31" s="5">
        <v>3295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6" t="s">
        <v>32</v>
      </c>
    </row>
    <row r="32" spans="1:10" x14ac:dyDescent="0.2">
      <c r="A32" s="5">
        <v>3299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6" t="s">
        <v>33</v>
      </c>
    </row>
    <row r="33" spans="1:10" x14ac:dyDescent="0.2">
      <c r="A33" s="5">
        <v>3302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6" t="s">
        <v>34</v>
      </c>
    </row>
    <row r="34" spans="1:10" x14ac:dyDescent="0.2">
      <c r="A34" s="5">
        <v>3303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6" t="s">
        <v>35</v>
      </c>
    </row>
    <row r="35" spans="1:10" x14ac:dyDescent="0.2">
      <c r="A35" s="5">
        <v>3304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6" t="s">
        <v>36</v>
      </c>
    </row>
    <row r="36" spans="1:10" x14ac:dyDescent="0.2">
      <c r="A36" s="5">
        <v>3305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6" t="s">
        <v>37</v>
      </c>
    </row>
    <row r="37" spans="1:10" x14ac:dyDescent="0.2">
      <c r="A37" s="5">
        <v>3306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6" t="s">
        <v>38</v>
      </c>
    </row>
    <row r="38" spans="1:10" x14ac:dyDescent="0.2">
      <c r="A38" s="5">
        <v>3307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6" t="s">
        <v>39</v>
      </c>
    </row>
    <row r="39" spans="1:10" x14ac:dyDescent="0.2">
      <c r="A39" s="5">
        <v>3789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6" t="s">
        <v>40</v>
      </c>
    </row>
    <row r="40" spans="1:10" x14ac:dyDescent="0.2">
      <c r="A40" s="5">
        <v>3845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6" t="s">
        <v>41</v>
      </c>
    </row>
    <row r="41" spans="1:10" x14ac:dyDescent="0.2">
      <c r="A41" s="5">
        <v>3904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6" t="s">
        <v>42</v>
      </c>
    </row>
    <row r="42" spans="1:10" x14ac:dyDescent="0.2">
      <c r="A42" s="5">
        <v>3905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6" t="s">
        <v>43</v>
      </c>
    </row>
    <row r="43" spans="1:10" x14ac:dyDescent="0.2">
      <c r="A43" s="5">
        <v>4035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6" t="s">
        <v>44</v>
      </c>
    </row>
    <row r="44" spans="1:10" x14ac:dyDescent="0.2">
      <c r="A44" s="5">
        <v>4036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6" t="s">
        <v>45</v>
      </c>
    </row>
    <row r="45" spans="1:10" x14ac:dyDescent="0.2">
      <c r="A45" s="5">
        <v>4072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6" t="s">
        <v>46</v>
      </c>
    </row>
    <row r="46" spans="1:10" x14ac:dyDescent="0.2">
      <c r="A46" s="5">
        <v>4161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6" t="s">
        <v>47</v>
      </c>
    </row>
    <row r="47" spans="1:10" x14ac:dyDescent="0.2">
      <c r="A47" s="5">
        <v>4204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6" t="s">
        <v>48</v>
      </c>
    </row>
    <row r="48" spans="1:10" x14ac:dyDescent="0.2">
      <c r="A48" s="5">
        <v>4216</v>
      </c>
      <c r="B48" s="5">
        <v>1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7</v>
      </c>
      <c r="J48" s="6" t="s">
        <v>49</v>
      </c>
    </row>
    <row r="49" spans="1:10" x14ac:dyDescent="0.2">
      <c r="A49" s="5">
        <v>4379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6" t="s">
        <v>50</v>
      </c>
    </row>
    <row r="50" spans="1:10" x14ac:dyDescent="0.2">
      <c r="A50" s="5">
        <v>4433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6" t="s">
        <v>51</v>
      </c>
    </row>
    <row r="51" spans="1:10" x14ac:dyDescent="0.2">
      <c r="A51" s="5">
        <v>4434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6" t="s">
        <v>52</v>
      </c>
    </row>
    <row r="52" spans="1:10" x14ac:dyDescent="0.2">
      <c r="A52" s="5">
        <v>8258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6" t="s">
        <v>53</v>
      </c>
    </row>
    <row r="53" spans="1:10" x14ac:dyDescent="0.2">
      <c r="A53" s="5">
        <v>8281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6" t="s">
        <v>54</v>
      </c>
    </row>
    <row r="54" spans="1:10" x14ac:dyDescent="0.2">
      <c r="A54" s="5">
        <v>8283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6" t="s">
        <v>55</v>
      </c>
    </row>
    <row r="55" spans="1:10" x14ac:dyDescent="0.2">
      <c r="A55" s="5">
        <v>8285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6" t="s">
        <v>56</v>
      </c>
    </row>
    <row r="56" spans="1:10" x14ac:dyDescent="0.2">
      <c r="A56" s="5">
        <v>8294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6" t="s">
        <v>57</v>
      </c>
    </row>
    <row r="57" spans="1:10" x14ac:dyDescent="0.2">
      <c r="A57" s="5">
        <v>8298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6" t="s">
        <v>58</v>
      </c>
    </row>
    <row r="58" spans="1:10" x14ac:dyDescent="0.2">
      <c r="A58" s="5">
        <v>8302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6" t="s">
        <v>59</v>
      </c>
    </row>
    <row r="59" spans="1:10" x14ac:dyDescent="0.2">
      <c r="A59" s="5">
        <v>8308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6" t="s">
        <v>60</v>
      </c>
    </row>
    <row r="60" spans="1:10" x14ac:dyDescent="0.2">
      <c r="A60" s="5">
        <v>8309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6" t="s">
        <v>61</v>
      </c>
    </row>
    <row r="61" spans="1:10" x14ac:dyDescent="0.2">
      <c r="A61" s="5">
        <v>8313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6" t="s">
        <v>62</v>
      </c>
    </row>
    <row r="62" spans="1:10" x14ac:dyDescent="0.2">
      <c r="A62" s="5">
        <v>8315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6" t="s">
        <v>63</v>
      </c>
    </row>
    <row r="63" spans="1:10" x14ac:dyDescent="0.2">
      <c r="A63" s="5">
        <v>8327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6" t="s">
        <v>64</v>
      </c>
    </row>
    <row r="64" spans="1:10" x14ac:dyDescent="0.2">
      <c r="A64" s="5">
        <v>8355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6" t="s">
        <v>65</v>
      </c>
    </row>
    <row r="65" spans="1:10" x14ac:dyDescent="0.2">
      <c r="A65" s="5">
        <v>8366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6" t="s">
        <v>66</v>
      </c>
    </row>
    <row r="66" spans="1:10" x14ac:dyDescent="0.2">
      <c r="A66" s="5">
        <v>8375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6" t="s">
        <v>67</v>
      </c>
    </row>
    <row r="67" spans="1:10" x14ac:dyDescent="0.2">
      <c r="A67" s="5">
        <v>8381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6" t="s">
        <v>68</v>
      </c>
    </row>
    <row r="68" spans="1:10" x14ac:dyDescent="0.2">
      <c r="A68" s="5">
        <v>8390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6" t="s">
        <v>69</v>
      </c>
    </row>
    <row r="69" spans="1:10" x14ac:dyDescent="0.2">
      <c r="A69" s="5">
        <v>8392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6" t="s">
        <v>70</v>
      </c>
    </row>
    <row r="70" spans="1:10" x14ac:dyDescent="0.2">
      <c r="A70" s="5">
        <v>8395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6" t="s">
        <v>71</v>
      </c>
    </row>
    <row r="71" spans="1:10" x14ac:dyDescent="0.2">
      <c r="A71" s="5">
        <v>8396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6" t="s">
        <v>72</v>
      </c>
    </row>
    <row r="72" spans="1:10" x14ac:dyDescent="0.2">
      <c r="A72" s="5">
        <v>8409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6" t="s">
        <v>73</v>
      </c>
    </row>
    <row r="73" spans="1:10" x14ac:dyDescent="0.2">
      <c r="A73" s="5">
        <v>8420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6" t="s">
        <v>74</v>
      </c>
    </row>
    <row r="74" spans="1:10" x14ac:dyDescent="0.2">
      <c r="A74" s="5">
        <v>8421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6" t="s">
        <v>75</v>
      </c>
    </row>
    <row r="75" spans="1:10" x14ac:dyDescent="0.2">
      <c r="A75" s="5">
        <v>8424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6" t="s">
        <v>76</v>
      </c>
    </row>
    <row r="76" spans="1:10" x14ac:dyDescent="0.2">
      <c r="A76" s="5">
        <v>8428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6" t="s">
        <v>77</v>
      </c>
    </row>
    <row r="77" spans="1:10" x14ac:dyDescent="0.2">
      <c r="A77" s="5">
        <v>8434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6" t="s">
        <v>78</v>
      </c>
    </row>
    <row r="78" spans="1:10" x14ac:dyDescent="0.2">
      <c r="A78" s="5">
        <v>8441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6" t="s">
        <v>79</v>
      </c>
    </row>
    <row r="79" spans="1:10" x14ac:dyDescent="0.2">
      <c r="A79" s="5">
        <v>8449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6" t="s">
        <v>80</v>
      </c>
    </row>
    <row r="80" spans="1:10" x14ac:dyDescent="0.2">
      <c r="A80" s="5">
        <v>8456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6" t="s">
        <v>81</v>
      </c>
    </row>
    <row r="81" spans="1:10" x14ac:dyDescent="0.2">
      <c r="A81" s="5">
        <v>8459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6" t="s">
        <v>82</v>
      </c>
    </row>
    <row r="82" spans="1:10" x14ac:dyDescent="0.2">
      <c r="A82" s="5">
        <v>8466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6" t="s">
        <v>83</v>
      </c>
    </row>
    <row r="83" spans="1:10" x14ac:dyDescent="0.2">
      <c r="A83" s="5">
        <v>8469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6" t="s">
        <v>84</v>
      </c>
    </row>
    <row r="84" spans="1:10" x14ac:dyDescent="0.2">
      <c r="A84" s="5">
        <v>8475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6" t="s">
        <v>85</v>
      </c>
    </row>
    <row r="85" spans="1:10" x14ac:dyDescent="0.2">
      <c r="A85" s="5">
        <v>8486</v>
      </c>
      <c r="B85" s="5">
        <v>0</v>
      </c>
      <c r="C85" s="5">
        <v>1</v>
      </c>
      <c r="D85" s="5">
        <v>1</v>
      </c>
      <c r="E85" s="5">
        <v>1</v>
      </c>
      <c r="F85" s="5">
        <v>0</v>
      </c>
      <c r="G85" s="5">
        <v>0</v>
      </c>
      <c r="H85" s="5">
        <v>0</v>
      </c>
      <c r="I85" s="5">
        <v>3</v>
      </c>
      <c r="J85" s="6" t="s">
        <v>86</v>
      </c>
    </row>
    <row r="86" spans="1:10" x14ac:dyDescent="0.2">
      <c r="A86" s="5">
        <v>8489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6" t="s">
        <v>87</v>
      </c>
    </row>
    <row r="87" spans="1:10" x14ac:dyDescent="0.2">
      <c r="A87" s="5">
        <v>8491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6" t="s">
        <v>88</v>
      </c>
    </row>
    <row r="88" spans="1:10" x14ac:dyDescent="0.2">
      <c r="A88" s="5">
        <v>8492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6" t="s">
        <v>89</v>
      </c>
    </row>
    <row r="89" spans="1:10" x14ac:dyDescent="0.2">
      <c r="A89" s="5">
        <v>8495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6" t="s">
        <v>90</v>
      </c>
    </row>
    <row r="90" spans="1:10" x14ac:dyDescent="0.2">
      <c r="A90" s="5">
        <v>8496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6" t="s">
        <v>91</v>
      </c>
    </row>
    <row r="91" spans="1:10" x14ac:dyDescent="0.2">
      <c r="A91" s="5">
        <v>8497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6" t="s">
        <v>92</v>
      </c>
    </row>
    <row r="92" spans="1:10" x14ac:dyDescent="0.2">
      <c r="A92" s="5">
        <v>8498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6" t="s">
        <v>93</v>
      </c>
    </row>
    <row r="93" spans="1:10" x14ac:dyDescent="0.2">
      <c r="A93" s="5">
        <v>8501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6" t="s">
        <v>94</v>
      </c>
    </row>
    <row r="94" spans="1:10" x14ac:dyDescent="0.2">
      <c r="A94" s="5">
        <v>8504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6" t="s">
        <v>95</v>
      </c>
    </row>
    <row r="95" spans="1:10" x14ac:dyDescent="0.2">
      <c r="A95" s="5">
        <v>8505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6" t="s">
        <v>96</v>
      </c>
    </row>
    <row r="96" spans="1:10" x14ac:dyDescent="0.2">
      <c r="A96" s="5">
        <v>8507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6" t="s">
        <v>97</v>
      </c>
    </row>
    <row r="97" spans="1:10" x14ac:dyDescent="0.2">
      <c r="A97" s="5">
        <v>8508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6" t="s">
        <v>98</v>
      </c>
    </row>
    <row r="98" spans="1:10" x14ac:dyDescent="0.2">
      <c r="A98" s="5">
        <v>8514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6" t="s">
        <v>99</v>
      </c>
    </row>
    <row r="99" spans="1:10" x14ac:dyDescent="0.2">
      <c r="A99" s="5">
        <v>8518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6" t="s">
        <v>100</v>
      </c>
    </row>
    <row r="100" spans="1:10" x14ac:dyDescent="0.2">
      <c r="A100" s="5">
        <v>8520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6" t="s">
        <v>101</v>
      </c>
    </row>
    <row r="101" spans="1:10" x14ac:dyDescent="0.2">
      <c r="A101" s="5">
        <v>8529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6" t="s">
        <v>102</v>
      </c>
    </row>
    <row r="102" spans="1:10" x14ac:dyDescent="0.2">
      <c r="A102" s="5">
        <v>8530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6" t="s">
        <v>103</v>
      </c>
    </row>
    <row r="103" spans="1:10" x14ac:dyDescent="0.2">
      <c r="A103" s="5">
        <v>8535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6" t="s">
        <v>104</v>
      </c>
    </row>
    <row r="104" spans="1:10" x14ac:dyDescent="0.2">
      <c r="A104" s="5">
        <v>8538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6" t="s">
        <v>105</v>
      </c>
    </row>
    <row r="105" spans="1:10" x14ac:dyDescent="0.2">
      <c r="A105" s="5">
        <v>8542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6" t="s">
        <v>106</v>
      </c>
    </row>
    <row r="106" spans="1:10" x14ac:dyDescent="0.2">
      <c r="A106" s="5">
        <v>8545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6" t="s">
        <v>107</v>
      </c>
    </row>
    <row r="107" spans="1:10" x14ac:dyDescent="0.2">
      <c r="A107" s="5">
        <v>8549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6" t="s">
        <v>108</v>
      </c>
    </row>
    <row r="108" spans="1:10" x14ac:dyDescent="0.2">
      <c r="A108" s="5">
        <v>8555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6" t="s">
        <v>109</v>
      </c>
    </row>
    <row r="109" spans="1:10" x14ac:dyDescent="0.2">
      <c r="A109" s="5">
        <v>8556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6" t="s">
        <v>110</v>
      </c>
    </row>
    <row r="110" spans="1:10" x14ac:dyDescent="0.2">
      <c r="A110" s="5">
        <v>8560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6" t="s">
        <v>111</v>
      </c>
    </row>
    <row r="111" spans="1:10" x14ac:dyDescent="0.2">
      <c r="A111" s="5">
        <v>8570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6" t="s">
        <v>112</v>
      </c>
    </row>
    <row r="112" spans="1:10" x14ac:dyDescent="0.2">
      <c r="A112" s="5">
        <v>8571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6" t="s">
        <v>113</v>
      </c>
    </row>
    <row r="113" spans="1:10" x14ac:dyDescent="0.2">
      <c r="A113" s="5">
        <v>8575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6" t="s">
        <v>114</v>
      </c>
    </row>
    <row r="114" spans="1:10" x14ac:dyDescent="0.2">
      <c r="A114" s="5">
        <v>8577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6" t="s">
        <v>115</v>
      </c>
    </row>
    <row r="115" spans="1:10" x14ac:dyDescent="0.2">
      <c r="A115" s="5">
        <v>8583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6" t="s">
        <v>116</v>
      </c>
    </row>
    <row r="116" spans="1:10" x14ac:dyDescent="0.2">
      <c r="A116" s="5">
        <v>8589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6" t="s">
        <v>117</v>
      </c>
    </row>
    <row r="117" spans="1:10" x14ac:dyDescent="0.2">
      <c r="A117" s="5">
        <v>8590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6" t="s">
        <v>118</v>
      </c>
    </row>
    <row r="118" spans="1:10" x14ac:dyDescent="0.2">
      <c r="A118" s="5">
        <v>8595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6" t="s">
        <v>119</v>
      </c>
    </row>
    <row r="119" spans="1:10" x14ac:dyDescent="0.2">
      <c r="A119" s="5">
        <v>8596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6" t="s">
        <v>120</v>
      </c>
    </row>
    <row r="120" spans="1:10" x14ac:dyDescent="0.2">
      <c r="A120" s="5">
        <v>8597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6" t="s">
        <v>121</v>
      </c>
    </row>
    <row r="121" spans="1:10" x14ac:dyDescent="0.2">
      <c r="A121" s="5">
        <v>8601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6" t="s">
        <v>122</v>
      </c>
    </row>
    <row r="122" spans="1:10" x14ac:dyDescent="0.2">
      <c r="A122" s="5">
        <v>8602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6" t="s">
        <v>123</v>
      </c>
    </row>
    <row r="123" spans="1:10" x14ac:dyDescent="0.2">
      <c r="A123" s="5">
        <v>8606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6" t="s">
        <v>124</v>
      </c>
    </row>
    <row r="124" spans="1:10" x14ac:dyDescent="0.2">
      <c r="A124" s="5">
        <v>8607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6" t="s">
        <v>125</v>
      </c>
    </row>
    <row r="125" spans="1:10" x14ac:dyDescent="0.2">
      <c r="A125" s="5">
        <v>8608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6" t="s">
        <v>126</v>
      </c>
    </row>
    <row r="126" spans="1:10" x14ac:dyDescent="0.2">
      <c r="A126" s="5">
        <v>8609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6" t="s">
        <v>127</v>
      </c>
    </row>
    <row r="127" spans="1:10" x14ac:dyDescent="0.2">
      <c r="A127" s="5">
        <v>8610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6" t="s">
        <v>128</v>
      </c>
    </row>
    <row r="128" spans="1:10" x14ac:dyDescent="0.2">
      <c r="A128" s="5">
        <v>8611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6" t="s">
        <v>129</v>
      </c>
    </row>
    <row r="129" spans="1:10" x14ac:dyDescent="0.2">
      <c r="A129" s="5">
        <v>8612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6" t="s">
        <v>130</v>
      </c>
    </row>
    <row r="130" spans="1:10" x14ac:dyDescent="0.2">
      <c r="A130" s="5">
        <v>8615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6" t="s">
        <v>131</v>
      </c>
    </row>
    <row r="131" spans="1:10" x14ac:dyDescent="0.2">
      <c r="A131" s="5">
        <v>8616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6" t="s">
        <v>132</v>
      </c>
    </row>
    <row r="132" spans="1:10" x14ac:dyDescent="0.2">
      <c r="A132" s="5">
        <v>8617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6" t="s">
        <v>133</v>
      </c>
    </row>
    <row r="133" spans="1:10" x14ac:dyDescent="0.2">
      <c r="A133" s="5">
        <v>8618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6" t="s">
        <v>134</v>
      </c>
    </row>
    <row r="134" spans="1:10" x14ac:dyDescent="0.2">
      <c r="A134" s="5">
        <v>8620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6" t="s">
        <v>135</v>
      </c>
    </row>
    <row r="135" spans="1:10" x14ac:dyDescent="0.2">
      <c r="A135" s="5">
        <v>8621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6" t="s">
        <v>136</v>
      </c>
    </row>
    <row r="136" spans="1:10" x14ac:dyDescent="0.2">
      <c r="A136" s="5">
        <v>8622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6" t="s">
        <v>137</v>
      </c>
    </row>
    <row r="137" spans="1:10" x14ac:dyDescent="0.2">
      <c r="A137" s="5">
        <v>8623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6" t="s">
        <v>138</v>
      </c>
    </row>
    <row r="138" spans="1:10" x14ac:dyDescent="0.2">
      <c r="A138" s="5">
        <v>8626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6" t="s">
        <v>139</v>
      </c>
    </row>
    <row r="139" spans="1:10" x14ac:dyDescent="0.2">
      <c r="A139" s="5">
        <v>8632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6" t="s">
        <v>140</v>
      </c>
    </row>
    <row r="140" spans="1:10" x14ac:dyDescent="0.2">
      <c r="A140" s="5">
        <v>8635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6" t="s">
        <v>141</v>
      </c>
    </row>
    <row r="141" spans="1:10" x14ac:dyDescent="0.2">
      <c r="A141" s="5">
        <v>8637</v>
      </c>
      <c r="B141" s="5">
        <v>1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7</v>
      </c>
      <c r="J141" s="6" t="s">
        <v>142</v>
      </c>
    </row>
    <row r="142" spans="1:10" x14ac:dyDescent="0.2">
      <c r="A142" s="5">
        <v>8639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6" t="s">
        <v>143</v>
      </c>
    </row>
    <row r="143" spans="1:10" x14ac:dyDescent="0.2">
      <c r="A143" s="5">
        <v>8640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6" t="s">
        <v>144</v>
      </c>
    </row>
    <row r="144" spans="1:10" x14ac:dyDescent="0.2">
      <c r="A144" s="5">
        <v>8642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6" t="s">
        <v>145</v>
      </c>
    </row>
    <row r="145" spans="1:10" x14ac:dyDescent="0.2">
      <c r="A145" s="5">
        <v>8643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6" t="s">
        <v>146</v>
      </c>
    </row>
    <row r="146" spans="1:10" x14ac:dyDescent="0.2">
      <c r="A146" s="5">
        <v>8644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6" t="s">
        <v>147</v>
      </c>
    </row>
    <row r="147" spans="1:10" x14ac:dyDescent="0.2">
      <c r="A147" s="5">
        <v>8648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6" t="s">
        <v>148</v>
      </c>
    </row>
    <row r="148" spans="1:10" x14ac:dyDescent="0.2">
      <c r="A148" s="5">
        <v>8650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6" t="s">
        <v>149</v>
      </c>
    </row>
    <row r="149" spans="1:10" x14ac:dyDescent="0.2">
      <c r="A149" s="5">
        <v>8654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6" t="s">
        <v>150</v>
      </c>
    </row>
    <row r="150" spans="1:10" x14ac:dyDescent="0.2">
      <c r="A150" s="5">
        <v>8657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6" t="s">
        <v>151</v>
      </c>
    </row>
    <row r="151" spans="1:10" x14ac:dyDescent="0.2">
      <c r="A151" s="5">
        <v>8658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6" t="s">
        <v>152</v>
      </c>
    </row>
    <row r="152" spans="1:10" x14ac:dyDescent="0.2">
      <c r="A152" s="5">
        <v>8659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6" t="s">
        <v>153</v>
      </c>
    </row>
    <row r="153" spans="1:10" x14ac:dyDescent="0.2">
      <c r="A153" s="5">
        <v>8662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6" t="s">
        <v>154</v>
      </c>
    </row>
    <row r="154" spans="1:10" x14ac:dyDescent="0.2">
      <c r="A154" s="5">
        <v>8665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6" t="s">
        <v>155</v>
      </c>
    </row>
    <row r="155" spans="1:10" x14ac:dyDescent="0.2">
      <c r="A155" s="5">
        <v>8666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6" t="s">
        <v>156</v>
      </c>
    </row>
    <row r="156" spans="1:10" x14ac:dyDescent="0.2">
      <c r="A156" s="5">
        <v>8670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6" t="s">
        <v>157</v>
      </c>
    </row>
    <row r="157" spans="1:10" x14ac:dyDescent="0.2">
      <c r="A157" s="5">
        <v>8673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6" t="s">
        <v>158</v>
      </c>
    </row>
    <row r="158" spans="1:10" x14ac:dyDescent="0.2">
      <c r="A158" s="5">
        <v>8683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6" t="s">
        <v>159</v>
      </c>
    </row>
    <row r="159" spans="1:10" x14ac:dyDescent="0.2">
      <c r="A159" s="5">
        <v>8688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6" t="s">
        <v>160</v>
      </c>
    </row>
    <row r="160" spans="1:10" x14ac:dyDescent="0.2">
      <c r="A160" s="5">
        <v>8689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6" t="s">
        <v>161</v>
      </c>
    </row>
    <row r="161" spans="1:10" x14ac:dyDescent="0.2">
      <c r="A161" s="5">
        <v>8692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6" t="s">
        <v>162</v>
      </c>
    </row>
    <row r="162" spans="1:10" x14ac:dyDescent="0.2">
      <c r="A162" s="5">
        <v>8693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6" t="s">
        <v>163</v>
      </c>
    </row>
    <row r="163" spans="1:10" x14ac:dyDescent="0.2">
      <c r="A163" s="5">
        <v>8713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6" t="s">
        <v>164</v>
      </c>
    </row>
    <row r="164" spans="1:10" x14ac:dyDescent="0.2">
      <c r="A164" s="5">
        <v>8715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6" t="s">
        <v>165</v>
      </c>
    </row>
    <row r="165" spans="1:10" x14ac:dyDescent="0.2">
      <c r="A165" s="5">
        <v>8716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6" t="s">
        <v>166</v>
      </c>
    </row>
    <row r="166" spans="1:10" x14ac:dyDescent="0.2">
      <c r="A166" s="5">
        <v>8719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6" t="s">
        <v>167</v>
      </c>
    </row>
    <row r="167" spans="1:10" x14ac:dyDescent="0.2">
      <c r="A167" s="5">
        <v>8721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6" t="s">
        <v>168</v>
      </c>
    </row>
    <row r="168" spans="1:10" x14ac:dyDescent="0.2">
      <c r="A168" s="5">
        <v>8726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6" t="s">
        <v>169</v>
      </c>
    </row>
    <row r="169" spans="1:10" x14ac:dyDescent="0.2">
      <c r="A169" s="5">
        <v>8745</v>
      </c>
      <c r="B169" s="5">
        <v>1</v>
      </c>
      <c r="C169" s="5">
        <v>1</v>
      </c>
      <c r="D169" s="5">
        <v>1</v>
      </c>
      <c r="E169" s="5">
        <v>1</v>
      </c>
      <c r="F169" s="5">
        <v>1</v>
      </c>
      <c r="G169" s="5">
        <v>1</v>
      </c>
      <c r="H169" s="5">
        <v>1</v>
      </c>
      <c r="I169" s="5">
        <v>7</v>
      </c>
      <c r="J169" s="6" t="s">
        <v>170</v>
      </c>
    </row>
    <row r="170" spans="1:10" x14ac:dyDescent="0.2">
      <c r="A170" s="5">
        <v>8746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6" t="s">
        <v>171</v>
      </c>
    </row>
    <row r="171" spans="1:10" x14ac:dyDescent="0.2">
      <c r="A171" s="5">
        <v>8747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6" t="s">
        <v>172</v>
      </c>
    </row>
    <row r="172" spans="1:10" x14ac:dyDescent="0.2">
      <c r="A172" s="5">
        <v>8749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6" t="s">
        <v>173</v>
      </c>
    </row>
    <row r="173" spans="1:10" x14ac:dyDescent="0.2">
      <c r="A173" s="5">
        <v>8752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6" t="s">
        <v>174</v>
      </c>
    </row>
    <row r="174" spans="1:10" x14ac:dyDescent="0.2">
      <c r="A174" s="5">
        <v>8753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6" t="s">
        <v>175</v>
      </c>
    </row>
    <row r="175" spans="1:10" x14ac:dyDescent="0.2">
      <c r="A175" s="5">
        <v>8754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6" t="s">
        <v>176</v>
      </c>
    </row>
    <row r="176" spans="1:10" x14ac:dyDescent="0.2">
      <c r="A176" s="5">
        <v>8760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6" t="s">
        <v>177</v>
      </c>
    </row>
    <row r="177" spans="1:10" x14ac:dyDescent="0.2">
      <c r="A177" s="5">
        <v>8817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6" t="s">
        <v>178</v>
      </c>
    </row>
    <row r="178" spans="1:10" x14ac:dyDescent="0.2">
      <c r="A178" s="5">
        <v>8827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6" t="s">
        <v>179</v>
      </c>
    </row>
    <row r="179" spans="1:10" x14ac:dyDescent="0.2">
      <c r="A179" s="5">
        <v>8830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6" t="s">
        <v>180</v>
      </c>
    </row>
    <row r="180" spans="1:10" x14ac:dyDescent="0.2">
      <c r="A180" s="5">
        <v>8834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6" t="s">
        <v>181</v>
      </c>
    </row>
    <row r="181" spans="1:10" x14ac:dyDescent="0.2">
      <c r="A181" s="5">
        <v>8835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6" t="s">
        <v>182</v>
      </c>
    </row>
    <row r="182" spans="1:10" x14ac:dyDescent="0.2">
      <c r="A182" s="5">
        <v>8847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6" t="s">
        <v>183</v>
      </c>
    </row>
    <row r="183" spans="1:10" x14ac:dyDescent="0.2">
      <c r="A183" s="5">
        <v>8848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6" t="s">
        <v>184</v>
      </c>
    </row>
    <row r="184" spans="1:10" x14ac:dyDescent="0.2">
      <c r="A184" s="5">
        <v>8852</v>
      </c>
      <c r="B184" s="5">
        <v>1</v>
      </c>
      <c r="C184" s="5">
        <v>1</v>
      </c>
      <c r="D184" s="5">
        <v>1</v>
      </c>
      <c r="E184" s="5">
        <v>1</v>
      </c>
      <c r="F184" s="5">
        <v>1</v>
      </c>
      <c r="G184" s="5">
        <v>1</v>
      </c>
      <c r="H184" s="5">
        <v>1</v>
      </c>
      <c r="I184" s="5">
        <v>7</v>
      </c>
      <c r="J184" s="6" t="s">
        <v>185</v>
      </c>
    </row>
    <row r="185" spans="1:10" x14ac:dyDescent="0.2">
      <c r="A185" s="5">
        <v>8853</v>
      </c>
      <c r="B185" s="5">
        <v>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</v>
      </c>
      <c r="J185" s="6" t="s">
        <v>186</v>
      </c>
    </row>
    <row r="186" spans="1:10" x14ac:dyDescent="0.2">
      <c r="A186" s="5">
        <v>8857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6" t="s">
        <v>187</v>
      </c>
    </row>
    <row r="187" spans="1:10" x14ac:dyDescent="0.2">
      <c r="A187" s="5">
        <v>8858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6" t="s">
        <v>188</v>
      </c>
    </row>
    <row r="188" spans="1:10" x14ac:dyDescent="0.2">
      <c r="A188" s="5">
        <v>8859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6" t="s">
        <v>189</v>
      </c>
    </row>
    <row r="189" spans="1:10" x14ac:dyDescent="0.2">
      <c r="A189" s="5">
        <v>8860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6" t="s">
        <v>190</v>
      </c>
    </row>
    <row r="190" spans="1:10" x14ac:dyDescent="0.2">
      <c r="A190" s="5">
        <v>8861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6" t="s">
        <v>191</v>
      </c>
    </row>
    <row r="191" spans="1:10" x14ac:dyDescent="0.2">
      <c r="A191" s="5">
        <v>8868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6" t="s">
        <v>192</v>
      </c>
    </row>
    <row r="192" spans="1:10" x14ac:dyDescent="0.2">
      <c r="A192" s="5">
        <v>8870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6" t="s">
        <v>193</v>
      </c>
    </row>
    <row r="193" spans="1:10" x14ac:dyDescent="0.2">
      <c r="A193" s="5">
        <v>8871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6" t="s">
        <v>194</v>
      </c>
    </row>
    <row r="194" spans="1:10" x14ac:dyDescent="0.2">
      <c r="A194" s="5">
        <v>8872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6" t="s">
        <v>195</v>
      </c>
    </row>
    <row r="195" spans="1:10" x14ac:dyDescent="0.2">
      <c r="A195" s="5">
        <v>8894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6" t="s">
        <v>196</v>
      </c>
    </row>
    <row r="196" spans="1:10" x14ac:dyDescent="0.2">
      <c r="A196" s="5">
        <v>8896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6" t="s">
        <v>197</v>
      </c>
    </row>
    <row r="197" spans="1:10" x14ac:dyDescent="0.2">
      <c r="A197" s="5">
        <v>8906</v>
      </c>
      <c r="B197" s="5">
        <v>1</v>
      </c>
      <c r="C197" s="5">
        <v>1</v>
      </c>
      <c r="D197" s="5">
        <v>1</v>
      </c>
      <c r="E197" s="5">
        <v>1</v>
      </c>
      <c r="F197" s="5">
        <v>1</v>
      </c>
      <c r="G197" s="5">
        <v>1</v>
      </c>
      <c r="H197" s="5">
        <v>1</v>
      </c>
      <c r="I197" s="5">
        <v>7</v>
      </c>
      <c r="J197" s="6" t="s">
        <v>198</v>
      </c>
    </row>
    <row r="198" spans="1:10" x14ac:dyDescent="0.2">
      <c r="A198" s="5">
        <v>8907</v>
      </c>
      <c r="B198" s="5">
        <v>1</v>
      </c>
      <c r="C198" s="5">
        <v>1</v>
      </c>
      <c r="D198" s="5">
        <v>1</v>
      </c>
      <c r="E198" s="5">
        <v>1</v>
      </c>
      <c r="F198" s="5">
        <v>1</v>
      </c>
      <c r="G198" s="5">
        <v>1</v>
      </c>
      <c r="H198" s="5">
        <v>1</v>
      </c>
      <c r="I198" s="5">
        <v>7</v>
      </c>
      <c r="J198" s="6" t="s">
        <v>199</v>
      </c>
    </row>
    <row r="199" spans="1:10" x14ac:dyDescent="0.2">
      <c r="A199" s="5">
        <v>8909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6" t="s">
        <v>200</v>
      </c>
    </row>
    <row r="200" spans="1:10" x14ac:dyDescent="0.2">
      <c r="A200" s="5">
        <v>8911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6" t="s">
        <v>201</v>
      </c>
    </row>
    <row r="201" spans="1:10" x14ac:dyDescent="0.2">
      <c r="A201" s="5">
        <v>8913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6" t="s">
        <v>202</v>
      </c>
    </row>
    <row r="202" spans="1:10" x14ac:dyDescent="0.2">
      <c r="A202" s="5">
        <v>8916</v>
      </c>
      <c r="B202" s="5">
        <v>1</v>
      </c>
      <c r="C202" s="5">
        <v>1</v>
      </c>
      <c r="D202" s="5">
        <v>1</v>
      </c>
      <c r="E202" s="5">
        <v>1</v>
      </c>
      <c r="F202" s="5">
        <v>1</v>
      </c>
      <c r="G202" s="5">
        <v>1</v>
      </c>
      <c r="H202" s="5">
        <v>1</v>
      </c>
      <c r="I202" s="5">
        <v>7</v>
      </c>
      <c r="J202" s="6" t="s">
        <v>203</v>
      </c>
    </row>
    <row r="203" spans="1:10" x14ac:dyDescent="0.2">
      <c r="A203" s="5">
        <v>8917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6" t="s">
        <v>204</v>
      </c>
    </row>
    <row r="204" spans="1:10" x14ac:dyDescent="0.2">
      <c r="A204" s="5">
        <v>8918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6" t="s">
        <v>205</v>
      </c>
    </row>
    <row r="205" spans="1:10" x14ac:dyDescent="0.2">
      <c r="A205" s="5">
        <v>8919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6" t="s">
        <v>206</v>
      </c>
    </row>
    <row r="206" spans="1:10" x14ac:dyDescent="0.2">
      <c r="A206" s="5">
        <v>8920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6" t="s">
        <v>207</v>
      </c>
    </row>
    <row r="207" spans="1:10" x14ac:dyDescent="0.2">
      <c r="A207" s="5">
        <v>8932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6" t="s">
        <v>208</v>
      </c>
    </row>
    <row r="208" spans="1:10" x14ac:dyDescent="0.2">
      <c r="A208" s="5">
        <v>8933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6" t="s">
        <v>209</v>
      </c>
    </row>
    <row r="209" spans="1:10" x14ac:dyDescent="0.2">
      <c r="A209" s="5">
        <v>8934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6" t="s">
        <v>210</v>
      </c>
    </row>
    <row r="210" spans="1:10" x14ac:dyDescent="0.2">
      <c r="A210" s="5">
        <v>8935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6" t="s">
        <v>211</v>
      </c>
    </row>
    <row r="211" spans="1:10" x14ac:dyDescent="0.2">
      <c r="A211" s="5">
        <v>8938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6" t="s">
        <v>212</v>
      </c>
    </row>
    <row r="212" spans="1:10" x14ac:dyDescent="0.2">
      <c r="A212" s="5">
        <v>8942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6" t="s">
        <v>213</v>
      </c>
    </row>
    <row r="213" spans="1:10" x14ac:dyDescent="0.2">
      <c r="A213" s="5">
        <v>8943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6" t="s">
        <v>214</v>
      </c>
    </row>
    <row r="214" spans="1:10" x14ac:dyDescent="0.2">
      <c r="A214" s="5">
        <v>8952</v>
      </c>
      <c r="B214" s="5">
        <v>1</v>
      </c>
      <c r="C214" s="5">
        <v>1</v>
      </c>
      <c r="D214" s="5">
        <v>1</v>
      </c>
      <c r="E214" s="5">
        <v>1</v>
      </c>
      <c r="F214" s="5">
        <v>1</v>
      </c>
      <c r="G214" s="5">
        <v>1</v>
      </c>
      <c r="H214" s="5">
        <v>1</v>
      </c>
      <c r="I214" s="5">
        <v>7</v>
      </c>
      <c r="J214" s="6" t="s">
        <v>215</v>
      </c>
    </row>
    <row r="215" spans="1:10" x14ac:dyDescent="0.2">
      <c r="A215" s="5">
        <v>8963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6" t="s">
        <v>216</v>
      </c>
    </row>
    <row r="216" spans="1:10" x14ac:dyDescent="0.2">
      <c r="A216" s="5">
        <v>8964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6" t="s">
        <v>217</v>
      </c>
    </row>
    <row r="217" spans="1:10" x14ac:dyDescent="0.2">
      <c r="A217" s="5">
        <v>8965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6" t="s">
        <v>218</v>
      </c>
    </row>
    <row r="218" spans="1:10" x14ac:dyDescent="0.2">
      <c r="A218" s="5">
        <v>8966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6" t="s">
        <v>219</v>
      </c>
    </row>
    <row r="219" spans="1:10" x14ac:dyDescent="0.2">
      <c r="A219" s="5">
        <v>8967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6" t="s">
        <v>220</v>
      </c>
    </row>
    <row r="220" spans="1:10" x14ac:dyDescent="0.2">
      <c r="A220" s="5">
        <v>8968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6" t="s">
        <v>221</v>
      </c>
    </row>
    <row r="221" spans="1:10" x14ac:dyDescent="0.2">
      <c r="A221" s="5">
        <v>8969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6" t="s">
        <v>222</v>
      </c>
    </row>
    <row r="222" spans="1:10" x14ac:dyDescent="0.2">
      <c r="A222" s="5">
        <v>8970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6" t="s">
        <v>223</v>
      </c>
    </row>
    <row r="223" spans="1:10" x14ac:dyDescent="0.2">
      <c r="A223" s="5">
        <v>8971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6" t="s">
        <v>224</v>
      </c>
    </row>
    <row r="224" spans="1:10" x14ac:dyDescent="0.2">
      <c r="A224" s="5">
        <v>8972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6" t="s">
        <v>225</v>
      </c>
    </row>
    <row r="225" spans="1:10" x14ac:dyDescent="0.2">
      <c r="A225" s="5">
        <v>8973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6" t="s">
        <v>226</v>
      </c>
    </row>
    <row r="226" spans="1:10" x14ac:dyDescent="0.2">
      <c r="A226" s="5">
        <v>8978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6" t="s">
        <v>227</v>
      </c>
    </row>
    <row r="227" spans="1:10" x14ac:dyDescent="0.2">
      <c r="A227" s="5">
        <v>8979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6" t="s">
        <v>228</v>
      </c>
    </row>
    <row r="228" spans="1:10" x14ac:dyDescent="0.2">
      <c r="A228" s="5">
        <v>8980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6" t="s">
        <v>229</v>
      </c>
    </row>
    <row r="229" spans="1:10" x14ac:dyDescent="0.2">
      <c r="A229" s="5">
        <v>8981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6" t="s">
        <v>230</v>
      </c>
    </row>
    <row r="230" spans="1:10" x14ac:dyDescent="0.2">
      <c r="A230" s="5">
        <v>8982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6" t="s">
        <v>231</v>
      </c>
    </row>
    <row r="231" spans="1:10" x14ac:dyDescent="0.2">
      <c r="A231" s="5">
        <v>8983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6" t="s">
        <v>232</v>
      </c>
    </row>
    <row r="232" spans="1:10" x14ac:dyDescent="0.2">
      <c r="A232" s="5">
        <v>8987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6" t="s">
        <v>233</v>
      </c>
    </row>
    <row r="233" spans="1:10" x14ac:dyDescent="0.2">
      <c r="A233" s="5">
        <v>8988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6" t="s">
        <v>234</v>
      </c>
    </row>
    <row r="234" spans="1:10" x14ac:dyDescent="0.2">
      <c r="A234" s="5">
        <v>8989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6" t="s">
        <v>235</v>
      </c>
    </row>
    <row r="235" spans="1:10" x14ac:dyDescent="0.2">
      <c r="A235" s="5">
        <v>8990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6" t="s">
        <v>236</v>
      </c>
    </row>
    <row r="236" spans="1:10" x14ac:dyDescent="0.2">
      <c r="A236" s="5">
        <v>8991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6" t="s">
        <v>237</v>
      </c>
    </row>
    <row r="237" spans="1:10" x14ac:dyDescent="0.2">
      <c r="A237" s="5">
        <v>8992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6" t="s">
        <v>238</v>
      </c>
    </row>
    <row r="238" spans="1:10" x14ac:dyDescent="0.2">
      <c r="A238" s="5">
        <v>8995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6" t="s">
        <v>239</v>
      </c>
    </row>
    <row r="239" spans="1:10" x14ac:dyDescent="0.2">
      <c r="A239" s="5">
        <v>8996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6" t="s">
        <v>240</v>
      </c>
    </row>
    <row r="240" spans="1:10" x14ac:dyDescent="0.2">
      <c r="A240" s="5">
        <v>8998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6" t="s">
        <v>241</v>
      </c>
    </row>
    <row r="241" spans="1:10" x14ac:dyDescent="0.2">
      <c r="A241" s="5">
        <v>8999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6" t="s">
        <v>242</v>
      </c>
    </row>
    <row r="242" spans="1:10" x14ac:dyDescent="0.2">
      <c r="A242" s="5">
        <v>9000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6" t="s">
        <v>243</v>
      </c>
    </row>
    <row r="243" spans="1:10" x14ac:dyDescent="0.2">
      <c r="A243" s="5">
        <v>9011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6" t="s">
        <v>244</v>
      </c>
    </row>
    <row r="244" spans="1:10" x14ac:dyDescent="0.2">
      <c r="A244" s="5">
        <v>9012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6" t="s">
        <v>245</v>
      </c>
    </row>
    <row r="245" spans="1:10" x14ac:dyDescent="0.2">
      <c r="A245" s="5">
        <v>9013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6" t="s">
        <v>246</v>
      </c>
    </row>
    <row r="246" spans="1:10" x14ac:dyDescent="0.2">
      <c r="A246" s="5">
        <v>9014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6" t="s">
        <v>247</v>
      </c>
    </row>
    <row r="247" spans="1:10" x14ac:dyDescent="0.2">
      <c r="A247" s="5">
        <v>9016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6" t="s">
        <v>248</v>
      </c>
    </row>
    <row r="248" spans="1:10" x14ac:dyDescent="0.2">
      <c r="A248" s="5">
        <v>9021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6" t="s">
        <v>249</v>
      </c>
    </row>
    <row r="249" spans="1:10" x14ac:dyDescent="0.2">
      <c r="A249" s="5">
        <v>9022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6" t="s">
        <v>250</v>
      </c>
    </row>
    <row r="250" spans="1:10" x14ac:dyDescent="0.2">
      <c r="A250" s="5">
        <v>9031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6" t="s">
        <v>251</v>
      </c>
    </row>
    <row r="251" spans="1:10" x14ac:dyDescent="0.2">
      <c r="A251" s="5">
        <v>9032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6" t="s">
        <v>252</v>
      </c>
    </row>
    <row r="252" spans="1:10" x14ac:dyDescent="0.2">
      <c r="A252" s="5">
        <v>9033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6" t="s">
        <v>253</v>
      </c>
    </row>
    <row r="253" spans="1:10" x14ac:dyDescent="0.2">
      <c r="A253" s="5">
        <v>9034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6" t="s">
        <v>254</v>
      </c>
    </row>
    <row r="254" spans="1:10" x14ac:dyDescent="0.2">
      <c r="A254" s="5">
        <v>9036</v>
      </c>
      <c r="B254" s="5">
        <v>1</v>
      </c>
      <c r="C254" s="5">
        <v>1</v>
      </c>
      <c r="D254" s="5">
        <v>1</v>
      </c>
      <c r="E254" s="5">
        <v>1</v>
      </c>
      <c r="F254" s="5">
        <v>1</v>
      </c>
      <c r="G254" s="5">
        <v>1</v>
      </c>
      <c r="H254" s="5">
        <v>1</v>
      </c>
      <c r="I254" s="5">
        <v>7</v>
      </c>
      <c r="J254" s="6" t="s">
        <v>255</v>
      </c>
    </row>
    <row r="255" spans="1:10" x14ac:dyDescent="0.2">
      <c r="A255" s="5">
        <v>9037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6" t="s">
        <v>256</v>
      </c>
    </row>
    <row r="256" spans="1:10" x14ac:dyDescent="0.2">
      <c r="A256" s="5">
        <v>9038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6" t="s">
        <v>257</v>
      </c>
    </row>
    <row r="257" spans="1:10" x14ac:dyDescent="0.2">
      <c r="A257" s="5">
        <v>9041</v>
      </c>
      <c r="B257" s="5">
        <v>1</v>
      </c>
      <c r="C257" s="5">
        <v>1</v>
      </c>
      <c r="D257" s="5">
        <v>1</v>
      </c>
      <c r="E257" s="5">
        <v>1</v>
      </c>
      <c r="F257" s="5">
        <v>1</v>
      </c>
      <c r="G257" s="5">
        <v>1</v>
      </c>
      <c r="H257" s="5">
        <v>1</v>
      </c>
      <c r="I257" s="5">
        <v>7</v>
      </c>
      <c r="J257" s="6" t="s">
        <v>258</v>
      </c>
    </row>
    <row r="258" spans="1:10" x14ac:dyDescent="0.2">
      <c r="A258" s="5">
        <v>9043</v>
      </c>
      <c r="B258" s="5">
        <v>1</v>
      </c>
      <c r="C258" s="5">
        <v>1</v>
      </c>
      <c r="D258" s="5">
        <v>1</v>
      </c>
      <c r="E258" s="5">
        <v>1</v>
      </c>
      <c r="F258" s="5">
        <v>1</v>
      </c>
      <c r="G258" s="5">
        <v>1</v>
      </c>
      <c r="H258" s="5">
        <v>1</v>
      </c>
      <c r="I258" s="5">
        <v>7</v>
      </c>
      <c r="J258" s="6" t="s">
        <v>259</v>
      </c>
    </row>
    <row r="259" spans="1:10" x14ac:dyDescent="0.2">
      <c r="A259" s="5">
        <v>9045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6" t="s">
        <v>260</v>
      </c>
    </row>
    <row r="260" spans="1:10" x14ac:dyDescent="0.2">
      <c r="A260" s="5">
        <v>9108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6" t="s">
        <v>261</v>
      </c>
    </row>
    <row r="261" spans="1:10" x14ac:dyDescent="0.2">
      <c r="A261" s="5">
        <v>9110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6" t="s">
        <v>262</v>
      </c>
    </row>
    <row r="262" spans="1:10" x14ac:dyDescent="0.2">
      <c r="A262" s="5">
        <v>9111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6" t="s">
        <v>263</v>
      </c>
    </row>
    <row r="263" spans="1:10" x14ac:dyDescent="0.2">
      <c r="A263" s="5">
        <v>9132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6" t="s">
        <v>264</v>
      </c>
    </row>
    <row r="264" spans="1:10" x14ac:dyDescent="0.2">
      <c r="A264" s="5">
        <v>9133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6" t="s">
        <v>265</v>
      </c>
    </row>
    <row r="265" spans="1:10" x14ac:dyDescent="0.2">
      <c r="A265" s="5">
        <v>9140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6" t="s">
        <v>266</v>
      </c>
    </row>
    <row r="266" spans="1:10" x14ac:dyDescent="0.2">
      <c r="A266" s="5">
        <v>9223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6" t="s">
        <v>267</v>
      </c>
    </row>
    <row r="267" spans="1:10" x14ac:dyDescent="0.2">
      <c r="A267" s="5">
        <v>9225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6" t="s">
        <v>268</v>
      </c>
    </row>
    <row r="268" spans="1:10" x14ac:dyDescent="0.2">
      <c r="A268" s="5">
        <v>9234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6" t="s">
        <v>269</v>
      </c>
    </row>
    <row r="269" spans="1:10" x14ac:dyDescent="0.2">
      <c r="A269" s="5">
        <v>9248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6" t="s">
        <v>270</v>
      </c>
    </row>
    <row r="270" spans="1:10" x14ac:dyDescent="0.2">
      <c r="A270" s="5">
        <v>9250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6" t="s">
        <v>271</v>
      </c>
    </row>
    <row r="271" spans="1:10" x14ac:dyDescent="0.2">
      <c r="A271" s="5">
        <v>9258</v>
      </c>
      <c r="B271" s="5">
        <v>1</v>
      </c>
      <c r="C271" s="5">
        <v>1</v>
      </c>
      <c r="D271" s="5">
        <v>1</v>
      </c>
      <c r="E271" s="5">
        <v>1</v>
      </c>
      <c r="F271" s="5">
        <v>1</v>
      </c>
      <c r="G271" s="5">
        <v>1</v>
      </c>
      <c r="H271" s="5">
        <v>1</v>
      </c>
      <c r="I271" s="5">
        <v>7</v>
      </c>
      <c r="J271" s="6" t="s">
        <v>272</v>
      </c>
    </row>
    <row r="272" spans="1:10" x14ac:dyDescent="0.2">
      <c r="A272" s="5">
        <v>9312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6" t="s">
        <v>273</v>
      </c>
    </row>
    <row r="273" spans="1:10" x14ac:dyDescent="0.2">
      <c r="A273" s="5">
        <v>9375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6" t="s">
        <v>274</v>
      </c>
    </row>
    <row r="274" spans="1:10" x14ac:dyDescent="0.2">
      <c r="A274" s="5">
        <v>9391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6" t="s">
        <v>275</v>
      </c>
    </row>
    <row r="275" spans="1:10" x14ac:dyDescent="0.2">
      <c r="A275" s="5">
        <v>9406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6" t="s">
        <v>276</v>
      </c>
    </row>
    <row r="276" spans="1:10" x14ac:dyDescent="0.2">
      <c r="A276" s="5">
        <v>9418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6" t="s">
        <v>277</v>
      </c>
    </row>
    <row r="277" spans="1:10" x14ac:dyDescent="0.2">
      <c r="A277" s="5">
        <v>9464</v>
      </c>
      <c r="B277" s="5">
        <v>1</v>
      </c>
      <c r="C277" s="5">
        <v>1</v>
      </c>
      <c r="D277" s="5">
        <v>1</v>
      </c>
      <c r="E277" s="5">
        <v>1</v>
      </c>
      <c r="F277" s="5">
        <v>1</v>
      </c>
      <c r="G277" s="5">
        <v>1</v>
      </c>
      <c r="H277" s="5">
        <v>1</v>
      </c>
      <c r="I277" s="5">
        <v>7</v>
      </c>
      <c r="J277" s="6" t="s">
        <v>278</v>
      </c>
    </row>
    <row r="278" spans="1:10" x14ac:dyDescent="0.2">
      <c r="A278" s="5">
        <v>9483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6" t="s">
        <v>279</v>
      </c>
    </row>
    <row r="279" spans="1:10" x14ac:dyDescent="0.2">
      <c r="A279" s="5">
        <v>9495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6" t="s">
        <v>280</v>
      </c>
    </row>
    <row r="280" spans="1:10" x14ac:dyDescent="0.2">
      <c r="A280" s="5">
        <v>9506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6" t="s">
        <v>281</v>
      </c>
    </row>
    <row r="281" spans="1:10" x14ac:dyDescent="0.2">
      <c r="A281" s="5">
        <v>9702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6" t="s">
        <v>282</v>
      </c>
    </row>
    <row r="282" spans="1:10" x14ac:dyDescent="0.2">
      <c r="A282" s="5">
        <v>9731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6" t="s">
        <v>283</v>
      </c>
    </row>
    <row r="283" spans="1:10" x14ac:dyDescent="0.2">
      <c r="A283" s="5">
        <v>9785</v>
      </c>
      <c r="B283" s="5">
        <v>1</v>
      </c>
      <c r="C283" s="5">
        <v>1</v>
      </c>
      <c r="D283" s="5">
        <v>1</v>
      </c>
      <c r="E283" s="5">
        <v>1</v>
      </c>
      <c r="F283" s="5">
        <v>1</v>
      </c>
      <c r="G283" s="5">
        <v>1</v>
      </c>
      <c r="H283" s="5">
        <v>0</v>
      </c>
      <c r="I283" s="5">
        <v>6</v>
      </c>
      <c r="J283" s="6" t="s">
        <v>284</v>
      </c>
    </row>
    <row r="284" spans="1:10" x14ac:dyDescent="0.2">
      <c r="A284" s="5">
        <v>9884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6" t="s">
        <v>285</v>
      </c>
    </row>
    <row r="285" spans="1:10" x14ac:dyDescent="0.2">
      <c r="A285" s="5">
        <v>9891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6" t="s">
        <v>286</v>
      </c>
    </row>
    <row r="286" spans="1:10" x14ac:dyDescent="0.2">
      <c r="A286" s="5">
        <v>9915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6" t="s">
        <v>287</v>
      </c>
    </row>
    <row r="287" spans="1:10" x14ac:dyDescent="0.2">
      <c r="A287" s="5">
        <v>9974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6" t="s">
        <v>288</v>
      </c>
    </row>
    <row r="288" spans="1:10" x14ac:dyDescent="0.2">
      <c r="A288" s="5">
        <v>10113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6" t="s">
        <v>289</v>
      </c>
    </row>
    <row r="289" spans="1:10" x14ac:dyDescent="0.2">
      <c r="A289" s="5">
        <v>10114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6" t="s">
        <v>290</v>
      </c>
    </row>
    <row r="290" spans="1:10" x14ac:dyDescent="0.2">
      <c r="A290" s="5">
        <v>10115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6" t="s">
        <v>291</v>
      </c>
    </row>
    <row r="291" spans="1:10" x14ac:dyDescent="0.2">
      <c r="A291" s="5">
        <v>10116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6" t="s">
        <v>292</v>
      </c>
    </row>
    <row r="292" spans="1:10" x14ac:dyDescent="0.2">
      <c r="A292" s="5">
        <v>10117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6" t="s">
        <v>293</v>
      </c>
    </row>
    <row r="293" spans="1:10" x14ac:dyDescent="0.2">
      <c r="A293" s="5">
        <v>10164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6" t="s">
        <v>294</v>
      </c>
    </row>
    <row r="294" spans="1:10" x14ac:dyDescent="0.2">
      <c r="A294" s="5">
        <v>10457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6" t="s">
        <v>295</v>
      </c>
    </row>
    <row r="295" spans="1:10" x14ac:dyDescent="0.2">
      <c r="A295" s="5">
        <v>10464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6" t="s">
        <v>296</v>
      </c>
    </row>
    <row r="296" spans="1:10" x14ac:dyDescent="0.2">
      <c r="A296" s="5">
        <v>10477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6" t="s">
        <v>297</v>
      </c>
    </row>
    <row r="297" spans="1:10" x14ac:dyDescent="0.2">
      <c r="A297" s="5">
        <v>10513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6" t="s">
        <v>298</v>
      </c>
    </row>
    <row r="298" spans="1:10" x14ac:dyDescent="0.2">
      <c r="A298" s="5">
        <v>10569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6" t="s">
        <v>299</v>
      </c>
    </row>
    <row r="299" spans="1:10" x14ac:dyDescent="0.2">
      <c r="A299" s="5">
        <v>10583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6" t="s">
        <v>300</v>
      </c>
    </row>
    <row r="300" spans="1:10" x14ac:dyDescent="0.2">
      <c r="A300" s="5">
        <v>10625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6" t="s">
        <v>301</v>
      </c>
    </row>
    <row r="301" spans="1:10" x14ac:dyDescent="0.2">
      <c r="A301" s="5">
        <v>10641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6" t="s">
        <v>302</v>
      </c>
    </row>
    <row r="302" spans="1:10" x14ac:dyDescent="0.2">
      <c r="A302" s="5">
        <v>10686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6" t="s">
        <v>303</v>
      </c>
    </row>
    <row r="303" spans="1:10" x14ac:dyDescent="0.2">
      <c r="A303" s="5">
        <v>10687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6" t="s">
        <v>304</v>
      </c>
    </row>
    <row r="304" spans="1:10" x14ac:dyDescent="0.2">
      <c r="A304" s="5">
        <v>10688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6" t="s">
        <v>305</v>
      </c>
    </row>
    <row r="305" spans="1:10" x14ac:dyDescent="0.2">
      <c r="A305" s="5">
        <v>10691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6" t="s">
        <v>306</v>
      </c>
    </row>
    <row r="306" spans="1:10" x14ac:dyDescent="0.2">
      <c r="A306" s="5">
        <v>10748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6" t="s">
        <v>307</v>
      </c>
    </row>
    <row r="307" spans="1:10" x14ac:dyDescent="0.2">
      <c r="A307" s="5">
        <v>10766</v>
      </c>
      <c r="B307" s="5">
        <v>1</v>
      </c>
      <c r="C307" s="5">
        <v>1</v>
      </c>
      <c r="D307" s="5">
        <v>1</v>
      </c>
      <c r="E307" s="5">
        <v>1</v>
      </c>
      <c r="F307" s="5">
        <v>1</v>
      </c>
      <c r="G307" s="5">
        <v>1</v>
      </c>
      <c r="H307" s="5">
        <v>1</v>
      </c>
      <c r="I307" s="5">
        <v>7</v>
      </c>
      <c r="J307" s="6" t="s">
        <v>308</v>
      </c>
    </row>
    <row r="308" spans="1:10" x14ac:dyDescent="0.2">
      <c r="A308" s="5">
        <v>10860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6" t="s">
        <v>309</v>
      </c>
    </row>
    <row r="309" spans="1:10" x14ac:dyDescent="0.2">
      <c r="A309" s="5">
        <v>10880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6" t="s">
        <v>310</v>
      </c>
    </row>
    <row r="310" spans="1:10" x14ac:dyDescent="0.2">
      <c r="A310" s="5">
        <v>10881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6" t="s">
        <v>311</v>
      </c>
    </row>
    <row r="311" spans="1:10" x14ac:dyDescent="0.2">
      <c r="A311" s="5">
        <v>10897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6" t="s">
        <v>312</v>
      </c>
    </row>
    <row r="312" spans="1:10" x14ac:dyDescent="0.2">
      <c r="A312" s="5">
        <v>10933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6" t="s">
        <v>313</v>
      </c>
    </row>
    <row r="313" spans="1:10" x14ac:dyDescent="0.2">
      <c r="A313" s="5">
        <v>10943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6" t="s">
        <v>314</v>
      </c>
    </row>
    <row r="314" spans="1:10" x14ac:dyDescent="0.2">
      <c r="A314" s="5">
        <v>10945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6" t="s">
        <v>315</v>
      </c>
    </row>
    <row r="315" spans="1:10" x14ac:dyDescent="0.2">
      <c r="A315" s="5">
        <v>10961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6" t="s">
        <v>316</v>
      </c>
    </row>
    <row r="316" spans="1:10" x14ac:dyDescent="0.2">
      <c r="A316" s="5">
        <v>10992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6" t="s">
        <v>317</v>
      </c>
    </row>
    <row r="317" spans="1:10" x14ac:dyDescent="0.2">
      <c r="A317" s="5">
        <v>11004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6" t="s">
        <v>318</v>
      </c>
    </row>
    <row r="318" spans="1:10" x14ac:dyDescent="0.2">
      <c r="A318" s="5">
        <v>11010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6" t="s">
        <v>319</v>
      </c>
    </row>
    <row r="319" spans="1:10" x14ac:dyDescent="0.2">
      <c r="A319" s="5">
        <v>11026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6" t="s">
        <v>320</v>
      </c>
    </row>
    <row r="320" spans="1:10" x14ac:dyDescent="0.2">
      <c r="A320" s="5">
        <v>11027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6" t="s">
        <v>321</v>
      </c>
    </row>
    <row r="321" spans="1:10" x14ac:dyDescent="0.2">
      <c r="A321" s="5">
        <v>11095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6" t="s">
        <v>322</v>
      </c>
    </row>
    <row r="322" spans="1:10" x14ac:dyDescent="0.2">
      <c r="A322" s="5">
        <v>11111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6" t="s">
        <v>323</v>
      </c>
    </row>
    <row r="323" spans="1:10" x14ac:dyDescent="0.2">
      <c r="A323" s="5">
        <v>11112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6" t="s">
        <v>324</v>
      </c>
    </row>
    <row r="324" spans="1:10" x14ac:dyDescent="0.2">
      <c r="A324" s="5">
        <v>11134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6" t="s">
        <v>325</v>
      </c>
    </row>
    <row r="325" spans="1:10" x14ac:dyDescent="0.2">
      <c r="A325" s="5">
        <v>11136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6" t="s">
        <v>326</v>
      </c>
    </row>
    <row r="326" spans="1:10" x14ac:dyDescent="0.2">
      <c r="A326" s="5">
        <v>11147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6" t="s">
        <v>327</v>
      </c>
    </row>
    <row r="327" spans="1:10" x14ac:dyDescent="0.2">
      <c r="A327" s="5">
        <v>11236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6" t="s">
        <v>328</v>
      </c>
    </row>
    <row r="328" spans="1:10" x14ac:dyDescent="0.2">
      <c r="A328" s="5">
        <v>11275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6" t="s">
        <v>329</v>
      </c>
    </row>
    <row r="329" spans="1:10" x14ac:dyDescent="0.2">
      <c r="A329" s="5">
        <v>11282</v>
      </c>
      <c r="B329" s="5">
        <v>1</v>
      </c>
      <c r="C329" s="5">
        <v>1</v>
      </c>
      <c r="D329" s="5">
        <v>1</v>
      </c>
      <c r="E329" s="5">
        <v>1</v>
      </c>
      <c r="F329" s="5">
        <v>1</v>
      </c>
      <c r="G329" s="5">
        <v>1</v>
      </c>
      <c r="H329" s="5">
        <v>1</v>
      </c>
      <c r="I329" s="5">
        <v>7</v>
      </c>
      <c r="J329" s="6" t="s">
        <v>330</v>
      </c>
    </row>
    <row r="330" spans="1:10" x14ac:dyDescent="0.2">
      <c r="A330" s="5">
        <v>11286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6" t="s">
        <v>331</v>
      </c>
    </row>
    <row r="331" spans="1:10" x14ac:dyDescent="0.2">
      <c r="A331" s="5">
        <v>11298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6" t="s">
        <v>332</v>
      </c>
    </row>
    <row r="332" spans="1:10" x14ac:dyDescent="0.2">
      <c r="A332" s="5">
        <v>11302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6" t="s">
        <v>333</v>
      </c>
    </row>
    <row r="333" spans="1:10" x14ac:dyDescent="0.2">
      <c r="A333" s="5">
        <v>11373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6" t="s">
        <v>334</v>
      </c>
    </row>
    <row r="334" spans="1:10" x14ac:dyDescent="0.2">
      <c r="A334" s="5">
        <v>11395</v>
      </c>
      <c r="B334" s="5">
        <v>1</v>
      </c>
      <c r="C334" s="5">
        <v>1</v>
      </c>
      <c r="D334" s="5">
        <v>0</v>
      </c>
      <c r="E334" s="5">
        <v>0</v>
      </c>
      <c r="F334" s="5">
        <v>0</v>
      </c>
      <c r="G334" s="5">
        <v>1</v>
      </c>
      <c r="H334" s="5">
        <v>1</v>
      </c>
      <c r="I334" s="5">
        <v>4</v>
      </c>
      <c r="J334" s="6" t="s">
        <v>335</v>
      </c>
    </row>
    <row r="335" spans="1:10" x14ac:dyDescent="0.2">
      <c r="A335" s="5">
        <v>11497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6" t="s">
        <v>336</v>
      </c>
    </row>
    <row r="336" spans="1:10" x14ac:dyDescent="0.2">
      <c r="A336" s="5">
        <v>11499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6" t="s">
        <v>337</v>
      </c>
    </row>
    <row r="337" spans="1:10" x14ac:dyDescent="0.2">
      <c r="A337" s="5">
        <v>11515</v>
      </c>
      <c r="B337" s="5">
        <v>1</v>
      </c>
      <c r="C337" s="5">
        <v>1</v>
      </c>
      <c r="D337" s="5">
        <v>1</v>
      </c>
      <c r="E337" s="5">
        <v>0</v>
      </c>
      <c r="F337" s="5">
        <v>0</v>
      </c>
      <c r="G337" s="5">
        <v>0</v>
      </c>
      <c r="H337" s="5">
        <v>0</v>
      </c>
      <c r="I337" s="5">
        <v>3</v>
      </c>
      <c r="J337" s="6" t="s">
        <v>338</v>
      </c>
    </row>
    <row r="338" spans="1:10" x14ac:dyDescent="0.2">
      <c r="A338" s="5">
        <v>11517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6" t="s">
        <v>339</v>
      </c>
    </row>
    <row r="339" spans="1:10" x14ac:dyDescent="0.2">
      <c r="A339" s="5">
        <v>11539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6" t="s">
        <v>340</v>
      </c>
    </row>
    <row r="340" spans="1:10" x14ac:dyDescent="0.2">
      <c r="A340" s="5">
        <v>11547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6" t="s">
        <v>341</v>
      </c>
    </row>
    <row r="341" spans="1:10" x14ac:dyDescent="0.2">
      <c r="A341" s="5">
        <v>11704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6" t="s">
        <v>342</v>
      </c>
    </row>
    <row r="342" spans="1:10" x14ac:dyDescent="0.2">
      <c r="A342" s="5">
        <v>11770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6" t="s">
        <v>343</v>
      </c>
    </row>
    <row r="343" spans="1:10" x14ac:dyDescent="0.2">
      <c r="A343" s="5">
        <v>11771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6" t="s">
        <v>344</v>
      </c>
    </row>
    <row r="344" spans="1:10" x14ac:dyDescent="0.2">
      <c r="A344" s="5">
        <v>11780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6" t="s">
        <v>345</v>
      </c>
    </row>
    <row r="345" spans="1:10" x14ac:dyDescent="0.2">
      <c r="A345" s="5">
        <v>11812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6" t="s">
        <v>346</v>
      </c>
    </row>
    <row r="346" spans="1:10" x14ac:dyDescent="0.2">
      <c r="A346" s="5">
        <v>11850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6" t="s">
        <v>347</v>
      </c>
    </row>
    <row r="347" spans="1:10" x14ac:dyDescent="0.2">
      <c r="A347" s="5">
        <v>11888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6" t="s">
        <v>348</v>
      </c>
    </row>
    <row r="348" spans="1:10" x14ac:dyDescent="0.2">
      <c r="A348" s="5">
        <v>11903</v>
      </c>
      <c r="B348" s="5">
        <v>1</v>
      </c>
      <c r="C348" s="5">
        <v>1</v>
      </c>
      <c r="D348" s="5">
        <v>1</v>
      </c>
      <c r="E348" s="5">
        <v>1</v>
      </c>
      <c r="F348" s="5">
        <v>1</v>
      </c>
      <c r="G348" s="5">
        <v>1</v>
      </c>
      <c r="H348" s="5">
        <v>1</v>
      </c>
      <c r="I348" s="5">
        <v>7</v>
      </c>
      <c r="J348" s="6" t="s">
        <v>349</v>
      </c>
    </row>
    <row r="349" spans="1:10" x14ac:dyDescent="0.2">
      <c r="A349" s="5">
        <v>11956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6" t="s">
        <v>350</v>
      </c>
    </row>
    <row r="350" spans="1:10" x14ac:dyDescent="0.2">
      <c r="A350" s="5">
        <v>12119</v>
      </c>
      <c r="B350" s="5">
        <v>1</v>
      </c>
      <c r="C350" s="5">
        <v>1</v>
      </c>
      <c r="D350" s="5">
        <v>1</v>
      </c>
      <c r="E350" s="5">
        <v>1</v>
      </c>
      <c r="F350" s="5">
        <v>1</v>
      </c>
      <c r="G350" s="5">
        <v>1</v>
      </c>
      <c r="H350" s="5">
        <v>1</v>
      </c>
      <c r="I350" s="5">
        <v>7</v>
      </c>
      <c r="J350" s="6" t="s">
        <v>351</v>
      </c>
    </row>
    <row r="351" spans="1:10" x14ac:dyDescent="0.2">
      <c r="A351" s="5">
        <v>12194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6" t="s">
        <v>352</v>
      </c>
    </row>
    <row r="352" spans="1:10" x14ac:dyDescent="0.2">
      <c r="A352" s="5">
        <v>12237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6" t="s">
        <v>353</v>
      </c>
    </row>
    <row r="353" spans="1:10" x14ac:dyDescent="0.2">
      <c r="A353" s="5">
        <v>12250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6" t="s">
        <v>354</v>
      </c>
    </row>
    <row r="354" spans="1:10" x14ac:dyDescent="0.2">
      <c r="A354" s="5">
        <v>12284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6" t="s">
        <v>355</v>
      </c>
    </row>
    <row r="355" spans="1:10" x14ac:dyDescent="0.2">
      <c r="A355" s="5">
        <v>12296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6" t="s">
        <v>356</v>
      </c>
    </row>
    <row r="356" spans="1:10" x14ac:dyDescent="0.2">
      <c r="A356" s="5">
        <v>12363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6" t="s">
        <v>357</v>
      </c>
    </row>
    <row r="357" spans="1:10" x14ac:dyDescent="0.2">
      <c r="A357" s="5">
        <v>12382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6" t="s">
        <v>358</v>
      </c>
    </row>
    <row r="358" spans="1:10" x14ac:dyDescent="0.2">
      <c r="A358" s="5">
        <v>12384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6" t="s">
        <v>359</v>
      </c>
    </row>
    <row r="359" spans="1:10" x14ac:dyDescent="0.2">
      <c r="A359" s="5">
        <v>12401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6" t="s">
        <v>360</v>
      </c>
    </row>
    <row r="360" spans="1:10" x14ac:dyDescent="0.2">
      <c r="A360" s="5">
        <v>12402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6" t="s">
        <v>361</v>
      </c>
    </row>
    <row r="361" spans="1:10" x14ac:dyDescent="0.2">
      <c r="A361" s="5">
        <v>12408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6" t="s">
        <v>362</v>
      </c>
    </row>
    <row r="362" spans="1:10" x14ac:dyDescent="0.2">
      <c r="A362" s="5">
        <v>12477</v>
      </c>
      <c r="B362" s="5">
        <v>1</v>
      </c>
      <c r="C362" s="5">
        <v>1</v>
      </c>
      <c r="D362" s="5">
        <v>1</v>
      </c>
      <c r="E362" s="5">
        <v>1</v>
      </c>
      <c r="F362" s="5">
        <v>1</v>
      </c>
      <c r="G362" s="5">
        <v>1</v>
      </c>
      <c r="H362" s="5">
        <v>1</v>
      </c>
      <c r="I362" s="5">
        <v>7</v>
      </c>
      <c r="J362" s="6" t="s">
        <v>363</v>
      </c>
    </row>
    <row r="363" spans="1:10" x14ac:dyDescent="0.2">
      <c r="A363" s="5">
        <v>12479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6" t="s">
        <v>364</v>
      </c>
    </row>
    <row r="364" spans="1:10" x14ac:dyDescent="0.2">
      <c r="A364" s="5">
        <v>12487</v>
      </c>
      <c r="B364" s="5">
        <v>1</v>
      </c>
      <c r="C364" s="5">
        <v>1</v>
      </c>
      <c r="D364" s="5">
        <v>1</v>
      </c>
      <c r="E364" s="5">
        <v>1</v>
      </c>
      <c r="F364" s="5">
        <v>1</v>
      </c>
      <c r="G364" s="5">
        <v>0</v>
      </c>
      <c r="H364" s="5">
        <v>0</v>
      </c>
      <c r="I364" s="5">
        <v>5</v>
      </c>
      <c r="J364" s="6" t="s">
        <v>365</v>
      </c>
    </row>
    <row r="365" spans="1:10" x14ac:dyDescent="0.2">
      <c r="A365" s="5">
        <v>12513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6" t="s">
        <v>366</v>
      </c>
    </row>
    <row r="366" spans="1:10" x14ac:dyDescent="0.2">
      <c r="A366" s="5">
        <v>12532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6" t="s">
        <v>367</v>
      </c>
    </row>
    <row r="367" spans="1:10" x14ac:dyDescent="0.2">
      <c r="A367" s="5">
        <v>12533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6" t="s">
        <v>368</v>
      </c>
    </row>
    <row r="368" spans="1:10" x14ac:dyDescent="0.2">
      <c r="A368" s="5">
        <v>12610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6" t="s">
        <v>369</v>
      </c>
    </row>
    <row r="369" spans="1:10" x14ac:dyDescent="0.2">
      <c r="A369" s="5">
        <v>12619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6" t="s">
        <v>370</v>
      </c>
    </row>
    <row r="370" spans="1:10" x14ac:dyDescent="0.2">
      <c r="A370" s="5">
        <v>12635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6" t="s">
        <v>371</v>
      </c>
    </row>
    <row r="371" spans="1:10" x14ac:dyDescent="0.2">
      <c r="A371" s="5">
        <v>12652</v>
      </c>
      <c r="B371" s="5">
        <v>0</v>
      </c>
      <c r="C371" s="5">
        <v>0</v>
      </c>
      <c r="D371" s="5">
        <v>0</v>
      </c>
      <c r="E371" s="5">
        <v>1</v>
      </c>
      <c r="F371" s="5">
        <v>1</v>
      </c>
      <c r="G371" s="5">
        <v>1</v>
      </c>
      <c r="H371" s="5">
        <v>1</v>
      </c>
      <c r="I371" s="5">
        <v>4</v>
      </c>
      <c r="J371" s="6" t="s">
        <v>372</v>
      </c>
    </row>
    <row r="372" spans="1:10" x14ac:dyDescent="0.2">
      <c r="A372" s="5">
        <v>12654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6" t="s">
        <v>373</v>
      </c>
    </row>
    <row r="373" spans="1:10" x14ac:dyDescent="0.2">
      <c r="A373" s="5">
        <v>12655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6" t="s">
        <v>374</v>
      </c>
    </row>
    <row r="374" spans="1:10" x14ac:dyDescent="0.2">
      <c r="A374" s="5">
        <v>12656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6" t="s">
        <v>375</v>
      </c>
    </row>
    <row r="375" spans="1:10" x14ac:dyDescent="0.2">
      <c r="A375" s="5">
        <v>12679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6" t="s">
        <v>376</v>
      </c>
    </row>
    <row r="376" spans="1:10" x14ac:dyDescent="0.2">
      <c r="A376" s="5">
        <v>12680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6" t="s">
        <v>377</v>
      </c>
    </row>
    <row r="377" spans="1:10" x14ac:dyDescent="0.2">
      <c r="A377" s="5">
        <v>12701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6" t="s">
        <v>378</v>
      </c>
    </row>
    <row r="378" spans="1:10" x14ac:dyDescent="0.2">
      <c r="A378" s="5">
        <v>12710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6" t="s">
        <v>379</v>
      </c>
    </row>
    <row r="379" spans="1:10" x14ac:dyDescent="0.2">
      <c r="A379" s="5">
        <v>12711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6" t="s">
        <v>380</v>
      </c>
    </row>
    <row r="380" spans="1:10" x14ac:dyDescent="0.2">
      <c r="A380" s="5">
        <v>12795</v>
      </c>
      <c r="B380" s="5">
        <v>1</v>
      </c>
      <c r="C380" s="5">
        <v>1</v>
      </c>
      <c r="D380" s="5">
        <v>1</v>
      </c>
      <c r="E380" s="5">
        <v>1</v>
      </c>
      <c r="F380" s="5">
        <v>1</v>
      </c>
      <c r="G380" s="5">
        <v>1</v>
      </c>
      <c r="H380" s="5">
        <v>1</v>
      </c>
      <c r="I380" s="5">
        <v>7</v>
      </c>
      <c r="J380" s="6" t="s">
        <v>381</v>
      </c>
    </row>
    <row r="381" spans="1:10" x14ac:dyDescent="0.2">
      <c r="A381" s="5">
        <v>12807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6" t="s">
        <v>382</v>
      </c>
    </row>
    <row r="382" spans="1:10" x14ac:dyDescent="0.2">
      <c r="A382" s="5">
        <v>12844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6" t="s">
        <v>383</v>
      </c>
    </row>
    <row r="383" spans="1:10" x14ac:dyDescent="0.2">
      <c r="A383" s="5">
        <v>12855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6" t="s">
        <v>384</v>
      </c>
    </row>
    <row r="384" spans="1:10" x14ac:dyDescent="0.2">
      <c r="A384" s="5">
        <v>12856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6" t="s">
        <v>385</v>
      </c>
    </row>
    <row r="385" spans="1:10" x14ac:dyDescent="0.2">
      <c r="A385" s="5">
        <v>12868</v>
      </c>
      <c r="B385" s="5">
        <v>1</v>
      </c>
      <c r="C385" s="5">
        <v>1</v>
      </c>
      <c r="D385" s="5">
        <v>1</v>
      </c>
      <c r="E385" s="5">
        <v>1</v>
      </c>
      <c r="F385" s="5">
        <v>1</v>
      </c>
      <c r="G385" s="5">
        <v>1</v>
      </c>
      <c r="H385" s="5">
        <v>1</v>
      </c>
      <c r="I385" s="5">
        <v>7</v>
      </c>
      <c r="J385" s="6" t="s">
        <v>386</v>
      </c>
    </row>
    <row r="386" spans="1:10" x14ac:dyDescent="0.2">
      <c r="A386" s="5">
        <v>12869</v>
      </c>
      <c r="B386" s="5">
        <v>1</v>
      </c>
      <c r="C386" s="5">
        <v>1</v>
      </c>
      <c r="D386" s="5">
        <v>1</v>
      </c>
      <c r="E386" s="5">
        <v>1</v>
      </c>
      <c r="F386" s="5">
        <v>1</v>
      </c>
      <c r="G386" s="5">
        <v>1</v>
      </c>
      <c r="H386" s="5">
        <v>1</v>
      </c>
      <c r="I386" s="5">
        <v>7</v>
      </c>
      <c r="J386" s="6" t="s">
        <v>387</v>
      </c>
    </row>
    <row r="387" spans="1:10" x14ac:dyDescent="0.2">
      <c r="A387" s="5">
        <v>12920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6" t="s">
        <v>388</v>
      </c>
    </row>
    <row r="388" spans="1:10" x14ac:dyDescent="0.2">
      <c r="A388" s="5">
        <v>12925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6" t="s">
        <v>389</v>
      </c>
    </row>
    <row r="389" spans="1:10" x14ac:dyDescent="0.2">
      <c r="A389" s="5">
        <v>12926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6" t="s">
        <v>390</v>
      </c>
    </row>
    <row r="390" spans="1:10" x14ac:dyDescent="0.2">
      <c r="A390" s="5">
        <v>12930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6" t="s">
        <v>391</v>
      </c>
    </row>
    <row r="391" spans="1:10" x14ac:dyDescent="0.2">
      <c r="A391" s="5">
        <v>12936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6" t="s">
        <v>392</v>
      </c>
    </row>
    <row r="392" spans="1:10" x14ac:dyDescent="0.2">
      <c r="A392" s="5">
        <v>12941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6" t="s">
        <v>393</v>
      </c>
    </row>
    <row r="393" spans="1:10" x14ac:dyDescent="0.2">
      <c r="A393" s="5">
        <v>12958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6" t="s">
        <v>394</v>
      </c>
    </row>
    <row r="394" spans="1:10" x14ac:dyDescent="0.2">
      <c r="A394" s="5">
        <v>12959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6" t="s">
        <v>395</v>
      </c>
    </row>
    <row r="395" spans="1:10" x14ac:dyDescent="0.2">
      <c r="A395" s="5">
        <v>12961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6" t="s">
        <v>396</v>
      </c>
    </row>
    <row r="396" spans="1:10" x14ac:dyDescent="0.2">
      <c r="A396" s="5">
        <v>13002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6" t="s">
        <v>397</v>
      </c>
    </row>
    <row r="397" spans="1:10" x14ac:dyDescent="0.2">
      <c r="A397" s="5">
        <v>13017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6" t="s">
        <v>398</v>
      </c>
    </row>
    <row r="398" spans="1:10" x14ac:dyDescent="0.2">
      <c r="A398" s="5">
        <v>13029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6" t="s">
        <v>399</v>
      </c>
    </row>
    <row r="399" spans="1:10" x14ac:dyDescent="0.2">
      <c r="A399" s="5">
        <v>13031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6" t="s">
        <v>400</v>
      </c>
    </row>
    <row r="400" spans="1:10" x14ac:dyDescent="0.2">
      <c r="A400" s="5">
        <v>13033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6" t="s">
        <v>401</v>
      </c>
    </row>
    <row r="401" spans="1:10" x14ac:dyDescent="0.2">
      <c r="A401" s="5">
        <v>13035</v>
      </c>
      <c r="B401" s="5">
        <v>0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6" t="s">
        <v>402</v>
      </c>
    </row>
    <row r="402" spans="1:10" x14ac:dyDescent="0.2">
      <c r="A402" s="5">
        <v>13036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6" t="s">
        <v>403</v>
      </c>
    </row>
    <row r="403" spans="1:10" x14ac:dyDescent="0.2">
      <c r="A403" s="5">
        <v>13050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6" t="s">
        <v>404</v>
      </c>
    </row>
    <row r="404" spans="1:10" x14ac:dyDescent="0.2">
      <c r="A404" s="5">
        <v>13052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6" t="s">
        <v>405</v>
      </c>
    </row>
    <row r="405" spans="1:10" x14ac:dyDescent="0.2">
      <c r="A405" s="5">
        <v>13068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6" t="s">
        <v>406</v>
      </c>
    </row>
    <row r="406" spans="1:10" x14ac:dyDescent="0.2">
      <c r="A406" s="5">
        <v>13079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6" t="s">
        <v>407</v>
      </c>
    </row>
    <row r="407" spans="1:10" x14ac:dyDescent="0.2">
      <c r="A407" s="5">
        <v>13093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6" t="s">
        <v>408</v>
      </c>
    </row>
    <row r="408" spans="1:10" x14ac:dyDescent="0.2">
      <c r="A408" s="5">
        <v>13096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6" t="s">
        <v>409</v>
      </c>
    </row>
    <row r="409" spans="1:10" x14ac:dyDescent="0.2">
      <c r="A409" s="5">
        <v>13112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6" t="s">
        <v>410</v>
      </c>
    </row>
    <row r="410" spans="1:10" x14ac:dyDescent="0.2">
      <c r="A410" s="5">
        <v>13113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6" t="s">
        <v>411</v>
      </c>
    </row>
    <row r="411" spans="1:10" x14ac:dyDescent="0.2">
      <c r="A411" s="5">
        <v>13131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6" t="s">
        <v>412</v>
      </c>
    </row>
    <row r="412" spans="1:10" x14ac:dyDescent="0.2">
      <c r="A412" s="5">
        <v>13140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6" t="s">
        <v>413</v>
      </c>
    </row>
    <row r="413" spans="1:10" x14ac:dyDescent="0.2">
      <c r="A413" s="5">
        <v>13141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6" t="s">
        <v>414</v>
      </c>
    </row>
    <row r="414" spans="1:10" x14ac:dyDescent="0.2">
      <c r="A414" s="5">
        <v>13162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6" t="s">
        <v>415</v>
      </c>
    </row>
    <row r="415" spans="1:10" x14ac:dyDescent="0.2">
      <c r="A415" s="5">
        <v>13169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6" t="s">
        <v>416</v>
      </c>
    </row>
    <row r="416" spans="1:10" x14ac:dyDescent="0.2">
      <c r="A416" s="5">
        <v>13180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6" t="s">
        <v>417</v>
      </c>
    </row>
    <row r="417" spans="1:10" x14ac:dyDescent="0.2">
      <c r="A417" s="5">
        <v>13189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6" t="s">
        <v>418</v>
      </c>
    </row>
    <row r="418" spans="1:10" x14ac:dyDescent="0.2">
      <c r="A418" s="5">
        <v>13195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6" t="s">
        <v>419</v>
      </c>
    </row>
    <row r="419" spans="1:10" x14ac:dyDescent="0.2">
      <c r="A419" s="5">
        <v>13200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6" t="s">
        <v>420</v>
      </c>
    </row>
    <row r="420" spans="1:10" x14ac:dyDescent="0.2">
      <c r="A420" s="5">
        <v>13201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6" t="s">
        <v>421</v>
      </c>
    </row>
    <row r="421" spans="1:10" x14ac:dyDescent="0.2">
      <c r="A421" s="5">
        <v>13202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6" t="s">
        <v>422</v>
      </c>
    </row>
    <row r="422" spans="1:10" x14ac:dyDescent="0.2">
      <c r="A422" s="5">
        <v>13203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6" t="s">
        <v>423</v>
      </c>
    </row>
    <row r="423" spans="1:10" x14ac:dyDescent="0.2">
      <c r="A423" s="5">
        <v>13204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6" t="s">
        <v>424</v>
      </c>
    </row>
    <row r="424" spans="1:10" x14ac:dyDescent="0.2">
      <c r="A424" s="5">
        <v>13219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6" t="s">
        <v>425</v>
      </c>
    </row>
    <row r="425" spans="1:10" x14ac:dyDescent="0.2">
      <c r="A425" s="5">
        <v>13232</v>
      </c>
      <c r="B425" s="5">
        <v>1</v>
      </c>
      <c r="C425" s="5">
        <v>1</v>
      </c>
      <c r="D425" s="5">
        <v>1</v>
      </c>
      <c r="E425" s="5">
        <v>1</v>
      </c>
      <c r="F425" s="5">
        <v>1</v>
      </c>
      <c r="G425" s="5">
        <v>1</v>
      </c>
      <c r="H425" s="5">
        <v>1</v>
      </c>
      <c r="I425" s="5">
        <v>7</v>
      </c>
      <c r="J425" s="6" t="s">
        <v>426</v>
      </c>
    </row>
    <row r="426" spans="1:10" x14ac:dyDescent="0.2">
      <c r="A426" s="5">
        <v>13235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6" t="s">
        <v>427</v>
      </c>
    </row>
    <row r="427" spans="1:10" x14ac:dyDescent="0.2">
      <c r="A427" s="5">
        <v>13241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6" t="s">
        <v>428</v>
      </c>
    </row>
    <row r="428" spans="1:10" x14ac:dyDescent="0.2">
      <c r="A428" s="5">
        <v>13331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6" t="s">
        <v>429</v>
      </c>
    </row>
    <row r="429" spans="1:10" x14ac:dyDescent="0.2">
      <c r="A429" s="5">
        <v>13370</v>
      </c>
      <c r="B429" s="5">
        <v>1</v>
      </c>
      <c r="C429" s="5">
        <v>1</v>
      </c>
      <c r="D429" s="5">
        <v>1</v>
      </c>
      <c r="E429" s="5">
        <v>0</v>
      </c>
      <c r="F429" s="5">
        <v>0</v>
      </c>
      <c r="G429" s="5">
        <v>0</v>
      </c>
      <c r="H429" s="5">
        <v>0</v>
      </c>
      <c r="I429" s="5">
        <v>3</v>
      </c>
      <c r="J429" s="6" t="s">
        <v>430</v>
      </c>
    </row>
    <row r="430" spans="1:10" x14ac:dyDescent="0.2">
      <c r="A430" s="5">
        <v>13385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6" t="s">
        <v>431</v>
      </c>
    </row>
    <row r="431" spans="1:10" x14ac:dyDescent="0.2">
      <c r="A431" s="5">
        <v>13386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6" t="s">
        <v>432</v>
      </c>
    </row>
    <row r="432" spans="1:10" x14ac:dyDescent="0.2">
      <c r="A432" s="5">
        <v>13387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6" t="s">
        <v>433</v>
      </c>
    </row>
    <row r="433" spans="1:10" x14ac:dyDescent="0.2">
      <c r="A433" s="5">
        <v>13395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6" t="s">
        <v>434</v>
      </c>
    </row>
    <row r="434" spans="1:10" x14ac:dyDescent="0.2">
      <c r="A434" s="5">
        <v>13428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6" t="s">
        <v>435</v>
      </c>
    </row>
    <row r="435" spans="1:10" x14ac:dyDescent="0.2">
      <c r="A435" s="5">
        <v>13429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6" t="s">
        <v>436</v>
      </c>
    </row>
    <row r="436" spans="1:10" x14ac:dyDescent="0.2">
      <c r="A436" s="5">
        <v>13434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6" t="s">
        <v>437</v>
      </c>
    </row>
    <row r="437" spans="1:10" x14ac:dyDescent="0.2">
      <c r="A437" s="5">
        <v>13448</v>
      </c>
      <c r="B437" s="5">
        <v>1</v>
      </c>
      <c r="C437" s="5">
        <v>1</v>
      </c>
      <c r="D437" s="5">
        <v>1</v>
      </c>
      <c r="E437" s="5">
        <v>1</v>
      </c>
      <c r="F437" s="5">
        <v>1</v>
      </c>
      <c r="G437" s="5">
        <v>1</v>
      </c>
      <c r="H437" s="5">
        <v>1</v>
      </c>
      <c r="I437" s="5">
        <v>7</v>
      </c>
      <c r="J437" s="6" t="s">
        <v>438</v>
      </c>
    </row>
    <row r="438" spans="1:10" x14ac:dyDescent="0.2">
      <c r="A438" s="5">
        <v>13457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6" t="s">
        <v>439</v>
      </c>
    </row>
    <row r="439" spans="1:10" x14ac:dyDescent="0.2">
      <c r="A439" s="5">
        <v>13483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6" t="s">
        <v>440</v>
      </c>
    </row>
    <row r="440" spans="1:10" x14ac:dyDescent="0.2">
      <c r="A440" s="5">
        <v>13486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6" t="s">
        <v>441</v>
      </c>
    </row>
    <row r="441" spans="1:10" x14ac:dyDescent="0.2">
      <c r="A441" s="5">
        <v>13500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6" t="s">
        <v>442</v>
      </c>
    </row>
    <row r="442" spans="1:10" x14ac:dyDescent="0.2">
      <c r="A442" s="5">
        <v>13519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6" t="s">
        <v>443</v>
      </c>
    </row>
    <row r="443" spans="1:10" x14ac:dyDescent="0.2">
      <c r="A443" s="5">
        <v>13536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6" t="s">
        <v>444</v>
      </c>
    </row>
    <row r="444" spans="1:10" x14ac:dyDescent="0.2">
      <c r="A444" s="5">
        <v>13559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6" t="s">
        <v>445</v>
      </c>
    </row>
    <row r="445" spans="1:10" x14ac:dyDescent="0.2">
      <c r="A445" s="5">
        <v>13594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6" t="s">
        <v>446</v>
      </c>
    </row>
    <row r="446" spans="1:10" x14ac:dyDescent="0.2">
      <c r="A446" s="5">
        <v>13608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6" t="s">
        <v>447</v>
      </c>
    </row>
    <row r="447" spans="1:10" x14ac:dyDescent="0.2">
      <c r="A447" s="5">
        <v>13613</v>
      </c>
      <c r="B447" s="5">
        <v>1</v>
      </c>
      <c r="C447" s="5">
        <v>1</v>
      </c>
      <c r="D447" s="5">
        <v>1</v>
      </c>
      <c r="E447" s="5">
        <v>1</v>
      </c>
      <c r="F447" s="5">
        <v>0</v>
      </c>
      <c r="G447" s="5">
        <v>0</v>
      </c>
      <c r="H447" s="5">
        <v>0</v>
      </c>
      <c r="I447" s="5">
        <v>4</v>
      </c>
      <c r="J447" s="6" t="s">
        <v>448</v>
      </c>
    </row>
    <row r="448" spans="1:10" x14ac:dyDescent="0.2">
      <c r="A448" s="5">
        <v>13645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6" t="s">
        <v>449</v>
      </c>
    </row>
    <row r="449" spans="1:10" x14ac:dyDescent="0.2">
      <c r="A449" s="5">
        <v>13696</v>
      </c>
      <c r="B449" s="5">
        <v>1</v>
      </c>
      <c r="C449" s="5">
        <v>1</v>
      </c>
      <c r="D449" s="5">
        <v>1</v>
      </c>
      <c r="E449" s="5">
        <v>1</v>
      </c>
      <c r="F449" s="5">
        <v>0</v>
      </c>
      <c r="G449" s="5">
        <v>0</v>
      </c>
      <c r="H449" s="5">
        <v>0</v>
      </c>
      <c r="I449" s="5">
        <v>4</v>
      </c>
      <c r="J449" s="6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2019-06-25T18:42:53Z</dcterms:created>
  <dcterms:modified xsi:type="dcterms:W3CDTF">2019-06-25T18:55:28Z</dcterms:modified>
</cp:coreProperties>
</file>