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Scripts/Fake Folder/Fab/Recurring/Fab Op Report/CSVs/"/>
    </mc:Choice>
  </mc:AlternateContent>
  <xr:revisionPtr revIDLastSave="0" documentId="13_ncr:1_{C1A6300C-3598-8C48-8B10-43F14F1F590E}" xr6:coauthVersionLast="36" xr6:coauthVersionMax="36" xr10:uidLastSave="{00000000-0000-0000-0000-000000000000}"/>
  <bookViews>
    <workbookView xWindow="240" yWindow="460" windowWidth="25680" windowHeight="143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M7" i="1" l="1"/>
  <c r="M6" i="1"/>
  <c r="M5" i="1"/>
  <c r="M3" i="1"/>
  <c r="M2" i="1"/>
  <c r="M1" i="1"/>
</calcChain>
</file>

<file path=xl/sharedStrings.xml><?xml version="1.0" encoding="utf-8"?>
<sst xmlns="http://schemas.openxmlformats.org/spreadsheetml/2006/main" count="587" uniqueCount="587">
  <si>
    <t>sku id</t>
  </si>
  <si>
    <t>total days oos</t>
  </si>
  <si>
    <t>sku id, sku name</t>
  </si>
  <si>
    <t>2459,  Flora NeoPixel 4 pack P1260B</t>
  </si>
  <si>
    <t>2460,  Flora NeoPixel v2 Sheet of 20 P1559B</t>
  </si>
  <si>
    <t>2587,  GPS Breakout Rev A2 P746D (SURF TECH)</t>
  </si>
  <si>
    <t>2743,  Ultimate GPS Logging Shield P1272C (Surf-Tech)</t>
  </si>
  <si>
    <t>2849,  piTFT B+ 2.8" (ASSEMBLED) w/CTP LICENSED P2423B (AQS China)</t>
  </si>
  <si>
    <t>2850, piTFT B+ 2.8" (ASSEMBLED) w/RTP LICENSED P2298B (OUTSOURCED)</t>
  </si>
  <si>
    <t>2880,  Breadboard-friendly RGB Smart NeoPixel - Pack of 4 P1312B (AQS China)</t>
  </si>
  <si>
    <t>2881,  Breadboard-friendly RGB Smart NeoPixel - Sheet of 25 P1558B (AQS)</t>
  </si>
  <si>
    <t>3061,  2.8 TFT w/CTP Raspberry Pi Touchscreen Shield  (ASSEMBLED) P1983C</t>
  </si>
  <si>
    <t>3132,  Neopixel Ring 12B P1643D</t>
  </si>
  <si>
    <t>3137,  Neopixel Ring 24B SK9812 P1586D (C3222-B)</t>
  </si>
  <si>
    <t>3169,  piTFT 3.5" P2097B (LICENSED OUTSOURCED AQS-CHINA)</t>
  </si>
  <si>
    <t>3232, HDMI 5 inch Touch Display Backpack P2260B (AQS-China) LICENSED</t>
  </si>
  <si>
    <t>3233, HDMI 5" Display Backpack - Without Touch P2232C (LICENSED AQS-CHINA)</t>
  </si>
  <si>
    <t>3234, HDMI 7" 800x480 Display Backpack - With Touchscreen P2407C (AQS-CHINA) LICENSED</t>
  </si>
  <si>
    <t>3235, HDMI 7" 800x480 Display Backpack - Without Touch P2406B (AQS-China)</t>
  </si>
  <si>
    <t>3242,  Neopixel Shield P1430C (C3223-B) w/SK6812</t>
  </si>
  <si>
    <t>3243,  NeoPixel Stick - 8 x SK6812 5050 RGB LED with Integrated Drivers P1426D (AQS)</t>
  </si>
  <si>
    <t>3244,  NeoPixel Matrix P1487C (C3224-B)</t>
  </si>
  <si>
    <t>3245,  Neopixel Ring 16B P1463D (C3220-B)</t>
  </si>
  <si>
    <t>3246,  neopixel 1/4 60 ring P1768C (C3219-B)</t>
  </si>
  <si>
    <t>3247,  neopixel jewel P2226C</t>
  </si>
  <si>
    <t>3845, piTFT Plus 3.5" P2441C retail packaging (LICENSED)</t>
  </si>
  <si>
    <t>3903, Adafruit HUZZAH ESP8266 Breakout P2471D (AQS-China)</t>
  </si>
  <si>
    <t>3904, Adafruit Pro Trinket - 5V 16MHz P2000C (AQS-China)</t>
  </si>
  <si>
    <t>3905, Adafruit Trinket - Mini Microcontroller - 5V Logic P1501D (AQS-CHINA) LICENSED</t>
  </si>
  <si>
    <t>4035,  FeatherWing OLED - 128x32 OLED Add-on For All Feather Boards P2900C</t>
  </si>
  <si>
    <t>4036,  Monochrome 1.3" 128x64 OLED graphic display P938C (AQS China)</t>
  </si>
  <si>
    <t>4070,  Assembled FeatherWing OLED P3045B (AQS-China)</t>
  </si>
  <si>
    <t>4071,  Electret Microphone Amplifier - MAX4466 with Adjustable Gain P1063B (AQS China)</t>
  </si>
  <si>
    <t>4072, PowerBoost 1000 Charger - Rechargeable 5V Lipo USB Boost @ 1A - 1000C P2465C LICENSED (AQS-China)</t>
  </si>
  <si>
    <t>4160, Adafruit Feather HUZZAH with ESP8266 WiFi P2821D</t>
  </si>
  <si>
    <t>4161, FLORA v3 P659B LICENSED (AQS China EMS)</t>
  </si>
  <si>
    <t>4216, Adafruit Feather 32u4 Basic Proto P2771B (CONSIGNED)</t>
  </si>
  <si>
    <t>8238, USB Boarduino (Arduino compatible) Kit w/ATmega328</t>
  </si>
  <si>
    <t>8258, ADXL335 - 5V ready triple-axis accelerometer (+-3g analog out)</t>
  </si>
  <si>
    <t>8270, Assembled Drawdio fun pack</t>
  </si>
  <si>
    <t>8281, MicroSD card breakout board+</t>
  </si>
  <si>
    <t>8283, USB LiIon/LiPoly charger</t>
  </si>
  <si>
    <t>8285, Thermocouple Amplifier MAX31855 breakout board (MAX6675 upgrade)</t>
  </si>
  <si>
    <t>8294, i2c / SPI character LCD backpack</t>
  </si>
  <si>
    <t>8295, Atmega32u4 Breakout Board</t>
  </si>
  <si>
    <t>8298, Monochrome 0.96" 128x64 OLED graphic display</t>
  </si>
  <si>
    <t>8302, Touch screen breakout board (0.5mm FPC)</t>
  </si>
  <si>
    <t>8308, 1.8" Color TFT LCD display with MicroSD Card Breakout</t>
  </si>
  <si>
    <t>8309, PN532 NFC/RFID controller breakout board</t>
  </si>
  <si>
    <t>8313, USB / DC / Solar Lithium Ion/Polymer charger</t>
  </si>
  <si>
    <t>8315, 8-channel Bi-directional Logic Level Converter</t>
  </si>
  <si>
    <t>8318, Adafruit TSL2561 Digital Luminosity/Lux/Light Sensor Breakout</t>
  </si>
  <si>
    <t>8327, VCNL4010 Proximity/Light sensor</t>
  </si>
  <si>
    <t>8352, Monochrome 128x32 SPI OLED graphic display</t>
  </si>
  <si>
    <t>8355, OLED Breakout Board - 16-bit Color 0.96" w/microSD holder</t>
  </si>
  <si>
    <t>8366, 4-channel I2C-safe Bi-directional Logic Level Converter</t>
  </si>
  <si>
    <t>8374, Adafruit USB + Serial LCD Backpack Add-On with Cable</t>
  </si>
  <si>
    <t>8375, Adafruit PN532 NFC/RFID Controller Shield for Arduino + Extras</t>
  </si>
  <si>
    <t>8378, Adafruit 1.8" Color TFT Shield w/microSD and Joystick</t>
  </si>
  <si>
    <t>8381, Adafruit 16-Channel 12-bit PWM/Servo Driver - I2C interface</t>
  </si>
  <si>
    <t>8390, Adafruit mini 8x8 LED matrix backpack</t>
  </si>
  <si>
    <t>8392, Adafruit 7-segment LED matrix backpack</t>
  </si>
  <si>
    <t>8395, Adafruit Bicolor 8x8 LED matrix backpack</t>
  </si>
  <si>
    <t>8396, INA219  High Side DC Current Sensor Breakout - 26V Â±3.2A Max</t>
  </si>
  <si>
    <t>8407, Monochrome 128x32 I2C OLED graphic display</t>
  </si>
  <si>
    <t>8409, MCP4725 Breakout Board - 12-Bit DAC w/I2C Interface</t>
  </si>
  <si>
    <t>8416, Low-profile microSD card adapter for Raspberry Pi</t>
  </si>
  <si>
    <t>8420, Stereo 3.7W Class D Audio Amplifier - MAX98306</t>
  </si>
  <si>
    <t>8421, MPL115A2 - I2C Barometric Pressure/Temperature Sensor</t>
  </si>
  <si>
    <t>8424, ADXL326 - 5V ready triple-axis accelerometer (+-16g analog out)</t>
  </si>
  <si>
    <t>8428, L3GD20H Triple-Axis Gyro Breakout Board - L3GD20/L3G4200 Upgrade</t>
  </si>
  <si>
    <t>8434, Adafruit 1.2" 8x8 LED matrix backpack</t>
  </si>
  <si>
    <t>8440, ADS1015 12-Bit ADC - 4 Channel with Programmable Gain Amplifier</t>
  </si>
  <si>
    <t>8441, ADS1115 16-Bit ADC - 4 Channel with Programmable Gain Amplifier</t>
  </si>
  <si>
    <t>8449, Triple-axis Accelerometer+Magnetometer (Compass) Board - LSM303</t>
  </si>
  <si>
    <t>8453, Adafruit Assembled Data Logging shield for Arduino</t>
  </si>
  <si>
    <t>8456, INA169 Analog DC Current Sensor Breakout - 60V 5A Max</t>
  </si>
  <si>
    <t>8459, Adafruit GEMMA v2 - Miniature wearable electronic platform</t>
  </si>
  <si>
    <t>8466, ADXL345 - Triple-Axis Accelerometer (+-2g/4g/8g/16g) w/ I2C/SPI</t>
  </si>
  <si>
    <t>8468, Flora Lux Sensor - TSL2561 Light Sensor</t>
  </si>
  <si>
    <t>8469, FLORA Accelerometer/Compass Sensor - LSM303</t>
  </si>
  <si>
    <t>8475, Adafruit Seven-Segment Backpack - 1.2" Tall Digits</t>
  </si>
  <si>
    <t>8482, Contact-less Infrared Thermopile Sensor Breakout - TMP006</t>
  </si>
  <si>
    <t>8486, Adafruit Micro Lipo - USB LiIon/LiPoly charger</t>
  </si>
  <si>
    <t>8489, RGB Color Sensor with IR filter and White LED - TCS34725</t>
  </si>
  <si>
    <t>8491, Flora Color Sensor with White Illumination LED - TCS34725</t>
  </si>
  <si>
    <t>8492, Standalone 5-Pad Capacitive Touch Sensor Breakout - AT42QT1070</t>
  </si>
  <si>
    <t>8495, Standalone Momentary Capacitive Touch Sensor Breakout</t>
  </si>
  <si>
    <t>8496, Standalone Toggle Capacitive Touch Sensor Breakout</t>
  </si>
  <si>
    <t>8497, VS1053 Codec + MicroSD Breakout - MP3/WAV/MIDI/OGG Play + Record</t>
  </si>
  <si>
    <t>8498, GA1A12S202 Log-scale Analog Light Sensor</t>
  </si>
  <si>
    <t>8500, SHARP Memory Display Breakout - 1.3" 96x96 Silver Monochrome</t>
  </si>
  <si>
    <t>8501, Adafruit Push-button Power Switch Breakout</t>
  </si>
  <si>
    <t>8504, Adafruit 16-Channel 12-bit PWM/Servo Shield - I2C interface</t>
  </si>
  <si>
    <t>8505, ADXL377 - High-G Triple-Axis Accelerometer (+-200g Analog Out)</t>
  </si>
  <si>
    <t>8507, Adafruit 16x8 LED Matrix Driver Backpack -  HT16K33 Breakout</t>
  </si>
  <si>
    <t>8508, Adafruit 24-Channel 12-bit PWM LED Driver - SPI Interface</t>
  </si>
  <si>
    <t>8509, OLED Breakout Board - 16-bit Color 1.5" w/microSD holder</t>
  </si>
  <si>
    <t>8514, Adafruit 12-Channel 16-bit PWM LED Driver - SPI Interface</t>
  </si>
  <si>
    <t>8516, Adafruit HUZZAH CC3000 WiFi Breakout with Onboard Antenna</t>
  </si>
  <si>
    <t>8518, 2.2" 18-bit color TFT LCD display with microSD card breakout</t>
  </si>
  <si>
    <t>8519, Adafruit HUZZAH CC3000 WiFi Shield with Onboard Antenna</t>
  </si>
  <si>
    <t>8520, Adafruit Trinket - Mini Microcontroller - 3.3V Logic</t>
  </si>
  <si>
    <t>8522, Adafruit CC3000 WiFi Breakout with uFL Connector for Ext Antenna</t>
  </si>
  <si>
    <t>8525, Adafruit CC3000 WiFi Shield with uFL Connector for Ext Antenna</t>
  </si>
  <si>
    <t>8526, Bluefruit EZ-Key - 12 Input Bluetooth HID Keyboard Controller</t>
  </si>
  <si>
    <t>8528, Adafruit USB Power Gauge Mini-Kit</t>
  </si>
  <si>
    <t>8529, DS2413 1-Wire Two GPIO Controller Breakout</t>
  </si>
  <si>
    <t>8530, Stereo 2.1W Class D Audio Amplifier - TPA2012</t>
  </si>
  <si>
    <t>8535, Resistive Touch Screen Controller - STMPE610</t>
  </si>
  <si>
    <t>8538, Resistive Touch Screen to USB Mouse Controller - AR1100</t>
  </si>
  <si>
    <t>8540, Bluefruit EZ-Link - Bluetooth Serial Link &amp; Arduino Programmer</t>
  </si>
  <si>
    <t>8542, RA8875 Driver Board for 40-pin TFT Touch Displays - 800x480 Max</t>
  </si>
  <si>
    <t>8545, CAP1188 - 8-Key Capacitive Touch Sensor Breakout - I2C or SPI</t>
  </si>
  <si>
    <t>8546, BMP180 Barometric Pressure/Temperature/Altitude Sensor- 5V ready</t>
  </si>
  <si>
    <t>8547, Adafruit 10-DOF IMU Breakout - L3GD20H + LSM303 + BMP180</t>
  </si>
  <si>
    <t>8549, Adafruit Trellis Monochrome Driver PCB for 4x4 Keypad &amp; 3mm LEDs</t>
  </si>
  <si>
    <t>8555, Bluefruit EZ-Link Shield - Bluetooth Arduino Serial &amp; Programmer</t>
  </si>
  <si>
    <t>8556, 2.8" TFT Touch Shield for Arduino with Resistive Touch Screen</t>
  </si>
  <si>
    <t>8557, Adafruit Qualia 9.7" DisplayPort Monitor - 2048x1536 Resolution</t>
  </si>
  <si>
    <t>8560, OLED Breakout Board - 16-bit Color 1.27" w/microSD holder</t>
  </si>
  <si>
    <t>8566, FadeCandy - Dithering USB-Controlled Driver for NeoPixels</t>
  </si>
  <si>
    <t>8569, Bluefruit LE - Bluetooth Low Energy (BLE 4.0) - nRF8001 Breakout</t>
  </si>
  <si>
    <t>8570, Stereo 2.8W Class D Audio Amplifier - I2C Control AGC - TPA2016</t>
  </si>
  <si>
    <t>8571, Electret Microphone Amplifier - MAX9814 with Auto Gain Control</t>
  </si>
  <si>
    <t>8572, Adafruit 9-DOF IMU Breakout - L3GD20H + LSM303</t>
  </si>
  <si>
    <t>8573, Qualia Bare Driver Board for LP097QX1 Display</t>
  </si>
  <si>
    <t>8575, 24-bar Graph I2C Backpack</t>
  </si>
  <si>
    <t>8577, Thermocouple Amplifier with 1-Wire Breakout Board - MAX31850K</t>
  </si>
  <si>
    <t>8579, Triple-axis Magnetometer (Compass) Board - HMC5883L</t>
  </si>
  <si>
    <t>8583, Stereo 20W Class D Audio Amplifier - MAX9744</t>
  </si>
  <si>
    <t>8584, Adafruit LED Sequins - Ruby Red - Pack of 5</t>
  </si>
  <si>
    <t>8585, Adafruit LED Sequins - Emerald Green - Pack of 5</t>
  </si>
  <si>
    <t>8586, Adafruit LED Sequins - Royal Blue - Pack of 5</t>
  </si>
  <si>
    <t>8587, Adafruit LED Sequins - Warm White - Pack of 5</t>
  </si>
  <si>
    <t>8589, USB Mini-B Breakout Board</t>
  </si>
  <si>
    <t>8590, 2.8" TFT LCD with Touchscreen Breakout Board w/MicroSD Socket</t>
  </si>
  <si>
    <t>8595, SI1145 Digital UV Index / IR / Visible Light Sensor</t>
  </si>
  <si>
    <t>8596, Analog Output K-Type Thermocouple Amplifier - AD8495 Breakout</t>
  </si>
  <si>
    <t>8597, MCP9808 High Accuracy I2C Temperature Sensor Breakout Board</t>
  </si>
  <si>
    <t>8601, Adafruit "Music Maker" MP3 Shield for Arduino w/3W Stereo Amp</t>
  </si>
  <si>
    <t>8602, Adafruit "Music Maker" MP3 Shield for Arduino (MP3/Ogg/WAV...)</t>
  </si>
  <si>
    <t>8604, Adafruit LED Sequins - Rose Pink - Pack of 5 (in-house)</t>
  </si>
  <si>
    <t>8606, USB Micro-B Breakout Board</t>
  </si>
  <si>
    <t>8607, JST-PH 2-Pin SMT Right Angle Breakout Board</t>
  </si>
  <si>
    <t>8608, Switched JST-PH 2-Pin SMT Right Angle Breakout Board</t>
  </si>
  <si>
    <t>8609, 12mm Coin Cell Breakout w/ On-Off Switch</t>
  </si>
  <si>
    <t>8610, 12mm Coin Cell Breakout Board</t>
  </si>
  <si>
    <t>8611, 20mm Coin Cell Breakout Board (CR2032)</t>
  </si>
  <si>
    <t>8612, 20mm Coin Cell Breakout w/On-Off Switch (CR2032)</t>
  </si>
  <si>
    <t>8614, TXB0104 Bi-Directional Level Shifter</t>
  </si>
  <si>
    <t>8615, MPL3115A2 - I2C Barometric Pressure/Altitude/Temperature Sensor</t>
  </si>
  <si>
    <t>8616, Adafruit I2C Non-Volatile FRAM Breakout - 256Kbit / 32KByte</t>
  </si>
  <si>
    <t>8617, Adafruit SPI Non-Volatile FRAM Breakout - 64Kbit / 8KByte</t>
  </si>
  <si>
    <t>8618, Adafruit HTU21D-F Temperature &amp; Humidity Sensor Breakout Board</t>
  </si>
  <si>
    <t>8619, Adafruit BMP183 SPI Barometric Pressure &amp; Altitude Sensor</t>
  </si>
  <si>
    <t>8620, PowerBoost 500 Basic - 5V USB Boost @ 500mA from 1.8V+</t>
  </si>
  <si>
    <t>8621, Adafruit Micro Lipo w/MicroUSB Jack - USB LiIon/LiPoly charger</t>
  </si>
  <si>
    <t>8622, Adafruit Mini Lipo w/Mini-B USB Jack - USB LiIon/LiPoly charger</t>
  </si>
  <si>
    <t>8623, Adafruit 14-segment LED Alphanumeric backpack</t>
  </si>
  <si>
    <t>8625, Cupcade Adapter PCB + Parts Pack</t>
  </si>
  <si>
    <t>8626, Analog UV Light Sensor Breakout - GUVA-S12SD</t>
  </si>
  <si>
    <t>8632, 40-pin TFT Friend - FPC Breakout with LED Backlight Driver</t>
  </si>
  <si>
    <t>8635, PowerBoost 500 Charger - Rechargeable 5V Lipo USB Boost @ 500mA+</t>
  </si>
  <si>
    <t>8637, Adafruit FONA - Mini Cellular GSM Breakout uFL Version</t>
  </si>
  <si>
    <t>8638, 2.8" TFT Touch Shield for Arduino w/Capacitive Touch</t>
  </si>
  <si>
    <t>8639, Adafruit Stereo FM Transmitter with RDS/RBDS Breakout - Si4713</t>
  </si>
  <si>
    <t>8640, Adafruit FONA - Mini Cellular GSM Breakout - SMA Version</t>
  </si>
  <si>
    <t>8642, Adafruit TSL2591 High Dynamic Range Digital Light Sensor</t>
  </si>
  <si>
    <t>8643, Flora UV Index Sensor - Si1145 Light Sensor</t>
  </si>
  <si>
    <t>8644, Adafruit 12-Key Capacitive Touch Sensor Breakout - MPR121</t>
  </si>
  <si>
    <t>8648, Adafruit Pro Trinket - 3V 12MHz</t>
  </si>
  <si>
    <t>8650, Adafruit Triple-Axis Accelerometer - Â±2/4/8g @ 14-bit - MMA8451</t>
  </si>
  <si>
    <t>8651, FLORA 9-DOF Accelerometer/Gyroscope/Magnetometer - LSM9DS0</t>
  </si>
  <si>
    <t>8652, Adafruit 9-DOF Accel/Mag/Gyro+Temp Breakout Board - LSM9DS0</t>
  </si>
  <si>
    <t>8653, Contact-less Infrared Thermopile Sensor Breakout - TMP007</t>
  </si>
  <si>
    <t>8654, Adafruit 12 x Capacitive Touch Shield for Arduino - MPR121</t>
  </si>
  <si>
    <t>8655, PowerBoost 1000 Basic - 5V USB Boost @ 1000mA from 1.8V+</t>
  </si>
  <si>
    <t>8657, Adafruit Si5351A Clock Generator Breakout Board - 8KHz to 160MHz</t>
  </si>
  <si>
    <t>8658, Adafruit 16x8 LED Matrix Backpack</t>
  </si>
  <si>
    <t>8659, 3.5" TFT 320x480 + Touchscreen Breakout Board w/MicroSD Socket</t>
  </si>
  <si>
    <t>8662, Adafruit PowerBoost 500 Shield - Rechargeable 5V Power Shield</t>
  </si>
  <si>
    <t>8665, Adafruit 1.44" Color TFT LCD Display with MicroSD Card breakout</t>
  </si>
  <si>
    <t>8666, 2.8" TFT LCD with Cap Touch Breakout Board w/MicroSD Socket</t>
  </si>
  <si>
    <t>8670, JTAG (2x10 2.54mm) to SWD (2x5 1.27mm) Cable Adapter Board</t>
  </si>
  <si>
    <t>8673, 50pin to 40pin + AR1100 Adapter (same as P3305)</t>
  </si>
  <si>
    <t>8674, Adafruit USB Isolator - 100mA Isolated Low/Full Speed USB</t>
  </si>
  <si>
    <t>8679, Adafruit Pro Trinket LiIon/LiPoly Backpack Add-On</t>
  </si>
  <si>
    <t>8681, Adafruit Mono 2.5W Class D Audio Amplifier - PAM8302</t>
  </si>
  <si>
    <t>8682, Adafruit Audio FX Sound Board - WAV/OGG Trigger with 2MB Flash</t>
  </si>
  <si>
    <t>8683, Adafruit Pro Trinket - 5V 16MHz - Hackaday Edition</t>
  </si>
  <si>
    <t>8688, VERTER 5V USB Buck-Boost - 500mA from 3V-5V / 1000ma from 5V-12V</t>
  </si>
  <si>
    <t>8689, Precision LM4040 Voltage Reference Breakout - 2.048V and 4.096V</t>
  </si>
  <si>
    <t>8690, Adafruit Audio FX Sound Board + 2x2W Amp - WAV/OGG Trigger - 2MB</t>
  </si>
  <si>
    <t>8691, Adafruit Audio FX Sound Board + 2x2W Amp - WAV/OGG Trigger -16MB</t>
  </si>
  <si>
    <t>8692, TFP401 HDMI/DVI Decoder to 40-Pin TTL Breakout - Without Touch</t>
  </si>
  <si>
    <t>8693, TFP401 HDMI/DVI Decoder to 40-Pin TTL Breakout - With Touch</t>
  </si>
  <si>
    <t>8694, Adafruit Audio FX Sound Board - WAV/OGG Trigger with 16MB Flash</t>
  </si>
  <si>
    <t>8701, Adafruit FT232H Breakout - General Purpose USB to GPIO+SPI+I2C</t>
  </si>
  <si>
    <t>8703, Bluefruit LE Friend - Bluetooth Low Energy (BLE 4.0) - nRF51822</t>
  </si>
  <si>
    <t>8704, Adafruit Particle/Spark NeoPixel Ring Kit - 24 NeoPixels</t>
  </si>
  <si>
    <t>8705, Bluefruit LE Sniffer - Bluetooth Low Energy (BLE 4.0) - nRF51822</t>
  </si>
  <si>
    <t>8713, Adafruit DRV2605L Haptic Motor Controller</t>
  </si>
  <si>
    <t>8715, Adafruit Perma-Proto HAT for Pi Mini Kit - With EEPROM</t>
  </si>
  <si>
    <t>8716, Adafruit PiTFT 2.2" HAT Mini Kit - 320x240 2.2" TFT - No Touch</t>
  </si>
  <si>
    <t>8717, Adafruit Ultimate GPS HAT for Raspberry Pi A+/B+/Pi 2</t>
  </si>
  <si>
    <t>8719, Adafruit 16-Channel PWM / Servo HAT for Raspberry Pi - Mini Kit</t>
  </si>
  <si>
    <t>8721, Adafruit Capacitive Touch HAT for Raspberry Pi - Mini Kit</t>
  </si>
  <si>
    <t>8722, Adafruit Audio FX Mini Sound Board - WAV/OGG Trigger 16MB Flash</t>
  </si>
  <si>
    <t>8723, Adafruit Audio FX Mini Sound Board - WAV/OGG Trigger - 2MB Flash</t>
  </si>
  <si>
    <t>8725, Adafruit RGB Matrix HAT + RTC for Raspberry Pi - Mini Kit</t>
  </si>
  <si>
    <t>8726, Adafruit DC &amp; Stepper Motor HAT for Raspberry Pi - Mini Kit</t>
  </si>
  <si>
    <t>8744, Adafruit TB6612 1.2A DC/Stepper Motor Driver Breakout Board</t>
  </si>
  <si>
    <t>8745, Adafruit DPI TFT Kippah for Raspberry Pi with Touch Support</t>
  </si>
  <si>
    <t>8746, Adafruit DPI TFT Kippah for Raspberry Pi</t>
  </si>
  <si>
    <t>8747, Adafruit PiTFT 2.4" HAT Mini Kit - 320x240 TFT Touchscreen</t>
  </si>
  <si>
    <t>8748, Adafruit METRO 328 without Headers</t>
  </si>
  <si>
    <t>8749, Adafruit FONA 800 Shield - Voice/Data Cellular GSM for Arduino</t>
  </si>
  <si>
    <t>8750, Arduino GEMMA Board - Adafruit Edition</t>
  </si>
  <si>
    <t>8752, Adafruit 9-DOF Absolute Orientation IMU Fusion Breakout - BNO055</t>
  </si>
  <si>
    <t>8753, Adafruit 2.4" TFT LCD with Touchscreen Breakout w/MicroSD Socket</t>
  </si>
  <si>
    <t>8754, Adafruit Bluefruit LE UART Friend - Bluetooth Low Energy (BLE)</t>
  </si>
  <si>
    <t>8755, Adafruit METRO 328 w/FTDI with SMT Headers - Internal</t>
  </si>
  <si>
    <t>8760, Flora Wearable Bluefruit LE Module</t>
  </si>
  <si>
    <t>8761, Adafruit METRO 328 without Headers</t>
  </si>
  <si>
    <t>8762, Adafruit HUZZAH ESP8266 Breakout - Hackaday Edition</t>
  </si>
  <si>
    <t>8775, Qualia Bare Driver Board for LP097QX1 Display</t>
  </si>
  <si>
    <t>8784, Adafruit FONA 808 - Mini Cellular GSM + GPS Breakout</t>
  </si>
  <si>
    <t>8798, Flora Sewable 3-Pin JST Wiring Adapter</t>
  </si>
  <si>
    <t>8817, Adafruit Metro Mini 328 - 5V 16MHz</t>
  </si>
  <si>
    <t>8827, Assembled Drawdio PCB</t>
  </si>
  <si>
    <t>8828, PiTFT Plus 320x240 3.2" TFT + Resistive Touchscreen</t>
  </si>
  <si>
    <t>8830, Adafruit Bluefruit LE SPI Friend - Bluetooth Low Energy (BLE)</t>
  </si>
  <si>
    <t>8831, Adafruit HDC1008 Temperature &amp; Humidity Sensor Breakout Board</t>
  </si>
  <si>
    <t>8832, Adafruit FONA 808 Shield - Mini Cellular GSM + GPS for Arduino</t>
  </si>
  <si>
    <t>8834, Adafruit BMP280 I2C or SPI Barometric Pressure &amp; Altitude Sensor</t>
  </si>
  <si>
    <t>8835, Adafruit BME280 I2C or SPI Temperature Humidity Pressure Sensor</t>
  </si>
  <si>
    <t>8837, Adafruit Bluefruit LE Micro - Bluetooth Low Energy + ATmega32u4</t>
  </si>
  <si>
    <t>8842, Adafruit METRO 328 with Headers - Digikey Version</t>
  </si>
  <si>
    <t>8843, Adafruit FONA 3G Cellular Breakout - American version</t>
  </si>
  <si>
    <t>8844, Adafruit FONA 3G Cellular Breakout - European version</t>
  </si>
  <si>
    <t>8847, Adafruit Silicon MEMS Microphone Breakout - SPW2430</t>
  </si>
  <si>
    <t>8848, TCA9548A I2C Multiplexer</t>
  </si>
  <si>
    <t>8852, Assembled Adafruit BMP280 (same as PID 2651)</t>
  </si>
  <si>
    <t>8853, Assembled TCS34725 RGB Color Sensor (same as PID 1334)</t>
  </si>
  <si>
    <t>8857, Pixie - 3W Chainable Smart LED Pixel</t>
  </si>
  <si>
    <t>8858, SWD (2x5 1.27mm) Cable Breakout Board</t>
  </si>
  <si>
    <t>8859, LM3671 3.3V Buck Converter Breakout  - 3.3V Output 600mA Max</t>
  </si>
  <si>
    <t>8860, Adafruit Bluefruit LE Shield - Bluetooth LE for Arduino</t>
  </si>
  <si>
    <t>8861, Adafruit ALS-PT19 Analog Light Sensor Breakout</t>
  </si>
  <si>
    <t>8868, Adafruit Feather M0 Basic Proto - ATSAMD21 Cortex M0</t>
  </si>
  <si>
    <t>8870, Adafruit Feather 32u4 Adalogger</t>
  </si>
  <si>
    <t>8871, Adafruit Feather M0 Adalogger</t>
  </si>
  <si>
    <t>8872, Adafruit LIS3DH Triple-Axis Accelerometer (+-2g/4g/8g/16g)</t>
  </si>
  <si>
    <t>8882, Adafruit Feather 32u4 Bluefruit LE</t>
  </si>
  <si>
    <t>8890, Adafruit Sensiron SHT31-D Temperature &amp; Humidity Sensor Breakout</t>
  </si>
  <si>
    <t>8894, Adafruit Non-Latching Mini Relay FeatherWing</t>
  </si>
  <si>
    <t>8896, Adafruit VEML6070 UV Index Sensor Breakout</t>
  </si>
  <si>
    <t>8899, Arduino Micro with Headers - Arduino &amp; Reseller Version</t>
  </si>
  <si>
    <t>8904, LASER - Ice Tube Acrylic - INTERNAL</t>
  </si>
  <si>
    <t>8905, LASER - Acrylic Stand for 16x2 Character LCD ACRYLIC</t>
  </si>
  <si>
    <t>8906, LASER - Monochron Acrylic INTERNAL</t>
  </si>
  <si>
    <t>8907, LASER - IoT Pi Printer ACRYLIC INTERNAL</t>
  </si>
  <si>
    <t>8909, LASER - TIMESQUARE Watch Acrylic INTERNAL</t>
  </si>
  <si>
    <t>8910, Adalogger FeatherWing - RTC + SD Add-on For All Feather Boards</t>
  </si>
  <si>
    <t>8911, Adafruit Latching Mini Relay FeatherWing</t>
  </si>
  <si>
    <t>8912, DC Motor + Stepper FeatherWing Add-on For All Feather Boards</t>
  </si>
  <si>
    <t>8913, 8-Channel PWM or Servo FeatherWing Add-on For All Feather Boards</t>
  </si>
  <si>
    <t>8916, LASER - IoT Pi Printer (Cloud) ACRYLIC INTERNAL</t>
  </si>
  <si>
    <t>8917, NeoPixel FeatherWing - 4x8 RGB LED Add-on For All Feather Boards</t>
  </si>
  <si>
    <t>8918, Adafruit 16x9 Charlieplexed PWM LED Matrix Driver - IS31FL3731</t>
  </si>
  <si>
    <t>8919, LED Charlieplexed Matrix - 9x16 LEDs - Red</t>
  </si>
  <si>
    <t>8920, LED Charlieplexed Matrix - 9x16 LEDs - Yellow</t>
  </si>
  <si>
    <t>8932, LED Charlieplexed Matrix - 9x16 LEDs - Green</t>
  </si>
  <si>
    <t>8933, LED Charlieplexed Matrix - 9x16 LEDs - Blue</t>
  </si>
  <si>
    <t>8934, LED Charlieplexed Matrix - 9x16 LEDs - Cool White</t>
  </si>
  <si>
    <t>8935, Adafruit Feather M0 Bluefruit LE</t>
  </si>
  <si>
    <t>8936, Adafruit ATWINC1500 WiFi Breakout</t>
  </si>
  <si>
    <t>8937,  Circuit Playground v1 - Developer Edition (adafruit made)</t>
  </si>
  <si>
    <t>8938, Adafruit I2S 3W Class D Amplifier Breakout - MAX98357A</t>
  </si>
  <si>
    <t>8939, Adafruit Feather M0 WiFi - ATSAMD21 + ATWINC1500</t>
  </si>
  <si>
    <t>8940, Adafruit DS3231 Precision RTC Breakout</t>
  </si>
  <si>
    <t>8942, Adafruit Feather 32u4 FONA</t>
  </si>
  <si>
    <t>8943, DS3231 Precision RTC FeatherWing - RTC Add-on For Feather Boards</t>
  </si>
  <si>
    <t>8952, Assembled BME280 Sensor (same as P2652)</t>
  </si>
  <si>
    <t>8953, Assembled Adafruit Feather M0 WiFi (same as P3010)</t>
  </si>
  <si>
    <t>8954, Assembled Feather HUZZAH with ESP8266 WiFi (same as P2821)</t>
  </si>
  <si>
    <t>8959, Adafruit WICED WiFi Feather - STM32F205 with Cypress WICED WiFi</t>
  </si>
  <si>
    <t>8960, Adafruit ATWINC1500 WiFi Breakout with uFL Connector</t>
  </si>
  <si>
    <t>8961, Adafruit Feather M0 WiFi with uFL - ATSAMD21 + ATWINC1500</t>
  </si>
  <si>
    <t>8963, Adafruit RFM69HCW Transceiver Radio Breakout - 868 or 915 MHz</t>
  </si>
  <si>
    <t>8964, Adafruit RFM69HCW Transceiver Radio Breakout - 433 MHz</t>
  </si>
  <si>
    <t>8965, Adafruit RFM95W LoRa Radio Transceiver Breakout - 868 or 915 MHz</t>
  </si>
  <si>
    <t>8966, Adafruit RFM96W LoRa Radio Transceiver Breakout - 433 MHz</t>
  </si>
  <si>
    <t>8967, Adafruit Feather 32u4 RFM69HCW Packet Radio - 868 or 915 MHz</t>
  </si>
  <si>
    <t>8968, Adafruit Feather 32u4 with RFM69HCW Packet Radio - 433MHz</t>
  </si>
  <si>
    <t>8969, Adafruit Feather 32u4 RFM95 LoRa Radio - 868 or 915 MHz</t>
  </si>
  <si>
    <t>8970, Adafruit Feather 32u4 RFM96 LoRa Radio - 433MHz</t>
  </si>
  <si>
    <t>8971, Adafruit 4-Digit 7-Segment LED Matrix Display FeatherWing</t>
  </si>
  <si>
    <t>8972, Adafruit 14-Segment Alphanumeric LED FeatherWing</t>
  </si>
  <si>
    <t>8973, Adafruit 8x16 LED Matrix FeatherWing w/o Matrices</t>
  </si>
  <si>
    <t>8978, Adafruit Ultimate GPS FeatherWing</t>
  </si>
  <si>
    <t>8979, Adafruit 15x7 CharliePlex LED Matrix Display FeatherWing - Red</t>
  </si>
  <si>
    <t>8980, Adafruit 15x7 CharliePlex LED Matrix Display FeatherWing Yellow</t>
  </si>
  <si>
    <t>8981, Adafruit 15x7 CharliePlex LED Matrix Display FeatherWing - Green</t>
  </si>
  <si>
    <t>8982, Adafruit 15x7 CharliePlex LED Matrix Display FeatherWing - Blue</t>
  </si>
  <si>
    <t>8983, Adafruit 15x7 CharliePlex LED Matrix FeatherWing - Cool White</t>
  </si>
  <si>
    <t>8987, LED Charlieplexed Matrix - 9x16 LEDs - Warm White</t>
  </si>
  <si>
    <t>8988, Adafruit 15x7 CharliePlex LED Matrix FeatherWing - Warm White</t>
  </si>
  <si>
    <t>8989, Adafruit Feather M0 RFM69HCW Packet Radio - 868 or 915 MHz</t>
  </si>
  <si>
    <t>8990, Adafruit Feather M0 RFM69HCW Packet Radio - 433MHz</t>
  </si>
  <si>
    <t>8991, Adafruit Feather M0 with RFM95 LoRa Radio - 900MHz</t>
  </si>
  <si>
    <t>8992, Adafruit Feather M0 RFM96 LoRa Radio - 433MHz</t>
  </si>
  <si>
    <t>8995, Adafruit DRV8871 DC Motor Driver Breakout Board - 3.6A Max</t>
  </si>
  <si>
    <t>8996, Adafruit Power Relay FeatherWing</t>
  </si>
  <si>
    <t>8998, Adafruit MiCS5524 CO, Alcohol and VOC Gas Sensor Breakout</t>
  </si>
  <si>
    <t>8999, Teensy 3.x Feather Adapter</t>
  </si>
  <si>
    <t>9000, Adafruit Ethernet FeatherWing</t>
  </si>
  <si>
    <t>9001, AdaBox Adafruit Feather 32u4 Adalogger (Same as P2795)</t>
  </si>
  <si>
    <t>9002, AdaBox NeoPixel FeatherWing - 4x8 RGB LED (same as P2945 but pre-assembled)</t>
  </si>
  <si>
    <t>9006, Assembled "Music Maker" MP3 Shield for Arduino (P1790)</t>
  </si>
  <si>
    <t>9007, Assembled Feather HUZZAH w/ ESP8266 WiFi (P2821-StackingHeaders)</t>
  </si>
  <si>
    <t>9009, iRobot Assembled Feather HUZZAH w/ ESP8266 WiFi (same as P2821)</t>
  </si>
  <si>
    <t>9011, Adafruit Radio FeatherWing - RFM69HCW 900MHz</t>
  </si>
  <si>
    <t>9012, Adafruit Radio FeatherWing - RFM69HCW 433MHz</t>
  </si>
  <si>
    <t>9013, Adafruit LoRa Radio FeatherWing - RFM95W 900 MHz</t>
  </si>
  <si>
    <t>9014, Adafruit LoRa Radio FeatherWing - RFM95W 433 MHz</t>
  </si>
  <si>
    <t>9016, Resistive Touch Screen to USB Mouse Controller - AR1100</t>
  </si>
  <si>
    <t>9018, DC Motor + Stepper FeatherWing Add-on (Same as P2927)</t>
  </si>
  <si>
    <t>9021, Adafruit Si7021 Temperature &amp; Humidity Sensor Breakout Board</t>
  </si>
  <si>
    <t>9022, Adafruit Universal Thermocouple Amplifier MAX31856 Breakout</t>
  </si>
  <si>
    <t>9030, Adafruit PCF8523 Real Time Clock Assembled Breakout Board</t>
  </si>
  <si>
    <t>9031, Adafruit DS1307 Real Time Clock Assembled Breakout Board</t>
  </si>
  <si>
    <t>9032, Adafruit DRV8833 DC/Stepper Motor Driver Breakout Board</t>
  </si>
  <si>
    <t>9033, Adafruit TFT 50pin to 40pin + AR1100 Touchscreen Adapter</t>
  </si>
  <si>
    <t>9034, Adafruit CP2104 Friend - USB to Serial Converter</t>
  </si>
  <si>
    <t>9036, TFT FeatherWing - 2.4" 320x240 Touchscreen For All Feathers</t>
  </si>
  <si>
    <t>9037, Adafruit VL6180X Time of Flight Distance Ranging Sensor (VL6180)</t>
  </si>
  <si>
    <t>9038, Adafruit VL53L0X Time of Flight Distance Sensor - ~30 to 1000mm</t>
  </si>
  <si>
    <t>9041, Adafruit 14-segment LED Alphanumeric backpack (same as P1910)</t>
  </si>
  <si>
    <t>9043, LASER - UNTZtrument Add-on Acrylic Tweaker/Hacker Panel (P1945)</t>
  </si>
  <si>
    <t>9045, Adafruit PT100 RTD Temperature Sensor Amplifier - MAX31865</t>
  </si>
  <si>
    <t>9051, Adafruit I2S 3W Stereo Speaker Bonnet for Raspberry Pi</t>
  </si>
  <si>
    <t>9052, Adafruit Animated Eyes Bonnet for Raspberry Pi Mini Kit</t>
  </si>
  <si>
    <t>9053, Adafruit Music Maker FeatherWing - MP3 OGG WAV MIDI Synth Player</t>
  </si>
  <si>
    <t>9062, Adafruit LED Sequins - Multicolor Pack</t>
  </si>
  <si>
    <t>9063, Adafruit GEMMA M0 - Miniature wearable electronic platform</t>
  </si>
  <si>
    <t>9108, Adafruit Ultimate GPS Breakout - 66 channel w/10 Hz</t>
  </si>
  <si>
    <t>9110, Adafruit PiRTC - PCF8523 Real Time Clock for Raspberry Pi</t>
  </si>
  <si>
    <t>9111, Adafrut LSM9DS1 Breakout Board</t>
  </si>
  <si>
    <t>9112, Circuit Playground Express</t>
  </si>
  <si>
    <t>9132, Adalogger FeatherWing - RTC + SD Add-on For All Feather Boards</t>
  </si>
  <si>
    <t>9133, Bluefruit LE Friend - Bluetooth Low Energy (BLE 4.0) - nRF51822</t>
  </si>
  <si>
    <t>9135, Bluefruit LE Sniffer - Bluetooth Low Energy (BLE 4.0) - nRF51822</t>
  </si>
  <si>
    <t>9168, Feather M0 Express</t>
  </si>
  <si>
    <t>9185, Feather nRF52</t>
  </si>
  <si>
    <t>9190, Adafruit Audio FX Mini Sound Board - WAV/OGG Trigger - 2MB Flash</t>
  </si>
  <si>
    <t>9223, Adafruit Arcade Bonnet with Connectors</t>
  </si>
  <si>
    <t>9234, Adafruit I2S Mic breakout</t>
  </si>
  <si>
    <t>9248, DC Motor + Stepper FeatherWing Add-on For All Feather Boards</t>
  </si>
  <si>
    <t>9249, DC Motor + Stepper FeatherWing Add-on (Same as P2927)</t>
  </si>
  <si>
    <t>9250, Adafruit TPL5110 Breakout</t>
  </si>
  <si>
    <t>9256, Adafruit LED Sequins - Ruby Red - Pack of 5</t>
  </si>
  <si>
    <t>9258, Adafruit LED Sequins - Multicolor Pack (In House)</t>
  </si>
  <si>
    <t>9284, Adafruit DotStar HD 8x8 Grid</t>
  </si>
  <si>
    <t>9312, Adafruit Music Maker Featherwing w/Amp</t>
  </si>
  <si>
    <t>9326, Adafruit Audio FX Sound Board - WAV/OGG Trigger with 2MB Flash</t>
  </si>
  <si>
    <t>9391, Adafruit Precision NXP 9-DOF - FXOS8700+FXAS21002</t>
  </si>
  <si>
    <t>9394, Adafruit Joy Bonnet</t>
  </si>
  <si>
    <t>9406, Adafruit Particle/Spark NeoPixel Ring Kit - 24 NeoPixels</t>
  </si>
  <si>
    <t>9415, Adafruit Metro M0 Express</t>
  </si>
  <si>
    <t>9418, TXB0104 Bi-Directional Level Shifter</t>
  </si>
  <si>
    <t>9441, Adafruit WICED WiFi Feather - STM32F205 with Cypress WICED WiFi</t>
  </si>
  <si>
    <t>9454, Adafruit USB + Serial LCD Backpack Add-On with Cable</t>
  </si>
  <si>
    <t>9495, Adafruit PDM MEMS Microphone Breakout</t>
  </si>
  <si>
    <t>9506, Adafruit SHARP memory display - 168x144</t>
  </si>
  <si>
    <t>9702, Adafruit Sensiron SHT31-D Temperature &amp; Humidity Sensor Breakout</t>
  </si>
  <si>
    <t>9716, Feather M0 Express</t>
  </si>
  <si>
    <t>9720, Adafruit ESP32 Feather</t>
  </si>
  <si>
    <t>9731, [In House Soldered] Adafruit HTU21D-F Temperature &amp; Humidity Sensor Breakout Board SAME as PN 1899</t>
  </si>
  <si>
    <t>9778, Adafruit PiOLED 128x32</t>
  </si>
  <si>
    <t>9785, Qualia Bare Driver Board for LP097QX1 Display</t>
  </si>
  <si>
    <t>9806, Circuit Playground Express</t>
  </si>
  <si>
    <t>9884, Adafruit AMG8833 Breakout</t>
  </si>
  <si>
    <t>9887, Circuit Playground Express</t>
  </si>
  <si>
    <t>9891, Adafruit 128x64 OLED Bonnet</t>
  </si>
  <si>
    <t>9902, Adafruit Music Maker FeatherWing - MP3 OGG WAV MIDI Synth Player w/amplifier and reg headers assembled P3470A (IN HOUSE)</t>
  </si>
  <si>
    <t>9915, Adafruit Mini TFT - 160x80 16-bit Color</t>
  </si>
  <si>
    <t>9935, Adafruit ESP32 Feather</t>
  </si>
  <si>
    <t>10164, Adafruit Animated Eyes Bonnet for Raspberry Pi Mini Kit</t>
  </si>
  <si>
    <t>10354, Adafruit CCS811 Breakout</t>
  </si>
  <si>
    <t>10457, Adafruit TPL5111 Low Power Timer Breakout</t>
  </si>
  <si>
    <t>10462, Adafruit nRF52 Feather Pro</t>
  </si>
  <si>
    <t>10464, 1.0mm touch screen breakout</t>
  </si>
  <si>
    <t>10477, Adafruit I2S 3W Stereo Speaker Bonnet for Raspberry Pi</t>
  </si>
  <si>
    <t>10513, Adafruit PCF8523 Real Time Clock Assembled Breakout Board</t>
  </si>
  <si>
    <t>10517, Adafruit Trinket M0</t>
  </si>
  <si>
    <t>10537, Adafruit nRF52 Feather Pro</t>
  </si>
  <si>
    <t>10583, Adafruit PiUART</t>
  </si>
  <si>
    <t>10600, Adafruit ESP32 Feather [In House Soldered]</t>
  </si>
  <si>
    <t>10625, Adafruit APDS9960 Breakout</t>
  </si>
  <si>
    <t>10638, Adafruit DotStar Featherwing</t>
  </si>
  <si>
    <t>10641, Adafruit mini 8x8 LED backpack + Yellow/green matrix [fully assembled]</t>
  </si>
  <si>
    <t>10650, Adafruit Music Maker FeatherWing - MP3 OGG WAV MIDI Synth Player</t>
  </si>
  <si>
    <t>10652, Adafruit STEMMA TSL2561</t>
  </si>
  <si>
    <t>10686, Adafruit ATWINC1500 WiFi Breakout</t>
  </si>
  <si>
    <t>10687, Adafruit Feather M0 WiFi - ATSAMD21 + ATWINC1500</t>
  </si>
  <si>
    <t>10688, Assembled Adafruit Feather M0 WiFi (same as P3010)</t>
  </si>
  <si>
    <t>10691,  Ultimate GPS Logging Shield P1272 Adafruit IN HOUSE</t>
  </si>
  <si>
    <t>10743, Adafruit Metro 328 w/FTDI with THM Headers - Assembled Internal</t>
  </si>
  <si>
    <t>10746, Adafruit METRO328 w/CP2104 with THM Headers P2488A (IN-HOUSE)</t>
  </si>
  <si>
    <t>10748, Adafruit AMG8833 FeatherWing</t>
  </si>
  <si>
    <t>10772, Adafruit Joy FeatherWing w/SeeSaw</t>
  </si>
  <si>
    <t>10785, Adafruit Audio FX Sound Board + 2x2W Amp - WAV/OGG Trigger - 2MB</t>
  </si>
  <si>
    <t>10786, Adafruit Audio FX Sound Board + 2x2W Amp - WAV/OGG Trigger -16MB</t>
  </si>
  <si>
    <t>10860, Adafruit PT1000 RTD Temperature Sensor Amplifier - MAX31865</t>
  </si>
  <si>
    <t>10880, Adafruit INA219 FeatherWing</t>
  </si>
  <si>
    <t>10881, Adafruit 3.5" TFT FeatherWing</t>
  </si>
  <si>
    <t>10888, Adafruit WINC1500 Shield w/antenna</t>
  </si>
  <si>
    <t>10896, Metro M4 Express</t>
  </si>
  <si>
    <t>10897, Adafruit SAMD09 Breakout w/SeeSaw</t>
  </si>
  <si>
    <t>10933, PowerBoost 1000 Basic - 5V USB Boost @ 1000mA from 1.8V+</t>
  </si>
  <si>
    <t>10940, Adafruit WINC1500 Shield w/uFL</t>
  </si>
  <si>
    <t>10941, Adafruit BME680 Breakout</t>
  </si>
  <si>
    <t>10943, Adafruit MiniBoost 5V @ 100mA Charge Pump</t>
  </si>
  <si>
    <t>10992, Adafruit BME680 Breakout</t>
  </si>
  <si>
    <t>11004, Adafruit CSI or DSI Cable Extender Thingy for Raspberry Pi</t>
  </si>
  <si>
    <t>11006, Itsy Bitsy 32u4 3V</t>
  </si>
  <si>
    <t>11007, Itsy Bitsy 32u4 5V</t>
  </si>
  <si>
    <t>11010, UDA1334 Breakout</t>
  </si>
  <si>
    <t>11021, Adafruit Feather 328P</t>
  </si>
  <si>
    <t>11110, Adafruit Trinket M0</t>
  </si>
  <si>
    <t>11111, Adafruit DotStar Featherwing</t>
  </si>
  <si>
    <t>11112, Adafruit GEMMA M0 - Miniature wearable electronic platform</t>
  </si>
  <si>
    <t>11113, Adafruit DotStar HD 8x8 Grid</t>
  </si>
  <si>
    <t>11134, Itsy Bitsy 32u4 5V</t>
  </si>
  <si>
    <t>11136, Itsy Bitsy 32u4 3V</t>
  </si>
  <si>
    <t>11147, Adafruit SGP30 Breakout</t>
  </si>
  <si>
    <t>11236, Itsy Bitsy M0 Express</t>
  </si>
  <si>
    <t>11275, Adafruit FT232H Breakout - General Purpose USB to GPIO+SPI+I2C</t>
  </si>
  <si>
    <t>11282, Adafruit Audio FX Sound Board + 2x2W Amp - WAV/OGG Trigger - 2MB</t>
  </si>
  <si>
    <t>11283, Adafruit Audio FX Sound Board + 2x2W Amp - WAV/OGG Trigger -16MB</t>
  </si>
  <si>
    <t>11286, Adafruit Matrix Bonnet</t>
  </si>
  <si>
    <t>11297, Feather nRF52</t>
  </si>
  <si>
    <t>11298, Adafruit USB Isolator - 100mA Isolated Low/Full Speed USB</t>
  </si>
  <si>
    <t>11302, Adafruit DotStar HD 8x8 Grid</t>
  </si>
  <si>
    <t>11305, Pycon GEMMA m0</t>
  </si>
  <si>
    <t>11373, Adafruit nRF52 Feather Pro</t>
  </si>
  <si>
    <t>11384, Adafruit Dragon Tail for micro:bit Assembly P3695B (IN-HOUSE)</t>
  </si>
  <si>
    <t>11395, Adafruit Metro M0 Express</t>
  </si>
  <si>
    <t>11497, Adafruit Audio FX Sound Board - WAV/OGG Trigger with 2MB Flash</t>
  </si>
  <si>
    <t>11498, Adafruit WICED WiFi Feather - STM32F205 with Cypress WICED WiFi</t>
  </si>
  <si>
    <t>11499, Adafruit Audio FX Mini Sound Board - WAV/OGG Trigger - 2MB Flash</t>
  </si>
  <si>
    <t>11501, Monochrome 128x32 I2C OLED graphic display</t>
  </si>
  <si>
    <t>11514, Adafruit Joy FeatherWing w/SeeSaw</t>
  </si>
  <si>
    <t>11517, Adafruit Servo Bonnet</t>
  </si>
  <si>
    <t>11539, AS7262 6-Channel Visible Light / Color sensor breakout</t>
  </si>
  <si>
    <t>11547, Bluefruit LE Sniffer - Bluetooth Low Energy (BLE 4.0) - nRF51822</t>
  </si>
  <si>
    <t>11588, Adafruit 1.54" TFT breakout</t>
  </si>
  <si>
    <t>11704, Feather M0 Express</t>
  </si>
  <si>
    <t>11760, Circuit Playground Crickit Robot CCA + extras</t>
  </si>
  <si>
    <t>11812, Adafruit pIRkey</t>
  </si>
  <si>
    <t>11850, Adafruit NeoPXL8 Featherwing</t>
  </si>
  <si>
    <t>11888, Adafruit RGB Matrix HAT + RTC for Raspberry Pi - Mini Kit</t>
  </si>
  <si>
    <t>11903, Circuit Playground Crickit Robot CCA (raw) for KITTING (adabox008)</t>
  </si>
  <si>
    <t>11943, adafruit itsybitsy m4 xpress</t>
  </si>
  <si>
    <t>11956, FadeCandy - Dithering USB-Controlled Driver for NeoPixels</t>
  </si>
  <si>
    <t>11959, Feather nRF52</t>
  </si>
  <si>
    <t>11984, 3.2" TFT LCD with Touchscreen Breakout Board w/MicroSD Socket</t>
  </si>
  <si>
    <t>12012, Crickit Feather Wing</t>
  </si>
  <si>
    <t>12194, Adafruit Feather M4</t>
  </si>
  <si>
    <t>12195, Adabox008 Crickit to Store Kit</t>
  </si>
  <si>
    <t>12200, hallowing</t>
  </si>
  <si>
    <t>12237, Adafruit Feather M0 WiFi - ATSAMD21 + ATWINC1500 (w/pre-soldered headers)</t>
  </si>
  <si>
    <t>12250, 1.5" Red/Black/White eInk Display Breakout</t>
  </si>
  <si>
    <t>12284, Mini TFT FeatherWing</t>
  </si>
  <si>
    <t>12296, Crickit Feather Wing</t>
  </si>
  <si>
    <t>12320, Metro M4 Express</t>
  </si>
  <si>
    <t>12363, OLED Breakout Board - 16-bit Color 1.5" w/microSD holder</t>
  </si>
  <si>
    <t>12369, Circuit Playground Crickit Robot CCA + extras</t>
  </si>
  <si>
    <t>12382, NeoTrellis 4x4</t>
  </si>
  <si>
    <t>12384, Adafruit 1.8" Color TFT Shield w/microSD and Joystick</t>
  </si>
  <si>
    <t>12388, in house FeatherWing OLED - 128x32 OLED Add-on For All Feather Boards P2900C</t>
  </si>
  <si>
    <t>12400, Adafruit WINC1500 Shield w/uFL</t>
  </si>
  <si>
    <t>12401, Adafruit ATWINC1500 WiFi Breakout with uFL Connector</t>
  </si>
  <si>
    <t>12402, Adafruit Feather M0 WiFi with uFL - ATSAMD21 + ATWINC1500</t>
  </si>
  <si>
    <t>12408, Adafruit Pro Trinket LiIon/LiPoly Backpack Add-On</t>
  </si>
  <si>
    <t>12473, hallowing P3900B - Hatched Skull</t>
  </si>
  <si>
    <t>12477, hallowing P3900C - hatched silkscreen</t>
  </si>
  <si>
    <t>12478, Flora Sewable 3-Pin JST Wiring Adapter</t>
  </si>
  <si>
    <t>12479, Adafruit USB + Serial LCD Backpack Add-On with Cable</t>
  </si>
  <si>
    <t>12485, Adafruit RGB Matrix Featherwing</t>
  </si>
  <si>
    <t>12487, Crickit:bit</t>
  </si>
  <si>
    <t>12513, Pre-Kitted FTDI Friend +extras v1.0 P284B (In house)</t>
  </si>
  <si>
    <t>12575, Adafruit NeoTrellis M4 feat. Analog Devices ADXL343</t>
  </si>
  <si>
    <t>12610, Adafruit TB6612 1.2A DC/Stepper Motor Driver Breakout Board</t>
  </si>
  <si>
    <t>12619, 2.8" TFT Touch Shield for Arduino w/Capacitive Touch</t>
  </si>
  <si>
    <t>12635, Feather nRF52</t>
  </si>
  <si>
    <t>12651, Adafruit Crickit HAT for Raspberry Pi</t>
  </si>
  <si>
    <t>12652, Metro M4 Express</t>
  </si>
  <si>
    <t>12679, Adafruit VEML6075 UV Sensor Breakout</t>
  </si>
  <si>
    <t>12680, Adafruit MPRLS 0-25 PSI Pressure Sensor</t>
  </si>
  <si>
    <t>12701, Adafruit METRO 328 without Headers</t>
  </si>
  <si>
    <t>12710, Adafruit Ultimate GPS HAT for Raspberry Pi A+/B+/Pi 2</t>
  </si>
  <si>
    <t>12711, Adafruit NeoPXL8 Friend</t>
  </si>
  <si>
    <t>12795, Adabox010 - NeoTrellis  M4 feat. Analog Devices ADXL343</t>
  </si>
  <si>
    <t>12807, Adafruit BMP388 BReakout</t>
  </si>
  <si>
    <t>12844, adafruit prop maker wing</t>
  </si>
  <si>
    <t>12919, Adafruit RGB Matrix Featherwing</t>
  </si>
  <si>
    <t>12920, Soil Sensor</t>
  </si>
  <si>
    <t>12921, PyPortal (in-house silk NOT for adabox011)</t>
  </si>
  <si>
    <t>12925, Adafruit Audio FX Sound Board - WAV/OGG Trigger with 16MB Flash</t>
  </si>
  <si>
    <t>12926, Adafruit Audio FX Mini Sound Board - WAV/OGG Trigger 16MB Flash</t>
  </si>
  <si>
    <t>12929, Adafruit FONA 808 - Mini Cellular GSM + GPS Breakout</t>
  </si>
  <si>
    <t>12930, Adafruit FONA 808 Shield - Mini Cellular GSM + GPS for Arduino</t>
  </si>
  <si>
    <t>12936, Adafruit UDA1334A I2S Audio Bonnet</t>
  </si>
  <si>
    <t>12941, Adafruit Audio FX Sound Board + 2x2W Amp - WAV/OGG Trigger -16MB</t>
  </si>
  <si>
    <t>12958, Adafruit FONA 3G Cellular Breakout - American version</t>
  </si>
  <si>
    <t>12959, Adafruit FONA 3G Cellular Breakout - European version</t>
  </si>
  <si>
    <t>12961, Adafruit Music Maker FeatherWing - MP3 OGG WAV MIDI Synth Player</t>
  </si>
  <si>
    <t>13002, nRF52840 Feather</t>
  </si>
  <si>
    <t>13005, Grand Central M4</t>
  </si>
  <si>
    <t>13029,  Flora GPS P1059C</t>
  </si>
  <si>
    <t>13031, Adafruit RFM69HCW Transceiver Radio Bonnet - 868 or 915 MHz - RadioFruit</t>
  </si>
  <si>
    <t>13033, Adafruit RFM69HCW Transceiver Radio Bonnet - 433 MHz - RadioFruit</t>
  </si>
  <si>
    <t>13035, Adafruit Radio Bonnet RFM95W @ 915MHz RadioFruit</t>
  </si>
  <si>
    <t>13036, Adafruit Radio Bonnet  RFM96W @ 433MHz - RadioFruit</t>
  </si>
  <si>
    <t>13050, Adafruit Crickit HAT for Raspberry Pi</t>
  </si>
  <si>
    <t>13052, ADS1015 12-Bit ADC - 4 Channel with Programmable Gain Amplifier</t>
  </si>
  <si>
    <t>13068, Grand Central M4 without headers</t>
  </si>
  <si>
    <t>13079, 2.13"  Red/Black/White eInk Display Breakout</t>
  </si>
  <si>
    <t>13095, PiTFT Plus 320x240 3.2" TFT + Resistive Touchscreen</t>
  </si>
  <si>
    <t>13096, 3.2" TFT LCD with Touchscreen Breakout Board w/MicroSD Socket</t>
  </si>
  <si>
    <t>13112, Adafruit WINC1500 Shield w/antenna</t>
  </si>
  <si>
    <t>13113, Adafruit WINC1500 Shield w/uFL</t>
  </si>
  <si>
    <t>13131, ADT7410 Breakout Board</t>
  </si>
  <si>
    <t>13132, USB C Downstream Breakout</t>
  </si>
  <si>
    <t>13140, MLX90393 breakout</t>
  </si>
  <si>
    <t>13141, 2.7 inch eInk breakout</t>
  </si>
  <si>
    <t>13162, Adafruit 8x16 CharliePlex LED Matrix Display Bonnet - Blue</t>
  </si>
  <si>
    <t>13169, USB C Downstream Breakout</t>
  </si>
  <si>
    <t>13180, PyPortal</t>
  </si>
  <si>
    <t>13189, Adafruit DS3231 Precision RTC Breakout</t>
  </si>
  <si>
    <t>13200, Adafruit 8x16 CharliePlex LED Matrix Display Bonnet - Green</t>
  </si>
  <si>
    <t>13201, Adafruit 8x16 CharliePlex LED Matrix Display Bonnet - Yellow</t>
  </si>
  <si>
    <t>13202, Adafruit 8x16 CharliePlex LED Matrix Display Bonnet - Warm White</t>
  </si>
  <si>
    <t>13203, Adafruit 8x16 CharliePlex LED Matrix Display Bonnet - Cool White</t>
  </si>
  <si>
    <t>13204, Adafruit 2.13" Tri-Color E-Ink FeatherWing</t>
  </si>
  <si>
    <t>13219, ADXL343 Breakout</t>
  </si>
  <si>
    <t>13232, adafruit prop maker wing (assembled)</t>
  </si>
  <si>
    <t>13235, ADI Featherwing</t>
  </si>
  <si>
    <t>13241, Adafruit GPIO Bonnet</t>
  </si>
  <si>
    <t>13331, Adafruit HUZZAH32 â ESP32 Breakout Board</t>
  </si>
  <si>
    <t>13380, pygamer - initial run for shop</t>
  </si>
  <si>
    <t>13385, Adafruit 2.13" Monochrome eInk / ePaper Display FeatherWing</t>
  </si>
  <si>
    <t>13386, 1.54" Monochrome eInk / ePaper Display with SRAM</t>
  </si>
  <si>
    <t>13387, 2.13" Monochrome eInk / ePaper Display with SRAM</t>
  </si>
  <si>
    <t>13395, VEML7700 breakout</t>
  </si>
  <si>
    <t>13428, Adafruit AirLift Breakout</t>
  </si>
  <si>
    <t>13429, Adafruit EInk Friend</t>
  </si>
  <si>
    <t>13434, Adafruit Feather 328P</t>
  </si>
  <si>
    <t>13457, Adafruit 2.7" Tri-Color eInk / ePaper Shield with SRAM - Red Black White</t>
  </si>
  <si>
    <t>13460, Metro M4 WiFi Airlift</t>
  </si>
  <si>
    <t>13483, pybadge</t>
  </si>
  <si>
    <t>13486, pybadge LC</t>
  </si>
  <si>
    <t>13500, Metro M4 WiFi Airlift</t>
  </si>
  <si>
    <t>13519, INA260 Breakout</t>
  </si>
  <si>
    <t>13536, Adafruit CCS811 Breakout</t>
  </si>
  <si>
    <t>13538, pybadge</t>
  </si>
  <si>
    <t>13539, pybadge LC</t>
  </si>
  <si>
    <t>13559, Pygamer</t>
  </si>
  <si>
    <t>13594, Adafruit LPS35HW Breakout</t>
  </si>
  <si>
    <t>13607, Adafruit MCP9600 Breakout</t>
  </si>
  <si>
    <t>13608, Adafruit AirLift FeatherWing</t>
  </si>
  <si>
    <t>13613, Adafruit Motor Bonnet</t>
  </si>
  <si>
    <t>13641, Adafruit Micro Lipo w/MicroUSB Jack - USB LiIon/LiPoly charger</t>
  </si>
  <si>
    <t>13642, Adafruit 1.54" TFT breakout</t>
  </si>
  <si>
    <t>13645, Ultimate GPS USB</t>
  </si>
  <si>
    <t>13658, Adafruit PiRTC DS3231</t>
  </si>
  <si>
    <t>13696, AirLift Shield</t>
  </si>
  <si>
    <t>13706, Adafruit MCP9600 Breakout</t>
  </si>
  <si>
    <t>sku count</t>
  </si>
  <si>
    <t>day count</t>
  </si>
  <si>
    <t>opportunities to be oos</t>
  </si>
  <si>
    <t>actual oos</t>
  </si>
  <si>
    <t>oos %</t>
  </si>
  <si>
    <t>in stock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</si>
</sst>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9" fontId="0" fillId="0" borderId="0" xfId="2" applyFont="1"/>
    <xf numFmtId="166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9"/>
  <sheetViews>
    <sheetView tabSelected="1" workbookViewId="0">
      <selection activeCell="A8" sqref="A8"/>
    </sheetView>
  </sheetViews>
  <sheetFormatPr baseColWidth="10" defaultColWidth="8.83203125" defaultRowHeight="15" x14ac:dyDescent="0.2"/>
  <cols>
    <col min="1" max="1" width="6.1640625" bestFit="1" customWidth="1"/>
    <col min="2" max="8" width="10.1640625" bestFit="1" customWidth="1"/>
    <col min="9" max="9" width="11.5" bestFit="1" customWidth="1"/>
    <col min="10" max="10" width="105.33203125" bestFit="1" customWidth="1"/>
    <col min="12" max="12" width="19" bestFit="1" customWidth="1"/>
    <col min="13" max="13" width="9.1640625" bestFit="1" customWidth="1"/>
  </cols>
  <sheetData>
    <row r="1" spans="1:13" x14ac:dyDescent="0.2">
      <c r="A1" s="1" t="s">
        <v>0</v>
      </c>
      <c r="B1" s="2">
        <v>43630</v>
      </c>
      <c r="C1" s="2">
        <v>43631</v>
      </c>
      <c r="D1" s="2">
        <v>43632</v>
      </c>
      <c r="E1" s="2">
        <v>43633</v>
      </c>
      <c r="F1" s="2">
        <v>43634</v>
      </c>
      <c r="G1" s="2">
        <v>43635</v>
      </c>
      <c r="H1" s="2">
        <v>43636</v>
      </c>
      <c r="I1" s="1" t="s">
        <v>1</v>
      </c>
      <c r="J1" s="1" t="s">
        <v>2</v>
      </c>
      <c r="L1" t="s">
        <v>581</v>
      </c>
      <c r="M1" s="4">
        <f>COUNT(A2:A579)</f>
        <v>578</v>
      </c>
    </row>
    <row r="2" spans="1:13" x14ac:dyDescent="0.2">
      <c r="A2">
        <v>2459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3</v>
      </c>
      <c r="L2" t="s">
        <v>582</v>
      </c>
      <c r="M2" s="4">
        <f>COUNT(B1:H1)</f>
        <v>7</v>
      </c>
    </row>
    <row r="3" spans="1:13" x14ac:dyDescent="0.2">
      <c r="A3">
        <v>2460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4</v>
      </c>
      <c r="L3" t="s">
        <v>583</v>
      </c>
      <c r="M3" s="4">
        <f>PRODUCT(M1:M2)</f>
        <v>4046</v>
      </c>
    </row>
    <row r="4" spans="1:13" x14ac:dyDescent="0.2">
      <c r="A4">
        <v>2587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7</v>
      </c>
      <c r="J4" t="s">
        <v>5</v>
      </c>
      <c r="M4" s="4"/>
    </row>
    <row r="5" spans="1:13" x14ac:dyDescent="0.2">
      <c r="A5">
        <v>2743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7</v>
      </c>
      <c r="J5" t="s">
        <v>6</v>
      </c>
      <c r="L5" t="s">
        <v>584</v>
      </c>
      <c r="M5" s="4">
        <f>SUM(I:I)</f>
        <v>1362</v>
      </c>
    </row>
    <row r="6" spans="1:13" x14ac:dyDescent="0.2">
      <c r="A6">
        <v>2849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7</v>
      </c>
      <c r="L6" t="s">
        <v>585</v>
      </c>
      <c r="M6" s="3">
        <f>M5/M3</f>
        <v>0.33662876915472073</v>
      </c>
    </row>
    <row r="7" spans="1:13" x14ac:dyDescent="0.2">
      <c r="A7">
        <v>2850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8</v>
      </c>
      <c r="L7" t="s">
        <v>586</v>
      </c>
      <c r="M7" s="3">
        <f>1-M6</f>
        <v>0.66337123084527927</v>
      </c>
    </row>
    <row r="8" spans="1:13" x14ac:dyDescent="0.2">
      <c r="A8">
        <v>2880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9</v>
      </c>
    </row>
    <row r="9" spans="1:13" x14ac:dyDescent="0.2">
      <c r="A9">
        <v>2881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10</v>
      </c>
    </row>
    <row r="10" spans="1:13" x14ac:dyDescent="0.2">
      <c r="A10">
        <v>3061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11</v>
      </c>
    </row>
    <row r="11" spans="1:13" x14ac:dyDescent="0.2">
      <c r="A11">
        <v>3132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12</v>
      </c>
    </row>
    <row r="12" spans="1:13" x14ac:dyDescent="0.2">
      <c r="A12">
        <v>3137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13</v>
      </c>
    </row>
    <row r="13" spans="1:13" x14ac:dyDescent="0.2">
      <c r="A13">
        <v>3169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14</v>
      </c>
    </row>
    <row r="14" spans="1:13" x14ac:dyDescent="0.2">
      <c r="A14">
        <v>3232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15</v>
      </c>
    </row>
    <row r="15" spans="1:13" x14ac:dyDescent="0.2">
      <c r="A15">
        <v>3233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16</v>
      </c>
    </row>
    <row r="16" spans="1:13" x14ac:dyDescent="0.2">
      <c r="A16">
        <v>3234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17</v>
      </c>
    </row>
    <row r="17" spans="1:10" x14ac:dyDescent="0.2">
      <c r="A17">
        <v>3235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18</v>
      </c>
    </row>
    <row r="18" spans="1:10" x14ac:dyDescent="0.2">
      <c r="A18">
        <v>3242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19</v>
      </c>
    </row>
    <row r="19" spans="1:10" x14ac:dyDescent="0.2">
      <c r="A19">
        <v>3243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20</v>
      </c>
    </row>
    <row r="20" spans="1:10" x14ac:dyDescent="0.2">
      <c r="A20">
        <v>3244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21</v>
      </c>
    </row>
    <row r="21" spans="1:10" x14ac:dyDescent="0.2">
      <c r="A21">
        <v>3245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22</v>
      </c>
    </row>
    <row r="22" spans="1:10" x14ac:dyDescent="0.2">
      <c r="A22">
        <v>3246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23</v>
      </c>
    </row>
    <row r="23" spans="1:10" x14ac:dyDescent="0.2">
      <c r="A23">
        <v>3247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24</v>
      </c>
    </row>
    <row r="24" spans="1:10" x14ac:dyDescent="0.2">
      <c r="A24">
        <v>3845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25</v>
      </c>
    </row>
    <row r="25" spans="1:10" x14ac:dyDescent="0.2">
      <c r="A25">
        <v>3903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7</v>
      </c>
      <c r="J25" t="s">
        <v>26</v>
      </c>
    </row>
    <row r="26" spans="1:10" x14ac:dyDescent="0.2">
      <c r="A26">
        <v>3904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27</v>
      </c>
    </row>
    <row r="27" spans="1:10" x14ac:dyDescent="0.2">
      <c r="A27">
        <v>3905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28</v>
      </c>
    </row>
    <row r="28" spans="1:10" x14ac:dyDescent="0.2">
      <c r="A28">
        <v>4035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29</v>
      </c>
    </row>
    <row r="29" spans="1:10" x14ac:dyDescent="0.2">
      <c r="A29">
        <v>4036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30</v>
      </c>
    </row>
    <row r="30" spans="1:10" x14ac:dyDescent="0.2">
      <c r="A30">
        <v>4070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7</v>
      </c>
      <c r="J30" t="s">
        <v>31</v>
      </c>
    </row>
    <row r="31" spans="1:10" x14ac:dyDescent="0.2">
      <c r="A31">
        <v>4071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7</v>
      </c>
      <c r="J31" t="s">
        <v>32</v>
      </c>
    </row>
    <row r="32" spans="1:10" x14ac:dyDescent="0.2">
      <c r="A32">
        <v>4072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33</v>
      </c>
    </row>
    <row r="33" spans="1:10" x14ac:dyDescent="0.2">
      <c r="A33">
        <v>4160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7</v>
      </c>
      <c r="J33" t="s">
        <v>34</v>
      </c>
    </row>
    <row r="34" spans="1:10" x14ac:dyDescent="0.2">
      <c r="A34">
        <v>4161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35</v>
      </c>
    </row>
    <row r="35" spans="1:10" x14ac:dyDescent="0.2">
      <c r="A35">
        <v>4216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7</v>
      </c>
      <c r="J35" t="s">
        <v>36</v>
      </c>
    </row>
    <row r="36" spans="1:10" x14ac:dyDescent="0.2">
      <c r="A36">
        <v>8238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7</v>
      </c>
      <c r="J36" t="s">
        <v>37</v>
      </c>
    </row>
    <row r="37" spans="1:10" x14ac:dyDescent="0.2">
      <c r="A37">
        <v>8258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38</v>
      </c>
    </row>
    <row r="38" spans="1:10" x14ac:dyDescent="0.2">
      <c r="A38">
        <v>8270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 t="s">
        <v>39</v>
      </c>
    </row>
    <row r="39" spans="1:10" x14ac:dyDescent="0.2">
      <c r="A39">
        <v>8281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40</v>
      </c>
    </row>
    <row r="40" spans="1:10" x14ac:dyDescent="0.2">
      <c r="A40">
        <v>8283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41</v>
      </c>
    </row>
    <row r="41" spans="1:10" x14ac:dyDescent="0.2">
      <c r="A41">
        <v>8285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42</v>
      </c>
    </row>
    <row r="42" spans="1:10" x14ac:dyDescent="0.2">
      <c r="A42">
        <v>8294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43</v>
      </c>
    </row>
    <row r="43" spans="1:10" x14ac:dyDescent="0.2">
      <c r="A43">
        <v>8295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7</v>
      </c>
      <c r="J43" t="s">
        <v>44</v>
      </c>
    </row>
    <row r="44" spans="1:10" x14ac:dyDescent="0.2">
      <c r="A44">
        <v>8298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45</v>
      </c>
    </row>
    <row r="45" spans="1:10" x14ac:dyDescent="0.2">
      <c r="A45">
        <v>8302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46</v>
      </c>
    </row>
    <row r="46" spans="1:10" x14ac:dyDescent="0.2">
      <c r="A46">
        <v>8308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47</v>
      </c>
    </row>
    <row r="47" spans="1:10" x14ac:dyDescent="0.2">
      <c r="A47">
        <v>8309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48</v>
      </c>
    </row>
    <row r="48" spans="1:10" x14ac:dyDescent="0.2">
      <c r="A48">
        <v>8313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49</v>
      </c>
    </row>
    <row r="49" spans="1:10" x14ac:dyDescent="0.2">
      <c r="A49">
        <v>8315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50</v>
      </c>
    </row>
    <row r="50" spans="1:10" x14ac:dyDescent="0.2">
      <c r="A50">
        <v>8318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7</v>
      </c>
      <c r="J50" t="s">
        <v>51</v>
      </c>
    </row>
    <row r="51" spans="1:10" x14ac:dyDescent="0.2">
      <c r="A51">
        <v>8327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52</v>
      </c>
    </row>
    <row r="52" spans="1:10" x14ac:dyDescent="0.2">
      <c r="A52">
        <v>8352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7</v>
      </c>
      <c r="J52" t="s">
        <v>53</v>
      </c>
    </row>
    <row r="53" spans="1:10" x14ac:dyDescent="0.2">
      <c r="A53">
        <v>8355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54</v>
      </c>
    </row>
    <row r="54" spans="1:10" x14ac:dyDescent="0.2">
      <c r="A54">
        <v>8366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55</v>
      </c>
    </row>
    <row r="55" spans="1:10" x14ac:dyDescent="0.2">
      <c r="A55">
        <v>8374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7</v>
      </c>
      <c r="J55" t="s">
        <v>56</v>
      </c>
    </row>
    <row r="56" spans="1:10" x14ac:dyDescent="0.2">
      <c r="A56">
        <v>8375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57</v>
      </c>
    </row>
    <row r="57" spans="1:10" x14ac:dyDescent="0.2">
      <c r="A57">
        <v>8378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7</v>
      </c>
      <c r="J57" t="s">
        <v>58</v>
      </c>
    </row>
    <row r="58" spans="1:10" x14ac:dyDescent="0.2">
      <c r="A58">
        <v>8381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59</v>
      </c>
    </row>
    <row r="59" spans="1:10" x14ac:dyDescent="0.2">
      <c r="A59">
        <v>8390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60</v>
      </c>
    </row>
    <row r="60" spans="1:10" x14ac:dyDescent="0.2">
      <c r="A60">
        <v>8392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61</v>
      </c>
    </row>
    <row r="61" spans="1:10" x14ac:dyDescent="0.2">
      <c r="A61">
        <v>8395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62</v>
      </c>
    </row>
    <row r="62" spans="1:10" x14ac:dyDescent="0.2">
      <c r="A62">
        <v>8396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63</v>
      </c>
    </row>
    <row r="63" spans="1:10" x14ac:dyDescent="0.2">
      <c r="A63">
        <v>8407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7</v>
      </c>
      <c r="J63" t="s">
        <v>64</v>
      </c>
    </row>
    <row r="64" spans="1:10" x14ac:dyDescent="0.2">
      <c r="A64">
        <v>8409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65</v>
      </c>
    </row>
    <row r="65" spans="1:10" x14ac:dyDescent="0.2">
      <c r="A65">
        <v>8416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7</v>
      </c>
      <c r="J65" t="s">
        <v>66</v>
      </c>
    </row>
    <row r="66" spans="1:10" x14ac:dyDescent="0.2">
      <c r="A66">
        <v>8420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67</v>
      </c>
    </row>
    <row r="67" spans="1:10" x14ac:dyDescent="0.2">
      <c r="A67">
        <v>8421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68</v>
      </c>
    </row>
    <row r="68" spans="1:10" x14ac:dyDescent="0.2">
      <c r="A68">
        <v>8424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69</v>
      </c>
    </row>
    <row r="69" spans="1:10" x14ac:dyDescent="0.2">
      <c r="A69">
        <v>8428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70</v>
      </c>
    </row>
    <row r="70" spans="1:10" x14ac:dyDescent="0.2">
      <c r="A70">
        <v>8434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71</v>
      </c>
    </row>
    <row r="71" spans="1:10" x14ac:dyDescent="0.2">
      <c r="A71">
        <v>8440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7</v>
      </c>
      <c r="J71" t="s">
        <v>72</v>
      </c>
    </row>
    <row r="72" spans="1:10" x14ac:dyDescent="0.2">
      <c r="A72">
        <v>8441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73</v>
      </c>
    </row>
    <row r="73" spans="1:10" x14ac:dyDescent="0.2">
      <c r="A73">
        <v>8449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74</v>
      </c>
    </row>
    <row r="74" spans="1:10" x14ac:dyDescent="0.2">
      <c r="A74">
        <v>8453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7</v>
      </c>
      <c r="J74" t="s">
        <v>75</v>
      </c>
    </row>
    <row r="75" spans="1:10" x14ac:dyDescent="0.2">
      <c r="A75">
        <v>8456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76</v>
      </c>
    </row>
    <row r="76" spans="1:10" x14ac:dyDescent="0.2">
      <c r="A76">
        <v>8459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77</v>
      </c>
    </row>
    <row r="77" spans="1:10" x14ac:dyDescent="0.2">
      <c r="A77">
        <v>8466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78</v>
      </c>
    </row>
    <row r="78" spans="1:10" x14ac:dyDescent="0.2">
      <c r="A78">
        <v>8468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7</v>
      </c>
      <c r="J78" t="s">
        <v>79</v>
      </c>
    </row>
    <row r="79" spans="1:10" x14ac:dyDescent="0.2">
      <c r="A79">
        <v>8469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80</v>
      </c>
    </row>
    <row r="80" spans="1:10" x14ac:dyDescent="0.2">
      <c r="A80">
        <v>8475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81</v>
      </c>
    </row>
    <row r="81" spans="1:10" x14ac:dyDescent="0.2">
      <c r="A81">
        <v>8482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82</v>
      </c>
    </row>
    <row r="82" spans="1:10" x14ac:dyDescent="0.2">
      <c r="A82">
        <v>8486</v>
      </c>
      <c r="B82">
        <v>0</v>
      </c>
      <c r="C82">
        <v>1</v>
      </c>
      <c r="D82">
        <v>1</v>
      </c>
      <c r="E82">
        <v>1</v>
      </c>
      <c r="F82">
        <v>0</v>
      </c>
      <c r="G82">
        <v>0</v>
      </c>
      <c r="H82">
        <v>0</v>
      </c>
      <c r="I82">
        <v>3</v>
      </c>
      <c r="J82" t="s">
        <v>83</v>
      </c>
    </row>
    <row r="83" spans="1:10" x14ac:dyDescent="0.2">
      <c r="A83">
        <v>8489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84</v>
      </c>
    </row>
    <row r="84" spans="1:10" x14ac:dyDescent="0.2">
      <c r="A84">
        <v>8491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85</v>
      </c>
    </row>
    <row r="85" spans="1:10" x14ac:dyDescent="0.2">
      <c r="A85">
        <v>8492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86</v>
      </c>
    </row>
    <row r="86" spans="1:10" x14ac:dyDescent="0.2">
      <c r="A86">
        <v>8495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87</v>
      </c>
    </row>
    <row r="87" spans="1:10" x14ac:dyDescent="0.2">
      <c r="A87">
        <v>8496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88</v>
      </c>
    </row>
    <row r="88" spans="1:10" x14ac:dyDescent="0.2">
      <c r="A88">
        <v>8497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89</v>
      </c>
    </row>
    <row r="89" spans="1:10" x14ac:dyDescent="0.2">
      <c r="A89">
        <v>8498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90</v>
      </c>
    </row>
    <row r="90" spans="1:10" x14ac:dyDescent="0.2">
      <c r="A90">
        <v>8500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7</v>
      </c>
      <c r="J90" t="s">
        <v>91</v>
      </c>
    </row>
    <row r="91" spans="1:10" x14ac:dyDescent="0.2">
      <c r="A91">
        <v>8501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92</v>
      </c>
    </row>
    <row r="92" spans="1:10" x14ac:dyDescent="0.2">
      <c r="A92">
        <v>8504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93</v>
      </c>
    </row>
    <row r="93" spans="1:10" x14ac:dyDescent="0.2">
      <c r="A93">
        <v>8505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94</v>
      </c>
    </row>
    <row r="94" spans="1:10" x14ac:dyDescent="0.2">
      <c r="A94">
        <v>8507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95</v>
      </c>
    </row>
    <row r="95" spans="1:10" x14ac:dyDescent="0.2">
      <c r="A95">
        <v>8508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96</v>
      </c>
    </row>
    <row r="96" spans="1:10" x14ac:dyDescent="0.2">
      <c r="A96">
        <v>8509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7</v>
      </c>
      <c r="J96" t="s">
        <v>97</v>
      </c>
    </row>
    <row r="97" spans="1:10" x14ac:dyDescent="0.2">
      <c r="A97">
        <v>8514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98</v>
      </c>
    </row>
    <row r="98" spans="1:10" x14ac:dyDescent="0.2">
      <c r="A98">
        <v>8516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7</v>
      </c>
      <c r="J98" t="s">
        <v>99</v>
      </c>
    </row>
    <row r="99" spans="1:10" x14ac:dyDescent="0.2">
      <c r="A99">
        <v>8518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100</v>
      </c>
    </row>
    <row r="100" spans="1:10" x14ac:dyDescent="0.2">
      <c r="A100">
        <v>8519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7</v>
      </c>
      <c r="J100" t="s">
        <v>101</v>
      </c>
    </row>
    <row r="101" spans="1:10" x14ac:dyDescent="0.2">
      <c r="A101">
        <v>8520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102</v>
      </c>
    </row>
    <row r="102" spans="1:10" x14ac:dyDescent="0.2">
      <c r="A102">
        <v>8522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7</v>
      </c>
      <c r="J102" t="s">
        <v>103</v>
      </c>
    </row>
    <row r="103" spans="1:10" x14ac:dyDescent="0.2">
      <c r="A103">
        <v>8525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7</v>
      </c>
      <c r="J103" t="s">
        <v>104</v>
      </c>
    </row>
    <row r="104" spans="1:10" x14ac:dyDescent="0.2">
      <c r="A104">
        <v>8526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105</v>
      </c>
    </row>
    <row r="105" spans="1:10" x14ac:dyDescent="0.2">
      <c r="A105">
        <v>8528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7</v>
      </c>
      <c r="J105" t="s">
        <v>106</v>
      </c>
    </row>
    <row r="106" spans="1:10" x14ac:dyDescent="0.2">
      <c r="A106">
        <v>8529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107</v>
      </c>
    </row>
    <row r="107" spans="1:10" x14ac:dyDescent="0.2">
      <c r="A107">
        <v>8530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108</v>
      </c>
    </row>
    <row r="108" spans="1:10" x14ac:dyDescent="0.2">
      <c r="A108">
        <v>8535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109</v>
      </c>
    </row>
    <row r="109" spans="1:10" x14ac:dyDescent="0.2">
      <c r="A109">
        <v>8538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110</v>
      </c>
    </row>
    <row r="110" spans="1:10" x14ac:dyDescent="0.2">
      <c r="A110">
        <v>8540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111</v>
      </c>
    </row>
    <row r="111" spans="1:10" x14ac:dyDescent="0.2">
      <c r="A111">
        <v>8542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112</v>
      </c>
    </row>
    <row r="112" spans="1:10" x14ac:dyDescent="0.2">
      <c r="A112">
        <v>8545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113</v>
      </c>
    </row>
    <row r="113" spans="1:10" x14ac:dyDescent="0.2">
      <c r="A113">
        <v>8546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7</v>
      </c>
      <c r="J113" t="s">
        <v>114</v>
      </c>
    </row>
    <row r="114" spans="1:10" x14ac:dyDescent="0.2">
      <c r="A114">
        <v>8547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7</v>
      </c>
      <c r="J114" t="s">
        <v>115</v>
      </c>
    </row>
    <row r="115" spans="1:10" x14ac:dyDescent="0.2">
      <c r="A115">
        <v>8549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116</v>
      </c>
    </row>
    <row r="116" spans="1:10" x14ac:dyDescent="0.2">
      <c r="A116">
        <v>8555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117</v>
      </c>
    </row>
    <row r="117" spans="1:10" x14ac:dyDescent="0.2">
      <c r="A117">
        <v>8556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118</v>
      </c>
    </row>
    <row r="118" spans="1:10" x14ac:dyDescent="0.2">
      <c r="A118">
        <v>8557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7</v>
      </c>
      <c r="J118" t="s">
        <v>119</v>
      </c>
    </row>
    <row r="119" spans="1:10" x14ac:dyDescent="0.2">
      <c r="A119">
        <v>8560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120</v>
      </c>
    </row>
    <row r="120" spans="1:10" x14ac:dyDescent="0.2">
      <c r="A120">
        <v>8566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7</v>
      </c>
      <c r="J120" t="s">
        <v>121</v>
      </c>
    </row>
    <row r="121" spans="1:10" x14ac:dyDescent="0.2">
      <c r="A121">
        <v>8569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122</v>
      </c>
    </row>
    <row r="122" spans="1:10" x14ac:dyDescent="0.2">
      <c r="A122">
        <v>8570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123</v>
      </c>
    </row>
    <row r="123" spans="1:10" x14ac:dyDescent="0.2">
      <c r="A123">
        <v>8571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124</v>
      </c>
    </row>
    <row r="124" spans="1:10" x14ac:dyDescent="0.2">
      <c r="A124">
        <v>8572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7</v>
      </c>
      <c r="J124" t="s">
        <v>125</v>
      </c>
    </row>
    <row r="125" spans="1:10" x14ac:dyDescent="0.2">
      <c r="A125">
        <v>8573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7</v>
      </c>
      <c r="J125" t="s">
        <v>126</v>
      </c>
    </row>
    <row r="126" spans="1:10" x14ac:dyDescent="0.2">
      <c r="A126">
        <v>8575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127</v>
      </c>
    </row>
    <row r="127" spans="1:10" x14ac:dyDescent="0.2">
      <c r="A127">
        <v>8577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128</v>
      </c>
    </row>
    <row r="128" spans="1:10" x14ac:dyDescent="0.2">
      <c r="A128">
        <v>8579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7</v>
      </c>
      <c r="J128" t="s">
        <v>129</v>
      </c>
    </row>
    <row r="129" spans="1:10" x14ac:dyDescent="0.2">
      <c r="A129">
        <v>8583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130</v>
      </c>
    </row>
    <row r="130" spans="1:10" x14ac:dyDescent="0.2">
      <c r="A130">
        <v>8584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7</v>
      </c>
      <c r="J130" t="s">
        <v>131</v>
      </c>
    </row>
    <row r="131" spans="1:10" x14ac:dyDescent="0.2">
      <c r="A131">
        <v>8585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7</v>
      </c>
      <c r="J131" t="s">
        <v>132</v>
      </c>
    </row>
    <row r="132" spans="1:10" x14ac:dyDescent="0.2">
      <c r="A132">
        <v>8586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7</v>
      </c>
      <c r="J132" t="s">
        <v>133</v>
      </c>
    </row>
    <row r="133" spans="1:10" x14ac:dyDescent="0.2">
      <c r="A133">
        <v>8587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7</v>
      </c>
      <c r="J133" t="s">
        <v>134</v>
      </c>
    </row>
    <row r="134" spans="1:10" x14ac:dyDescent="0.2">
      <c r="A134">
        <v>8589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135</v>
      </c>
    </row>
    <row r="135" spans="1:10" x14ac:dyDescent="0.2">
      <c r="A135">
        <v>8590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136</v>
      </c>
    </row>
    <row r="136" spans="1:10" x14ac:dyDescent="0.2">
      <c r="A136">
        <v>8595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137</v>
      </c>
    </row>
    <row r="137" spans="1:10" x14ac:dyDescent="0.2">
      <c r="A137">
        <v>8596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138</v>
      </c>
    </row>
    <row r="138" spans="1:10" x14ac:dyDescent="0.2">
      <c r="A138">
        <v>8597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139</v>
      </c>
    </row>
    <row r="139" spans="1:10" x14ac:dyDescent="0.2">
      <c r="A139">
        <v>8601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140</v>
      </c>
    </row>
    <row r="140" spans="1:10" x14ac:dyDescent="0.2">
      <c r="A140">
        <v>8602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141</v>
      </c>
    </row>
    <row r="141" spans="1:10" x14ac:dyDescent="0.2">
      <c r="A141">
        <v>8604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7</v>
      </c>
      <c r="J141" t="s">
        <v>142</v>
      </c>
    </row>
    <row r="142" spans="1:10" x14ac:dyDescent="0.2">
      <c r="A142">
        <v>8606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143</v>
      </c>
    </row>
    <row r="143" spans="1:10" x14ac:dyDescent="0.2">
      <c r="A143">
        <v>8607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144</v>
      </c>
    </row>
    <row r="144" spans="1:10" x14ac:dyDescent="0.2">
      <c r="A144">
        <v>8608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145</v>
      </c>
    </row>
    <row r="145" spans="1:10" x14ac:dyDescent="0.2">
      <c r="A145">
        <v>8609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146</v>
      </c>
    </row>
    <row r="146" spans="1:10" x14ac:dyDescent="0.2">
      <c r="A146">
        <v>8610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147</v>
      </c>
    </row>
    <row r="147" spans="1:10" x14ac:dyDescent="0.2">
      <c r="A147">
        <v>8611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148</v>
      </c>
    </row>
    <row r="148" spans="1:10" x14ac:dyDescent="0.2">
      <c r="A148">
        <v>8612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149</v>
      </c>
    </row>
    <row r="149" spans="1:10" x14ac:dyDescent="0.2">
      <c r="A149">
        <v>8614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7</v>
      </c>
      <c r="J149" t="s">
        <v>150</v>
      </c>
    </row>
    <row r="150" spans="1:10" x14ac:dyDescent="0.2">
      <c r="A150">
        <v>8615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151</v>
      </c>
    </row>
    <row r="151" spans="1:10" x14ac:dyDescent="0.2">
      <c r="A151">
        <v>8616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152</v>
      </c>
    </row>
    <row r="152" spans="1:10" x14ac:dyDescent="0.2">
      <c r="A152">
        <v>8617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153</v>
      </c>
    </row>
    <row r="153" spans="1:10" x14ac:dyDescent="0.2">
      <c r="A153">
        <v>8618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154</v>
      </c>
    </row>
    <row r="154" spans="1:10" x14ac:dyDescent="0.2">
      <c r="A154">
        <v>8619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7</v>
      </c>
      <c r="J154" t="s">
        <v>155</v>
      </c>
    </row>
    <row r="155" spans="1:10" x14ac:dyDescent="0.2">
      <c r="A155">
        <v>8620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156</v>
      </c>
    </row>
    <row r="156" spans="1:10" x14ac:dyDescent="0.2">
      <c r="A156">
        <v>8621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157</v>
      </c>
    </row>
    <row r="157" spans="1:10" x14ac:dyDescent="0.2">
      <c r="A157">
        <v>8622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158</v>
      </c>
    </row>
    <row r="158" spans="1:10" x14ac:dyDescent="0.2">
      <c r="A158">
        <v>8623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159</v>
      </c>
    </row>
    <row r="159" spans="1:10" x14ac:dyDescent="0.2">
      <c r="A159">
        <v>8625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160</v>
      </c>
    </row>
    <row r="160" spans="1:10" x14ac:dyDescent="0.2">
      <c r="A160">
        <v>8626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161</v>
      </c>
    </row>
    <row r="161" spans="1:10" x14ac:dyDescent="0.2">
      <c r="A161">
        <v>8632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162</v>
      </c>
    </row>
    <row r="162" spans="1:10" x14ac:dyDescent="0.2">
      <c r="A162">
        <v>8635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163</v>
      </c>
    </row>
    <row r="163" spans="1:10" x14ac:dyDescent="0.2">
      <c r="A163">
        <v>8637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7</v>
      </c>
      <c r="J163" t="s">
        <v>164</v>
      </c>
    </row>
    <row r="164" spans="1:10" x14ac:dyDescent="0.2">
      <c r="A164">
        <v>8638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7</v>
      </c>
      <c r="J164" t="s">
        <v>165</v>
      </c>
    </row>
    <row r="165" spans="1:10" x14ac:dyDescent="0.2">
      <c r="A165">
        <v>8639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166</v>
      </c>
    </row>
    <row r="166" spans="1:10" x14ac:dyDescent="0.2">
      <c r="A166">
        <v>8640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167</v>
      </c>
    </row>
    <row r="167" spans="1:10" x14ac:dyDescent="0.2">
      <c r="A167">
        <v>8642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168</v>
      </c>
    </row>
    <row r="168" spans="1:10" x14ac:dyDescent="0.2">
      <c r="A168">
        <v>8643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169</v>
      </c>
    </row>
    <row r="169" spans="1:10" x14ac:dyDescent="0.2">
      <c r="A169">
        <v>8644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170</v>
      </c>
    </row>
    <row r="170" spans="1:10" x14ac:dyDescent="0.2">
      <c r="A170">
        <v>8648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171</v>
      </c>
    </row>
    <row r="171" spans="1:10" x14ac:dyDescent="0.2">
      <c r="A171">
        <v>8650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172</v>
      </c>
    </row>
    <row r="172" spans="1:10" x14ac:dyDescent="0.2">
      <c r="A172">
        <v>8651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7</v>
      </c>
      <c r="J172" t="s">
        <v>173</v>
      </c>
    </row>
    <row r="173" spans="1:10" x14ac:dyDescent="0.2">
      <c r="A173">
        <v>8652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7</v>
      </c>
      <c r="J173" t="s">
        <v>174</v>
      </c>
    </row>
    <row r="174" spans="1:10" x14ac:dyDescent="0.2">
      <c r="A174">
        <v>8653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7</v>
      </c>
      <c r="J174" t="s">
        <v>175</v>
      </c>
    </row>
    <row r="175" spans="1:10" x14ac:dyDescent="0.2">
      <c r="A175">
        <v>8654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176</v>
      </c>
    </row>
    <row r="176" spans="1:10" x14ac:dyDescent="0.2">
      <c r="A176">
        <v>8655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7</v>
      </c>
      <c r="J176" t="s">
        <v>177</v>
      </c>
    </row>
    <row r="177" spans="1:10" x14ac:dyDescent="0.2">
      <c r="A177">
        <v>8657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178</v>
      </c>
    </row>
    <row r="178" spans="1:10" x14ac:dyDescent="0.2">
      <c r="A178">
        <v>8658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179</v>
      </c>
    </row>
    <row r="179" spans="1:10" x14ac:dyDescent="0.2">
      <c r="A179">
        <v>8659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180</v>
      </c>
    </row>
    <row r="180" spans="1:10" x14ac:dyDescent="0.2">
      <c r="A180">
        <v>8662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181</v>
      </c>
    </row>
    <row r="181" spans="1:10" x14ac:dyDescent="0.2">
      <c r="A181">
        <v>8665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182</v>
      </c>
    </row>
    <row r="182" spans="1:10" x14ac:dyDescent="0.2">
      <c r="A182">
        <v>8666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183</v>
      </c>
    </row>
    <row r="183" spans="1:10" x14ac:dyDescent="0.2">
      <c r="A183">
        <v>8670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184</v>
      </c>
    </row>
    <row r="184" spans="1:10" x14ac:dyDescent="0.2">
      <c r="A184">
        <v>8673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185</v>
      </c>
    </row>
    <row r="185" spans="1:10" x14ac:dyDescent="0.2">
      <c r="A185">
        <v>8674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7</v>
      </c>
      <c r="J185" t="s">
        <v>186</v>
      </c>
    </row>
    <row r="186" spans="1:10" x14ac:dyDescent="0.2">
      <c r="A186">
        <v>8679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7</v>
      </c>
      <c r="J186" t="s">
        <v>187</v>
      </c>
    </row>
    <row r="187" spans="1:10" x14ac:dyDescent="0.2">
      <c r="A187">
        <v>8681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7</v>
      </c>
      <c r="J187" t="s">
        <v>188</v>
      </c>
    </row>
    <row r="188" spans="1:10" x14ac:dyDescent="0.2">
      <c r="A188">
        <v>8682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7</v>
      </c>
      <c r="J188" t="s">
        <v>189</v>
      </c>
    </row>
    <row r="189" spans="1:10" x14ac:dyDescent="0.2">
      <c r="A189">
        <v>8683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190</v>
      </c>
    </row>
    <row r="190" spans="1:10" x14ac:dyDescent="0.2">
      <c r="A190">
        <v>8688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191</v>
      </c>
    </row>
    <row r="191" spans="1:10" x14ac:dyDescent="0.2">
      <c r="A191">
        <v>8689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192</v>
      </c>
    </row>
    <row r="192" spans="1:10" x14ac:dyDescent="0.2">
      <c r="A192">
        <v>8690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7</v>
      </c>
      <c r="J192" t="s">
        <v>193</v>
      </c>
    </row>
    <row r="193" spans="1:10" x14ac:dyDescent="0.2">
      <c r="A193">
        <v>8691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7</v>
      </c>
      <c r="J193" t="s">
        <v>194</v>
      </c>
    </row>
    <row r="194" spans="1:10" x14ac:dyDescent="0.2">
      <c r="A194">
        <v>8692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195</v>
      </c>
    </row>
    <row r="195" spans="1:10" x14ac:dyDescent="0.2">
      <c r="A195">
        <v>8693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196</v>
      </c>
    </row>
    <row r="196" spans="1:10" x14ac:dyDescent="0.2">
      <c r="A196">
        <v>8694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7</v>
      </c>
      <c r="J196" t="s">
        <v>197</v>
      </c>
    </row>
    <row r="197" spans="1:10" x14ac:dyDescent="0.2">
      <c r="A197">
        <v>8701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7</v>
      </c>
      <c r="J197" t="s">
        <v>198</v>
      </c>
    </row>
    <row r="198" spans="1:10" x14ac:dyDescent="0.2">
      <c r="A198">
        <v>8703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7</v>
      </c>
      <c r="J198" t="s">
        <v>199</v>
      </c>
    </row>
    <row r="199" spans="1:10" x14ac:dyDescent="0.2">
      <c r="A199">
        <v>8704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7</v>
      </c>
      <c r="J199" t="s">
        <v>200</v>
      </c>
    </row>
    <row r="200" spans="1:10" x14ac:dyDescent="0.2">
      <c r="A200">
        <v>8705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7</v>
      </c>
      <c r="J200" t="s">
        <v>201</v>
      </c>
    </row>
    <row r="201" spans="1:10" x14ac:dyDescent="0.2">
      <c r="A201">
        <v>8713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202</v>
      </c>
    </row>
    <row r="202" spans="1:10" x14ac:dyDescent="0.2">
      <c r="A202">
        <v>8715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203</v>
      </c>
    </row>
    <row r="203" spans="1:10" x14ac:dyDescent="0.2">
      <c r="A203">
        <v>8716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204</v>
      </c>
    </row>
    <row r="204" spans="1:10" x14ac:dyDescent="0.2">
      <c r="A204">
        <v>8717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7</v>
      </c>
      <c r="J204" t="s">
        <v>205</v>
      </c>
    </row>
    <row r="205" spans="1:10" x14ac:dyDescent="0.2">
      <c r="A205">
        <v>8719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206</v>
      </c>
    </row>
    <row r="206" spans="1:10" x14ac:dyDescent="0.2">
      <c r="A206">
        <v>8721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207</v>
      </c>
    </row>
    <row r="207" spans="1:10" x14ac:dyDescent="0.2">
      <c r="A207">
        <v>8722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7</v>
      </c>
      <c r="J207" t="s">
        <v>208</v>
      </c>
    </row>
    <row r="208" spans="1:10" x14ac:dyDescent="0.2">
      <c r="A208">
        <v>8723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7</v>
      </c>
      <c r="J208" t="s">
        <v>209</v>
      </c>
    </row>
    <row r="209" spans="1:10" x14ac:dyDescent="0.2">
      <c r="A209">
        <v>8725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7</v>
      </c>
      <c r="J209" t="s">
        <v>210</v>
      </c>
    </row>
    <row r="210" spans="1:10" x14ac:dyDescent="0.2">
      <c r="A210">
        <v>8726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211</v>
      </c>
    </row>
    <row r="211" spans="1:10" x14ac:dyDescent="0.2">
      <c r="A211">
        <v>8744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7</v>
      </c>
      <c r="J211" t="s">
        <v>212</v>
      </c>
    </row>
    <row r="212" spans="1:10" x14ac:dyDescent="0.2">
      <c r="A212">
        <v>8745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7</v>
      </c>
      <c r="J212" t="s">
        <v>213</v>
      </c>
    </row>
    <row r="213" spans="1:10" x14ac:dyDescent="0.2">
      <c r="A213">
        <v>8746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214</v>
      </c>
    </row>
    <row r="214" spans="1:10" x14ac:dyDescent="0.2">
      <c r="A214">
        <v>8747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215</v>
      </c>
    </row>
    <row r="215" spans="1:10" x14ac:dyDescent="0.2">
      <c r="A215">
        <v>8748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7</v>
      </c>
      <c r="J215" t="s">
        <v>216</v>
      </c>
    </row>
    <row r="216" spans="1:10" x14ac:dyDescent="0.2">
      <c r="A216">
        <v>8749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217</v>
      </c>
    </row>
    <row r="217" spans="1:10" x14ac:dyDescent="0.2">
      <c r="A217">
        <v>8750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7</v>
      </c>
      <c r="J217" t="s">
        <v>218</v>
      </c>
    </row>
    <row r="218" spans="1:10" x14ac:dyDescent="0.2">
      <c r="A218">
        <v>8752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219</v>
      </c>
    </row>
    <row r="219" spans="1:10" x14ac:dyDescent="0.2">
      <c r="A219">
        <v>8753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220</v>
      </c>
    </row>
    <row r="220" spans="1:10" x14ac:dyDescent="0.2">
      <c r="A220">
        <v>8754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221</v>
      </c>
    </row>
    <row r="221" spans="1:10" x14ac:dyDescent="0.2">
      <c r="A221">
        <v>8755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7</v>
      </c>
      <c r="J221" t="s">
        <v>222</v>
      </c>
    </row>
    <row r="222" spans="1:10" x14ac:dyDescent="0.2">
      <c r="A222">
        <v>8760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223</v>
      </c>
    </row>
    <row r="223" spans="1:10" x14ac:dyDescent="0.2">
      <c r="A223">
        <v>8761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7</v>
      </c>
      <c r="J223" t="s">
        <v>224</v>
      </c>
    </row>
    <row r="224" spans="1:10" x14ac:dyDescent="0.2">
      <c r="A224">
        <v>8762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7</v>
      </c>
      <c r="J224" t="s">
        <v>225</v>
      </c>
    </row>
    <row r="225" spans="1:10" x14ac:dyDescent="0.2">
      <c r="A225">
        <v>8775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7</v>
      </c>
      <c r="J225" t="s">
        <v>226</v>
      </c>
    </row>
    <row r="226" spans="1:10" x14ac:dyDescent="0.2">
      <c r="A226">
        <v>8784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7</v>
      </c>
      <c r="J226" t="s">
        <v>227</v>
      </c>
    </row>
    <row r="227" spans="1:10" x14ac:dyDescent="0.2">
      <c r="A227">
        <v>8798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228</v>
      </c>
    </row>
    <row r="228" spans="1:10" x14ac:dyDescent="0.2">
      <c r="A228">
        <v>8817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229</v>
      </c>
    </row>
    <row r="229" spans="1:10" x14ac:dyDescent="0.2">
      <c r="A229">
        <v>8827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230</v>
      </c>
    </row>
    <row r="230" spans="1:10" x14ac:dyDescent="0.2">
      <c r="A230">
        <v>8828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231</v>
      </c>
    </row>
    <row r="231" spans="1:10" x14ac:dyDescent="0.2">
      <c r="A231">
        <v>8830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232</v>
      </c>
    </row>
    <row r="232" spans="1:10" x14ac:dyDescent="0.2">
      <c r="A232">
        <v>8831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7</v>
      </c>
      <c r="J232" t="s">
        <v>233</v>
      </c>
    </row>
    <row r="233" spans="1:10" x14ac:dyDescent="0.2">
      <c r="A233">
        <v>8832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7</v>
      </c>
      <c r="J233" t="s">
        <v>234</v>
      </c>
    </row>
    <row r="234" spans="1:10" x14ac:dyDescent="0.2">
      <c r="A234">
        <v>8834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235</v>
      </c>
    </row>
    <row r="235" spans="1:10" x14ac:dyDescent="0.2">
      <c r="A235">
        <v>8835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236</v>
      </c>
    </row>
    <row r="236" spans="1:10" x14ac:dyDescent="0.2">
      <c r="A236">
        <v>8837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7</v>
      </c>
      <c r="J236" t="s">
        <v>237</v>
      </c>
    </row>
    <row r="237" spans="1:10" x14ac:dyDescent="0.2">
      <c r="A237">
        <v>8842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7</v>
      </c>
      <c r="J237" t="s">
        <v>238</v>
      </c>
    </row>
    <row r="238" spans="1:10" x14ac:dyDescent="0.2">
      <c r="A238">
        <v>8843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7</v>
      </c>
      <c r="J238" t="s">
        <v>239</v>
      </c>
    </row>
    <row r="239" spans="1:10" x14ac:dyDescent="0.2">
      <c r="A239">
        <v>8844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7</v>
      </c>
      <c r="J239" t="s">
        <v>240</v>
      </c>
    </row>
    <row r="240" spans="1:10" x14ac:dyDescent="0.2">
      <c r="A240">
        <v>8847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241</v>
      </c>
    </row>
    <row r="241" spans="1:10" x14ac:dyDescent="0.2">
      <c r="A241">
        <v>8848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242</v>
      </c>
    </row>
    <row r="242" spans="1:10" x14ac:dyDescent="0.2">
      <c r="A242">
        <v>8852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7</v>
      </c>
      <c r="J242" t="s">
        <v>243</v>
      </c>
    </row>
    <row r="243" spans="1:10" x14ac:dyDescent="0.2">
      <c r="A243">
        <v>8853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 t="s">
        <v>244</v>
      </c>
    </row>
    <row r="244" spans="1:10" x14ac:dyDescent="0.2">
      <c r="A244">
        <v>8857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245</v>
      </c>
    </row>
    <row r="245" spans="1:10" x14ac:dyDescent="0.2">
      <c r="A245">
        <v>8858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246</v>
      </c>
    </row>
    <row r="246" spans="1:10" x14ac:dyDescent="0.2">
      <c r="A246">
        <v>8859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247</v>
      </c>
    </row>
    <row r="247" spans="1:10" x14ac:dyDescent="0.2">
      <c r="A247">
        <v>8860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248</v>
      </c>
    </row>
    <row r="248" spans="1:10" x14ac:dyDescent="0.2">
      <c r="A248">
        <v>8861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249</v>
      </c>
    </row>
    <row r="249" spans="1:10" x14ac:dyDescent="0.2">
      <c r="A249">
        <v>8868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250</v>
      </c>
    </row>
    <row r="250" spans="1:10" x14ac:dyDescent="0.2">
      <c r="A250">
        <v>8870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251</v>
      </c>
    </row>
    <row r="251" spans="1:10" x14ac:dyDescent="0.2">
      <c r="A251">
        <v>8871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252</v>
      </c>
    </row>
    <row r="252" spans="1:10" x14ac:dyDescent="0.2">
      <c r="A252">
        <v>8872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253</v>
      </c>
    </row>
    <row r="253" spans="1:10" x14ac:dyDescent="0.2">
      <c r="A253">
        <v>8882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7</v>
      </c>
      <c r="J253" t="s">
        <v>254</v>
      </c>
    </row>
    <row r="254" spans="1:10" x14ac:dyDescent="0.2">
      <c r="A254">
        <v>8890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7</v>
      </c>
      <c r="J254" t="s">
        <v>255</v>
      </c>
    </row>
    <row r="255" spans="1:10" x14ac:dyDescent="0.2">
      <c r="A255">
        <v>8894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256</v>
      </c>
    </row>
    <row r="256" spans="1:10" x14ac:dyDescent="0.2">
      <c r="A256">
        <v>8896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257</v>
      </c>
    </row>
    <row r="257" spans="1:10" x14ac:dyDescent="0.2">
      <c r="A257">
        <v>8899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7</v>
      </c>
      <c r="J257" t="s">
        <v>258</v>
      </c>
    </row>
    <row r="258" spans="1:10" x14ac:dyDescent="0.2">
      <c r="A258">
        <v>8904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7</v>
      </c>
      <c r="J258" t="s">
        <v>259</v>
      </c>
    </row>
    <row r="259" spans="1:10" x14ac:dyDescent="0.2">
      <c r="A259">
        <v>8905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7</v>
      </c>
      <c r="J259" t="s">
        <v>260</v>
      </c>
    </row>
    <row r="260" spans="1:10" x14ac:dyDescent="0.2">
      <c r="A260">
        <v>8906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7</v>
      </c>
      <c r="J260" t="s">
        <v>261</v>
      </c>
    </row>
    <row r="261" spans="1:10" x14ac:dyDescent="0.2">
      <c r="A261">
        <v>8907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7</v>
      </c>
      <c r="J261" t="s">
        <v>262</v>
      </c>
    </row>
    <row r="262" spans="1:10" x14ac:dyDescent="0.2">
      <c r="A262">
        <v>8909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263</v>
      </c>
    </row>
    <row r="263" spans="1:10" x14ac:dyDescent="0.2">
      <c r="A263">
        <v>8910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7</v>
      </c>
      <c r="J263" t="s">
        <v>264</v>
      </c>
    </row>
    <row r="264" spans="1:10" x14ac:dyDescent="0.2">
      <c r="A264">
        <v>8911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265</v>
      </c>
    </row>
    <row r="265" spans="1:10" x14ac:dyDescent="0.2">
      <c r="A265">
        <v>8912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7</v>
      </c>
      <c r="J265" t="s">
        <v>266</v>
      </c>
    </row>
    <row r="266" spans="1:10" x14ac:dyDescent="0.2">
      <c r="A266">
        <v>8913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267</v>
      </c>
    </row>
    <row r="267" spans="1:10" x14ac:dyDescent="0.2">
      <c r="A267">
        <v>8916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7</v>
      </c>
      <c r="J267" t="s">
        <v>268</v>
      </c>
    </row>
    <row r="268" spans="1:10" x14ac:dyDescent="0.2">
      <c r="A268">
        <v>8917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269</v>
      </c>
    </row>
    <row r="269" spans="1:10" x14ac:dyDescent="0.2">
      <c r="A269">
        <v>8918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270</v>
      </c>
    </row>
    <row r="270" spans="1:10" x14ac:dyDescent="0.2">
      <c r="A270">
        <v>8919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271</v>
      </c>
    </row>
    <row r="271" spans="1:10" x14ac:dyDescent="0.2">
      <c r="A271">
        <v>8920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272</v>
      </c>
    </row>
    <row r="272" spans="1:10" x14ac:dyDescent="0.2">
      <c r="A272">
        <v>8932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273</v>
      </c>
    </row>
    <row r="273" spans="1:10" x14ac:dyDescent="0.2">
      <c r="A273">
        <v>8933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274</v>
      </c>
    </row>
    <row r="274" spans="1:10" x14ac:dyDescent="0.2">
      <c r="A274">
        <v>8934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275</v>
      </c>
    </row>
    <row r="275" spans="1:10" x14ac:dyDescent="0.2">
      <c r="A275">
        <v>8935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276</v>
      </c>
    </row>
    <row r="276" spans="1:10" x14ac:dyDescent="0.2">
      <c r="A276">
        <v>8936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7</v>
      </c>
      <c r="J276" t="s">
        <v>277</v>
      </c>
    </row>
    <row r="277" spans="1:10" x14ac:dyDescent="0.2">
      <c r="A277">
        <v>8937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7</v>
      </c>
      <c r="J277" t="s">
        <v>278</v>
      </c>
    </row>
    <row r="278" spans="1:10" x14ac:dyDescent="0.2">
      <c r="A278">
        <v>8938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279</v>
      </c>
    </row>
    <row r="279" spans="1:10" x14ac:dyDescent="0.2">
      <c r="A279">
        <v>8939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7</v>
      </c>
      <c r="J279" t="s">
        <v>280</v>
      </c>
    </row>
    <row r="280" spans="1:10" x14ac:dyDescent="0.2">
      <c r="A280">
        <v>8940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7</v>
      </c>
      <c r="J280" t="s">
        <v>281</v>
      </c>
    </row>
    <row r="281" spans="1:10" x14ac:dyDescent="0.2">
      <c r="A281">
        <v>8942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282</v>
      </c>
    </row>
    <row r="282" spans="1:10" x14ac:dyDescent="0.2">
      <c r="A282">
        <v>8943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283</v>
      </c>
    </row>
    <row r="283" spans="1:10" x14ac:dyDescent="0.2">
      <c r="A283">
        <v>8952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7</v>
      </c>
      <c r="J283" t="s">
        <v>284</v>
      </c>
    </row>
    <row r="284" spans="1:10" x14ac:dyDescent="0.2">
      <c r="A284">
        <v>8953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7</v>
      </c>
      <c r="J284" t="s">
        <v>285</v>
      </c>
    </row>
    <row r="285" spans="1:10" x14ac:dyDescent="0.2">
      <c r="A285">
        <v>8954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7</v>
      </c>
      <c r="J285" t="s">
        <v>286</v>
      </c>
    </row>
    <row r="286" spans="1:10" x14ac:dyDescent="0.2">
      <c r="A286">
        <v>8959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7</v>
      </c>
      <c r="J286" t="s">
        <v>287</v>
      </c>
    </row>
    <row r="287" spans="1:10" x14ac:dyDescent="0.2">
      <c r="A287">
        <v>8960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7</v>
      </c>
      <c r="J287" t="s">
        <v>288</v>
      </c>
    </row>
    <row r="288" spans="1:10" x14ac:dyDescent="0.2">
      <c r="A288">
        <v>8961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7</v>
      </c>
      <c r="J288" t="s">
        <v>289</v>
      </c>
    </row>
    <row r="289" spans="1:10" x14ac:dyDescent="0.2">
      <c r="A289">
        <v>8963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290</v>
      </c>
    </row>
    <row r="290" spans="1:10" x14ac:dyDescent="0.2">
      <c r="A290">
        <v>8964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291</v>
      </c>
    </row>
    <row r="291" spans="1:10" x14ac:dyDescent="0.2">
      <c r="A291">
        <v>8965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292</v>
      </c>
    </row>
    <row r="292" spans="1:10" x14ac:dyDescent="0.2">
      <c r="A292">
        <v>8966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293</v>
      </c>
    </row>
    <row r="293" spans="1:10" x14ac:dyDescent="0.2">
      <c r="A293">
        <v>8967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294</v>
      </c>
    </row>
    <row r="294" spans="1:10" x14ac:dyDescent="0.2">
      <c r="A294">
        <v>8968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295</v>
      </c>
    </row>
    <row r="295" spans="1:10" x14ac:dyDescent="0.2">
      <c r="A295">
        <v>8969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296</v>
      </c>
    </row>
    <row r="296" spans="1:10" x14ac:dyDescent="0.2">
      <c r="A296">
        <v>8970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297</v>
      </c>
    </row>
    <row r="297" spans="1:10" x14ac:dyDescent="0.2">
      <c r="A297">
        <v>8971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298</v>
      </c>
    </row>
    <row r="298" spans="1:10" x14ac:dyDescent="0.2">
      <c r="A298">
        <v>8972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299</v>
      </c>
    </row>
    <row r="299" spans="1:10" x14ac:dyDescent="0.2">
      <c r="A299">
        <v>8973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300</v>
      </c>
    </row>
    <row r="300" spans="1:10" x14ac:dyDescent="0.2">
      <c r="A300">
        <v>8978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301</v>
      </c>
    </row>
    <row r="301" spans="1:10" x14ac:dyDescent="0.2">
      <c r="A301">
        <v>8979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302</v>
      </c>
    </row>
    <row r="302" spans="1:10" x14ac:dyDescent="0.2">
      <c r="A302">
        <v>8980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303</v>
      </c>
    </row>
    <row r="303" spans="1:10" x14ac:dyDescent="0.2">
      <c r="A303">
        <v>8981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304</v>
      </c>
    </row>
    <row r="304" spans="1:10" x14ac:dyDescent="0.2">
      <c r="A304">
        <v>8982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305</v>
      </c>
    </row>
    <row r="305" spans="1:10" x14ac:dyDescent="0.2">
      <c r="A305">
        <v>8983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306</v>
      </c>
    </row>
    <row r="306" spans="1:10" x14ac:dyDescent="0.2">
      <c r="A306">
        <v>8987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307</v>
      </c>
    </row>
    <row r="307" spans="1:10" x14ac:dyDescent="0.2">
      <c r="A307">
        <v>8988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308</v>
      </c>
    </row>
    <row r="308" spans="1:10" x14ac:dyDescent="0.2">
      <c r="A308">
        <v>8989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309</v>
      </c>
    </row>
    <row r="309" spans="1:10" x14ac:dyDescent="0.2">
      <c r="A309">
        <v>8990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310</v>
      </c>
    </row>
    <row r="310" spans="1:10" x14ac:dyDescent="0.2">
      <c r="A310">
        <v>8991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311</v>
      </c>
    </row>
    <row r="311" spans="1:10" x14ac:dyDescent="0.2">
      <c r="A311">
        <v>8992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312</v>
      </c>
    </row>
    <row r="312" spans="1:10" x14ac:dyDescent="0.2">
      <c r="A312">
        <v>8995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313</v>
      </c>
    </row>
    <row r="313" spans="1:10" x14ac:dyDescent="0.2">
      <c r="A313">
        <v>8996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314</v>
      </c>
    </row>
    <row r="314" spans="1:10" x14ac:dyDescent="0.2">
      <c r="A314">
        <v>8998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315</v>
      </c>
    </row>
    <row r="315" spans="1:10" x14ac:dyDescent="0.2">
      <c r="A315">
        <v>8999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316</v>
      </c>
    </row>
    <row r="316" spans="1:10" x14ac:dyDescent="0.2">
      <c r="A316">
        <v>9000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317</v>
      </c>
    </row>
    <row r="317" spans="1:10" x14ac:dyDescent="0.2">
      <c r="A317">
        <v>9001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7</v>
      </c>
      <c r="J317" t="s">
        <v>318</v>
      </c>
    </row>
    <row r="318" spans="1:10" x14ac:dyDescent="0.2">
      <c r="A318">
        <v>9002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7</v>
      </c>
      <c r="J318" t="s">
        <v>319</v>
      </c>
    </row>
    <row r="319" spans="1:10" x14ac:dyDescent="0.2">
      <c r="A319">
        <v>9006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7</v>
      </c>
      <c r="J319" t="s">
        <v>320</v>
      </c>
    </row>
    <row r="320" spans="1:10" x14ac:dyDescent="0.2">
      <c r="A320">
        <v>9007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7</v>
      </c>
      <c r="J320" t="s">
        <v>321</v>
      </c>
    </row>
    <row r="321" spans="1:10" x14ac:dyDescent="0.2">
      <c r="A321">
        <v>9009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7</v>
      </c>
      <c r="J321" t="s">
        <v>322</v>
      </c>
    </row>
    <row r="322" spans="1:10" x14ac:dyDescent="0.2">
      <c r="A322">
        <v>9011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323</v>
      </c>
    </row>
    <row r="323" spans="1:10" x14ac:dyDescent="0.2">
      <c r="A323">
        <v>9012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324</v>
      </c>
    </row>
    <row r="324" spans="1:10" x14ac:dyDescent="0.2">
      <c r="A324">
        <v>9013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325</v>
      </c>
    </row>
    <row r="325" spans="1:10" x14ac:dyDescent="0.2">
      <c r="A325">
        <v>9014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326</v>
      </c>
    </row>
    <row r="326" spans="1:10" x14ac:dyDescent="0.2">
      <c r="A326">
        <v>9016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327</v>
      </c>
    </row>
    <row r="327" spans="1:10" x14ac:dyDescent="0.2">
      <c r="A327">
        <v>9018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7</v>
      </c>
      <c r="J327" t="s">
        <v>328</v>
      </c>
    </row>
    <row r="328" spans="1:10" x14ac:dyDescent="0.2">
      <c r="A328">
        <v>9021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329</v>
      </c>
    </row>
    <row r="329" spans="1:10" x14ac:dyDescent="0.2">
      <c r="A329">
        <v>9022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330</v>
      </c>
    </row>
    <row r="330" spans="1:10" x14ac:dyDescent="0.2">
      <c r="A330">
        <v>9030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7</v>
      </c>
      <c r="J330" t="s">
        <v>331</v>
      </c>
    </row>
    <row r="331" spans="1:10" x14ac:dyDescent="0.2">
      <c r="A331">
        <v>9031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332</v>
      </c>
    </row>
    <row r="332" spans="1:10" x14ac:dyDescent="0.2">
      <c r="A332">
        <v>9032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333</v>
      </c>
    </row>
    <row r="333" spans="1:10" x14ac:dyDescent="0.2">
      <c r="A333">
        <v>9033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334</v>
      </c>
    </row>
    <row r="334" spans="1:10" x14ac:dyDescent="0.2">
      <c r="A334">
        <v>9034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335</v>
      </c>
    </row>
    <row r="335" spans="1:10" x14ac:dyDescent="0.2">
      <c r="A335">
        <v>9036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7</v>
      </c>
      <c r="J335" t="s">
        <v>336</v>
      </c>
    </row>
    <row r="336" spans="1:10" x14ac:dyDescent="0.2">
      <c r="A336">
        <v>9037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337</v>
      </c>
    </row>
    <row r="337" spans="1:10" x14ac:dyDescent="0.2">
      <c r="A337">
        <v>9038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338</v>
      </c>
    </row>
    <row r="338" spans="1:10" x14ac:dyDescent="0.2">
      <c r="A338">
        <v>9041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7</v>
      </c>
      <c r="J338" t="s">
        <v>339</v>
      </c>
    </row>
    <row r="339" spans="1:10" x14ac:dyDescent="0.2">
      <c r="A339">
        <v>9043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7</v>
      </c>
      <c r="J339" t="s">
        <v>340</v>
      </c>
    </row>
    <row r="340" spans="1:10" x14ac:dyDescent="0.2">
      <c r="A340">
        <v>9045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341</v>
      </c>
    </row>
    <row r="341" spans="1:10" x14ac:dyDescent="0.2">
      <c r="A341">
        <v>9051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7</v>
      </c>
      <c r="J341" t="s">
        <v>342</v>
      </c>
    </row>
    <row r="342" spans="1:10" x14ac:dyDescent="0.2">
      <c r="A342">
        <v>9052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7</v>
      </c>
      <c r="J342" t="s">
        <v>343</v>
      </c>
    </row>
    <row r="343" spans="1:10" x14ac:dyDescent="0.2">
      <c r="A343">
        <v>9053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7</v>
      </c>
      <c r="J343" t="s">
        <v>344</v>
      </c>
    </row>
    <row r="344" spans="1:10" x14ac:dyDescent="0.2">
      <c r="A344">
        <v>9062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7</v>
      </c>
      <c r="J344" t="s">
        <v>345</v>
      </c>
    </row>
    <row r="345" spans="1:10" x14ac:dyDescent="0.2">
      <c r="A345">
        <v>9063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7</v>
      </c>
      <c r="J345" t="s">
        <v>346</v>
      </c>
    </row>
    <row r="346" spans="1:10" x14ac:dyDescent="0.2">
      <c r="A346">
        <v>9108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347</v>
      </c>
    </row>
    <row r="347" spans="1:10" x14ac:dyDescent="0.2">
      <c r="A347">
        <v>9110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348</v>
      </c>
    </row>
    <row r="348" spans="1:10" x14ac:dyDescent="0.2">
      <c r="A348">
        <v>9111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349</v>
      </c>
    </row>
    <row r="349" spans="1:10" x14ac:dyDescent="0.2">
      <c r="A349">
        <v>9112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7</v>
      </c>
      <c r="J349" t="s">
        <v>350</v>
      </c>
    </row>
    <row r="350" spans="1:10" x14ac:dyDescent="0.2">
      <c r="A350">
        <v>9132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351</v>
      </c>
    </row>
    <row r="351" spans="1:10" x14ac:dyDescent="0.2">
      <c r="A351">
        <v>9133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352</v>
      </c>
    </row>
    <row r="352" spans="1:10" x14ac:dyDescent="0.2">
      <c r="A352">
        <v>9135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7</v>
      </c>
      <c r="J352" t="s">
        <v>353</v>
      </c>
    </row>
    <row r="353" spans="1:10" x14ac:dyDescent="0.2">
      <c r="A353">
        <v>9168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7</v>
      </c>
      <c r="J353" t="s">
        <v>354</v>
      </c>
    </row>
    <row r="354" spans="1:10" x14ac:dyDescent="0.2">
      <c r="A354">
        <v>9185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7</v>
      </c>
      <c r="J354" t="s">
        <v>355</v>
      </c>
    </row>
    <row r="355" spans="1:10" x14ac:dyDescent="0.2">
      <c r="A355">
        <v>9190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7</v>
      </c>
      <c r="J355" t="s">
        <v>356</v>
      </c>
    </row>
    <row r="356" spans="1:10" x14ac:dyDescent="0.2">
      <c r="A356">
        <v>9223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357</v>
      </c>
    </row>
    <row r="357" spans="1:10" x14ac:dyDescent="0.2">
      <c r="A357">
        <v>9234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358</v>
      </c>
    </row>
    <row r="358" spans="1:10" x14ac:dyDescent="0.2">
      <c r="A358">
        <v>9248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359</v>
      </c>
    </row>
    <row r="359" spans="1:10" x14ac:dyDescent="0.2">
      <c r="A359">
        <v>9249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360</v>
      </c>
    </row>
    <row r="360" spans="1:10" x14ac:dyDescent="0.2">
      <c r="A360">
        <v>9250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361</v>
      </c>
    </row>
    <row r="361" spans="1:10" x14ac:dyDescent="0.2">
      <c r="A361">
        <v>9256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7</v>
      </c>
      <c r="J361" t="s">
        <v>362</v>
      </c>
    </row>
    <row r="362" spans="1:10" x14ac:dyDescent="0.2">
      <c r="A362">
        <v>9258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7</v>
      </c>
      <c r="J362" t="s">
        <v>363</v>
      </c>
    </row>
    <row r="363" spans="1:10" x14ac:dyDescent="0.2">
      <c r="A363">
        <v>9284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7</v>
      </c>
      <c r="J363" t="s">
        <v>364</v>
      </c>
    </row>
    <row r="364" spans="1:10" x14ac:dyDescent="0.2">
      <c r="A364">
        <v>9312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365</v>
      </c>
    </row>
    <row r="365" spans="1:10" x14ac:dyDescent="0.2">
      <c r="A365">
        <v>9326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7</v>
      </c>
      <c r="J365" t="s">
        <v>366</v>
      </c>
    </row>
    <row r="366" spans="1:10" x14ac:dyDescent="0.2">
      <c r="A366">
        <v>9391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367</v>
      </c>
    </row>
    <row r="367" spans="1:10" x14ac:dyDescent="0.2">
      <c r="A367">
        <v>9394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7</v>
      </c>
      <c r="J367" t="s">
        <v>368</v>
      </c>
    </row>
    <row r="368" spans="1:10" x14ac:dyDescent="0.2">
      <c r="A368">
        <v>9406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369</v>
      </c>
    </row>
    <row r="369" spans="1:10" x14ac:dyDescent="0.2">
      <c r="A369">
        <v>9415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7</v>
      </c>
      <c r="J369" t="s">
        <v>370</v>
      </c>
    </row>
    <row r="370" spans="1:10" x14ac:dyDescent="0.2">
      <c r="A370">
        <v>9418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371</v>
      </c>
    </row>
    <row r="371" spans="1:10" x14ac:dyDescent="0.2">
      <c r="A371">
        <v>9441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7</v>
      </c>
      <c r="J371" t="s">
        <v>372</v>
      </c>
    </row>
    <row r="372" spans="1:10" x14ac:dyDescent="0.2">
      <c r="A372">
        <v>9454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7</v>
      </c>
      <c r="J372" t="s">
        <v>373</v>
      </c>
    </row>
    <row r="373" spans="1:10" x14ac:dyDescent="0.2">
      <c r="A373">
        <v>9495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374</v>
      </c>
    </row>
    <row r="374" spans="1:10" x14ac:dyDescent="0.2">
      <c r="A374">
        <v>9506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375</v>
      </c>
    </row>
    <row r="375" spans="1:10" x14ac:dyDescent="0.2">
      <c r="A375">
        <v>9702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376</v>
      </c>
    </row>
    <row r="376" spans="1:10" x14ac:dyDescent="0.2">
      <c r="A376">
        <v>9716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7</v>
      </c>
      <c r="J376" t="s">
        <v>377</v>
      </c>
    </row>
    <row r="377" spans="1:10" x14ac:dyDescent="0.2">
      <c r="A377">
        <v>9720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7</v>
      </c>
      <c r="J377" t="s">
        <v>378</v>
      </c>
    </row>
    <row r="378" spans="1:10" x14ac:dyDescent="0.2">
      <c r="A378">
        <v>9731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379</v>
      </c>
    </row>
    <row r="379" spans="1:10" x14ac:dyDescent="0.2">
      <c r="A379">
        <v>9778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7</v>
      </c>
      <c r="J379" t="s">
        <v>380</v>
      </c>
    </row>
    <row r="380" spans="1:10" x14ac:dyDescent="0.2">
      <c r="A380">
        <v>9785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0</v>
      </c>
      <c r="I380">
        <v>6</v>
      </c>
      <c r="J380" t="s">
        <v>381</v>
      </c>
    </row>
    <row r="381" spans="1:10" x14ac:dyDescent="0.2">
      <c r="A381">
        <v>9806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7</v>
      </c>
      <c r="J381" t="s">
        <v>382</v>
      </c>
    </row>
    <row r="382" spans="1:10" x14ac:dyDescent="0.2">
      <c r="A382">
        <v>9884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383</v>
      </c>
    </row>
    <row r="383" spans="1:10" x14ac:dyDescent="0.2">
      <c r="A383">
        <v>9887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7</v>
      </c>
      <c r="J383" t="s">
        <v>384</v>
      </c>
    </row>
    <row r="384" spans="1:10" x14ac:dyDescent="0.2">
      <c r="A384">
        <v>9891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385</v>
      </c>
    </row>
    <row r="385" spans="1:10" x14ac:dyDescent="0.2">
      <c r="A385">
        <v>9902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7</v>
      </c>
      <c r="J385" t="s">
        <v>386</v>
      </c>
    </row>
    <row r="386" spans="1:10" x14ac:dyDescent="0.2">
      <c r="A386">
        <v>9915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387</v>
      </c>
    </row>
    <row r="387" spans="1:10" x14ac:dyDescent="0.2">
      <c r="A387">
        <v>9935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7</v>
      </c>
      <c r="J387" t="s">
        <v>388</v>
      </c>
    </row>
    <row r="388" spans="1:10" x14ac:dyDescent="0.2">
      <c r="A388">
        <v>10164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389</v>
      </c>
    </row>
    <row r="389" spans="1:10" x14ac:dyDescent="0.2">
      <c r="A389">
        <v>10354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7</v>
      </c>
      <c r="J389" t="s">
        <v>390</v>
      </c>
    </row>
    <row r="390" spans="1:10" x14ac:dyDescent="0.2">
      <c r="A390">
        <v>10457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391</v>
      </c>
    </row>
    <row r="391" spans="1:10" x14ac:dyDescent="0.2">
      <c r="A391">
        <v>10462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7</v>
      </c>
      <c r="J391" t="s">
        <v>392</v>
      </c>
    </row>
    <row r="392" spans="1:10" x14ac:dyDescent="0.2">
      <c r="A392">
        <v>10464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393</v>
      </c>
    </row>
    <row r="393" spans="1:10" x14ac:dyDescent="0.2">
      <c r="A393">
        <v>10477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394</v>
      </c>
    </row>
    <row r="394" spans="1:10" x14ac:dyDescent="0.2">
      <c r="A394">
        <v>10513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395</v>
      </c>
    </row>
    <row r="395" spans="1:10" x14ac:dyDescent="0.2">
      <c r="A395">
        <v>10517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7</v>
      </c>
      <c r="J395" t="s">
        <v>396</v>
      </c>
    </row>
    <row r="396" spans="1:10" x14ac:dyDescent="0.2">
      <c r="A396">
        <v>10537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7</v>
      </c>
      <c r="J396" t="s">
        <v>397</v>
      </c>
    </row>
    <row r="397" spans="1:10" x14ac:dyDescent="0.2">
      <c r="A397">
        <v>10583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398</v>
      </c>
    </row>
    <row r="398" spans="1:10" x14ac:dyDescent="0.2">
      <c r="A398">
        <v>10600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7</v>
      </c>
      <c r="J398" t="s">
        <v>399</v>
      </c>
    </row>
    <row r="399" spans="1:10" x14ac:dyDescent="0.2">
      <c r="A399">
        <v>10625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400</v>
      </c>
    </row>
    <row r="400" spans="1:10" x14ac:dyDescent="0.2">
      <c r="A400">
        <v>10638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7</v>
      </c>
      <c r="J400" t="s">
        <v>401</v>
      </c>
    </row>
    <row r="401" spans="1:10" x14ac:dyDescent="0.2">
      <c r="A401">
        <v>10641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402</v>
      </c>
    </row>
    <row r="402" spans="1:10" x14ac:dyDescent="0.2">
      <c r="A402">
        <v>10650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7</v>
      </c>
      <c r="J402" t="s">
        <v>403</v>
      </c>
    </row>
    <row r="403" spans="1:10" x14ac:dyDescent="0.2">
      <c r="A403">
        <v>10652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7</v>
      </c>
      <c r="J403" t="s">
        <v>404</v>
      </c>
    </row>
    <row r="404" spans="1:10" x14ac:dyDescent="0.2">
      <c r="A404">
        <v>10686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405</v>
      </c>
    </row>
    <row r="405" spans="1:10" x14ac:dyDescent="0.2">
      <c r="A405">
        <v>10687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406</v>
      </c>
    </row>
    <row r="406" spans="1:10" x14ac:dyDescent="0.2">
      <c r="A406">
        <v>10688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407</v>
      </c>
    </row>
    <row r="407" spans="1:10" x14ac:dyDescent="0.2">
      <c r="A407">
        <v>10691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408</v>
      </c>
    </row>
    <row r="408" spans="1:10" x14ac:dyDescent="0.2">
      <c r="A408">
        <v>10743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7</v>
      </c>
      <c r="J408" t="s">
        <v>409</v>
      </c>
    </row>
    <row r="409" spans="1:10" x14ac:dyDescent="0.2">
      <c r="A409">
        <v>10746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7</v>
      </c>
      <c r="J409" t="s">
        <v>410</v>
      </c>
    </row>
    <row r="410" spans="1:10" x14ac:dyDescent="0.2">
      <c r="A410">
        <v>10748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411</v>
      </c>
    </row>
    <row r="411" spans="1:10" x14ac:dyDescent="0.2">
      <c r="A411">
        <v>10772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412</v>
      </c>
    </row>
    <row r="412" spans="1:10" x14ac:dyDescent="0.2">
      <c r="A412">
        <v>10785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7</v>
      </c>
      <c r="J412" t="s">
        <v>413</v>
      </c>
    </row>
    <row r="413" spans="1:10" x14ac:dyDescent="0.2">
      <c r="A413">
        <v>10786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7</v>
      </c>
      <c r="J413" t="s">
        <v>414</v>
      </c>
    </row>
    <row r="414" spans="1:10" x14ac:dyDescent="0.2">
      <c r="A414">
        <v>10860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415</v>
      </c>
    </row>
    <row r="415" spans="1:10" x14ac:dyDescent="0.2">
      <c r="A415">
        <v>10880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416</v>
      </c>
    </row>
    <row r="416" spans="1:10" x14ac:dyDescent="0.2">
      <c r="A416">
        <v>10881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417</v>
      </c>
    </row>
    <row r="417" spans="1:10" x14ac:dyDescent="0.2">
      <c r="A417">
        <v>10888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418</v>
      </c>
    </row>
    <row r="418" spans="1:10" x14ac:dyDescent="0.2">
      <c r="A418">
        <v>10896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7</v>
      </c>
      <c r="J418" t="s">
        <v>419</v>
      </c>
    </row>
    <row r="419" spans="1:10" x14ac:dyDescent="0.2">
      <c r="A419">
        <v>10897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420</v>
      </c>
    </row>
    <row r="420" spans="1:10" x14ac:dyDescent="0.2">
      <c r="A420">
        <v>10933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421</v>
      </c>
    </row>
    <row r="421" spans="1:10" x14ac:dyDescent="0.2">
      <c r="A421">
        <v>10940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7</v>
      </c>
      <c r="J421" t="s">
        <v>422</v>
      </c>
    </row>
    <row r="422" spans="1:10" x14ac:dyDescent="0.2">
      <c r="A422">
        <v>10941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7</v>
      </c>
      <c r="J422" t="s">
        <v>423</v>
      </c>
    </row>
    <row r="423" spans="1:10" x14ac:dyDescent="0.2">
      <c r="A423">
        <v>10943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424</v>
      </c>
    </row>
    <row r="424" spans="1:10" x14ac:dyDescent="0.2">
      <c r="A424">
        <v>10992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425</v>
      </c>
    </row>
    <row r="425" spans="1:10" x14ac:dyDescent="0.2">
      <c r="A425">
        <v>11004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426</v>
      </c>
    </row>
    <row r="426" spans="1:10" x14ac:dyDescent="0.2">
      <c r="A426">
        <v>11006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7</v>
      </c>
      <c r="J426" t="s">
        <v>427</v>
      </c>
    </row>
    <row r="427" spans="1:10" x14ac:dyDescent="0.2">
      <c r="A427">
        <v>11007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7</v>
      </c>
      <c r="J427" t="s">
        <v>428</v>
      </c>
    </row>
    <row r="428" spans="1:10" x14ac:dyDescent="0.2">
      <c r="A428">
        <v>11010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429</v>
      </c>
    </row>
    <row r="429" spans="1:10" x14ac:dyDescent="0.2">
      <c r="A429">
        <v>11021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7</v>
      </c>
      <c r="J429" t="s">
        <v>430</v>
      </c>
    </row>
    <row r="430" spans="1:10" x14ac:dyDescent="0.2">
      <c r="A430">
        <v>11110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7</v>
      </c>
      <c r="J430" t="s">
        <v>431</v>
      </c>
    </row>
    <row r="431" spans="1:10" x14ac:dyDescent="0.2">
      <c r="A431">
        <v>11111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432</v>
      </c>
    </row>
    <row r="432" spans="1:10" x14ac:dyDescent="0.2">
      <c r="A432">
        <v>11112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433</v>
      </c>
    </row>
    <row r="433" spans="1:10" x14ac:dyDescent="0.2">
      <c r="A433">
        <v>11113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7</v>
      </c>
      <c r="J433" t="s">
        <v>434</v>
      </c>
    </row>
    <row r="434" spans="1:10" x14ac:dyDescent="0.2">
      <c r="A434">
        <v>11134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435</v>
      </c>
    </row>
    <row r="435" spans="1:10" x14ac:dyDescent="0.2">
      <c r="A435">
        <v>11136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436</v>
      </c>
    </row>
    <row r="436" spans="1:10" x14ac:dyDescent="0.2">
      <c r="A436">
        <v>11147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437</v>
      </c>
    </row>
    <row r="437" spans="1:10" x14ac:dyDescent="0.2">
      <c r="A437">
        <v>11236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438</v>
      </c>
    </row>
    <row r="438" spans="1:10" x14ac:dyDescent="0.2">
      <c r="A438">
        <v>11275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439</v>
      </c>
    </row>
    <row r="439" spans="1:10" x14ac:dyDescent="0.2">
      <c r="A439">
        <v>11282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7</v>
      </c>
      <c r="J439" t="s">
        <v>440</v>
      </c>
    </row>
    <row r="440" spans="1:10" x14ac:dyDescent="0.2">
      <c r="A440">
        <v>11283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7</v>
      </c>
      <c r="J440" t="s">
        <v>441</v>
      </c>
    </row>
    <row r="441" spans="1:10" x14ac:dyDescent="0.2">
      <c r="A441">
        <v>11286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442</v>
      </c>
    </row>
    <row r="442" spans="1:10" x14ac:dyDescent="0.2">
      <c r="A442">
        <v>11297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7</v>
      </c>
      <c r="J442" t="s">
        <v>443</v>
      </c>
    </row>
    <row r="443" spans="1:10" x14ac:dyDescent="0.2">
      <c r="A443">
        <v>11298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444</v>
      </c>
    </row>
    <row r="444" spans="1:10" x14ac:dyDescent="0.2">
      <c r="A444">
        <v>11302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445</v>
      </c>
    </row>
    <row r="445" spans="1:10" x14ac:dyDescent="0.2">
      <c r="A445">
        <v>11305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7</v>
      </c>
      <c r="J445" t="s">
        <v>446</v>
      </c>
    </row>
    <row r="446" spans="1:10" x14ac:dyDescent="0.2">
      <c r="A446">
        <v>11373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447</v>
      </c>
    </row>
    <row r="447" spans="1:10" x14ac:dyDescent="0.2">
      <c r="A447">
        <v>11384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7</v>
      </c>
      <c r="J447" t="s">
        <v>448</v>
      </c>
    </row>
    <row r="448" spans="1:10" x14ac:dyDescent="0.2">
      <c r="A448">
        <v>11395</v>
      </c>
      <c r="B448">
        <v>1</v>
      </c>
      <c r="C448">
        <v>1</v>
      </c>
      <c r="D448">
        <v>0</v>
      </c>
      <c r="E448">
        <v>0</v>
      </c>
      <c r="F448">
        <v>0</v>
      </c>
      <c r="G448">
        <v>1</v>
      </c>
      <c r="H448">
        <v>1</v>
      </c>
      <c r="I448">
        <v>4</v>
      </c>
      <c r="J448" t="s">
        <v>449</v>
      </c>
    </row>
    <row r="449" spans="1:10" x14ac:dyDescent="0.2">
      <c r="A449">
        <v>11497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450</v>
      </c>
    </row>
    <row r="450" spans="1:10" x14ac:dyDescent="0.2">
      <c r="A450">
        <v>11498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7</v>
      </c>
      <c r="J450" t="s">
        <v>451</v>
      </c>
    </row>
    <row r="451" spans="1:10" x14ac:dyDescent="0.2">
      <c r="A451">
        <v>11499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452</v>
      </c>
    </row>
    <row r="452" spans="1:10" x14ac:dyDescent="0.2">
      <c r="A452">
        <v>11501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7</v>
      </c>
      <c r="J452" t="s">
        <v>453</v>
      </c>
    </row>
    <row r="453" spans="1:10" x14ac:dyDescent="0.2">
      <c r="A453">
        <v>11514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7</v>
      </c>
      <c r="J453" t="s">
        <v>454</v>
      </c>
    </row>
    <row r="454" spans="1:10" x14ac:dyDescent="0.2">
      <c r="A454">
        <v>11517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455</v>
      </c>
    </row>
    <row r="455" spans="1:10" x14ac:dyDescent="0.2">
      <c r="A455">
        <v>11539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456</v>
      </c>
    </row>
    <row r="456" spans="1:10" x14ac:dyDescent="0.2">
      <c r="A456">
        <v>11547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457</v>
      </c>
    </row>
    <row r="457" spans="1:10" x14ac:dyDescent="0.2">
      <c r="A457">
        <v>11588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458</v>
      </c>
    </row>
    <row r="458" spans="1:10" x14ac:dyDescent="0.2">
      <c r="A458">
        <v>11704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459</v>
      </c>
    </row>
    <row r="459" spans="1:10" x14ac:dyDescent="0.2">
      <c r="A459">
        <v>11760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7</v>
      </c>
      <c r="J459" t="s">
        <v>460</v>
      </c>
    </row>
    <row r="460" spans="1:10" x14ac:dyDescent="0.2">
      <c r="A460">
        <v>11812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461</v>
      </c>
    </row>
    <row r="461" spans="1:10" x14ac:dyDescent="0.2">
      <c r="A461">
        <v>11850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462</v>
      </c>
    </row>
    <row r="462" spans="1:10" x14ac:dyDescent="0.2">
      <c r="A462">
        <v>11888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463</v>
      </c>
    </row>
    <row r="463" spans="1:10" x14ac:dyDescent="0.2">
      <c r="A463">
        <v>11903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7</v>
      </c>
      <c r="J463" t="s">
        <v>464</v>
      </c>
    </row>
    <row r="464" spans="1:10" x14ac:dyDescent="0.2">
      <c r="A464">
        <v>11943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7</v>
      </c>
      <c r="J464" t="s">
        <v>465</v>
      </c>
    </row>
    <row r="465" spans="1:10" x14ac:dyDescent="0.2">
      <c r="A465">
        <v>11956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466</v>
      </c>
    </row>
    <row r="466" spans="1:10" x14ac:dyDescent="0.2">
      <c r="A466">
        <v>11959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7</v>
      </c>
      <c r="J466" t="s">
        <v>467</v>
      </c>
    </row>
    <row r="467" spans="1:10" x14ac:dyDescent="0.2">
      <c r="A467">
        <v>11984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7</v>
      </c>
      <c r="J467" t="s">
        <v>468</v>
      </c>
    </row>
    <row r="468" spans="1:10" x14ac:dyDescent="0.2">
      <c r="A468">
        <v>12012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7</v>
      </c>
      <c r="J468" t="s">
        <v>469</v>
      </c>
    </row>
    <row r="469" spans="1:10" x14ac:dyDescent="0.2">
      <c r="A469">
        <v>12194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470</v>
      </c>
    </row>
    <row r="470" spans="1:10" x14ac:dyDescent="0.2">
      <c r="A470">
        <v>12195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7</v>
      </c>
      <c r="J470" t="s">
        <v>471</v>
      </c>
    </row>
    <row r="471" spans="1:10" x14ac:dyDescent="0.2">
      <c r="A471">
        <v>12200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7</v>
      </c>
      <c r="J471" t="s">
        <v>472</v>
      </c>
    </row>
    <row r="472" spans="1:10" x14ac:dyDescent="0.2">
      <c r="A472">
        <v>12237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473</v>
      </c>
    </row>
    <row r="473" spans="1:10" x14ac:dyDescent="0.2">
      <c r="A473">
        <v>12250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474</v>
      </c>
    </row>
    <row r="474" spans="1:10" x14ac:dyDescent="0.2">
      <c r="A474">
        <v>12284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475</v>
      </c>
    </row>
    <row r="475" spans="1:10" x14ac:dyDescent="0.2">
      <c r="A475">
        <v>12296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476</v>
      </c>
    </row>
    <row r="476" spans="1:10" x14ac:dyDescent="0.2">
      <c r="A476">
        <v>12320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7</v>
      </c>
      <c r="J476" t="s">
        <v>477</v>
      </c>
    </row>
    <row r="477" spans="1:10" x14ac:dyDescent="0.2">
      <c r="A477">
        <v>12363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478</v>
      </c>
    </row>
    <row r="478" spans="1:10" x14ac:dyDescent="0.2">
      <c r="A478">
        <v>12369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7</v>
      </c>
      <c r="J478" t="s">
        <v>479</v>
      </c>
    </row>
    <row r="479" spans="1:10" x14ac:dyDescent="0.2">
      <c r="A479">
        <v>12382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480</v>
      </c>
    </row>
    <row r="480" spans="1:10" x14ac:dyDescent="0.2">
      <c r="A480">
        <v>12384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481</v>
      </c>
    </row>
    <row r="481" spans="1:10" x14ac:dyDescent="0.2">
      <c r="A481">
        <v>12388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7</v>
      </c>
      <c r="J481" t="s">
        <v>482</v>
      </c>
    </row>
    <row r="482" spans="1:10" x14ac:dyDescent="0.2">
      <c r="A482">
        <v>12400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7</v>
      </c>
      <c r="J482" t="s">
        <v>483</v>
      </c>
    </row>
    <row r="483" spans="1:10" x14ac:dyDescent="0.2">
      <c r="A483">
        <v>12401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484</v>
      </c>
    </row>
    <row r="484" spans="1:10" x14ac:dyDescent="0.2">
      <c r="A484">
        <v>12402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485</v>
      </c>
    </row>
    <row r="485" spans="1:10" x14ac:dyDescent="0.2">
      <c r="A485">
        <v>12408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486</v>
      </c>
    </row>
    <row r="486" spans="1:10" x14ac:dyDescent="0.2">
      <c r="A486">
        <v>12473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7</v>
      </c>
      <c r="J486" t="s">
        <v>487</v>
      </c>
    </row>
    <row r="487" spans="1:10" x14ac:dyDescent="0.2">
      <c r="A487">
        <v>12477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7</v>
      </c>
      <c r="J487" t="s">
        <v>488</v>
      </c>
    </row>
    <row r="488" spans="1:10" x14ac:dyDescent="0.2">
      <c r="A488">
        <v>12478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7</v>
      </c>
      <c r="J488" t="s">
        <v>489</v>
      </c>
    </row>
    <row r="489" spans="1:10" x14ac:dyDescent="0.2">
      <c r="A489">
        <v>12479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490</v>
      </c>
    </row>
    <row r="490" spans="1:10" x14ac:dyDescent="0.2">
      <c r="A490">
        <v>12485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491</v>
      </c>
    </row>
    <row r="491" spans="1:10" x14ac:dyDescent="0.2">
      <c r="A491">
        <v>12487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0</v>
      </c>
      <c r="H491">
        <v>0</v>
      </c>
      <c r="I491">
        <v>5</v>
      </c>
      <c r="J491" t="s">
        <v>492</v>
      </c>
    </row>
    <row r="492" spans="1:10" x14ac:dyDescent="0.2">
      <c r="A492">
        <v>12513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493</v>
      </c>
    </row>
    <row r="493" spans="1:10" x14ac:dyDescent="0.2">
      <c r="A493">
        <v>12575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494</v>
      </c>
    </row>
    <row r="494" spans="1:10" x14ac:dyDescent="0.2">
      <c r="A494">
        <v>12610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495</v>
      </c>
    </row>
    <row r="495" spans="1:10" x14ac:dyDescent="0.2">
      <c r="A495">
        <v>12619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496</v>
      </c>
    </row>
    <row r="496" spans="1:10" x14ac:dyDescent="0.2">
      <c r="A496">
        <v>12635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497</v>
      </c>
    </row>
    <row r="497" spans="1:10" x14ac:dyDescent="0.2">
      <c r="A497">
        <v>12651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7</v>
      </c>
      <c r="J497" t="s">
        <v>498</v>
      </c>
    </row>
    <row r="498" spans="1:10" x14ac:dyDescent="0.2">
      <c r="A498">
        <v>12652</v>
      </c>
      <c r="B498">
        <v>0</v>
      </c>
      <c r="C498">
        <v>0</v>
      </c>
      <c r="D498">
        <v>0</v>
      </c>
      <c r="E498">
        <v>1</v>
      </c>
      <c r="F498">
        <v>1</v>
      </c>
      <c r="G498">
        <v>1</v>
      </c>
      <c r="H498">
        <v>1</v>
      </c>
      <c r="I498">
        <v>4</v>
      </c>
      <c r="J498" t="s">
        <v>499</v>
      </c>
    </row>
    <row r="499" spans="1:10" x14ac:dyDescent="0.2">
      <c r="A499">
        <v>12679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500</v>
      </c>
    </row>
    <row r="500" spans="1:10" x14ac:dyDescent="0.2">
      <c r="A500">
        <v>12680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501</v>
      </c>
    </row>
    <row r="501" spans="1:10" x14ac:dyDescent="0.2">
      <c r="A501">
        <v>12701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502</v>
      </c>
    </row>
    <row r="502" spans="1:10" x14ac:dyDescent="0.2">
      <c r="A502">
        <v>12710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503</v>
      </c>
    </row>
    <row r="503" spans="1:10" x14ac:dyDescent="0.2">
      <c r="A503">
        <v>12711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504</v>
      </c>
    </row>
    <row r="504" spans="1:10" x14ac:dyDescent="0.2">
      <c r="A504">
        <v>12795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7</v>
      </c>
      <c r="J504" t="s">
        <v>505</v>
      </c>
    </row>
    <row r="505" spans="1:10" x14ac:dyDescent="0.2">
      <c r="A505">
        <v>12807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506</v>
      </c>
    </row>
    <row r="506" spans="1:10" x14ac:dyDescent="0.2">
      <c r="A506">
        <v>12844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507</v>
      </c>
    </row>
    <row r="507" spans="1:10" x14ac:dyDescent="0.2">
      <c r="A507">
        <v>12919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7</v>
      </c>
      <c r="J507" t="s">
        <v>508</v>
      </c>
    </row>
    <row r="508" spans="1:10" x14ac:dyDescent="0.2">
      <c r="A508">
        <v>12920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509</v>
      </c>
    </row>
    <row r="509" spans="1:10" x14ac:dyDescent="0.2">
      <c r="A509">
        <v>12921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7</v>
      </c>
      <c r="J509" t="s">
        <v>510</v>
      </c>
    </row>
    <row r="510" spans="1:10" x14ac:dyDescent="0.2">
      <c r="A510">
        <v>12925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511</v>
      </c>
    </row>
    <row r="511" spans="1:10" x14ac:dyDescent="0.2">
      <c r="A511">
        <v>12926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512</v>
      </c>
    </row>
    <row r="512" spans="1:10" x14ac:dyDescent="0.2">
      <c r="A512">
        <v>12929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7</v>
      </c>
      <c r="J512" t="s">
        <v>513</v>
      </c>
    </row>
    <row r="513" spans="1:10" x14ac:dyDescent="0.2">
      <c r="A513">
        <v>12930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514</v>
      </c>
    </row>
    <row r="514" spans="1:10" x14ac:dyDescent="0.2">
      <c r="A514">
        <v>12936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515</v>
      </c>
    </row>
    <row r="515" spans="1:10" x14ac:dyDescent="0.2">
      <c r="A515">
        <v>12941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516</v>
      </c>
    </row>
    <row r="516" spans="1:10" x14ac:dyDescent="0.2">
      <c r="A516">
        <v>12958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517</v>
      </c>
    </row>
    <row r="517" spans="1:10" x14ac:dyDescent="0.2">
      <c r="A517">
        <v>12959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518</v>
      </c>
    </row>
    <row r="518" spans="1:10" x14ac:dyDescent="0.2">
      <c r="A518">
        <v>12961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519</v>
      </c>
    </row>
    <row r="519" spans="1:10" x14ac:dyDescent="0.2">
      <c r="A519">
        <v>13002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520</v>
      </c>
    </row>
    <row r="520" spans="1:10" x14ac:dyDescent="0.2">
      <c r="A520">
        <v>13005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7</v>
      </c>
      <c r="J520" t="s">
        <v>521</v>
      </c>
    </row>
    <row r="521" spans="1:10" x14ac:dyDescent="0.2">
      <c r="A521">
        <v>13029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522</v>
      </c>
    </row>
    <row r="522" spans="1:10" x14ac:dyDescent="0.2">
      <c r="A522">
        <v>13031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523</v>
      </c>
    </row>
    <row r="523" spans="1:10" x14ac:dyDescent="0.2">
      <c r="A523">
        <v>13033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524</v>
      </c>
    </row>
    <row r="524" spans="1:10" x14ac:dyDescent="0.2">
      <c r="A524">
        <v>13035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525</v>
      </c>
    </row>
    <row r="525" spans="1:10" x14ac:dyDescent="0.2">
      <c r="A525">
        <v>13036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526</v>
      </c>
    </row>
    <row r="526" spans="1:10" x14ac:dyDescent="0.2">
      <c r="A526">
        <v>13050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527</v>
      </c>
    </row>
    <row r="527" spans="1:10" x14ac:dyDescent="0.2">
      <c r="A527">
        <v>13052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528</v>
      </c>
    </row>
    <row r="528" spans="1:10" x14ac:dyDescent="0.2">
      <c r="A528">
        <v>13068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529</v>
      </c>
    </row>
    <row r="529" spans="1:10" x14ac:dyDescent="0.2">
      <c r="A529">
        <v>13079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530</v>
      </c>
    </row>
    <row r="530" spans="1:10" x14ac:dyDescent="0.2">
      <c r="A530">
        <v>13095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7</v>
      </c>
      <c r="J530" t="s">
        <v>531</v>
      </c>
    </row>
    <row r="531" spans="1:10" x14ac:dyDescent="0.2">
      <c r="A531">
        <v>13096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532</v>
      </c>
    </row>
    <row r="532" spans="1:10" x14ac:dyDescent="0.2">
      <c r="A532">
        <v>13112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533</v>
      </c>
    </row>
    <row r="533" spans="1:10" x14ac:dyDescent="0.2">
      <c r="A533">
        <v>13113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534</v>
      </c>
    </row>
    <row r="534" spans="1:10" x14ac:dyDescent="0.2">
      <c r="A534">
        <v>13131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535</v>
      </c>
    </row>
    <row r="535" spans="1:10" x14ac:dyDescent="0.2">
      <c r="A535">
        <v>13132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7</v>
      </c>
      <c r="J535" t="s">
        <v>536</v>
      </c>
    </row>
    <row r="536" spans="1:10" x14ac:dyDescent="0.2">
      <c r="A536">
        <v>13140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537</v>
      </c>
    </row>
    <row r="537" spans="1:10" x14ac:dyDescent="0.2">
      <c r="A537">
        <v>13141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538</v>
      </c>
    </row>
    <row r="538" spans="1:10" x14ac:dyDescent="0.2">
      <c r="A538">
        <v>13162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539</v>
      </c>
    </row>
    <row r="539" spans="1:10" x14ac:dyDescent="0.2">
      <c r="A539">
        <v>13169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540</v>
      </c>
    </row>
    <row r="540" spans="1:10" x14ac:dyDescent="0.2">
      <c r="A540">
        <v>13180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 t="s">
        <v>541</v>
      </c>
    </row>
    <row r="541" spans="1:10" x14ac:dyDescent="0.2">
      <c r="A541">
        <v>13189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542</v>
      </c>
    </row>
    <row r="542" spans="1:10" x14ac:dyDescent="0.2">
      <c r="A542">
        <v>13200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543</v>
      </c>
    </row>
    <row r="543" spans="1:10" x14ac:dyDescent="0.2">
      <c r="A543">
        <v>13201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544</v>
      </c>
    </row>
    <row r="544" spans="1:10" x14ac:dyDescent="0.2">
      <c r="A544">
        <v>13202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545</v>
      </c>
    </row>
    <row r="545" spans="1:10" x14ac:dyDescent="0.2">
      <c r="A545">
        <v>13203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546</v>
      </c>
    </row>
    <row r="546" spans="1:10" x14ac:dyDescent="0.2">
      <c r="A546">
        <v>13204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547</v>
      </c>
    </row>
    <row r="547" spans="1:10" x14ac:dyDescent="0.2">
      <c r="A547">
        <v>13219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548</v>
      </c>
    </row>
    <row r="548" spans="1:10" x14ac:dyDescent="0.2">
      <c r="A548">
        <v>13232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7</v>
      </c>
      <c r="J548" t="s">
        <v>549</v>
      </c>
    </row>
    <row r="549" spans="1:10" x14ac:dyDescent="0.2">
      <c r="A549">
        <v>13235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550</v>
      </c>
    </row>
    <row r="550" spans="1:10" x14ac:dyDescent="0.2">
      <c r="A550">
        <v>13241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551</v>
      </c>
    </row>
    <row r="551" spans="1:10" x14ac:dyDescent="0.2">
      <c r="A551">
        <v>13331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552</v>
      </c>
    </row>
    <row r="552" spans="1:10" x14ac:dyDescent="0.2">
      <c r="A552">
        <v>13380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7</v>
      </c>
      <c r="J552" t="s">
        <v>553</v>
      </c>
    </row>
    <row r="553" spans="1:10" x14ac:dyDescent="0.2">
      <c r="A553">
        <v>13385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554</v>
      </c>
    </row>
    <row r="554" spans="1:10" x14ac:dyDescent="0.2">
      <c r="A554">
        <v>13386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555</v>
      </c>
    </row>
    <row r="555" spans="1:10" x14ac:dyDescent="0.2">
      <c r="A555">
        <v>13387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556</v>
      </c>
    </row>
    <row r="556" spans="1:10" x14ac:dyDescent="0.2">
      <c r="A556">
        <v>13395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557</v>
      </c>
    </row>
    <row r="557" spans="1:10" x14ac:dyDescent="0.2">
      <c r="A557">
        <v>13428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558</v>
      </c>
    </row>
    <row r="558" spans="1:10" x14ac:dyDescent="0.2">
      <c r="A558">
        <v>13429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559</v>
      </c>
    </row>
    <row r="559" spans="1:10" x14ac:dyDescent="0.2">
      <c r="A559">
        <v>13434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560</v>
      </c>
    </row>
    <row r="560" spans="1:10" x14ac:dyDescent="0.2">
      <c r="A560">
        <v>13457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561</v>
      </c>
    </row>
    <row r="561" spans="1:10" x14ac:dyDescent="0.2">
      <c r="A561">
        <v>13460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7</v>
      </c>
      <c r="J561" t="s">
        <v>562</v>
      </c>
    </row>
    <row r="562" spans="1:10" x14ac:dyDescent="0.2">
      <c r="A562">
        <v>13483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563</v>
      </c>
    </row>
    <row r="563" spans="1:10" x14ac:dyDescent="0.2">
      <c r="A563">
        <v>13486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564</v>
      </c>
    </row>
    <row r="564" spans="1:10" x14ac:dyDescent="0.2">
      <c r="A564">
        <v>13500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565</v>
      </c>
    </row>
    <row r="565" spans="1:10" x14ac:dyDescent="0.2">
      <c r="A565">
        <v>13519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566</v>
      </c>
    </row>
    <row r="566" spans="1:10" x14ac:dyDescent="0.2">
      <c r="A566">
        <v>13536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567</v>
      </c>
    </row>
    <row r="567" spans="1:10" x14ac:dyDescent="0.2">
      <c r="A567">
        <v>13538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7</v>
      </c>
      <c r="J567" t="s">
        <v>568</v>
      </c>
    </row>
    <row r="568" spans="1:10" x14ac:dyDescent="0.2">
      <c r="A568">
        <v>13539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7</v>
      </c>
      <c r="J568" t="s">
        <v>569</v>
      </c>
    </row>
    <row r="569" spans="1:10" x14ac:dyDescent="0.2">
      <c r="A569">
        <v>13559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570</v>
      </c>
    </row>
    <row r="570" spans="1:10" x14ac:dyDescent="0.2">
      <c r="A570">
        <v>13594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571</v>
      </c>
    </row>
    <row r="571" spans="1:10" x14ac:dyDescent="0.2">
      <c r="A571">
        <v>13607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572</v>
      </c>
    </row>
    <row r="572" spans="1:10" x14ac:dyDescent="0.2">
      <c r="A572">
        <v>13608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573</v>
      </c>
    </row>
    <row r="573" spans="1:10" x14ac:dyDescent="0.2">
      <c r="A573">
        <v>13613</v>
      </c>
      <c r="B573">
        <v>1</v>
      </c>
      <c r="C573">
        <v>1</v>
      </c>
      <c r="D573">
        <v>1</v>
      </c>
      <c r="E573">
        <v>1</v>
      </c>
      <c r="F573">
        <v>0</v>
      </c>
      <c r="G573">
        <v>0</v>
      </c>
      <c r="H573">
        <v>0</v>
      </c>
      <c r="I573">
        <v>4</v>
      </c>
      <c r="J573" t="s">
        <v>574</v>
      </c>
    </row>
    <row r="574" spans="1:10" x14ac:dyDescent="0.2">
      <c r="A574">
        <v>13641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7</v>
      </c>
      <c r="J574" t="s">
        <v>575</v>
      </c>
    </row>
    <row r="575" spans="1:10" x14ac:dyDescent="0.2">
      <c r="A575">
        <v>13642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7</v>
      </c>
      <c r="J575" t="s">
        <v>576</v>
      </c>
    </row>
    <row r="576" spans="1:10" x14ac:dyDescent="0.2">
      <c r="A576">
        <v>13645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577</v>
      </c>
    </row>
    <row r="577" spans="1:10" x14ac:dyDescent="0.2">
      <c r="A577">
        <v>13658</v>
      </c>
      <c r="B577">
        <v>1</v>
      </c>
      <c r="C577">
        <v>1</v>
      </c>
      <c r="D577">
        <v>1</v>
      </c>
      <c r="E577">
        <v>1</v>
      </c>
      <c r="F577">
        <v>0</v>
      </c>
      <c r="G577">
        <v>0</v>
      </c>
      <c r="H577">
        <v>0</v>
      </c>
      <c r="I577">
        <v>4</v>
      </c>
      <c r="J577" t="s">
        <v>578</v>
      </c>
    </row>
    <row r="578" spans="1:10" x14ac:dyDescent="0.2">
      <c r="A578">
        <v>13696</v>
      </c>
      <c r="B578">
        <v>1</v>
      </c>
      <c r="C578">
        <v>1</v>
      </c>
      <c r="D578">
        <v>1</v>
      </c>
      <c r="E578">
        <v>1</v>
      </c>
      <c r="F578">
        <v>0</v>
      </c>
      <c r="G578">
        <v>0</v>
      </c>
      <c r="H578">
        <v>0</v>
      </c>
      <c r="I578">
        <v>4</v>
      </c>
      <c r="J578" t="s">
        <v>579</v>
      </c>
    </row>
    <row r="579" spans="1:10" x14ac:dyDescent="0.2">
      <c r="A579">
        <v>13706</v>
      </c>
      <c r="B579">
        <v>0</v>
      </c>
      <c r="C579">
        <v>0</v>
      </c>
      <c r="D579">
        <v>0</v>
      </c>
      <c r="E579">
        <v>0</v>
      </c>
      <c r="F579">
        <v>1</v>
      </c>
      <c r="G579">
        <v>1</v>
      </c>
      <c r="H579">
        <v>1</v>
      </c>
      <c r="I579">
        <v>3</v>
      </c>
      <c r="J579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2019-06-26T12:21:40Z</dcterms:created>
  <dcterms:modified xsi:type="dcterms:W3CDTF">2019-06-26T12:24:05Z</dcterms:modified>
</cp:coreProperties>
</file>