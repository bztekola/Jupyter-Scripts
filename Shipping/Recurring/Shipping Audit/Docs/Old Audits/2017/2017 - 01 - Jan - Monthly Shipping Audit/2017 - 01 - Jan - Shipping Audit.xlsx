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Overcharges" sheetId="2" r:id="rId2"/>
    <sheet name="Free_Shipping" sheetId="3" r:id="rId3"/>
  </sheets>
  <calcPr calcId="124519" fullCalcOnLoad="1"/>
</workbook>
</file>

<file path=xl/sharedStrings.xml><?xml version="1.0" encoding="utf-8"?>
<sst xmlns="http://schemas.openxmlformats.org/spreadsheetml/2006/main" count="213" uniqueCount="86">
  <si>
    <t>Year</t>
  </si>
  <si>
    <t>Month</t>
  </si>
  <si>
    <t>Shipping Revenue</t>
  </si>
  <si>
    <t>UPS Charge</t>
  </si>
  <si>
    <t>USPS Charge</t>
  </si>
  <si>
    <t>Total Charge</t>
  </si>
  <si>
    <t>Shipping Profit</t>
  </si>
  <si>
    <t>Profit Margin</t>
  </si>
  <si>
    <t>January</t>
  </si>
  <si>
    <t>UPS</t>
  </si>
  <si>
    <t>USPS</t>
  </si>
  <si>
    <t>Total</t>
  </si>
  <si>
    <t>UPS % Change</t>
  </si>
  <si>
    <t>USPS % Change</t>
  </si>
  <si>
    <t>Total YoY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</si>
  <si>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</si>
  <si>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</si>
  <si>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</si>
  <si>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</si>
  <si>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</si>
  <si>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</si>
  <si>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</si>
  <si>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</si>
  <si>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</si>
  <si>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</si>
  <si>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</si>
  <si>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 YoY</t>
  </si>
  <si>
    <t>Profit YoY</t>
  </si>
  <si>
    <t>Margin YoY</t>
  </si>
  <si>
    <t>Service</t>
  </si>
  <si>
    <t>Current Month</t>
  </si>
  <si>
    <t>% Change</t>
  </si>
  <si>
    <t>YoY</t>
  </si>
  <si>
    <t>Ground</t>
  </si>
  <si>
    <t>2nd Day Air</t>
  </si>
  <si>
    <t>Worldwide Expedited</t>
  </si>
  <si>
    <t>3 Day Select</t>
  </si>
  <si>
    <t>Next Day Air</t>
  </si>
  <si>
    <t>Worldwide Saver</t>
  </si>
  <si>
    <t>Worldwide Express</t>
  </si>
  <si>
    <t>Count</t>
  </si>
  <si>
    <t>% Of Shipments</t>
  </si>
  <si>
    <t>% Of Service</t>
  </si>
  <si>
    <t>% Of Total</t>
  </si>
  <si>
    <t>Potential Refund</t>
  </si>
  <si>
    <t>Overcharged</t>
  </si>
  <si>
    <t>Count % Change</t>
  </si>
  <si>
    <t>Count YoY</t>
  </si>
  <si>
    <t>Charge Type</t>
  </si>
  <si>
    <t>Charge Type Count</t>
  </si>
  <si>
    <t>Residential Surcharge</t>
  </si>
  <si>
    <t>Remote/Extended/Delivery Area Surcharge</t>
  </si>
  <si>
    <t>Delivery Confirmation Signature</t>
  </si>
  <si>
    <t>Shipping Charge Correction</t>
  </si>
  <si>
    <t>Electronic Export Information Fee</t>
  </si>
  <si>
    <t>Address Correction</t>
  </si>
  <si>
    <t>Cur Month Count</t>
  </si>
  <si>
    <t>Cur Month Cost</t>
  </si>
  <si>
    <t>% Of Total Count</t>
  </si>
  <si>
    <t>Avg Order Value</t>
  </si>
  <si>
    <t>AdaBox</t>
  </si>
  <si>
    <t>Qty</t>
  </si>
  <si>
    <t>Price</t>
  </si>
  <si>
    <t>Item Cost</t>
  </si>
  <si>
    <t>Revenue</t>
  </si>
  <si>
    <t>Gross Profit</t>
  </si>
  <si>
    <t>Shipping Charge</t>
  </si>
  <si>
    <t>AdaBox002</t>
  </si>
  <si>
    <t>Overview</t>
  </si>
  <si>
    <t>All data is without AdaBox activities unless otherwise noted</t>
  </si>
  <si>
    <t>Overcharges</t>
  </si>
  <si>
    <t>Free Shipping</t>
  </si>
  <si>
    <t>Overall With Free Shipping</t>
  </si>
  <si>
    <t>Overall Without Free Shipping</t>
  </si>
  <si>
    <t>Count Over Time</t>
  </si>
  <si>
    <t>Charges Over Time</t>
  </si>
  <si>
    <t>Shipping Revenue And Shipping Profit Over Time</t>
  </si>
  <si>
    <t>Count Of Services</t>
  </si>
  <si>
    <t>Revenue From Services</t>
  </si>
  <si>
    <t>Average Charge Of Services</t>
  </si>
  <si>
    <t>Late Shipment Data</t>
  </si>
  <si>
    <t>Overcharges Data</t>
  </si>
  <si>
    <t>Possible Reasons For Overcharges</t>
  </si>
  <si>
    <t>Free Shipping Data</t>
  </si>
  <si>
    <t>Free Shipping Over Time</t>
  </si>
  <si>
    <t>AdaBox Addendum</t>
  </si>
</sst>
</file>

<file path=xl/styles.xml><?xml version="1.0" encoding="utf-8"?>
<styleSheet xmlns="http://schemas.openxmlformats.org/spreadsheetml/2006/main">
  <numFmts count="3">
    <numFmt numFmtId="164" formatCode="&quot;$&quot;#,###,##0"/>
    <numFmt numFmtId="165" formatCode="0.00&quot;%&quot;"/>
    <numFmt numFmtId="166" formatCode="##,##0"/>
  </numFmts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Overview!$N$9:$N$21</c:f>
              <c:numCache>
                <c:formatCode>General</c:formatCode>
                <c:ptCount val="13"/>
                <c:pt idx="0">
                  <c:v>23475</c:v>
                </c:pt>
                <c:pt idx="1">
                  <c:v>23954</c:v>
                </c:pt>
                <c:pt idx="2">
                  <c:v>27580</c:v>
                </c:pt>
                <c:pt idx="3">
                  <c:v>23989</c:v>
                </c:pt>
                <c:pt idx="4">
                  <c:v>21413</c:v>
                </c:pt>
                <c:pt idx="5">
                  <c:v>21326</c:v>
                </c:pt>
                <c:pt idx="6">
                  <c:v>22344</c:v>
                </c:pt>
                <c:pt idx="7">
                  <c:v>22707</c:v>
                </c:pt>
                <c:pt idx="8">
                  <c:v>21700</c:v>
                </c:pt>
                <c:pt idx="9">
                  <c:v>22432</c:v>
                </c:pt>
                <c:pt idx="10">
                  <c:v>27105</c:v>
                </c:pt>
                <c:pt idx="11">
                  <c:v>25271</c:v>
                </c:pt>
                <c:pt idx="12">
                  <c:v>6658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Overview!$O$9:$O$21</c:f>
              <c:numCache>
                <c:formatCode>General</c:formatCode>
                <c:ptCount val="13"/>
                <c:pt idx="0">
                  <c:v>4157</c:v>
                </c:pt>
                <c:pt idx="1">
                  <c:v>3558</c:v>
                </c:pt>
                <c:pt idx="2">
                  <c:v>5149</c:v>
                </c:pt>
                <c:pt idx="3">
                  <c:v>3832</c:v>
                </c:pt>
                <c:pt idx="4">
                  <c:v>3838</c:v>
                </c:pt>
                <c:pt idx="5">
                  <c:v>4013</c:v>
                </c:pt>
                <c:pt idx="6">
                  <c:v>4782</c:v>
                </c:pt>
                <c:pt idx="7">
                  <c:v>4117</c:v>
                </c:pt>
                <c:pt idx="8">
                  <c:v>3918</c:v>
                </c:pt>
                <c:pt idx="9">
                  <c:v>3849</c:v>
                </c:pt>
                <c:pt idx="10">
                  <c:v>5333</c:v>
                </c:pt>
                <c:pt idx="11">
                  <c:v>4565</c:v>
                </c:pt>
                <c:pt idx="12">
                  <c:v>4327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7580"/>
          <c:min val="6658"/>
        </c:scaling>
        <c:axPos val="l"/>
        <c:majorGridlines/>
        <c:numFmt formatCode="###,##0" sourceLinked="0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  <c:max val="5333"/>
          <c:min val="3558"/>
        </c:scaling>
        <c:axPos val="r"/>
        <c:numFmt formatCode="###,##0" sourceLinked="0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Charges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UPS</c:v>
          </c:tx>
          <c:marker>
            <c:symbol val="x"/>
          </c:marker>
          <c:trendline>
            <c:name>UPS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Overview!$X$9:$X$21</c:f>
              <c:numCache>
                <c:formatCode>General</c:formatCode>
                <c:ptCount val="13"/>
                <c:pt idx="0">
                  <c:v>332445.629732026</c:v>
                </c:pt>
                <c:pt idx="1">
                  <c:v>330176.479726698</c:v>
                </c:pt>
                <c:pt idx="2">
                  <c:v>368247.539745687</c:v>
                </c:pt>
                <c:pt idx="3">
                  <c:v>328829.859623123</c:v>
                </c:pt>
                <c:pt idx="4">
                  <c:v>306099.479739044</c:v>
                </c:pt>
                <c:pt idx="5">
                  <c:v>293272.710016767</c:v>
                </c:pt>
                <c:pt idx="6">
                  <c:v>287007.861649653</c:v>
                </c:pt>
                <c:pt idx="7">
                  <c:v>300141.231941851</c:v>
                </c:pt>
                <c:pt idx="8">
                  <c:v>295693.992124006</c:v>
                </c:pt>
                <c:pt idx="9">
                  <c:v>303471.622125328</c:v>
                </c:pt>
                <c:pt idx="10">
                  <c:v>355594.482549947</c:v>
                </c:pt>
                <c:pt idx="11">
                  <c:v>332903.321382524</c:v>
                </c:pt>
                <c:pt idx="12">
                  <c:v>95306.479283087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USPS</c:v>
          </c:tx>
          <c:marker>
            <c:symbol val="x"/>
          </c:marker>
          <c:trendline>
            <c:name>USPS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Overview!$Y$9:$Y$21</c:f>
              <c:numCache>
                <c:formatCode>General</c:formatCode>
                <c:ptCount val="13"/>
                <c:pt idx="0">
                  <c:v>22603.6999999993</c:v>
                </c:pt>
                <c:pt idx="1">
                  <c:v>21551.0999999999</c:v>
                </c:pt>
                <c:pt idx="2">
                  <c:v>29225.7999999993</c:v>
                </c:pt>
                <c:pt idx="3">
                  <c:v>22654.7</c:v>
                </c:pt>
                <c:pt idx="4">
                  <c:v>22877.3000000001</c:v>
                </c:pt>
                <c:pt idx="5">
                  <c:v>22582.0000000003</c:v>
                </c:pt>
                <c:pt idx="6">
                  <c:v>24873.8000000003</c:v>
                </c:pt>
                <c:pt idx="7">
                  <c:v>23428.3999999991</c:v>
                </c:pt>
                <c:pt idx="8">
                  <c:v>22868.4999999994</c:v>
                </c:pt>
                <c:pt idx="9">
                  <c:v>23634.9999999991</c:v>
                </c:pt>
                <c:pt idx="10">
                  <c:v>30822.6999999979</c:v>
                </c:pt>
                <c:pt idx="11">
                  <c:v>26141.5999999986</c:v>
                </c:pt>
                <c:pt idx="12">
                  <c:v>27551.0999999993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368247.539746"/>
          <c:min val="95306.4792831"/>
        </c:scaling>
        <c:axPos val="l"/>
        <c:majorGridlines/>
        <c:numFmt formatCode="&quot;$&quot;###,##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  <c:max val="30822.7"/>
          <c:min val="21551.1"/>
        </c:scaling>
        <c:axPos val="r"/>
        <c:numFmt formatCode="&quot;$&quot;###,##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Shipping Revenue and Shipping Profit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Shipping Revenue</c:v>
          </c:tx>
          <c:marker>
            <c:symbol val="x"/>
          </c:marker>
          <c:trendline>
            <c:name>Revenue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Overview!$M$9:$M$21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Overview!$AH$9:$AH$21</c:f>
              <c:numCache>
                <c:formatCode>General</c:formatCode>
                <c:ptCount val="13"/>
                <c:pt idx="0">
                  <c:v>371541.840000023</c:v>
                </c:pt>
                <c:pt idx="1">
                  <c:v>365373.679999975</c:v>
                </c:pt>
                <c:pt idx="2">
                  <c:v>413330.260000024</c:v>
                </c:pt>
                <c:pt idx="3">
                  <c:v>365376.079999977</c:v>
                </c:pt>
                <c:pt idx="4">
                  <c:v>339393.920000022</c:v>
                </c:pt>
                <c:pt idx="5">
                  <c:v>329426.409999984</c:v>
                </c:pt>
                <c:pt idx="6">
                  <c:v>322319.780000021</c:v>
                </c:pt>
                <c:pt idx="7">
                  <c:v>329054.699999949</c:v>
                </c:pt>
                <c:pt idx="8">
                  <c:v>330166.210000037</c:v>
                </c:pt>
                <c:pt idx="9">
                  <c:v>338033.040000046</c:v>
                </c:pt>
                <c:pt idx="10">
                  <c:v>403593.140000114</c:v>
                </c:pt>
                <c:pt idx="11">
                  <c:v>370941.910000023</c:v>
                </c:pt>
                <c:pt idx="12">
                  <c:v>335820.870000025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Shipping Profit</c:v>
          </c:tx>
          <c:marker>
            <c:symbol val="x"/>
          </c:marker>
          <c:trendline>
            <c:name>Shipping Profit Trend</c:name>
            <c:spPr>
              <a:ln>
                <a:solidFill>
                  <a:srgbClr val="FF6600"/>
                </a:solidFill>
              </a:ln>
            </c:spPr>
            <c:trendlineType val="linear"/>
          </c:trendline>
          <c:val>
            <c:numRef>
              <c:f>Overview!$AI$9:$AI$21</c:f>
              <c:numCache>
                <c:formatCode>General</c:formatCode>
                <c:ptCount val="13"/>
                <c:pt idx="0">
                  <c:v>16492.510267998</c:v>
                </c:pt>
                <c:pt idx="1">
                  <c:v>13646.1002732769</c:v>
                </c:pt>
                <c:pt idx="2">
                  <c:v>15856.9202543381</c:v>
                </c:pt>
                <c:pt idx="3">
                  <c:v>13891.5203768542</c:v>
                </c:pt>
                <c:pt idx="4">
                  <c:v>10417.1402609776</c:v>
                </c:pt>
                <c:pt idx="5">
                  <c:v>13571.6999832176</c:v>
                </c:pt>
                <c:pt idx="6">
                  <c:v>10438.1183503675</c:v>
                </c:pt>
                <c:pt idx="7">
                  <c:v>5485.0680580989</c:v>
                </c:pt>
                <c:pt idx="8">
                  <c:v>11603.7178760317</c:v>
                </c:pt>
                <c:pt idx="9">
                  <c:v>10926.4178747194</c:v>
                </c:pt>
                <c:pt idx="10">
                  <c:v>17175.9574501698</c:v>
                </c:pt>
                <c:pt idx="11">
                  <c:v>11896.9886175001</c:v>
                </c:pt>
                <c:pt idx="12">
                  <c:v>212963.290716939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13330.26"/>
          <c:min val="322319.78"/>
        </c:scaling>
        <c:axPos val="l"/>
        <c:majorGridlines/>
        <c:numFmt formatCode="&quot;$&quot;###,##0" sourceLinked="0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  <c:max val="212963.290717"/>
          <c:min val="5485.0680581"/>
        </c:scaling>
        <c:axPos val="r"/>
        <c:numFmt formatCode="&quot;$&quot;###,##0" sourceLinked="0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Overview!$AP$9:$AP$16</c:f>
              <c:strCache>
                <c:ptCount val="8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</c:strCache>
            </c:strRef>
          </c:cat>
          <c:val>
            <c:numRef>
              <c:f>Overview!$AQ$9:$AQ$16</c:f>
              <c:numCache>
                <c:formatCode>General</c:formatCode>
                <c:ptCount val="8"/>
                <c:pt idx="0">
                  <c:v>4638</c:v>
                </c:pt>
                <c:pt idx="1">
                  <c:v>4327</c:v>
                </c:pt>
                <c:pt idx="2">
                  <c:v>605</c:v>
                </c:pt>
                <c:pt idx="3">
                  <c:v>464</c:v>
                </c:pt>
                <c:pt idx="4">
                  <c:v>427</c:v>
                </c:pt>
                <c:pt idx="5">
                  <c:v>313</c:v>
                </c:pt>
                <c:pt idx="6">
                  <c:v>113</c:v>
                </c:pt>
                <c:pt idx="7">
                  <c:v>98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From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From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Overview!$AV$9:$AV$16</c:f>
              <c:strCache>
                <c:ptCount val="8"/>
                <c:pt idx="0">
                  <c:v>USPS</c:v>
                </c:pt>
                <c:pt idx="1">
                  <c:v>Ground</c:v>
                </c:pt>
                <c:pt idx="2">
                  <c:v>Worldwide Expedited</c:v>
                </c:pt>
                <c:pt idx="3">
                  <c:v>2nd Day Air</c:v>
                </c:pt>
                <c:pt idx="4">
                  <c:v>Next Day Air</c:v>
                </c:pt>
                <c:pt idx="5">
                  <c:v>Worldwide Saver</c:v>
                </c:pt>
                <c:pt idx="6">
                  <c:v>3 Day Select</c:v>
                </c:pt>
                <c:pt idx="7">
                  <c:v>Worldwide Express</c:v>
                </c:pt>
              </c:strCache>
            </c:strRef>
          </c:cat>
          <c:val>
            <c:numRef>
              <c:f>Overview!$AW$9:$AW$16</c:f>
              <c:numCache>
                <c:formatCode>General</c:formatCode>
                <c:ptCount val="8"/>
                <c:pt idx="0">
                  <c:v>240734.169999976</c:v>
                </c:pt>
                <c:pt idx="1">
                  <c:v>38784.7899999991</c:v>
                </c:pt>
                <c:pt idx="2">
                  <c:v>20386.57</c:v>
                </c:pt>
                <c:pt idx="3">
                  <c:v>9414.38000000002</c:v>
                </c:pt>
                <c:pt idx="4">
                  <c:v>7947.13000000001</c:v>
                </c:pt>
                <c:pt idx="5">
                  <c:v>7490.38</c:v>
                </c:pt>
                <c:pt idx="6">
                  <c:v>5671.24999999999</c:v>
                </c:pt>
                <c:pt idx="7">
                  <c:v>5392.2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Charge Of Services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Average Charge Of Services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Overview!$BB$9:$BB$16</c:f>
              <c:strCache>
                <c:ptCount val="8"/>
                <c:pt idx="0">
                  <c:v>Worldwide Saver</c:v>
                </c:pt>
                <c:pt idx="1">
                  <c:v>Worldwide Express</c:v>
                </c:pt>
                <c:pt idx="2">
                  <c:v>Worldwide Expedited</c:v>
                </c:pt>
                <c:pt idx="3">
                  <c:v>Next Day Air</c:v>
                </c:pt>
                <c:pt idx="4">
                  <c:v>2nd Day Air</c:v>
                </c:pt>
                <c:pt idx="5">
                  <c:v>3 Day Select</c:v>
                </c:pt>
                <c:pt idx="6">
                  <c:v>Ground</c:v>
                </c:pt>
                <c:pt idx="7">
                  <c:v>USPS</c:v>
                </c:pt>
              </c:strCache>
            </c:strRef>
          </c:cat>
          <c:val>
            <c:numRef>
              <c:f>Overview!$BC$9:$BC$16</c:f>
              <c:numCache>
                <c:formatCode>General</c:formatCode>
                <c:ptCount val="8"/>
                <c:pt idx="0">
                  <c:v>58.1725661997247</c:v>
                </c:pt>
                <c:pt idx="1">
                  <c:v>51.9320409249286</c:v>
                </c:pt>
                <c:pt idx="2">
                  <c:v>41.9082332546702</c:v>
                </c:pt>
                <c:pt idx="3">
                  <c:v>23.5964218383244</c:v>
                </c:pt>
                <c:pt idx="4">
                  <c:v>14.5933059655869</c:v>
                </c:pt>
                <c:pt idx="5">
                  <c:v>12.6318030685309</c:v>
                </c:pt>
                <c:pt idx="6">
                  <c:v>9.18279624986412</c:v>
                </c:pt>
                <c:pt idx="7">
                  <c:v>6.36725213773962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Late Shipment Count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Late Shipment Count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Overview!$BH$9:$BH$15</c:f>
              <c:strCache>
                <c:ptCount val="7"/>
                <c:pt idx="0">
                  <c:v>Worldwide Expedited</c:v>
                </c:pt>
                <c:pt idx="1">
                  <c:v>Ground</c:v>
                </c:pt>
                <c:pt idx="2">
                  <c:v>Worldwide Saver</c:v>
                </c:pt>
                <c:pt idx="3">
                  <c:v>Worldwide Express</c:v>
                </c:pt>
                <c:pt idx="4">
                  <c:v>Next Day Air</c:v>
                </c:pt>
                <c:pt idx="5">
                  <c:v>2nd Day Air</c:v>
                </c:pt>
                <c:pt idx="6">
                  <c:v>3 Day Select</c:v>
                </c:pt>
              </c:strCache>
            </c:strRef>
          </c:cat>
          <c:val>
            <c:numRef>
              <c:f>Overview!$BI$9:$BI$15</c:f>
              <c:numCache>
                <c:formatCode>General</c:formatCode>
                <c:ptCount val="7"/>
                <c:pt idx="0">
                  <c:v>297</c:v>
                </c:pt>
                <c:pt idx="1">
                  <c:v>135</c:v>
                </c:pt>
                <c:pt idx="2">
                  <c:v>98</c:v>
                </c:pt>
                <c:pt idx="3">
                  <c:v>88</c:v>
                </c:pt>
                <c:pt idx="4">
                  <c:v>64</c:v>
                </c:pt>
                <c:pt idx="5">
                  <c:v>17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Count Of Overcharges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Count Of Overcharges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Worldwide Expedited</c:v>
                </c:pt>
                <c:pt idx="1">
                  <c:v>Ground</c:v>
                </c:pt>
                <c:pt idx="2">
                  <c:v>USPS</c:v>
                </c:pt>
                <c:pt idx="3">
                  <c:v>Next Day Air</c:v>
                </c:pt>
                <c:pt idx="4">
                  <c:v>Worldwide Saver</c:v>
                </c:pt>
                <c:pt idx="5">
                  <c:v>2nd Day Air</c:v>
                </c:pt>
                <c:pt idx="6">
                  <c:v>Worldwide Express</c:v>
                </c:pt>
                <c:pt idx="7">
                  <c:v>3 Day Select</c:v>
                </c:pt>
              </c:strCache>
            </c:strRef>
          </c:cat>
          <c:val>
            <c:numRef>
              <c:f>Overcharges!$C$9:$C$16</c:f>
              <c:numCache>
                <c:formatCode>General</c:formatCode>
                <c:ptCount val="8"/>
                <c:pt idx="0">
                  <c:v>51</c:v>
                </c:pt>
                <c:pt idx="1">
                  <c:v>24</c:v>
                </c:pt>
                <c:pt idx="2">
                  <c:v>20</c:v>
                </c:pt>
                <c:pt idx="3">
                  <c:v>12</c:v>
                </c:pt>
                <c:pt idx="4">
                  <c:v>11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Amount Overcharged</c:v>
          </c:tx>
          <c:dLbls>
            <c:showLegendKey val="1"/>
            <c:showVal val="1"/>
            <c:showPercent val="1"/>
            <c:showLeaderLines val="1"/>
          </c:dLbls>
          <c:cat>
            <c:strRef>
              <c:f>Overcharges!$B$9:$B$16</c:f>
              <c:strCache>
                <c:ptCount val="8"/>
                <c:pt idx="0">
                  <c:v>Worldwide Expedited</c:v>
                </c:pt>
                <c:pt idx="1">
                  <c:v>Ground</c:v>
                </c:pt>
                <c:pt idx="2">
                  <c:v>USPS</c:v>
                </c:pt>
                <c:pt idx="3">
                  <c:v>Next Day Air</c:v>
                </c:pt>
                <c:pt idx="4">
                  <c:v>Worldwide Saver</c:v>
                </c:pt>
                <c:pt idx="5">
                  <c:v>2nd Day Air</c:v>
                </c:pt>
                <c:pt idx="6">
                  <c:v>Worldwide Express</c:v>
                </c:pt>
                <c:pt idx="7">
                  <c:v>3 Day Select</c:v>
                </c:pt>
              </c:strCache>
            </c:strRef>
          </c:cat>
          <c:val>
            <c:numRef>
              <c:f>Overcharges!$D$9:$D$16</c:f>
              <c:numCache>
                <c:formatCode>General</c:formatCode>
                <c:ptCount val="8"/>
                <c:pt idx="0">
                  <c:v>353.860003756657</c:v>
                </c:pt>
                <c:pt idx="1">
                  <c:v>40.7799969398975</c:v>
                </c:pt>
                <c:pt idx="2">
                  <c:v>46.05</c:v>
                </c:pt>
                <c:pt idx="3">
                  <c:v>65.969993789345</c:v>
                </c:pt>
                <c:pt idx="4">
                  <c:v>143.819992580414</c:v>
                </c:pt>
                <c:pt idx="5">
                  <c:v>49.9800037832558</c:v>
                </c:pt>
                <c:pt idx="6">
                  <c:v>197.440004196167</c:v>
                </c:pt>
                <c:pt idx="7">
                  <c:v>41.6300004863739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Free Shipping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Free Shipping Count</c:v>
          </c:tx>
          <c:marker>
            <c:symbol val="x"/>
          </c:marker>
          <c:trendline>
            <c:name>Free Shipping Trend</c:name>
            <c:spPr>
              <a:ln>
                <a:solidFill>
                  <a:srgbClr val="000000"/>
                </a:solidFill>
              </a:ln>
            </c:spPr>
            <c:trendlineType val="linear"/>
          </c:trendline>
          <c:cat>
            <c:strRef>
              <c:f>Free_Shipping!$L$9:$L$21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</c:strCache>
            </c:strRef>
          </c:cat>
          <c:val>
            <c:numRef>
              <c:f>Free_Shipping!$M$9:$M$21</c:f>
              <c:numCache>
                <c:formatCode>General</c:formatCode>
                <c:ptCount val="13"/>
                <c:pt idx="0">
                  <c:v>1521</c:v>
                </c:pt>
                <c:pt idx="1">
                  <c:v>1727</c:v>
                </c:pt>
                <c:pt idx="2">
                  <c:v>1863</c:v>
                </c:pt>
                <c:pt idx="3">
                  <c:v>1741</c:v>
                </c:pt>
                <c:pt idx="4">
                  <c:v>1708</c:v>
                </c:pt>
                <c:pt idx="5">
                  <c:v>1702</c:v>
                </c:pt>
                <c:pt idx="6">
                  <c:v>1515</c:v>
                </c:pt>
                <c:pt idx="7">
                  <c:v>2100</c:v>
                </c:pt>
                <c:pt idx="8">
                  <c:v>1685</c:v>
                </c:pt>
                <c:pt idx="9">
                  <c:v>1689</c:v>
                </c:pt>
                <c:pt idx="10">
                  <c:v>2023</c:v>
                </c:pt>
                <c:pt idx="11">
                  <c:v>1594</c:v>
                </c:pt>
                <c:pt idx="12">
                  <c:v>477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2100"/>
          <c:min val="477"/>
        </c:scaling>
        <c:axPos val="l"/>
        <c:majorGridlines/>
        <c:numFmt formatCode="###,##0" sourceLinked="0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19</xdr:col>
      <xdr:colOff>9525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22</xdr:row>
      <xdr:rowOff>0</xdr:rowOff>
    </xdr:from>
    <xdr:to>
      <xdr:col>29</xdr:col>
      <xdr:colOff>9525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0</xdr:colOff>
      <xdr:row>22</xdr:row>
      <xdr:rowOff>0</xdr:rowOff>
    </xdr:from>
    <xdr:to>
      <xdr:col>39</xdr:col>
      <xdr:colOff>9525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0</xdr:colOff>
      <xdr:row>18</xdr:row>
      <xdr:rowOff>0</xdr:rowOff>
    </xdr:from>
    <xdr:to>
      <xdr:col>45</xdr:col>
      <xdr:colOff>0</xdr:colOff>
      <xdr:row>34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0</xdr:colOff>
      <xdr:row>18</xdr:row>
      <xdr:rowOff>0</xdr:rowOff>
    </xdr:from>
    <xdr:to>
      <xdr:col>51</xdr:col>
      <xdr:colOff>0</xdr:colOff>
      <xdr:row>34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53</xdr:col>
      <xdr:colOff>0</xdr:colOff>
      <xdr:row>18</xdr:row>
      <xdr:rowOff>0</xdr:rowOff>
    </xdr:from>
    <xdr:to>
      <xdr:col>57</xdr:col>
      <xdr:colOff>0</xdr:colOff>
      <xdr:row>34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0</xdr:colOff>
      <xdr:row>18</xdr:row>
      <xdr:rowOff>0</xdr:rowOff>
    </xdr:from>
    <xdr:to>
      <xdr:col>65</xdr:col>
      <xdr:colOff>0</xdr:colOff>
      <xdr:row>34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9525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6</xdr:col>
      <xdr:colOff>9525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0</xdr:rowOff>
    </xdr:from>
    <xdr:to>
      <xdr:col>16</xdr:col>
      <xdr:colOff>19050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21"/>
  <sheetViews>
    <sheetView tabSelected="1" workbookViewId="0"/>
  </sheetViews>
  <sheetFormatPr defaultRowHeight="15"/>
  <cols>
    <col min="1" max="78" width="15.7109375" customWidth="1"/>
    <col min="4" max="8" width="9.140625" style="1"/>
    <col min="9" max="9" width="9.140625" style="2"/>
    <col min="14" max="16" width="9.140625" style="3"/>
    <col min="17" max="19" width="9.140625" style="2"/>
    <col min="24" max="26" width="9.140625" style="1"/>
    <col min="27" max="29" width="9.140625" style="2"/>
    <col min="34" max="35" width="9.140625" style="1"/>
    <col min="36" max="39" width="9.140625" style="2"/>
    <col min="42" max="42" width="30.7109375" customWidth="1"/>
    <col min="43" max="43" width="9.140625" style="3"/>
    <col min="44" max="45" width="9.140625" style="2"/>
    <col min="48" max="48" width="30.7109375" customWidth="1"/>
    <col min="49" max="49" width="9.140625" style="1"/>
    <col min="50" max="51" width="9.140625" style="2"/>
    <col min="54" max="54" width="30.7109375" customWidth="1"/>
    <col min="55" max="55" width="9.140625" style="1"/>
    <col min="56" max="57" width="9.140625" style="2"/>
    <col min="60" max="60" width="30.7109375" customWidth="1"/>
    <col min="61" max="61" width="9.140625" style="3"/>
    <col min="62" max="64" width="9.140625" style="2"/>
    <col min="65" max="65" width="9.140625" style="1"/>
  </cols>
  <sheetData>
    <row r="1" spans="1:65">
      <c r="A1" s="4" t="s">
        <v>68</v>
      </c>
    </row>
    <row r="2" spans="1:65">
      <c r="A2" s="4" t="s">
        <v>69</v>
      </c>
    </row>
    <row r="7" spans="1:65">
      <c r="B7" s="5" t="s">
        <v>72</v>
      </c>
      <c r="C7" s="5"/>
      <c r="D7" s="5"/>
      <c r="E7" s="5"/>
      <c r="F7" s="5"/>
      <c r="G7" s="5"/>
      <c r="H7" s="5"/>
      <c r="I7" s="5"/>
      <c r="L7" s="5" t="s">
        <v>74</v>
      </c>
      <c r="M7" s="5"/>
      <c r="N7" s="5"/>
      <c r="O7" s="5"/>
      <c r="P7" s="5"/>
      <c r="Q7" s="5"/>
      <c r="R7" s="5"/>
      <c r="S7" s="5"/>
      <c r="V7" s="5" t="s">
        <v>75</v>
      </c>
      <c r="W7" s="5"/>
      <c r="X7" s="5"/>
      <c r="Y7" s="5"/>
      <c r="Z7" s="5"/>
      <c r="AA7" s="5"/>
      <c r="AB7" s="5"/>
      <c r="AC7" s="5"/>
      <c r="AF7" s="5" t="s">
        <v>76</v>
      </c>
      <c r="AG7" s="5"/>
      <c r="AH7" s="5"/>
      <c r="AI7" s="5"/>
      <c r="AJ7" s="5"/>
      <c r="AK7" s="5"/>
      <c r="AL7" s="5"/>
      <c r="AM7" s="5"/>
      <c r="AP7" s="5" t="s">
        <v>77</v>
      </c>
      <c r="AQ7" s="5"/>
      <c r="AR7" s="5"/>
      <c r="AS7" s="5"/>
      <c r="AV7" s="5" t="s">
        <v>78</v>
      </c>
      <c r="AW7" s="5"/>
      <c r="AX7" s="5"/>
      <c r="AY7" s="5"/>
      <c r="BB7" s="5" t="s">
        <v>79</v>
      </c>
      <c r="BC7" s="5"/>
      <c r="BD7" s="5"/>
      <c r="BE7" s="5"/>
      <c r="BH7" s="5" t="s">
        <v>80</v>
      </c>
      <c r="BI7" s="5"/>
      <c r="BJ7" s="5"/>
      <c r="BK7" s="5"/>
      <c r="BL7" s="5"/>
      <c r="BM7" s="5"/>
    </row>
    <row r="8" spans="1:65">
      <c r="B8" s="6" t="s">
        <v>0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L8" s="6" t="s">
        <v>0</v>
      </c>
      <c r="M8" s="6" t="s">
        <v>1</v>
      </c>
      <c r="N8" s="6" t="s">
        <v>9</v>
      </c>
      <c r="O8" s="6" t="s">
        <v>10</v>
      </c>
      <c r="P8" s="6" t="s">
        <v>11</v>
      </c>
      <c r="Q8" s="6" t="s">
        <v>12</v>
      </c>
      <c r="R8" s="6" t="s">
        <v>13</v>
      </c>
      <c r="S8" s="6" t="s">
        <v>14</v>
      </c>
      <c r="V8" s="6" t="s">
        <v>0</v>
      </c>
      <c r="W8" s="6" t="s">
        <v>1</v>
      </c>
      <c r="X8" s="6" t="s">
        <v>9</v>
      </c>
      <c r="Y8" s="6" t="s">
        <v>10</v>
      </c>
      <c r="Z8" s="6" t="s">
        <v>11</v>
      </c>
      <c r="AA8" s="6" t="s">
        <v>12</v>
      </c>
      <c r="AB8" s="6" t="s">
        <v>13</v>
      </c>
      <c r="AC8" s="6" t="s">
        <v>14</v>
      </c>
      <c r="AF8" s="6" t="s">
        <v>0</v>
      </c>
      <c r="AG8" s="6" t="s">
        <v>1</v>
      </c>
      <c r="AH8" s="6" t="s">
        <v>2</v>
      </c>
      <c r="AI8" s="6" t="s">
        <v>6</v>
      </c>
      <c r="AJ8" s="6" t="s">
        <v>7</v>
      </c>
      <c r="AK8" s="6" t="s">
        <v>26</v>
      </c>
      <c r="AL8" s="6" t="s">
        <v>27</v>
      </c>
      <c r="AM8" s="6" t="s">
        <v>28</v>
      </c>
      <c r="AP8" s="6" t="s">
        <v>29</v>
      </c>
      <c r="AQ8" s="6" t="s">
        <v>30</v>
      </c>
      <c r="AR8" s="6" t="s">
        <v>31</v>
      </c>
      <c r="AS8" s="6" t="s">
        <v>32</v>
      </c>
      <c r="AV8" s="6" t="s">
        <v>29</v>
      </c>
      <c r="AW8" s="6" t="s">
        <v>30</v>
      </c>
      <c r="AX8" s="6" t="s">
        <v>31</v>
      </c>
      <c r="AY8" s="6" t="s">
        <v>32</v>
      </c>
      <c r="BB8" s="6" t="s">
        <v>29</v>
      </c>
      <c r="BC8" s="6" t="s">
        <v>30</v>
      </c>
      <c r="BD8" s="6" t="s">
        <v>31</v>
      </c>
      <c r="BE8" s="6" t="s">
        <v>32</v>
      </c>
      <c r="BH8" s="6" t="s">
        <v>29</v>
      </c>
      <c r="BI8" s="6" t="s">
        <v>40</v>
      </c>
      <c r="BJ8" s="6" t="s">
        <v>41</v>
      </c>
      <c r="BK8" s="6" t="s">
        <v>42</v>
      </c>
      <c r="BL8" s="6" t="s">
        <v>43</v>
      </c>
      <c r="BM8" s="6" t="s">
        <v>44</v>
      </c>
    </row>
    <row r="9" spans="1:65">
      <c r="B9">
        <v>2017</v>
      </c>
      <c r="C9" t="s">
        <v>8</v>
      </c>
      <c r="D9" s="1">
        <v>335820.870000025</v>
      </c>
      <c r="E9" s="1">
        <v>95306.479283087</v>
      </c>
      <c r="F9" s="1">
        <v>27551.0999999993</v>
      </c>
      <c r="G9" s="1">
        <v>122857.579283086</v>
      </c>
      <c r="H9" s="1">
        <v>212963.290716939</v>
      </c>
      <c r="I9" s="2">
        <v>63.4157402775245</v>
      </c>
      <c r="L9">
        <v>2016</v>
      </c>
      <c r="M9" t="s">
        <v>8</v>
      </c>
      <c r="N9" s="3">
        <v>23475</v>
      </c>
      <c r="O9" s="3">
        <v>4157</v>
      </c>
      <c r="P9" s="3">
        <v>27632</v>
      </c>
      <c r="V9">
        <v>2016</v>
      </c>
      <c r="W9" t="s">
        <v>8</v>
      </c>
      <c r="X9" s="1">
        <v>332445.629732026</v>
      </c>
      <c r="Y9" s="1">
        <v>22603.6999999993</v>
      </c>
      <c r="Z9" s="1">
        <v>355049.329732025</v>
      </c>
      <c r="AF9">
        <v>2016</v>
      </c>
      <c r="AG9" t="s">
        <v>8</v>
      </c>
      <c r="AH9" s="1">
        <v>371541.840000023</v>
      </c>
      <c r="AI9" s="1">
        <v>16492.510267998</v>
      </c>
      <c r="AJ9" s="2">
        <v>4.43893755491898</v>
      </c>
      <c r="AP9" t="s">
        <v>33</v>
      </c>
      <c r="AQ9" s="3">
        <v>4638</v>
      </c>
      <c r="AR9" s="2">
        <v>-73.8836646207557</v>
      </c>
      <c r="AS9" s="2">
        <v>-67.7019498607242</v>
      </c>
      <c r="AV9" t="s">
        <v>10</v>
      </c>
      <c r="AW9" s="1">
        <v>240734.169999976</v>
      </c>
      <c r="AX9" s="2">
        <v>482.894557791784</v>
      </c>
      <c r="AY9" s="2">
        <v>532.767139260171</v>
      </c>
      <c r="BB9" t="s">
        <v>38</v>
      </c>
      <c r="BC9" s="1">
        <v>58.1725661997247</v>
      </c>
      <c r="BD9" s="2">
        <v>5.08495941690422</v>
      </c>
      <c r="BE9" s="2">
        <v>24.2919247599692</v>
      </c>
      <c r="BH9" t="s">
        <v>35</v>
      </c>
      <c r="BI9" s="3">
        <v>297</v>
      </c>
      <c r="BJ9" s="2">
        <v>41.9491525423729</v>
      </c>
      <c r="BK9" s="2">
        <v>64.0086206896552</v>
      </c>
      <c r="BL9" s="2">
        <v>2.70368684569868</v>
      </c>
      <c r="BM9" s="1">
        <v>1438.06</v>
      </c>
    </row>
    <row r="10" spans="1:65">
      <c r="L10">
        <v>2016</v>
      </c>
      <c r="M10" t="s">
        <v>15</v>
      </c>
      <c r="N10" s="3">
        <v>23954</v>
      </c>
      <c r="O10" s="3">
        <v>3558</v>
      </c>
      <c r="P10" s="3">
        <v>27512</v>
      </c>
      <c r="Q10" s="2">
        <v>2.04046858359956</v>
      </c>
      <c r="R10" s="2">
        <v>-14.4094298773154</v>
      </c>
      <c r="V10">
        <v>2016</v>
      </c>
      <c r="W10" t="s">
        <v>15</v>
      </c>
      <c r="X10" s="1">
        <v>330176.479726698</v>
      </c>
      <c r="Y10" s="1">
        <v>21551.0999999999</v>
      </c>
      <c r="Z10" s="1">
        <v>351727.579726698</v>
      </c>
      <c r="AA10" s="2">
        <v>-0.682562741810333</v>
      </c>
      <c r="AB10" s="2">
        <v>-4.65675973402361</v>
      </c>
      <c r="AF10">
        <v>2016</v>
      </c>
      <c r="AG10" t="s">
        <v>15</v>
      </c>
      <c r="AH10" s="1">
        <v>365373.679999975</v>
      </c>
      <c r="AI10" s="1">
        <v>13646.1002732769</v>
      </c>
      <c r="AJ10" s="2">
        <v>3.73483395773822</v>
      </c>
      <c r="AP10" t="s">
        <v>10</v>
      </c>
      <c r="AQ10" s="3">
        <v>4327</v>
      </c>
      <c r="AR10" s="2">
        <v>-5.21358159912377</v>
      </c>
      <c r="AS10" s="2">
        <v>4.08948761125812</v>
      </c>
      <c r="AV10" t="s">
        <v>33</v>
      </c>
      <c r="AW10" s="1">
        <v>38784.7899999991</v>
      </c>
      <c r="AX10" s="2">
        <v>-73.2531657258278</v>
      </c>
      <c r="AY10" s="2">
        <v>-68.7017157701813</v>
      </c>
      <c r="BB10" t="s">
        <v>39</v>
      </c>
      <c r="BC10" s="1">
        <v>51.9320409249286</v>
      </c>
      <c r="BD10" s="2">
        <v>14.2701009488053</v>
      </c>
      <c r="BE10" s="2">
        <v>25.9694933884772</v>
      </c>
      <c r="BH10" t="s">
        <v>33</v>
      </c>
      <c r="BI10" s="3">
        <v>135</v>
      </c>
      <c r="BJ10" s="2">
        <v>19.0677966101695</v>
      </c>
      <c r="BK10" s="2">
        <v>2.91073738680466</v>
      </c>
      <c r="BL10" s="2">
        <v>1.22894856622667</v>
      </c>
      <c r="BM10" s="1">
        <v>179.44</v>
      </c>
    </row>
    <row r="11" spans="1:65">
      <c r="B11" s="5" t="s">
        <v>73</v>
      </c>
      <c r="C11" s="5"/>
      <c r="D11" s="5"/>
      <c r="E11" s="5"/>
      <c r="F11" s="5"/>
      <c r="G11" s="5"/>
      <c r="H11" s="5"/>
      <c r="I11" s="5"/>
      <c r="L11">
        <v>2016</v>
      </c>
      <c r="M11" t="s">
        <v>16</v>
      </c>
      <c r="N11" s="3">
        <v>27580</v>
      </c>
      <c r="O11" s="3">
        <v>5149</v>
      </c>
      <c r="P11" s="3">
        <v>32729</v>
      </c>
      <c r="Q11" s="2">
        <v>15.1373465809468</v>
      </c>
      <c r="R11" s="2">
        <v>44.7161326587971</v>
      </c>
      <c r="V11">
        <v>2016</v>
      </c>
      <c r="W11" t="s">
        <v>16</v>
      </c>
      <c r="X11" s="1">
        <v>368247.539745687</v>
      </c>
      <c r="Y11" s="1">
        <v>29225.7999999993</v>
      </c>
      <c r="Z11" s="1">
        <v>397473.339745686</v>
      </c>
      <c r="AA11" s="2">
        <v>11.5305184822678</v>
      </c>
      <c r="AB11" s="2">
        <v>35.611639313072</v>
      </c>
      <c r="AF11">
        <v>2016</v>
      </c>
      <c r="AG11" t="s">
        <v>16</v>
      </c>
      <c r="AH11" s="1">
        <v>413330.260000024</v>
      </c>
      <c r="AI11" s="1">
        <v>15856.9202543381</v>
      </c>
      <c r="AJ11" s="2">
        <v>3.83638019977952</v>
      </c>
      <c r="AP11" t="s">
        <v>34</v>
      </c>
      <c r="AQ11" s="3">
        <v>605</v>
      </c>
      <c r="AR11" s="2">
        <v>-75.5752926927735</v>
      </c>
      <c r="AS11" s="2">
        <v>-80.1639344262295</v>
      </c>
      <c r="AV11" t="s">
        <v>35</v>
      </c>
      <c r="AW11" s="1">
        <v>20386.57</v>
      </c>
      <c r="AX11" s="2">
        <v>-66.8952346124631</v>
      </c>
      <c r="AY11" s="2">
        <v>-74.0097170802351</v>
      </c>
      <c r="BB11" t="s">
        <v>35</v>
      </c>
      <c r="BC11" s="1">
        <v>41.9082332546702</v>
      </c>
      <c r="BD11" s="2">
        <v>7.10259359604163</v>
      </c>
      <c r="BE11" s="2">
        <v>14.8264512858429</v>
      </c>
      <c r="BH11" t="s">
        <v>38</v>
      </c>
      <c r="BI11" s="3">
        <v>98</v>
      </c>
      <c r="BJ11" s="2">
        <v>13.8418079096045</v>
      </c>
      <c r="BK11" s="2">
        <v>86.7256637168142</v>
      </c>
      <c r="BL11" s="2">
        <v>0.892125625853436</v>
      </c>
      <c r="BM11" s="1">
        <v>933.51</v>
      </c>
    </row>
    <row r="12" spans="1:65">
      <c r="B12" s="6" t="s">
        <v>0</v>
      </c>
      <c r="C12" s="6" t="s">
        <v>1</v>
      </c>
      <c r="D12" s="6" t="s">
        <v>2</v>
      </c>
      <c r="E12" s="6" t="s">
        <v>3</v>
      </c>
      <c r="F12" s="6" t="s">
        <v>4</v>
      </c>
      <c r="G12" s="6" t="s">
        <v>5</v>
      </c>
      <c r="H12" s="6" t="s">
        <v>6</v>
      </c>
      <c r="I12" s="6" t="s">
        <v>7</v>
      </c>
      <c r="L12">
        <v>2016</v>
      </c>
      <c r="M12" t="s">
        <v>17</v>
      </c>
      <c r="N12" s="3">
        <v>23989</v>
      </c>
      <c r="O12" s="3">
        <v>3832</v>
      </c>
      <c r="P12" s="3">
        <v>27821</v>
      </c>
      <c r="Q12" s="2">
        <v>-13.0203045685279</v>
      </c>
      <c r="R12" s="2">
        <v>-25.5777820936104</v>
      </c>
      <c r="V12">
        <v>2016</v>
      </c>
      <c r="W12" t="s">
        <v>17</v>
      </c>
      <c r="X12" s="1">
        <v>328829.859623123</v>
      </c>
      <c r="Y12" s="1">
        <v>22654.7</v>
      </c>
      <c r="Z12" s="1">
        <v>351484.559623123</v>
      </c>
      <c r="AA12" s="2">
        <v>-10.7041258577819</v>
      </c>
      <c r="AB12" s="2">
        <v>-22.4839012105722</v>
      </c>
      <c r="AF12">
        <v>2016</v>
      </c>
      <c r="AG12" t="s">
        <v>17</v>
      </c>
      <c r="AH12" s="1">
        <v>365376.079999977</v>
      </c>
      <c r="AI12" s="1">
        <v>13891.5203768542</v>
      </c>
      <c r="AJ12" s="2">
        <v>3.80197860156995</v>
      </c>
      <c r="AP12" t="s">
        <v>35</v>
      </c>
      <c r="AQ12" s="3">
        <v>464</v>
      </c>
      <c r="AR12" s="2">
        <v>-68.6909581646424</v>
      </c>
      <c r="AS12" s="2">
        <v>-76.5656565656566</v>
      </c>
      <c r="AV12" t="s">
        <v>34</v>
      </c>
      <c r="AW12" s="1">
        <v>9414.38000000002</v>
      </c>
      <c r="AX12" s="2">
        <v>-74.8864145628371</v>
      </c>
      <c r="AY12" s="2">
        <v>-76.9911539030235</v>
      </c>
      <c r="BB12" t="s">
        <v>37</v>
      </c>
      <c r="BC12" s="1">
        <v>23.5964218383244</v>
      </c>
      <c r="BD12" s="2">
        <v>1.47233250049749</v>
      </c>
      <c r="BE12" s="2">
        <v>28.255071457365</v>
      </c>
      <c r="BH12" t="s">
        <v>39</v>
      </c>
      <c r="BI12" s="3">
        <v>88</v>
      </c>
      <c r="BJ12" s="2">
        <v>12.4293785310734</v>
      </c>
      <c r="BK12" s="2">
        <v>89.7959183673469</v>
      </c>
      <c r="BL12" s="2">
        <v>0.801092398725535</v>
      </c>
      <c r="BM12" s="1">
        <v>557.71</v>
      </c>
    </row>
    <row r="13" spans="1:65">
      <c r="B13">
        <v>2017</v>
      </c>
      <c r="C13" t="s">
        <v>8</v>
      </c>
      <c r="D13" s="1">
        <v>335820.870000025</v>
      </c>
      <c r="E13" s="1">
        <v>90750.3893600926</v>
      </c>
      <c r="F13" s="1">
        <v>27316.3999999994</v>
      </c>
      <c r="G13" s="1">
        <v>118066.789360092</v>
      </c>
      <c r="H13" s="1">
        <v>217754.080639934</v>
      </c>
      <c r="I13" s="2">
        <v>64.8423311630147</v>
      </c>
      <c r="L13">
        <v>2016</v>
      </c>
      <c r="M13" t="s">
        <v>18</v>
      </c>
      <c r="N13" s="3">
        <v>21413</v>
      </c>
      <c r="O13" s="3">
        <v>3838</v>
      </c>
      <c r="P13" s="3">
        <v>25251</v>
      </c>
      <c r="Q13" s="2">
        <v>-10.738255033557</v>
      </c>
      <c r="R13" s="2">
        <v>0.156576200417535</v>
      </c>
      <c r="V13">
        <v>2016</v>
      </c>
      <c r="W13" t="s">
        <v>18</v>
      </c>
      <c r="X13" s="1">
        <v>306099.479739044</v>
      </c>
      <c r="Y13" s="1">
        <v>22877.3000000001</v>
      </c>
      <c r="Z13" s="1">
        <v>328976.779739044</v>
      </c>
      <c r="AA13" s="2">
        <v>-6.91250481636028</v>
      </c>
      <c r="AB13" s="2">
        <v>0.982577566686182</v>
      </c>
      <c r="AF13">
        <v>2016</v>
      </c>
      <c r="AG13" t="s">
        <v>18</v>
      </c>
      <c r="AH13" s="1">
        <v>339393.920000022</v>
      </c>
      <c r="AI13" s="1">
        <v>10417.1402609776</v>
      </c>
      <c r="AJ13" s="2">
        <v>3.06933614514277</v>
      </c>
      <c r="AP13" t="s">
        <v>36</v>
      </c>
      <c r="AQ13" s="3">
        <v>427</v>
      </c>
      <c r="AR13" s="2">
        <v>-77.3354564755839</v>
      </c>
      <c r="AS13" s="2">
        <v>-76.7302452316076</v>
      </c>
      <c r="AV13" t="s">
        <v>37</v>
      </c>
      <c r="AW13" s="1">
        <v>7947.13000000001</v>
      </c>
      <c r="AX13" s="2">
        <v>-67.8622324525079</v>
      </c>
      <c r="AY13" s="2">
        <v>-71.333285237623</v>
      </c>
      <c r="BB13" t="s">
        <v>34</v>
      </c>
      <c r="BC13" s="1">
        <v>14.5933059655869</v>
      </c>
      <c r="BD13" s="2">
        <v>0.602174304024463</v>
      </c>
      <c r="BE13" s="2">
        <v>14.0546090357535</v>
      </c>
      <c r="BH13" t="s">
        <v>37</v>
      </c>
      <c r="BI13" s="3">
        <v>64</v>
      </c>
      <c r="BJ13" s="2">
        <v>9.03954802259887</v>
      </c>
      <c r="BK13" s="2">
        <v>20.4472843450479</v>
      </c>
      <c r="BL13" s="2">
        <v>0.582612653618571</v>
      </c>
      <c r="BM13" s="1">
        <v>167.18</v>
      </c>
    </row>
    <row r="14" spans="1:65">
      <c r="L14">
        <v>2016</v>
      </c>
      <c r="M14" t="s">
        <v>19</v>
      </c>
      <c r="N14" s="3">
        <v>21326</v>
      </c>
      <c r="O14" s="3">
        <v>4013</v>
      </c>
      <c r="P14" s="3">
        <v>25339</v>
      </c>
      <c r="Q14" s="2">
        <v>-0.40629524120861</v>
      </c>
      <c r="R14" s="2">
        <v>4.55966649296509</v>
      </c>
      <c r="V14">
        <v>2016</v>
      </c>
      <c r="W14" t="s">
        <v>19</v>
      </c>
      <c r="X14" s="1">
        <v>293272.710016767</v>
      </c>
      <c r="Y14" s="1">
        <v>22582.0000000003</v>
      </c>
      <c r="Z14" s="1">
        <v>315854.710016767</v>
      </c>
      <c r="AA14" s="2">
        <v>-4.19039252638141</v>
      </c>
      <c r="AB14" s="2">
        <v>-1.29079917647522</v>
      </c>
      <c r="AF14">
        <v>2016</v>
      </c>
      <c r="AG14" t="s">
        <v>19</v>
      </c>
      <c r="AH14" s="1">
        <v>329426.409999984</v>
      </c>
      <c r="AI14" s="1">
        <v>13571.6999832176</v>
      </c>
      <c r="AJ14" s="2">
        <v>4.11979719027938</v>
      </c>
      <c r="AP14" t="s">
        <v>37</v>
      </c>
      <c r="AQ14" s="3">
        <v>313</v>
      </c>
      <c r="AR14" s="2">
        <v>-69.4931773879142</v>
      </c>
      <c r="AS14" s="2">
        <v>-78.1118881118881</v>
      </c>
      <c r="AV14" t="s">
        <v>38</v>
      </c>
      <c r="AW14" s="1">
        <v>7490.38</v>
      </c>
      <c r="AX14" s="2">
        <v>-64.5322375660785</v>
      </c>
      <c r="AY14" s="2">
        <v>-70.0612693617618</v>
      </c>
      <c r="BB14" t="s">
        <v>36</v>
      </c>
      <c r="BC14" s="1">
        <v>12.6318030685309</v>
      </c>
      <c r="BD14" s="2">
        <v>-1.33429177181188</v>
      </c>
      <c r="BE14" s="2">
        <v>10.1761710428399</v>
      </c>
      <c r="BH14" t="s">
        <v>34</v>
      </c>
      <c r="BI14" s="3">
        <v>17</v>
      </c>
      <c r="BJ14" s="2">
        <v>2.40112994350282</v>
      </c>
      <c r="BK14" s="2">
        <v>2.8099173553719</v>
      </c>
      <c r="BL14" s="2">
        <v>0.154756486117433</v>
      </c>
      <c r="BM14" s="1">
        <v>54.26</v>
      </c>
    </row>
    <row r="15" spans="1:65">
      <c r="L15">
        <v>2016</v>
      </c>
      <c r="M15" t="s">
        <v>20</v>
      </c>
      <c r="N15" s="3">
        <v>22344</v>
      </c>
      <c r="O15" s="3">
        <v>4782</v>
      </c>
      <c r="P15" s="3">
        <v>27126</v>
      </c>
      <c r="Q15" s="2">
        <v>4.77351589608928</v>
      </c>
      <c r="R15" s="2">
        <v>19.1627211562422</v>
      </c>
      <c r="V15">
        <v>2016</v>
      </c>
      <c r="W15" t="s">
        <v>20</v>
      </c>
      <c r="X15" s="1">
        <v>287007.861649653</v>
      </c>
      <c r="Y15" s="1">
        <v>24873.8000000003</v>
      </c>
      <c r="Z15" s="1">
        <v>311881.661649653</v>
      </c>
      <c r="AA15" s="2">
        <v>-2.13618524777005</v>
      </c>
      <c r="AB15" s="2">
        <v>10.1487910725353</v>
      </c>
      <c r="AF15">
        <v>2016</v>
      </c>
      <c r="AG15" t="s">
        <v>20</v>
      </c>
      <c r="AH15" s="1">
        <v>322319.780000021</v>
      </c>
      <c r="AI15" s="1">
        <v>10438.1183503675</v>
      </c>
      <c r="AJ15" s="2">
        <v>3.23843555315372</v>
      </c>
      <c r="AP15" t="s">
        <v>38</v>
      </c>
      <c r="AQ15" s="3">
        <v>113</v>
      </c>
      <c r="AR15" s="2">
        <v>-67.2463768115942</v>
      </c>
      <c r="AS15" s="2">
        <v>-76.5560165975104</v>
      </c>
      <c r="AV15" t="s">
        <v>36</v>
      </c>
      <c r="AW15" s="1">
        <v>5671.24999999999</v>
      </c>
      <c r="AX15" s="2">
        <v>-77.4948074861089</v>
      </c>
      <c r="AY15" s="2">
        <v>-74.2427703765403</v>
      </c>
      <c r="BB15" t="s">
        <v>33</v>
      </c>
      <c r="BC15" s="1">
        <v>9.18279624986412</v>
      </c>
      <c r="BD15" s="2">
        <v>2.97721238793972</v>
      </c>
      <c r="BE15" s="2">
        <v>-3.96942918575288</v>
      </c>
      <c r="BH15" t="s">
        <v>36</v>
      </c>
      <c r="BI15" s="3">
        <v>9</v>
      </c>
      <c r="BJ15" s="2">
        <v>1.27118644067797</v>
      </c>
      <c r="BK15" s="2">
        <v>2.10772833723653</v>
      </c>
      <c r="BL15" s="2">
        <v>0.0819299044151115</v>
      </c>
      <c r="BM15" s="1">
        <v>8.9</v>
      </c>
    </row>
    <row r="16" spans="1:65">
      <c r="L16">
        <v>2016</v>
      </c>
      <c r="M16" t="s">
        <v>21</v>
      </c>
      <c r="N16" s="3">
        <v>22707</v>
      </c>
      <c r="O16" s="3">
        <v>4117</v>
      </c>
      <c r="P16" s="3">
        <v>26824</v>
      </c>
      <c r="Q16" s="2">
        <v>1.62459720730397</v>
      </c>
      <c r="R16" s="2">
        <v>-13.9063153492263</v>
      </c>
      <c r="V16">
        <v>2016</v>
      </c>
      <c r="W16" t="s">
        <v>21</v>
      </c>
      <c r="X16" s="1">
        <v>300141.231941851</v>
      </c>
      <c r="Y16" s="1">
        <v>23428.3999999991</v>
      </c>
      <c r="Z16" s="1">
        <v>323569.63194185</v>
      </c>
      <c r="AA16" s="2">
        <v>4.5759618627554</v>
      </c>
      <c r="AB16" s="2">
        <v>-5.81093359278081</v>
      </c>
      <c r="AF16">
        <v>2016</v>
      </c>
      <c r="AG16" t="s">
        <v>21</v>
      </c>
      <c r="AH16" s="1">
        <v>329054.699999949</v>
      </c>
      <c r="AI16" s="1">
        <v>5485.0680580989</v>
      </c>
      <c r="AJ16" s="2">
        <v>1.66691679471521</v>
      </c>
      <c r="AP16" t="s">
        <v>39</v>
      </c>
      <c r="AQ16" s="3">
        <v>98</v>
      </c>
      <c r="AR16" s="2">
        <v>-67.1140939597315</v>
      </c>
      <c r="AS16" s="2">
        <v>-71.0059171597633</v>
      </c>
      <c r="AV16" t="s">
        <v>39</v>
      </c>
      <c r="AW16" s="1">
        <v>5392.2</v>
      </c>
      <c r="AX16" s="2">
        <v>-62.8611297456715</v>
      </c>
      <c r="AY16" s="2">
        <v>-65.1264313995345</v>
      </c>
      <c r="BB16" t="s">
        <v>10</v>
      </c>
      <c r="BC16" s="1">
        <v>6.36725213773962</v>
      </c>
      <c r="BD16" s="2">
        <v>11.1887030969141</v>
      </c>
      <c r="BE16" s="2">
        <v>17.0988251329844</v>
      </c>
      <c r="BH16" t="s">
        <v>11</v>
      </c>
      <c r="BI16" s="3">
        <v>708</v>
      </c>
      <c r="BJ16" s="2">
        <v>100</v>
      </c>
      <c r="BK16" s="2">
        <v>6.44515248065544</v>
      </c>
      <c r="BL16" s="2">
        <v>6.44515248065544</v>
      </c>
      <c r="BM16" s="1">
        <v>3339.06</v>
      </c>
    </row>
    <row r="17" spans="12:57">
      <c r="L17">
        <v>2016</v>
      </c>
      <c r="M17" t="s">
        <v>22</v>
      </c>
      <c r="N17" s="3">
        <v>21700</v>
      </c>
      <c r="O17" s="3">
        <v>3918</v>
      </c>
      <c r="P17" s="3">
        <v>25618</v>
      </c>
      <c r="Q17" s="2">
        <v>-4.43475580217554</v>
      </c>
      <c r="R17" s="2">
        <v>-4.83361671119748</v>
      </c>
      <c r="V17">
        <v>2016</v>
      </c>
      <c r="W17" t="s">
        <v>22</v>
      </c>
      <c r="X17" s="1">
        <v>295693.992124006</v>
      </c>
      <c r="Y17" s="1">
        <v>22868.4999999994</v>
      </c>
      <c r="Z17" s="1">
        <v>318562.492124006</v>
      </c>
      <c r="AA17" s="2">
        <v>-1.48171572065324</v>
      </c>
      <c r="AB17" s="2">
        <v>-2.38983455976406</v>
      </c>
      <c r="AF17">
        <v>2016</v>
      </c>
      <c r="AG17" t="s">
        <v>22</v>
      </c>
      <c r="AH17" s="1">
        <v>330166.210000037</v>
      </c>
      <c r="AI17" s="1">
        <v>11603.7178760317</v>
      </c>
      <c r="AJ17" s="2">
        <v>3.51450800372043</v>
      </c>
      <c r="AP17" t="s">
        <v>11</v>
      </c>
      <c r="AQ17" s="3">
        <v>10985</v>
      </c>
      <c r="AR17" s="2">
        <v>-63.1820619385977</v>
      </c>
      <c r="AS17" s="2">
        <v>-60.2453676896352</v>
      </c>
      <c r="AV17" t="s">
        <v>11</v>
      </c>
      <c r="AW17" s="1">
        <v>335820.869999976</v>
      </c>
      <c r="AX17" s="2">
        <v>-9.46807008138366</v>
      </c>
      <c r="AY17" s="2">
        <v>-9.61425232755473</v>
      </c>
      <c r="BB17" t="s">
        <v>11</v>
      </c>
      <c r="BC17" s="1">
        <v>27.2980524549212</v>
      </c>
      <c r="BD17" s="2">
        <v>6.45632674624185</v>
      </c>
      <c r="BE17" s="2">
        <v>19.8701821340337</v>
      </c>
    </row>
    <row r="18" spans="12:57">
      <c r="L18">
        <v>2016</v>
      </c>
      <c r="M18" t="s">
        <v>23</v>
      </c>
      <c r="N18" s="3">
        <v>22432</v>
      </c>
      <c r="O18" s="3">
        <v>3849</v>
      </c>
      <c r="P18" s="3">
        <v>26281</v>
      </c>
      <c r="Q18" s="2">
        <v>3.37327188940093</v>
      </c>
      <c r="R18" s="2">
        <v>-1.76110260336907</v>
      </c>
      <c r="V18">
        <v>2016</v>
      </c>
      <c r="W18" t="s">
        <v>23</v>
      </c>
      <c r="X18" s="1">
        <v>303471.622125328</v>
      </c>
      <c r="Y18" s="1">
        <v>23634.9999999991</v>
      </c>
      <c r="Z18" s="1">
        <v>327106.622125327</v>
      </c>
      <c r="AA18" s="2">
        <v>2.63029693145058</v>
      </c>
      <c r="AB18" s="2">
        <v>3.35177208824251</v>
      </c>
      <c r="AF18">
        <v>2016</v>
      </c>
      <c r="AG18" t="s">
        <v>23</v>
      </c>
      <c r="AH18" s="1">
        <v>338033.040000046</v>
      </c>
      <c r="AI18" s="1">
        <v>10926.4178747194</v>
      </c>
      <c r="AJ18" s="2">
        <v>3.23235204307776</v>
      </c>
    </row>
    <row r="19" spans="12:57">
      <c r="L19">
        <v>2016</v>
      </c>
      <c r="M19" t="s">
        <v>24</v>
      </c>
      <c r="N19" s="3">
        <v>27105</v>
      </c>
      <c r="O19" s="3">
        <v>5333</v>
      </c>
      <c r="P19" s="3">
        <v>32438</v>
      </c>
      <c r="Q19" s="2">
        <v>20.831847360913</v>
      </c>
      <c r="R19" s="2">
        <v>38.5554689529748</v>
      </c>
      <c r="V19">
        <v>2016</v>
      </c>
      <c r="W19" t="s">
        <v>24</v>
      </c>
      <c r="X19" s="1">
        <v>355594.482549947</v>
      </c>
      <c r="Y19" s="1">
        <v>30822.6999999979</v>
      </c>
      <c r="Z19" s="1">
        <v>386417.182549945</v>
      </c>
      <c r="AA19" s="2">
        <v>17.1755303048051</v>
      </c>
      <c r="AB19" s="2">
        <v>30.4112544954477</v>
      </c>
      <c r="AF19">
        <v>2016</v>
      </c>
      <c r="AG19" t="s">
        <v>24</v>
      </c>
      <c r="AH19" s="1">
        <v>403593.140000114</v>
      </c>
      <c r="AI19" s="1">
        <v>17175.9574501698</v>
      </c>
      <c r="AJ19" s="2">
        <v>4.25576050429522</v>
      </c>
    </row>
    <row r="20" spans="12:57">
      <c r="L20">
        <v>2016</v>
      </c>
      <c r="M20" t="s">
        <v>25</v>
      </c>
      <c r="N20" s="3">
        <v>25271</v>
      </c>
      <c r="O20" s="3">
        <v>4565</v>
      </c>
      <c r="P20" s="3">
        <v>29836</v>
      </c>
      <c r="Q20" s="2">
        <v>-6.7662792842649</v>
      </c>
      <c r="R20" s="2">
        <v>-14.4009000562535</v>
      </c>
      <c r="V20">
        <v>2016</v>
      </c>
      <c r="W20" t="s">
        <v>25</v>
      </c>
      <c r="X20" s="1">
        <v>332903.321382524</v>
      </c>
      <c r="Y20" s="1">
        <v>26141.5999999986</v>
      </c>
      <c r="Z20" s="1">
        <v>359044.921382523</v>
      </c>
      <c r="AA20" s="2">
        <v>-6.38119045174868</v>
      </c>
      <c r="AB20" s="2">
        <v>-15.1871834719204</v>
      </c>
      <c r="AF20">
        <v>2016</v>
      </c>
      <c r="AG20" t="s">
        <v>25</v>
      </c>
      <c r="AH20" s="1">
        <v>370941.910000023</v>
      </c>
      <c r="AI20" s="1">
        <v>11896.9886175001</v>
      </c>
      <c r="AJ20" s="2">
        <v>3.20723765548609</v>
      </c>
    </row>
    <row r="21" spans="12:57">
      <c r="L21">
        <v>2017</v>
      </c>
      <c r="M21" t="s">
        <v>8</v>
      </c>
      <c r="N21" s="3">
        <v>6658</v>
      </c>
      <c r="O21" s="3">
        <v>4327</v>
      </c>
      <c r="P21" s="3">
        <v>10985</v>
      </c>
      <c r="Q21" s="2">
        <v>-73.6535950298761</v>
      </c>
      <c r="R21" s="2">
        <v>-5.21358159912377</v>
      </c>
      <c r="S21" s="2">
        <v>-60.2453676896352</v>
      </c>
      <c r="V21">
        <v>2017</v>
      </c>
      <c r="W21" t="s">
        <v>8</v>
      </c>
      <c r="X21" s="1">
        <v>95306.479283087</v>
      </c>
      <c r="Y21" s="1">
        <v>27551.0999999993</v>
      </c>
      <c r="Z21" s="1">
        <v>122857.579283086</v>
      </c>
      <c r="AA21" s="2">
        <v>-71.37112393854</v>
      </c>
      <c r="AB21" s="2">
        <v>5.39178933194904</v>
      </c>
      <c r="AC21" s="2">
        <v>-65.3970395111537</v>
      </c>
      <c r="AF21">
        <v>2017</v>
      </c>
      <c r="AG21" t="s">
        <v>8</v>
      </c>
      <c r="AH21" s="1">
        <v>335820.870000025</v>
      </c>
      <c r="AI21" s="1">
        <v>212963.290716939</v>
      </c>
      <c r="AJ21" s="2">
        <v>63.4157402775245</v>
      </c>
      <c r="AK21" s="2">
        <v>-9.61425232754282</v>
      </c>
      <c r="AL21" s="2">
        <v>1191.27274900154</v>
      </c>
      <c r="AM21" s="2">
        <v>1328.62429337963</v>
      </c>
    </row>
  </sheetData>
  <mergeCells count="9">
    <mergeCell ref="B7:I7"/>
    <mergeCell ref="B11:I11"/>
    <mergeCell ref="L7:S7"/>
    <mergeCell ref="V7:AC7"/>
    <mergeCell ref="AF7:AM7"/>
    <mergeCell ref="AP7:AS7"/>
    <mergeCell ref="AV7:AY7"/>
    <mergeCell ref="BB7:BE7"/>
    <mergeCell ref="BH7:BM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cols>
    <col min="1" max="78" width="15.7109375" customWidth="1"/>
    <col min="2" max="2" width="30.7109375" customWidth="1"/>
    <col min="3" max="3" width="9.140625" style="3"/>
    <col min="4" max="4" width="9.140625" style="1"/>
    <col min="5" max="6" width="9.140625" style="2"/>
    <col min="9" max="9" width="45.7109375" customWidth="1"/>
    <col min="10" max="10" width="9.140625" style="3"/>
  </cols>
  <sheetData>
    <row r="1" spans="1:10">
      <c r="A1" s="4" t="s">
        <v>70</v>
      </c>
    </row>
    <row r="2" spans="1:10">
      <c r="A2" s="4" t="s">
        <v>69</v>
      </c>
    </row>
    <row r="7" spans="1:10">
      <c r="B7" s="5" t="s">
        <v>81</v>
      </c>
      <c r="C7" s="5"/>
      <c r="D7" s="5"/>
      <c r="E7" s="5"/>
      <c r="F7" s="5"/>
      <c r="I7" s="5" t="s">
        <v>82</v>
      </c>
      <c r="J7" s="5"/>
    </row>
    <row r="8" spans="1:10">
      <c r="B8" s="6" t="s">
        <v>29</v>
      </c>
      <c r="C8" s="6" t="s">
        <v>30</v>
      </c>
      <c r="D8" s="6" t="s">
        <v>45</v>
      </c>
      <c r="E8" s="6" t="s">
        <v>46</v>
      </c>
      <c r="F8" s="6" t="s">
        <v>47</v>
      </c>
      <c r="I8" s="6" t="s">
        <v>48</v>
      </c>
      <c r="J8" s="6" t="s">
        <v>49</v>
      </c>
    </row>
    <row r="9" spans="1:10">
      <c r="B9" t="s">
        <v>35</v>
      </c>
      <c r="C9" s="3">
        <v>51</v>
      </c>
      <c r="D9" s="1">
        <v>353.860003756657</v>
      </c>
      <c r="E9" s="2">
        <v>-82.1678321678322</v>
      </c>
      <c r="F9" s="2">
        <v>-51.8867924528302</v>
      </c>
      <c r="I9" t="s">
        <v>50</v>
      </c>
      <c r="J9" s="3">
        <v>4767</v>
      </c>
    </row>
    <row r="10" spans="1:10">
      <c r="B10" t="s">
        <v>33</v>
      </c>
      <c r="C10" s="3">
        <v>24</v>
      </c>
      <c r="D10" s="1">
        <v>40.7799969398975</v>
      </c>
      <c r="E10" s="2">
        <v>-96.2790697674419</v>
      </c>
      <c r="F10" s="2">
        <v>-82.2222222222222</v>
      </c>
      <c r="I10" t="s">
        <v>51</v>
      </c>
      <c r="J10" s="3">
        <v>710</v>
      </c>
    </row>
    <row r="11" spans="1:10">
      <c r="B11" t="s">
        <v>10</v>
      </c>
      <c r="C11" s="3">
        <v>20</v>
      </c>
      <c r="D11" s="1">
        <v>46.05</v>
      </c>
      <c r="E11" s="2">
        <v>81.8181818181818</v>
      </c>
      <c r="F11" s="2">
        <v>17.6470588235294</v>
      </c>
      <c r="I11" t="s">
        <v>52</v>
      </c>
      <c r="J11" s="3">
        <v>146</v>
      </c>
    </row>
    <row r="12" spans="1:10">
      <c r="B12" t="s">
        <v>37</v>
      </c>
      <c r="C12" s="3">
        <v>12</v>
      </c>
      <c r="D12" s="1">
        <v>65.969993789345</v>
      </c>
      <c r="E12" s="2">
        <v>-86.3636363636364</v>
      </c>
      <c r="F12" s="2">
        <v>-62.5</v>
      </c>
      <c r="I12" t="s">
        <v>53</v>
      </c>
      <c r="J12" s="3">
        <v>48</v>
      </c>
    </row>
    <row r="13" spans="1:10">
      <c r="B13" t="s">
        <v>38</v>
      </c>
      <c r="C13" s="3">
        <v>11</v>
      </c>
      <c r="D13" s="1">
        <v>143.819992580414</v>
      </c>
      <c r="E13" s="2">
        <v>-84.7222222222222</v>
      </c>
      <c r="F13" s="2">
        <v>-78.4313725490196</v>
      </c>
      <c r="I13" t="s">
        <v>54</v>
      </c>
      <c r="J13" s="3">
        <v>11</v>
      </c>
    </row>
    <row r="14" spans="1:10">
      <c r="B14" t="s">
        <v>34</v>
      </c>
      <c r="C14" s="3">
        <v>8</v>
      </c>
      <c r="D14" s="1">
        <v>49.9800037832558</v>
      </c>
      <c r="E14" s="2">
        <v>-95.8333333333333</v>
      </c>
      <c r="F14" s="2">
        <v>-87.6923076923077</v>
      </c>
      <c r="I14" t="s">
        <v>55</v>
      </c>
      <c r="J14" s="3">
        <v>10</v>
      </c>
    </row>
    <row r="15" spans="1:10">
      <c r="B15" t="s">
        <v>39</v>
      </c>
      <c r="C15" s="3">
        <v>8</v>
      </c>
      <c r="D15" s="1">
        <v>197.440004196167</v>
      </c>
      <c r="E15" s="2">
        <v>-84</v>
      </c>
      <c r="F15" s="2">
        <v>-80.4878048780488</v>
      </c>
    </row>
    <row r="16" spans="1:10">
      <c r="B16" t="s">
        <v>36</v>
      </c>
      <c r="C16" s="3">
        <v>7</v>
      </c>
      <c r="D16" s="1">
        <v>41.6300004863739</v>
      </c>
      <c r="E16" s="2">
        <v>-95.0354609929078</v>
      </c>
      <c r="F16" s="2">
        <v>-81.5789473684211</v>
      </c>
    </row>
    <row r="17" spans="2:6">
      <c r="B17" t="s">
        <v>11</v>
      </c>
      <c r="C17" s="3">
        <v>141</v>
      </c>
      <c r="D17" s="1">
        <v>939.52999553211</v>
      </c>
      <c r="E17" s="2">
        <v>-90.5050505050505</v>
      </c>
      <c r="F17" s="2">
        <v>-70.9278350515464</v>
      </c>
    </row>
  </sheetData>
  <mergeCells count="2">
    <mergeCell ref="B7:F7"/>
    <mergeCell ref="I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cols>
    <col min="1" max="78" width="15.7109375" customWidth="1"/>
    <col min="3" max="3" width="9.140625" style="3"/>
    <col min="4" max="4" width="9.140625" style="1"/>
    <col min="5" max="7" width="9.140625" style="2"/>
    <col min="8" max="8" width="9.140625" style="1"/>
    <col min="13" max="13" width="9.140625" style="3"/>
    <col min="14" max="16" width="9.140625" style="2"/>
  </cols>
  <sheetData>
    <row r="1" spans="1:16">
      <c r="A1" s="4" t="s">
        <v>71</v>
      </c>
    </row>
    <row r="2" spans="1:16">
      <c r="A2" s="4" t="s">
        <v>69</v>
      </c>
    </row>
    <row r="7" spans="1:16">
      <c r="B7" s="5" t="s">
        <v>83</v>
      </c>
      <c r="C7" s="5"/>
      <c r="D7" s="5"/>
      <c r="E7" s="5"/>
      <c r="F7" s="5"/>
      <c r="G7" s="5"/>
      <c r="H7" s="5"/>
      <c r="K7" s="5" t="s">
        <v>84</v>
      </c>
      <c r="L7" s="5"/>
      <c r="M7" s="5"/>
      <c r="N7" s="5"/>
      <c r="O7" s="5"/>
      <c r="P7" s="5"/>
    </row>
    <row r="8" spans="1:16">
      <c r="B8" s="6" t="s">
        <v>29</v>
      </c>
      <c r="C8" s="6" t="s">
        <v>56</v>
      </c>
      <c r="D8" s="6" t="s">
        <v>57</v>
      </c>
      <c r="E8" s="6" t="s">
        <v>46</v>
      </c>
      <c r="F8" s="6" t="s">
        <v>47</v>
      </c>
      <c r="G8" s="6" t="s">
        <v>58</v>
      </c>
      <c r="H8" s="6" t="s">
        <v>59</v>
      </c>
      <c r="K8" s="6" t="s">
        <v>0</v>
      </c>
      <c r="L8" s="6" t="s">
        <v>1</v>
      </c>
      <c r="M8" s="6" t="s">
        <v>40</v>
      </c>
      <c r="N8" s="6" t="s">
        <v>31</v>
      </c>
      <c r="O8" s="6" t="s">
        <v>32</v>
      </c>
      <c r="P8" s="6" t="s">
        <v>43</v>
      </c>
    </row>
    <row r="9" spans="1:16">
      <c r="B9" t="s">
        <v>33</v>
      </c>
      <c r="C9" s="3">
        <v>450</v>
      </c>
      <c r="D9" s="1">
        <v>4556.08992299438</v>
      </c>
      <c r="E9" s="2">
        <v>-70.9302325581395</v>
      </c>
      <c r="F9" s="2">
        <v>-69.5121951219512</v>
      </c>
      <c r="G9" s="2">
        <v>4.09649522075558</v>
      </c>
      <c r="H9" s="1">
        <v>568.150000000001</v>
      </c>
      <c r="K9">
        <v>2016</v>
      </c>
      <c r="L9" t="s">
        <v>8</v>
      </c>
      <c r="M9" s="3">
        <v>1521</v>
      </c>
      <c r="P9" s="2">
        <v>5.50448755066589</v>
      </c>
    </row>
    <row r="10" spans="1:16">
      <c r="B10" t="s">
        <v>10</v>
      </c>
      <c r="C10" s="3">
        <v>27</v>
      </c>
      <c r="D10" s="1">
        <v>234.7</v>
      </c>
      <c r="E10" s="2">
        <v>-38.6363636363636</v>
      </c>
      <c r="F10" s="2">
        <v>-40</v>
      </c>
      <c r="G10" s="2">
        <v>0.245789713245335</v>
      </c>
      <c r="H10" s="1">
        <v>85.5277777777778</v>
      </c>
      <c r="K10">
        <v>2016</v>
      </c>
      <c r="L10" t="s">
        <v>15</v>
      </c>
      <c r="M10" s="3">
        <v>1727</v>
      </c>
      <c r="N10" s="2">
        <v>13.5437212360289</v>
      </c>
      <c r="P10" s="2">
        <v>6.2772608316371</v>
      </c>
    </row>
    <row r="11" spans="1:16">
      <c r="K11">
        <v>2016</v>
      </c>
      <c r="L11" t="s">
        <v>16</v>
      </c>
      <c r="M11" s="3">
        <v>1863</v>
      </c>
      <c r="N11" s="2">
        <v>7.87492762015054</v>
      </c>
      <c r="P11" s="2">
        <v>5.69219957835559</v>
      </c>
    </row>
    <row r="12" spans="1:16">
      <c r="B12" s="5" t="s">
        <v>85</v>
      </c>
      <c r="C12" s="5"/>
      <c r="D12" s="5"/>
      <c r="E12" s="5"/>
      <c r="F12" s="5"/>
      <c r="G12" s="5"/>
      <c r="H12" s="5"/>
      <c r="K12">
        <v>2016</v>
      </c>
      <c r="L12" t="s">
        <v>17</v>
      </c>
      <c r="M12" s="3">
        <v>1741</v>
      </c>
      <c r="N12" s="2">
        <v>-6.54857756307031</v>
      </c>
      <c r="P12" s="2">
        <v>6.25786276553682</v>
      </c>
    </row>
    <row r="13" spans="1:16">
      <c r="B13" s="6" t="s">
        <v>60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K13">
        <v>2016</v>
      </c>
      <c r="L13" t="s">
        <v>18</v>
      </c>
      <c r="M13" s="3">
        <v>1708</v>
      </c>
      <c r="N13" s="2">
        <v>-1.89546237794371</v>
      </c>
      <c r="P13" s="2">
        <v>6.76408855094848</v>
      </c>
    </row>
    <row r="14" spans="1:16">
      <c r="B14" t="s">
        <v>67</v>
      </c>
      <c r="C14" s="3">
        <v>5732</v>
      </c>
      <c r="D14" s="1">
        <v>79.95</v>
      </c>
      <c r="E14" s="1">
        <v>25.19</v>
      </c>
      <c r="F14" s="1">
        <v>458273.4</v>
      </c>
      <c r="G14" s="1">
        <v>313884.32</v>
      </c>
      <c r="H14" s="1">
        <v>13454.3501505647</v>
      </c>
      <c r="K14">
        <v>2016</v>
      </c>
      <c r="L14" t="s">
        <v>19</v>
      </c>
      <c r="M14" s="3">
        <v>1702</v>
      </c>
      <c r="N14" s="2">
        <v>-0.351288056206089</v>
      </c>
      <c r="P14" s="2">
        <v>6.71691858400095</v>
      </c>
    </row>
    <row r="15" spans="1:16">
      <c r="K15">
        <v>2016</v>
      </c>
      <c r="L15" t="s">
        <v>20</v>
      </c>
      <c r="M15" s="3">
        <v>1515</v>
      </c>
      <c r="N15" s="2">
        <v>-10.9870740305523</v>
      </c>
      <c r="P15" s="2">
        <v>5.58504755585048</v>
      </c>
    </row>
    <row r="16" spans="1:16">
      <c r="K16">
        <v>2016</v>
      </c>
      <c r="L16" t="s">
        <v>21</v>
      </c>
      <c r="M16" s="3">
        <v>2100</v>
      </c>
      <c r="N16" s="2">
        <v>38.6138613861386</v>
      </c>
      <c r="P16" s="2">
        <v>7.82881002087683</v>
      </c>
    </row>
    <row r="17" spans="11:16">
      <c r="K17">
        <v>2016</v>
      </c>
      <c r="L17" t="s">
        <v>22</v>
      </c>
      <c r="M17" s="3">
        <v>1685</v>
      </c>
      <c r="N17" s="2">
        <v>-19.7619047619048</v>
      </c>
      <c r="P17" s="2">
        <v>6.57740651104692</v>
      </c>
    </row>
    <row r="18" spans="11:16">
      <c r="K18">
        <v>2016</v>
      </c>
      <c r="L18" t="s">
        <v>23</v>
      </c>
      <c r="M18" s="3">
        <v>1689</v>
      </c>
      <c r="N18" s="2">
        <v>0.237388724035603</v>
      </c>
      <c r="P18" s="2">
        <v>6.42669609223393</v>
      </c>
    </row>
    <row r="19" spans="11:16">
      <c r="K19">
        <v>2016</v>
      </c>
      <c r="L19" t="s">
        <v>24</v>
      </c>
      <c r="M19" s="3">
        <v>2023</v>
      </c>
      <c r="N19" s="2">
        <v>19.7750148016578</v>
      </c>
      <c r="P19" s="2">
        <v>6.23651273198101</v>
      </c>
    </row>
    <row r="20" spans="11:16">
      <c r="K20">
        <v>2016</v>
      </c>
      <c r="L20" t="s">
        <v>25</v>
      </c>
      <c r="M20" s="3">
        <v>1594</v>
      </c>
      <c r="N20" s="2">
        <v>-21.2061295106278</v>
      </c>
      <c r="P20" s="2">
        <v>5.3425392143719</v>
      </c>
    </row>
    <row r="21" spans="11:16">
      <c r="K21">
        <v>2017</v>
      </c>
      <c r="L21" t="s">
        <v>8</v>
      </c>
      <c r="M21" s="3">
        <v>477</v>
      </c>
      <c r="N21" s="2">
        <v>-70.0752823086575</v>
      </c>
      <c r="O21" s="2">
        <v>-68.6390532544379</v>
      </c>
      <c r="P21" s="2">
        <v>4.34228493400091</v>
      </c>
    </row>
  </sheetData>
  <mergeCells count="3">
    <mergeCell ref="B7:H7"/>
    <mergeCell ref="K7:P7"/>
    <mergeCell ref="B12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Overcharges</vt:lpstr>
      <vt:lpstr>Free_Shipping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2017-03-02T12:24:32Z</dcterms:created>
  <dcterms:modified xsi:type="dcterms:W3CDTF">2017-03-02T12:24:32Z</dcterms:modified>
</cp:coreProperties>
</file>