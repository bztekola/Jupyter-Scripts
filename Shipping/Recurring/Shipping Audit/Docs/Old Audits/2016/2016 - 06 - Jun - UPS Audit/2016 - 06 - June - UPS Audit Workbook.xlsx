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 hidePivotFieldList="1"/>
  <mc:AlternateContent xmlns:mc="http://schemas.openxmlformats.org/markup-compatibility/2006">
    <mc:Choice Requires="x15">
      <x15ac:absPath xmlns:x15ac="http://schemas.microsoft.com/office/spreadsheetml/2010/11/ac" url="/Users/jarad/Desktop/* Fake Folder/UPS Audits/Audits by Month/2016 - 06 - June - UPS Audit/"/>
    </mc:Choice>
  </mc:AlternateContent>
  <bookViews>
    <workbookView xWindow="25640" yWindow="1360" windowWidth="21160" windowHeight="24480" tabRatio="500" activeTab="1"/>
  </bookViews>
  <sheets>
    <sheet name="Overview" sheetId="1" r:id="rId1"/>
    <sheet name="Types of Charges" sheetId="4" r:id="rId2"/>
    <sheet name="Free Shipping" sheetId="2" r:id="rId3"/>
  </sheets>
  <calcPr calcId="150000" concurrentCalc="0"/>
  <pivotCaches>
    <pivotCache cacheId="1" r:id="rId4"/>
    <pivotCache cacheId="2" r:id="rId5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0" i="1" l="1"/>
  <c r="U71" i="1"/>
  <c r="T71" i="1"/>
  <c r="S71" i="1"/>
  <c r="R71" i="1"/>
  <c r="Q71" i="1"/>
  <c r="P71" i="1"/>
  <c r="U70" i="1"/>
  <c r="T70" i="1"/>
  <c r="S70" i="1"/>
  <c r="R70" i="1"/>
  <c r="Q70" i="1"/>
  <c r="P70" i="1"/>
  <c r="U49" i="1"/>
  <c r="T49" i="1"/>
  <c r="S49" i="1"/>
  <c r="R49" i="1"/>
  <c r="Q49" i="1"/>
  <c r="P49" i="1"/>
  <c r="U48" i="1"/>
  <c r="T48" i="1"/>
  <c r="S48" i="1"/>
  <c r="R48" i="1"/>
  <c r="Q48" i="1"/>
  <c r="P48" i="1"/>
  <c r="Q26" i="1"/>
  <c r="R26" i="1"/>
  <c r="S26" i="1"/>
  <c r="T26" i="1"/>
  <c r="U26" i="1"/>
  <c r="Q27" i="1"/>
  <c r="R27" i="1"/>
  <c r="S27" i="1"/>
  <c r="T27" i="1"/>
  <c r="U27" i="1"/>
  <c r="P27" i="1"/>
  <c r="P26" i="1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M25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M24" i="4"/>
  <c r="D9" i="4"/>
  <c r="E9" i="4"/>
  <c r="F9" i="4"/>
  <c r="G9" i="4"/>
  <c r="H9" i="4"/>
  <c r="C9" i="4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N21" i="2"/>
  <c r="O21" i="2"/>
  <c r="P21" i="2"/>
  <c r="Q21" i="2"/>
  <c r="R21" i="2"/>
  <c r="T20" i="2"/>
  <c r="T19" i="2"/>
  <c r="T21" i="2"/>
  <c r="U20" i="2"/>
  <c r="U19" i="2"/>
  <c r="U21" i="2"/>
  <c r="V20" i="2"/>
  <c r="V19" i="2"/>
  <c r="V21" i="2"/>
  <c r="M21" i="2"/>
  <c r="E21" i="2"/>
  <c r="F21" i="2"/>
  <c r="G21" i="2"/>
  <c r="H21" i="2"/>
  <c r="D21" i="2"/>
  <c r="N22" i="2"/>
  <c r="O22" i="2"/>
  <c r="P22" i="2"/>
  <c r="Q22" i="2"/>
  <c r="R22" i="2"/>
  <c r="T8" i="2"/>
  <c r="T22" i="2"/>
  <c r="U8" i="2"/>
  <c r="U22" i="2"/>
  <c r="V8" i="2"/>
  <c r="V22" i="2"/>
  <c r="M22" i="2"/>
  <c r="T9" i="2"/>
  <c r="U9" i="2"/>
  <c r="V9" i="2"/>
  <c r="T10" i="2"/>
  <c r="U10" i="2"/>
  <c r="V10" i="2"/>
  <c r="T11" i="2"/>
  <c r="U11" i="2"/>
  <c r="V11" i="2"/>
  <c r="T12" i="2"/>
  <c r="U12" i="2"/>
  <c r="V12" i="2"/>
  <c r="T13" i="2"/>
  <c r="U13" i="2"/>
  <c r="V13" i="2"/>
  <c r="T14" i="2"/>
  <c r="U14" i="2"/>
  <c r="V14" i="2"/>
  <c r="T15" i="2"/>
  <c r="U15" i="2"/>
  <c r="V15" i="2"/>
  <c r="T16" i="2"/>
  <c r="U16" i="2"/>
  <c r="V16" i="2"/>
  <c r="T17" i="2"/>
  <c r="U17" i="2"/>
  <c r="V17" i="2"/>
  <c r="T18" i="2"/>
  <c r="U18" i="2"/>
  <c r="V18" i="2"/>
  <c r="E22" i="2"/>
  <c r="F22" i="2"/>
  <c r="G22" i="2"/>
  <c r="H22" i="2"/>
  <c r="D22" i="2"/>
  <c r="C4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<sst xmlns="http://schemas.openxmlformats.org/spreadsheetml/2006/main" count="881" uniqueCount="93">
  <si>
    <t>UPS AUDIT</t>
  </si>
  <si>
    <t>JUNE 2016</t>
  </si>
  <si>
    <t>By Month</t>
  </si>
  <si>
    <t>Month</t>
  </si>
  <si>
    <t>Number of UPS Packages</t>
  </si>
  <si>
    <t>Percent Change</t>
  </si>
  <si>
    <t>year over year</t>
  </si>
  <si>
    <t>2nd day air</t>
  </si>
  <si>
    <t>3 Day Select</t>
  </si>
  <si>
    <t>express saver</t>
  </si>
  <si>
    <t>ground</t>
  </si>
  <si>
    <t>next day air</t>
  </si>
  <si>
    <t>worldwide express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</si>
  <si>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</si>
  <si>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</si>
  <si>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</si>
  <si>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</si>
  <si>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</si>
  <si>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</si>
  <si>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</si>
  <si>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</si>
  <si>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</si>
  <si>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</si>
  <si>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</si>
  <si>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</si>
  <si>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/>
  </si>
  <si>
    <t>January 2016</t>
  </si>
  <si>
    <t>Avg Shipping Revenue</t>
  </si>
  <si>
    <t>Shipping Revenue</t>
  </si>
  <si>
    <t>Total UPS Shipping Charge</t>
  </si>
  <si>
    <t>Total Adafruit Shipping Charge</t>
  </si>
  <si>
    <t>Shipping Profit</t>
  </si>
  <si>
    <t>Shipping Profit Margin</t>
  </si>
  <si>
    <t>Workbook excludes returns and packages marked as fraud confirmed.</t>
  </si>
  <si>
    <t>Free Shipping</t>
  </si>
  <si>
    <t>Overview</t>
  </si>
  <si>
    <t>Year</t>
  </si>
  <si>
    <t>Non Resellers</t>
  </si>
  <si>
    <t>Resellers</t>
  </si>
  <si>
    <t>% of Ground</t>
  </si>
  <si>
    <t>Total Ground</t>
  </si>
  <si>
    <t>Year over Year</t>
  </si>
  <si>
    <t>Free Shipping Count</t>
  </si>
  <si>
    <t>Order Value</t>
  </si>
  <si>
    <t>Total</t>
  </si>
  <si>
    <t>UPS Shipping Charge</t>
  </si>
  <si>
    <t>Free Shipping Order Values and UPS Shipping Charges</t>
  </si>
  <si>
    <t>Profit Despite Free Shipping</t>
  </si>
  <si>
    <t>Month to Month</t>
  </si>
  <si>
    <t>Adafruit</t>
  </si>
  <si>
    <t>UPS</t>
  </si>
  <si>
    <t>Shipping Charges</t>
  </si>
  <si>
    <t>Overcharges As a Whole</t>
  </si>
  <si>
    <t>This table excludes orders which received free shipping</t>
  </si>
  <si>
    <t>Did We Get Overcharged?</t>
  </si>
  <si>
    <t>Types of Charges</t>
  </si>
  <si>
    <t>Count</t>
  </si>
  <si>
    <t>Basis Amount</t>
  </si>
  <si>
    <t>Incentive Amount</t>
  </si>
  <si>
    <t>Net Amount</t>
  </si>
  <si>
    <t>Entered Weight</t>
  </si>
  <si>
    <t>Billed Weight</t>
  </si>
  <si>
    <t>% change</t>
  </si>
  <si>
    <t>address correction</t>
  </si>
  <si>
    <t>delivery/extended/remote charge</t>
  </si>
  <si>
    <t>fuel surcharge</t>
  </si>
  <si>
    <t>misc charge</t>
  </si>
  <si>
    <t>residential surcharge</t>
  </si>
  <si>
    <t>return</t>
  </si>
  <si>
    <t>shipping charge correction</t>
  </si>
  <si>
    <t>Charge</t>
  </si>
  <si>
    <t>service - 2nd day air</t>
  </si>
  <si>
    <t>service - 3 day select</t>
  </si>
  <si>
    <t>service - ground</t>
  </si>
  <si>
    <t>service - next day air</t>
  </si>
  <si>
    <t>service - worldwide expedited</t>
  </si>
  <si>
    <t>service - worldwide express</t>
  </si>
  <si>
    <t>service - worldwide saver</t>
  </si>
  <si>
    <t>COUNT OF CHARGE TYPES</t>
  </si>
  <si>
    <t>DATE</t>
  </si>
  <si>
    <t>TOTAL UPS CHARGE</t>
  </si>
  <si>
    <t>Types of Charges by Count</t>
  </si>
  <si>
    <t>Types of Charges by Total UPS Charge</t>
  </si>
  <si>
    <t>Types of Charges Totals</t>
  </si>
  <si>
    <t>Service</t>
  </si>
  <si>
    <t>OID Count</t>
  </si>
  <si>
    <t>Adafruit Ship Rev</t>
  </si>
  <si>
    <t>Avg Ada Ship Charge</t>
  </si>
  <si>
    <t>COUNT</t>
  </si>
  <si>
    <t>Count of Services</t>
  </si>
  <si>
    <t>SHIPPING REV</t>
  </si>
  <si>
    <t>AVG SHIP REV</t>
  </si>
  <si>
    <t>Average Shipping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</si>
</sst>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49" fontId="0" fillId="0" borderId="0" xfId="0" applyNumberFormat="1"/>
    <xf numFmtId="0" fontId="3" fillId="0" borderId="0" xfId="0" applyFont="1"/>
    <xf numFmtId="49" fontId="3" fillId="0" borderId="0" xfId="0" applyNumberFormat="1" applyFon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9" fontId="0" fillId="0" borderId="0" xfId="3" applyNumberFormat="1" applyFont="1"/>
    <xf numFmtId="9" fontId="0" fillId="0" borderId="0" xfId="3" applyNumberFormat="1" applyFont="1" applyFill="1" applyBorder="1"/>
    <xf numFmtId="0" fontId="0" fillId="3" borderId="1" xfId="0" applyFill="1" applyBorder="1"/>
    <xf numFmtId="0" fontId="0" fillId="3" borderId="2" xfId="0" applyFill="1" applyBorder="1"/>
    <xf numFmtId="9" fontId="0" fillId="3" borderId="3" xfId="3" applyFont="1" applyFill="1" applyBorder="1"/>
    <xf numFmtId="44" fontId="0" fillId="0" borderId="0" xfId="2" applyFont="1"/>
    <xf numFmtId="0" fontId="2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4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2" fillId="3" borderId="1" xfId="0" applyFont="1" applyFill="1" applyBorder="1" applyAlignment="1">
      <alignment horizontal="center"/>
    </xf>
    <xf numFmtId="9" fontId="0" fillId="0" borderId="0" xfId="3" applyFont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44" fontId="0" fillId="0" borderId="7" xfId="2" applyFont="1" applyBorder="1"/>
    <xf numFmtId="44" fontId="0" fillId="0" borderId="8" xfId="2" applyFont="1" applyBorder="1"/>
    <xf numFmtId="44" fontId="0" fillId="0" borderId="8" xfId="0" applyNumberFormat="1" applyBorder="1"/>
    <xf numFmtId="10" fontId="0" fillId="0" borderId="9" xfId="3" applyNumberFormat="1" applyFont="1" applyBorder="1"/>
    <xf numFmtId="0" fontId="0" fillId="0" borderId="0" xfId="0" applyFont="1"/>
    <xf numFmtId="49" fontId="5" fillId="0" borderId="0" xfId="0" applyNumberFormat="1" applyFont="1"/>
    <xf numFmtId="0" fontId="0" fillId="3" borderId="3" xfId="0" applyFill="1" applyBorder="1"/>
    <xf numFmtId="9" fontId="0" fillId="5" borderId="2" xfId="3" applyFont="1" applyFill="1" applyBorder="1"/>
    <xf numFmtId="9" fontId="0" fillId="5" borderId="3" xfId="3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4" borderId="13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0" fillId="5" borderId="1" xfId="0" applyFill="1" applyBorder="1" applyAlignment="1">
      <alignment horizontal="left" indent="1"/>
    </xf>
    <xf numFmtId="0" fontId="0" fillId="5" borderId="1" xfId="0" applyFill="1" applyBorder="1" applyAlignment="1">
      <alignment horizontal="center" vertical="center"/>
    </xf>
    <xf numFmtId="0" fontId="0" fillId="5" borderId="11" xfId="0" applyFill="1" applyBorder="1" applyAlignment="1">
      <alignment horizontal="left" indent="1"/>
    </xf>
    <xf numFmtId="9" fontId="0" fillId="5" borderId="10" xfId="3" applyFont="1" applyFill="1" applyBorder="1"/>
    <xf numFmtId="9" fontId="0" fillId="5" borderId="9" xfId="3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9" fontId="0" fillId="5" borderId="1" xfId="3" applyFont="1" applyFill="1" applyBorder="1" applyAlignment="1">
      <alignment horizontal="center"/>
    </xf>
    <xf numFmtId="9" fontId="0" fillId="5" borderId="2" xfId="3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pivotCacheDefinition" Target="pivotCache/pivotCacheDefinition2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_rels/chart10.xml.rels><?xml version="1.0" encoding="UTF-8" standalone="yes"?>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11.xml.rels><?xml version="1.0" encoding="UTF-8" standalone="yes"?>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Overview!$C$9</c:f>
              <c:strCache>
                <c:ptCount val="1"/>
                <c:pt idx="0">
                  <c:v>Number of UPS Packages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Overview!$B$10:$B$22</c:f>
              <c:strCache>
                <c:ptCount val="1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2016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  <c:pt idx="12">
                  <c:v>June</c:v>
                </c:pt>
              </c:strCache>
            </c:strRef>
          </c:cat>
          <c:val>
            <c:numRef>
              <c:f>Overview!$C$10:$C$22</c:f>
              <c:numCache>
                <c:formatCode>_(* #,##0_);_(* \(#,##0\);_(* "-"??_);_(@_)</c:formatCode>
                <c:ptCount val="13"/>
                <c:pt idx="0">
                  <c:v>17752.0</c:v>
                </c:pt>
                <c:pt idx="1">
                  <c:v>17238.0</c:v>
                </c:pt>
                <c:pt idx="2">
                  <c:v>17190.0</c:v>
                </c:pt>
                <c:pt idx="3">
                  <c:v>18193.0</c:v>
                </c:pt>
                <c:pt idx="4">
                  <c:v>21756.0</c:v>
                </c:pt>
                <c:pt idx="5">
                  <c:v>27482.0</c:v>
                </c:pt>
                <c:pt idx="6">
                  <c:v>25319.0</c:v>
                </c:pt>
                <c:pt idx="7">
                  <c:v>23517.0</c:v>
                </c:pt>
                <c:pt idx="8">
                  <c:v>24002.0</c:v>
                </c:pt>
                <c:pt idx="9">
                  <c:v>27622.0</c:v>
                </c:pt>
                <c:pt idx="10">
                  <c:v>24033.0</c:v>
                </c:pt>
                <c:pt idx="11">
                  <c:v>21466.0</c:v>
                </c:pt>
                <c:pt idx="12">
                  <c:v>21432.0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7464624"/>
        <c:axId val="2029284464"/>
      </c:lineChart>
      <c:catAx>
        <c:axId val="-213746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84464"/>
        <c:crosses val="autoZero"/>
        <c:auto val="1"/>
        <c:lblAlgn val="ctr"/>
        <c:lblOffset val="100"/>
        <c:noMultiLvlLbl val="0"/>
      </c:catAx>
      <c:valAx>
        <c:axId val="2029284464"/>
        <c:scaling>
          <c:orientation val="minMax"/>
          <c:max val="28000.0"/>
          <c:min val="17000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46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Overview!$G$9</c:f>
              <c:strCache>
                <c:ptCount val="1"/>
                <c:pt idx="0">
                  <c:v>Shipping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Overview!$F$10:$F$22</c:f>
              <c:strCache>
                <c:ptCount val="1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2016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  <c:pt idx="12">
                  <c:v>June</c:v>
                </c:pt>
              </c:strCache>
            </c:strRef>
          </c:cat>
          <c:val>
            <c:numRef>
              <c:f>Overview!$G$10:$G$22</c:f>
              <c:numCache>
                <c:formatCode>_("$"* #,##0.00_);_("$"* \(#,##0.00\);_("$"* "-"??_);_(@_)</c:formatCode>
                <c:ptCount val="13"/>
                <c:pt idx="0">
                  <c:v>247963.83</c:v>
                </c:pt>
                <c:pt idx="1">
                  <c:v>237805.33</c:v>
                </c:pt>
                <c:pt idx="2">
                  <c:v>240208.33</c:v>
                </c:pt>
                <c:pt idx="3">
                  <c:v>251494.95</c:v>
                </c:pt>
                <c:pt idx="4">
                  <c:v>298228.19</c:v>
                </c:pt>
                <c:pt idx="5">
                  <c:v>374445.63</c:v>
                </c:pt>
                <c:pt idx="6">
                  <c:v>350690.49</c:v>
                </c:pt>
                <c:pt idx="7">
                  <c:v>335669.12</c:v>
                </c:pt>
                <c:pt idx="8">
                  <c:v>333905.38</c:v>
                </c:pt>
                <c:pt idx="9">
                  <c:v>369901.02</c:v>
                </c:pt>
                <c:pt idx="10">
                  <c:v>331933.64</c:v>
                </c:pt>
                <c:pt idx="11">
                  <c:v>305516.71</c:v>
                </c:pt>
                <c:pt idx="12">
                  <c:v>297380.95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2903072"/>
        <c:axId val="-2142899712"/>
      </c:lineChart>
      <c:catAx>
        <c:axId val="-214290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899712"/>
        <c:crosses val="autoZero"/>
        <c:auto val="1"/>
        <c:lblAlgn val="ctr"/>
        <c:lblOffset val="100"/>
        <c:noMultiLvlLbl val="0"/>
      </c:catAx>
      <c:valAx>
        <c:axId val="-2142899712"/>
        <c:scaling>
          <c:orientation val="minMax"/>
          <c:min val="230000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90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Overview!$K$9</c:f>
              <c:strCache>
                <c:ptCount val="1"/>
                <c:pt idx="0">
                  <c:v>Avg Shipping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Overview!$J$10:$J$22</c:f>
              <c:strCache>
                <c:ptCount val="1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2016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  <c:pt idx="12">
                  <c:v>June</c:v>
                </c:pt>
              </c:strCache>
            </c:strRef>
          </c:cat>
          <c:val>
            <c:numRef>
              <c:f>Overview!$K$10:$K$22</c:f>
              <c:numCache>
                <c:formatCode>_("$"* #,##0.00_);_("$"* \(#,##0.00\);_("$"* "-"??_);_(@_)</c:formatCode>
                <c:ptCount val="13"/>
                <c:pt idx="0">
                  <c:v>13.96900625</c:v>
                </c:pt>
                <c:pt idx="1">
                  <c:v>13.79541304</c:v>
                </c:pt>
                <c:pt idx="2">
                  <c:v>13.97453779</c:v>
                </c:pt>
                <c:pt idx="3">
                  <c:v>13.82372066</c:v>
                </c:pt>
                <c:pt idx="4">
                  <c:v>13.70785944</c:v>
                </c:pt>
                <c:pt idx="5">
                  <c:v>13.62462722</c:v>
                </c:pt>
                <c:pt idx="6">
                  <c:v>13.85088234</c:v>
                </c:pt>
                <c:pt idx="7">
                  <c:v>14.27346685</c:v>
                </c:pt>
                <c:pt idx="8">
                  <c:v>13.91214449</c:v>
                </c:pt>
                <c:pt idx="9">
                  <c:v>13.39153646</c:v>
                </c:pt>
                <c:pt idx="10">
                  <c:v>13.81157741</c:v>
                </c:pt>
                <c:pt idx="11">
                  <c:v>14.23258688</c:v>
                </c:pt>
                <c:pt idx="12">
                  <c:v>13.87555758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2869840"/>
        <c:axId val="-2142866480"/>
      </c:lineChart>
      <c:catAx>
        <c:axId val="-21428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866480"/>
        <c:crosses val="autoZero"/>
        <c:auto val="1"/>
        <c:lblAlgn val="ctr"/>
        <c:lblOffset val="100"/>
        <c:noMultiLvlLbl val="0"/>
      </c:catAx>
      <c:valAx>
        <c:axId val="-2142866480"/>
        <c:scaling>
          <c:orientation val="minMax"/>
          <c:min val="13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8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Services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Overview!$P$10</c:f>
              <c:strCache>
                <c:ptCount val="1"/>
                <c:pt idx="0">
                  <c:v>2nd day 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Overview!$O$11:$O$25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Overview!$P$11:$P$25</c:f>
              <c:numCache>
                <c:formatCode>_(* #,##0_);_(* \(#,##0\);_(* "-"??_);_(@_)</c:formatCode>
                <c:ptCount val="15"/>
                <c:pt idx="1">
                  <c:v>3138.0</c:v>
                </c:pt>
                <c:pt idx="2">
                  <c:v>3193.0</c:v>
                </c:pt>
                <c:pt idx="3">
                  <c:v>3259.0</c:v>
                </c:pt>
                <c:pt idx="4">
                  <c:v>3184.0</c:v>
                </c:pt>
                <c:pt idx="5">
                  <c:v>3881.0</c:v>
                </c:pt>
                <c:pt idx="6">
                  <c:v>3971.0</c:v>
                </c:pt>
                <c:pt idx="7">
                  <c:v>3956.0</c:v>
                </c:pt>
                <c:pt idx="9">
                  <c:v>3050.0</c:v>
                </c:pt>
                <c:pt idx="10">
                  <c:v>3377.0</c:v>
                </c:pt>
                <c:pt idx="11">
                  <c:v>3783.0</c:v>
                </c:pt>
                <c:pt idx="12">
                  <c:v>3387.0</c:v>
                </c:pt>
                <c:pt idx="13">
                  <c:v>2866.0</c:v>
                </c:pt>
                <c:pt idx="14">
                  <c:v>2681.0</c:v>
                </c:pt>
              </c:numCache>
            </c:numRef>
          </c:val>
        </c:ser>
        <c:ser>
          <c:idx val="1"/>
          <c:order val="1"/>
          <c:tx>
            <c:strRef>
              <c:f>Overview!$Q$10</c:f>
              <c:strCache>
                <c:ptCount val="1"/>
                <c:pt idx="0">
                  <c:v>3 Day Select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Overview!$O$11:$O$25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Overview!$Q$11:$Q$25</c:f>
              <c:numCache>
                <c:formatCode>_(* #,##0_);_(* \(#,##0\);_(* "-"??_);_(@_)</c:formatCode>
                <c:ptCount val="15"/>
                <c:pt idx="1">
                  <c:v>1770.0</c:v>
                </c:pt>
                <c:pt idx="2">
                  <c:v>1667.0</c:v>
                </c:pt>
                <c:pt idx="3">
                  <c:v>1609.0</c:v>
                </c:pt>
                <c:pt idx="4">
                  <c:v>1726.0</c:v>
                </c:pt>
                <c:pt idx="5">
                  <c:v>1971.0</c:v>
                </c:pt>
                <c:pt idx="6">
                  <c:v>2361.0</c:v>
                </c:pt>
                <c:pt idx="7">
                  <c:v>2835.0</c:v>
                </c:pt>
                <c:pt idx="9">
                  <c:v>1835.0</c:v>
                </c:pt>
                <c:pt idx="10">
                  <c:v>1815.0</c:v>
                </c:pt>
                <c:pt idx="11">
                  <c:v>2058.0</c:v>
                </c:pt>
                <c:pt idx="12">
                  <c:v>1908.0</c:v>
                </c:pt>
                <c:pt idx="13">
                  <c:v>1493.0</c:v>
                </c:pt>
                <c:pt idx="14">
                  <c:v>1445.0</c:v>
                </c:pt>
              </c:numCache>
            </c:numRef>
          </c:val>
        </c:ser>
        <c:ser>
          <c:idx val="2"/>
          <c:order val="2"/>
          <c:tx>
            <c:strRef>
              <c:f>Overview!$R$10</c:f>
              <c:strCache>
                <c:ptCount val="1"/>
                <c:pt idx="0">
                  <c:v>express saver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Overview!$O$11:$O$25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Overview!$R$11:$R$25</c:f>
              <c:numCache>
                <c:formatCode>_(* #,##0_);_(* \(#,##0\);_(* "-"??_);_(@_)</c:formatCode>
                <c:ptCount val="15"/>
                <c:pt idx="1">
                  <c:v>708.0</c:v>
                </c:pt>
                <c:pt idx="2">
                  <c:v>636.0</c:v>
                </c:pt>
                <c:pt idx="3">
                  <c:v>617.0</c:v>
                </c:pt>
                <c:pt idx="4">
                  <c:v>693.0</c:v>
                </c:pt>
                <c:pt idx="5">
                  <c:v>741.0</c:v>
                </c:pt>
                <c:pt idx="6">
                  <c:v>921.0</c:v>
                </c:pt>
                <c:pt idx="7">
                  <c:v>725.0</c:v>
                </c:pt>
                <c:pt idx="9">
                  <c:v>472.0</c:v>
                </c:pt>
                <c:pt idx="10">
                  <c:v>481.0</c:v>
                </c:pt>
                <c:pt idx="11">
                  <c:v>487.0</c:v>
                </c:pt>
                <c:pt idx="12">
                  <c:v>462.0</c:v>
                </c:pt>
                <c:pt idx="13">
                  <c:v>495.0</c:v>
                </c:pt>
                <c:pt idx="14">
                  <c:v>445.0</c:v>
                </c:pt>
              </c:numCache>
            </c:numRef>
          </c:val>
        </c:ser>
        <c:ser>
          <c:idx val="3"/>
          <c:order val="3"/>
          <c:tx>
            <c:strRef>
              <c:f>Overview!$S$10</c:f>
              <c:strCache>
                <c:ptCount val="1"/>
                <c:pt idx="0">
                  <c:v>ground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Overview!$O$11:$O$25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Overview!$S$11:$S$25</c:f>
              <c:numCache>
                <c:formatCode>_(* #,##0_);_(* \(#,##0\);_(* "-"??_);_(@_)</c:formatCode>
                <c:ptCount val="15"/>
                <c:pt idx="1">
                  <c:v>8907.0</c:v>
                </c:pt>
                <c:pt idx="2">
                  <c:v>8619.0</c:v>
                </c:pt>
                <c:pt idx="3">
                  <c:v>8623.0</c:v>
                </c:pt>
                <c:pt idx="4">
                  <c:v>9292.0</c:v>
                </c:pt>
                <c:pt idx="5">
                  <c:v>11258.0</c:v>
                </c:pt>
                <c:pt idx="6">
                  <c:v>15621.0</c:v>
                </c:pt>
                <c:pt idx="7">
                  <c:v>13817.0</c:v>
                </c:pt>
                <c:pt idx="9">
                  <c:v>14393.0</c:v>
                </c:pt>
                <c:pt idx="10">
                  <c:v>14518.0</c:v>
                </c:pt>
                <c:pt idx="11">
                  <c:v>17207.0</c:v>
                </c:pt>
                <c:pt idx="12">
                  <c:v>14186.0</c:v>
                </c:pt>
                <c:pt idx="13">
                  <c:v>12918.0</c:v>
                </c:pt>
                <c:pt idx="14">
                  <c:v>13521.0</c:v>
                </c:pt>
              </c:numCache>
            </c:numRef>
          </c:val>
        </c:ser>
        <c:ser>
          <c:idx val="4"/>
          <c:order val="4"/>
          <c:tx>
            <c:strRef>
              <c:f>Overview!$T$10</c:f>
              <c:strCache>
                <c:ptCount val="1"/>
                <c:pt idx="0">
                  <c:v>next day 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Overview!$O$11:$O$25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Overview!$T$11:$T$25</c:f>
              <c:numCache>
                <c:formatCode>_(* #,##0_);_(* \(#,##0\);_(* "-"??_);_(@_)</c:formatCode>
                <c:ptCount val="15"/>
                <c:pt idx="1">
                  <c:v>1529.0</c:v>
                </c:pt>
                <c:pt idx="2">
                  <c:v>1538.0</c:v>
                </c:pt>
                <c:pt idx="3">
                  <c:v>1523.0</c:v>
                </c:pt>
                <c:pt idx="4">
                  <c:v>1614.0</c:v>
                </c:pt>
                <c:pt idx="5">
                  <c:v>1830.0</c:v>
                </c:pt>
                <c:pt idx="6">
                  <c:v>1982.0</c:v>
                </c:pt>
                <c:pt idx="7">
                  <c:v>1848.0</c:v>
                </c:pt>
                <c:pt idx="9">
                  <c:v>1431.0</c:v>
                </c:pt>
                <c:pt idx="10">
                  <c:v>1649.0</c:v>
                </c:pt>
                <c:pt idx="11">
                  <c:v>1796.0</c:v>
                </c:pt>
                <c:pt idx="12">
                  <c:v>1940.0</c:v>
                </c:pt>
                <c:pt idx="13">
                  <c:v>1607.0</c:v>
                </c:pt>
                <c:pt idx="14">
                  <c:v>1411.0</c:v>
                </c:pt>
              </c:numCache>
            </c:numRef>
          </c:val>
        </c:ser>
        <c:ser>
          <c:idx val="5"/>
          <c:order val="5"/>
          <c:tx>
            <c:strRef>
              <c:f>Overview!$U$10</c:f>
              <c:strCache>
                <c:ptCount val="1"/>
                <c:pt idx="0">
                  <c:v>worldwide express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Overview!$O$11:$O$25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Overview!$U$11:$U$25</c:f>
              <c:numCache>
                <c:formatCode>_(* #,##0_);_(* \(#,##0\);_(* "-"??_);_(@_)</c:formatCode>
                <c:ptCount val="15"/>
                <c:pt idx="1">
                  <c:v>1699.0</c:v>
                </c:pt>
                <c:pt idx="2">
                  <c:v>1585.0</c:v>
                </c:pt>
                <c:pt idx="3">
                  <c:v>1558.0</c:v>
                </c:pt>
                <c:pt idx="4">
                  <c:v>1684.0</c:v>
                </c:pt>
                <c:pt idx="5">
                  <c:v>2075.0</c:v>
                </c:pt>
                <c:pt idx="6">
                  <c:v>2627.0</c:v>
                </c:pt>
                <c:pt idx="7">
                  <c:v>2138.0</c:v>
                </c:pt>
                <c:pt idx="9">
                  <c:v>2336.0</c:v>
                </c:pt>
                <c:pt idx="10">
                  <c:v>2161.0</c:v>
                </c:pt>
                <c:pt idx="11">
                  <c:v>2291.0</c:v>
                </c:pt>
                <c:pt idx="12">
                  <c:v>2150.0</c:v>
                </c:pt>
                <c:pt idx="13">
                  <c:v>2087.0</c:v>
                </c:pt>
                <c:pt idx="14">
                  <c:v>1929.0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37319536"/>
        <c:axId val="-2137316144"/>
      </c:barChart>
      <c:catAx>
        <c:axId val="-213731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316144"/>
        <c:crosses val="autoZero"/>
        <c:auto val="1"/>
        <c:lblAlgn val="ctr"/>
        <c:lblOffset val="100"/>
        <c:noMultiLvlLbl val="0"/>
      </c:catAx>
      <c:valAx>
        <c:axId val="-21373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3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Overview!$P$32</c:f>
              <c:strCache>
                <c:ptCount val="1"/>
                <c:pt idx="0">
                  <c:v>2nd day 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Overview!$O$33:$O$47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Overview!$P$33:$P$47</c:f>
              <c:numCache>
                <c:formatCode>_("$"* #,##0.00_);_("$"* \(#,##0.00\);_("$"* "-"??_);_(@_)</c:formatCode>
                <c:ptCount val="15"/>
                <c:pt idx="1">
                  <c:v>38158.95</c:v>
                </c:pt>
                <c:pt idx="2">
                  <c:v>39563.04</c:v>
                </c:pt>
                <c:pt idx="3">
                  <c:v>40640.22</c:v>
                </c:pt>
                <c:pt idx="4">
                  <c:v>39045.24</c:v>
                </c:pt>
                <c:pt idx="5">
                  <c:v>46787.66</c:v>
                </c:pt>
                <c:pt idx="6">
                  <c:v>48808.96</c:v>
                </c:pt>
                <c:pt idx="7">
                  <c:v>50736.17</c:v>
                </c:pt>
                <c:pt idx="9">
                  <c:v>40916.35</c:v>
                </c:pt>
                <c:pt idx="10">
                  <c:v>44781.29</c:v>
                </c:pt>
                <c:pt idx="11">
                  <c:v>49603.65</c:v>
                </c:pt>
                <c:pt idx="12">
                  <c:v>45142.94</c:v>
                </c:pt>
                <c:pt idx="13">
                  <c:v>38946.16</c:v>
                </c:pt>
                <c:pt idx="14">
                  <c:v>36113.55</c:v>
                </c:pt>
              </c:numCache>
            </c:numRef>
          </c:val>
        </c:ser>
        <c:ser>
          <c:idx val="1"/>
          <c:order val="1"/>
          <c:tx>
            <c:strRef>
              <c:f>Overview!$Q$32</c:f>
              <c:strCache>
                <c:ptCount val="1"/>
                <c:pt idx="0">
                  <c:v>3 Day Select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Overview!$O$33:$O$47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Overview!$Q$33:$Q$47</c:f>
              <c:numCache>
                <c:formatCode>_("$"* #,##0.00_);_("$"* \(#,##0.00\);_("$"* "-"??_);_(@_)</c:formatCode>
                <c:ptCount val="15"/>
                <c:pt idx="1">
                  <c:v>19821.44</c:v>
                </c:pt>
                <c:pt idx="2">
                  <c:v>18390.36</c:v>
                </c:pt>
                <c:pt idx="3">
                  <c:v>17967.7</c:v>
                </c:pt>
                <c:pt idx="4">
                  <c:v>19128.66</c:v>
                </c:pt>
                <c:pt idx="5">
                  <c:v>21571.84</c:v>
                </c:pt>
                <c:pt idx="6">
                  <c:v>26105.43</c:v>
                </c:pt>
                <c:pt idx="7">
                  <c:v>33068.41</c:v>
                </c:pt>
                <c:pt idx="9">
                  <c:v>22018.09</c:v>
                </c:pt>
                <c:pt idx="10">
                  <c:v>21450.89</c:v>
                </c:pt>
                <c:pt idx="11">
                  <c:v>23980.65</c:v>
                </c:pt>
                <c:pt idx="12">
                  <c:v>22403.06</c:v>
                </c:pt>
                <c:pt idx="13">
                  <c:v>18540.12</c:v>
                </c:pt>
                <c:pt idx="14">
                  <c:v>17304.18</c:v>
                </c:pt>
              </c:numCache>
            </c:numRef>
          </c:val>
        </c:ser>
        <c:ser>
          <c:idx val="2"/>
          <c:order val="2"/>
          <c:tx>
            <c:strRef>
              <c:f>Overview!$R$32</c:f>
              <c:strCache>
                <c:ptCount val="1"/>
                <c:pt idx="0">
                  <c:v>express saver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Overview!$O$33:$O$47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Overview!$R$33:$R$47</c:f>
              <c:numCache>
                <c:formatCode>_("$"* #,##0.00_);_("$"* \(#,##0.00\);_("$"* "-"??_);_(@_)</c:formatCode>
                <c:ptCount val="15"/>
                <c:pt idx="1">
                  <c:v>28474.27</c:v>
                </c:pt>
                <c:pt idx="2">
                  <c:v>25134.07</c:v>
                </c:pt>
                <c:pt idx="3">
                  <c:v>25927.43</c:v>
                </c:pt>
                <c:pt idx="4">
                  <c:v>27548.95</c:v>
                </c:pt>
                <c:pt idx="5">
                  <c:v>29931.73</c:v>
                </c:pt>
                <c:pt idx="6">
                  <c:v>38378.03</c:v>
                </c:pt>
                <c:pt idx="7">
                  <c:v>31919.86</c:v>
                </c:pt>
                <c:pt idx="9">
                  <c:v>24628.95</c:v>
                </c:pt>
                <c:pt idx="10">
                  <c:v>24772.49</c:v>
                </c:pt>
                <c:pt idx="11">
                  <c:v>24420.81</c:v>
                </c:pt>
                <c:pt idx="12">
                  <c:v>23983.14</c:v>
                </c:pt>
                <c:pt idx="13">
                  <c:v>25082.38</c:v>
                </c:pt>
                <c:pt idx="14">
                  <c:v>23188.59</c:v>
                </c:pt>
              </c:numCache>
            </c:numRef>
          </c:val>
        </c:ser>
        <c:ser>
          <c:idx val="3"/>
          <c:order val="3"/>
          <c:tx>
            <c:strRef>
              <c:f>Overview!$S$32</c:f>
              <c:strCache>
                <c:ptCount val="1"/>
                <c:pt idx="0">
                  <c:v>ground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Overview!$O$33:$O$47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Overview!$S$33:$S$47</c:f>
              <c:numCache>
                <c:formatCode>_("$"* #,##0.00_);_("$"* \(#,##0.00\);_("$"* "-"??_);_(@_)</c:formatCode>
                <c:ptCount val="15"/>
                <c:pt idx="1">
                  <c:v>66857.8</c:v>
                </c:pt>
                <c:pt idx="2">
                  <c:v>66032.34</c:v>
                </c:pt>
                <c:pt idx="3">
                  <c:v>65978.98</c:v>
                </c:pt>
                <c:pt idx="4">
                  <c:v>72379.18</c:v>
                </c:pt>
                <c:pt idx="5">
                  <c:v>88605.65</c:v>
                </c:pt>
                <c:pt idx="6">
                  <c:v>126581.21</c:v>
                </c:pt>
                <c:pt idx="7">
                  <c:v>115551.26</c:v>
                </c:pt>
                <c:pt idx="9">
                  <c:v>123941.47</c:v>
                </c:pt>
                <c:pt idx="10">
                  <c:v>122104.29</c:v>
                </c:pt>
                <c:pt idx="11">
                  <c:v>146677.51</c:v>
                </c:pt>
                <c:pt idx="12">
                  <c:v>118048.45</c:v>
                </c:pt>
                <c:pt idx="13">
                  <c:v>107810.12</c:v>
                </c:pt>
                <c:pt idx="14">
                  <c:v>109978.4</c:v>
                </c:pt>
              </c:numCache>
            </c:numRef>
          </c:val>
        </c:ser>
        <c:ser>
          <c:idx val="4"/>
          <c:order val="4"/>
          <c:tx>
            <c:strRef>
              <c:f>Overview!$T$32</c:f>
              <c:strCache>
                <c:ptCount val="1"/>
                <c:pt idx="0">
                  <c:v>next day 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Overview!$O$33:$O$47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Overview!$T$33:$T$47</c:f>
              <c:numCache>
                <c:formatCode>_("$"* #,##0.00_);_("$"* \(#,##0.00\);_("$"* "-"??_);_(@_)</c:formatCode>
                <c:ptCount val="15"/>
                <c:pt idx="1">
                  <c:v>27778.34</c:v>
                </c:pt>
                <c:pt idx="2">
                  <c:v>28050.45</c:v>
                </c:pt>
                <c:pt idx="3">
                  <c:v>28803.42</c:v>
                </c:pt>
                <c:pt idx="4">
                  <c:v>29076.34</c:v>
                </c:pt>
                <c:pt idx="5">
                  <c:v>32108.57</c:v>
                </c:pt>
                <c:pt idx="6">
                  <c:v>35908.66</c:v>
                </c:pt>
                <c:pt idx="7">
                  <c:v>33749.65</c:v>
                </c:pt>
                <c:pt idx="9">
                  <c:v>27737.84</c:v>
                </c:pt>
                <c:pt idx="10">
                  <c:v>31829.27</c:v>
                </c:pt>
                <c:pt idx="11">
                  <c:v>33934.13</c:v>
                </c:pt>
                <c:pt idx="12">
                  <c:v>37381.78</c:v>
                </c:pt>
                <c:pt idx="13">
                  <c:v>30689.94</c:v>
                </c:pt>
                <c:pt idx="14">
                  <c:v>31314.26</c:v>
                </c:pt>
              </c:numCache>
            </c:numRef>
          </c:val>
        </c:ser>
        <c:ser>
          <c:idx val="5"/>
          <c:order val="5"/>
          <c:tx>
            <c:strRef>
              <c:f>Overview!$U$32</c:f>
              <c:strCache>
                <c:ptCount val="1"/>
                <c:pt idx="0">
                  <c:v>worldwide express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Overview!$O$33:$O$47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Overview!$U$33:$U$47</c:f>
              <c:numCache>
                <c:formatCode>_("$"* #,##0.00_);_("$"* \(#,##0.00\);_("$"* "-"??_);_(@_)</c:formatCode>
                <c:ptCount val="15"/>
                <c:pt idx="1">
                  <c:v>66873.03</c:v>
                </c:pt>
                <c:pt idx="2">
                  <c:v>60635.07</c:v>
                </c:pt>
                <c:pt idx="3">
                  <c:v>60890.58</c:v>
                </c:pt>
                <c:pt idx="4">
                  <c:v>64316.58</c:v>
                </c:pt>
                <c:pt idx="5">
                  <c:v>79222.74000000001</c:v>
                </c:pt>
                <c:pt idx="6">
                  <c:v>98663.34</c:v>
                </c:pt>
                <c:pt idx="7">
                  <c:v>85665.14</c:v>
                </c:pt>
                <c:pt idx="9">
                  <c:v>96426.42</c:v>
                </c:pt>
                <c:pt idx="10">
                  <c:v>88967.15</c:v>
                </c:pt>
                <c:pt idx="11">
                  <c:v>91284.27</c:v>
                </c:pt>
                <c:pt idx="12">
                  <c:v>84974.27</c:v>
                </c:pt>
                <c:pt idx="13">
                  <c:v>84447.99000000001</c:v>
                </c:pt>
                <c:pt idx="14">
                  <c:v>79481.97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37236336"/>
        <c:axId val="-2137232944"/>
      </c:barChart>
      <c:catAx>
        <c:axId val="-21372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232944"/>
        <c:crosses val="autoZero"/>
        <c:auto val="1"/>
        <c:lblAlgn val="ctr"/>
        <c:lblOffset val="100"/>
        <c:noMultiLvlLbl val="0"/>
      </c:catAx>
      <c:valAx>
        <c:axId val="-213723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23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Shipping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Overview!$P$54</c:f>
              <c:strCache>
                <c:ptCount val="1"/>
                <c:pt idx="0">
                  <c:v>2nd day 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Overview!$O$55:$O$69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Overview!$P$55:$P$69</c:f>
              <c:numCache>
                <c:formatCode>_("$"* #,##0.00_);_("$"* \(#,##0.00\);_("$"* "-"??_);_(@_)</c:formatCode>
                <c:ptCount val="15"/>
                <c:pt idx="1">
                  <c:v>12.16027725</c:v>
                </c:pt>
                <c:pt idx="2">
                  <c:v>12.39055434</c:v>
                </c:pt>
                <c:pt idx="3">
                  <c:v>12.47015035</c:v>
                </c:pt>
                <c:pt idx="4">
                  <c:v>12.26295226</c:v>
                </c:pt>
                <c:pt idx="5">
                  <c:v>12.05556815</c:v>
                </c:pt>
                <c:pt idx="6">
                  <c:v>12.2913523</c:v>
                </c:pt>
                <c:pt idx="7">
                  <c:v>12.82511881</c:v>
                </c:pt>
                <c:pt idx="9">
                  <c:v>13.41519672</c:v>
                </c:pt>
                <c:pt idx="10">
                  <c:v>13.26067219</c:v>
                </c:pt>
                <c:pt idx="11">
                  <c:v>13.11225218</c:v>
                </c:pt>
                <c:pt idx="12">
                  <c:v>13.32829643</c:v>
                </c:pt>
                <c:pt idx="13">
                  <c:v>13.58903001</c:v>
                </c:pt>
                <c:pt idx="14">
                  <c:v>13.47017904</c:v>
                </c:pt>
              </c:numCache>
            </c:numRef>
          </c:val>
        </c:ser>
        <c:ser>
          <c:idx val="1"/>
          <c:order val="1"/>
          <c:tx>
            <c:strRef>
              <c:f>Overview!$Q$54</c:f>
              <c:strCache>
                <c:ptCount val="1"/>
                <c:pt idx="0">
                  <c:v>3 Day Select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Overview!$O$55:$O$69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Overview!$Q$55:$Q$69</c:f>
              <c:numCache>
                <c:formatCode>_("$"* #,##0.00_);_("$"* \(#,##0.00\);_("$"* "-"??_);_(@_)</c:formatCode>
                <c:ptCount val="15"/>
                <c:pt idx="1">
                  <c:v>11.19855367</c:v>
                </c:pt>
                <c:pt idx="2">
                  <c:v>11.0320096</c:v>
                </c:pt>
                <c:pt idx="3">
                  <c:v>11.16699814</c:v>
                </c:pt>
                <c:pt idx="4">
                  <c:v>11.08265353</c:v>
                </c:pt>
                <c:pt idx="5">
                  <c:v>10.94461695</c:v>
                </c:pt>
                <c:pt idx="6">
                  <c:v>11.05693774</c:v>
                </c:pt>
                <c:pt idx="7">
                  <c:v>11.66434215</c:v>
                </c:pt>
                <c:pt idx="9">
                  <c:v>11.99895913</c:v>
                </c:pt>
                <c:pt idx="10">
                  <c:v>11.81867218</c:v>
                </c:pt>
                <c:pt idx="11">
                  <c:v>11.65240525</c:v>
                </c:pt>
                <c:pt idx="12">
                  <c:v>11.7416457</c:v>
                </c:pt>
                <c:pt idx="13">
                  <c:v>12.41803081</c:v>
                </c:pt>
                <c:pt idx="14">
                  <c:v>11.97521107</c:v>
                </c:pt>
              </c:numCache>
            </c:numRef>
          </c:val>
        </c:ser>
        <c:ser>
          <c:idx val="2"/>
          <c:order val="2"/>
          <c:tx>
            <c:strRef>
              <c:f>Overview!$R$54</c:f>
              <c:strCache>
                <c:ptCount val="1"/>
                <c:pt idx="0">
                  <c:v>express saver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Overview!$O$55:$O$69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Overview!$R$55:$R$69</c:f>
              <c:numCache>
                <c:formatCode>_("$"* #,##0.00_);_("$"* \(#,##0.00\);_("$"* "-"??_);_(@_)</c:formatCode>
                <c:ptCount val="15"/>
                <c:pt idx="1">
                  <c:v>40.21789548</c:v>
                </c:pt>
                <c:pt idx="2">
                  <c:v>39.51897799</c:v>
                </c:pt>
                <c:pt idx="3">
                  <c:v>42.02176661</c:v>
                </c:pt>
                <c:pt idx="4">
                  <c:v>39.7531746</c:v>
                </c:pt>
                <c:pt idx="5">
                  <c:v>40.39369771</c:v>
                </c:pt>
                <c:pt idx="6">
                  <c:v>41.66995657</c:v>
                </c:pt>
                <c:pt idx="7">
                  <c:v>44.0273931</c:v>
                </c:pt>
                <c:pt idx="9">
                  <c:v>52.17997881</c:v>
                </c:pt>
                <c:pt idx="10">
                  <c:v>51.50205821</c:v>
                </c:pt>
                <c:pt idx="11">
                  <c:v>50.14540041</c:v>
                </c:pt>
                <c:pt idx="12">
                  <c:v>51.91155844</c:v>
                </c:pt>
                <c:pt idx="13">
                  <c:v>50.67147475</c:v>
                </c:pt>
                <c:pt idx="14">
                  <c:v>52.10919101</c:v>
                </c:pt>
              </c:numCache>
            </c:numRef>
          </c:val>
        </c:ser>
        <c:ser>
          <c:idx val="3"/>
          <c:order val="3"/>
          <c:tx>
            <c:strRef>
              <c:f>Overview!$S$54</c:f>
              <c:strCache>
                <c:ptCount val="1"/>
                <c:pt idx="0">
                  <c:v>ground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Overview!$O$55:$O$69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Overview!$S$55:$S$69</c:f>
              <c:numCache>
                <c:formatCode>_("$"* #,##0.00_);_("$"* \(#,##0.00\);_("$"* "-"??_);_(@_)</c:formatCode>
                <c:ptCount val="15"/>
                <c:pt idx="1">
                  <c:v>7.5062086</c:v>
                </c:pt>
                <c:pt idx="2">
                  <c:v>7.66125305</c:v>
                </c:pt>
                <c:pt idx="3">
                  <c:v>7.65151108</c:v>
                </c:pt>
                <c:pt idx="4">
                  <c:v>7.78940809</c:v>
                </c:pt>
                <c:pt idx="5">
                  <c:v>7.87046101</c:v>
                </c:pt>
                <c:pt idx="6">
                  <c:v>8.10327188</c:v>
                </c:pt>
                <c:pt idx="7">
                  <c:v>8.36297749</c:v>
                </c:pt>
                <c:pt idx="9">
                  <c:v>8.61123254</c:v>
                </c:pt>
                <c:pt idx="10">
                  <c:v>8.41054484</c:v>
                </c:pt>
                <c:pt idx="11">
                  <c:v>8.52429302</c:v>
                </c:pt>
                <c:pt idx="12">
                  <c:v>8.321475400000001</c:v>
                </c:pt>
                <c:pt idx="13">
                  <c:v>8.34572844</c:v>
                </c:pt>
                <c:pt idx="14">
                  <c:v>8.13389542</c:v>
                </c:pt>
              </c:numCache>
            </c:numRef>
          </c:val>
        </c:ser>
        <c:ser>
          <c:idx val="4"/>
          <c:order val="4"/>
          <c:tx>
            <c:strRef>
              <c:f>Overview!$T$54</c:f>
              <c:strCache>
                <c:ptCount val="1"/>
                <c:pt idx="0">
                  <c:v>next day 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Overview!$O$55:$O$69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Overview!$T$55:$T$69</c:f>
              <c:numCache>
                <c:formatCode>_("$"* #,##0.00_);_("$"* \(#,##0.00\);_("$"* "-"??_);_(@_)</c:formatCode>
                <c:ptCount val="15"/>
                <c:pt idx="1">
                  <c:v>18.16765206</c:v>
                </c:pt>
                <c:pt idx="2">
                  <c:v>18.23826398</c:v>
                </c:pt>
                <c:pt idx="3">
                  <c:v>18.91229153</c:v>
                </c:pt>
                <c:pt idx="4">
                  <c:v>18.01508055</c:v>
                </c:pt>
                <c:pt idx="5">
                  <c:v>17.54566667</c:v>
                </c:pt>
                <c:pt idx="6">
                  <c:v>18.11738648</c:v>
                </c:pt>
                <c:pt idx="7">
                  <c:v>18.26279762</c:v>
                </c:pt>
                <c:pt idx="9">
                  <c:v>19.38353599</c:v>
                </c:pt>
                <c:pt idx="10">
                  <c:v>19.30216495</c:v>
                </c:pt>
                <c:pt idx="11">
                  <c:v>18.89428174</c:v>
                </c:pt>
                <c:pt idx="12">
                  <c:v>19.26895876</c:v>
                </c:pt>
                <c:pt idx="13">
                  <c:v>19.09766024</c:v>
                </c:pt>
                <c:pt idx="14">
                  <c:v>22.19295535</c:v>
                </c:pt>
              </c:numCache>
            </c:numRef>
          </c:val>
        </c:ser>
        <c:ser>
          <c:idx val="5"/>
          <c:order val="5"/>
          <c:tx>
            <c:strRef>
              <c:f>Overview!$U$54</c:f>
              <c:strCache>
                <c:ptCount val="1"/>
                <c:pt idx="0">
                  <c:v>worldwide express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Overview!$O$55:$O$69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Overview!$U$55:$U$69</c:f>
              <c:numCache>
                <c:formatCode>_("$"* #,##0.00_);_("$"* \(#,##0.00\);_("$"* "-"??_);_(@_)</c:formatCode>
                <c:ptCount val="15"/>
                <c:pt idx="1">
                  <c:v>39.36022955</c:v>
                </c:pt>
                <c:pt idx="2">
                  <c:v>38.25556467</c:v>
                </c:pt>
                <c:pt idx="3">
                  <c:v>39.08252888</c:v>
                </c:pt>
                <c:pt idx="4">
                  <c:v>38.19274347</c:v>
                </c:pt>
                <c:pt idx="5">
                  <c:v>38.17963373</c:v>
                </c:pt>
                <c:pt idx="6">
                  <c:v>37.55741911</c:v>
                </c:pt>
                <c:pt idx="7">
                  <c:v>40.06788587</c:v>
                </c:pt>
                <c:pt idx="9">
                  <c:v>41.27843322</c:v>
                </c:pt>
                <c:pt idx="10">
                  <c:v>41.16943545</c:v>
                </c:pt>
                <c:pt idx="11">
                  <c:v>39.84472719</c:v>
                </c:pt>
                <c:pt idx="12">
                  <c:v>39.52291628</c:v>
                </c:pt>
                <c:pt idx="13">
                  <c:v>40.46381888</c:v>
                </c:pt>
                <c:pt idx="14">
                  <c:v>41.20371695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37170592"/>
        <c:axId val="-2137167200"/>
      </c:barChart>
      <c:catAx>
        <c:axId val="-213717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167200"/>
        <c:crosses val="autoZero"/>
        <c:auto val="1"/>
        <c:lblAlgn val="ctr"/>
        <c:lblOffset val="100"/>
        <c:noMultiLvlLbl val="0"/>
      </c:catAx>
      <c:valAx>
        <c:axId val="-213716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17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'Types of Charges'!$B$7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'Types of Charges'!$C$6:$H$6</c:f>
              <c:strCache>
                <c:ptCount val="6"/>
                <c:pt idx="0">
                  <c:v>Count</c:v>
                </c:pt>
                <c:pt idx="1">
                  <c:v>Basis Amount</c:v>
                </c:pt>
                <c:pt idx="2">
                  <c:v>Incentive Amount</c:v>
                </c:pt>
                <c:pt idx="3">
                  <c:v>Net Amount</c:v>
                </c:pt>
                <c:pt idx="4">
                  <c:v>Entered Weight</c:v>
                </c:pt>
                <c:pt idx="5">
                  <c:v>Billed Weight</c:v>
                </c:pt>
              </c:strCache>
            </c:strRef>
          </c:cat>
          <c:val>
            <c:numRef>
              <c:f>'Types of Charges'!$C$7:$H$7</c:f>
              <c:numCache>
                <c:formatCode>_("$"* #,##0.00_);_("$"* \(#,##0.00\);_("$"* "-"??_);_(@_)</c:formatCode>
                <c:ptCount val="6"/>
                <c:pt idx="0" formatCode="_(* #,##0_);_(* \(#,##0\);_(* &quot;-&quot;??_);_(@_)">
                  <c:v>60761.0</c:v>
                </c:pt>
                <c:pt idx="1">
                  <c:v>634693.7195606231</c:v>
                </c:pt>
                <c:pt idx="2">
                  <c:v>363471.240710306</c:v>
                </c:pt>
                <c:pt idx="3">
                  <c:v>299729.719941465</c:v>
                </c:pt>
                <c:pt idx="4" formatCode="_(* #,##0_);_(* \(#,##0\);_(* &quot;-&quot;??_);_(@_)">
                  <c:v>29682.0</c:v>
                </c:pt>
                <c:pt idx="5" formatCode="_(* #,##0_);_(* \(#,##0\);_(* &quot;-&quot;??_);_(@_)">
                  <c:v>53352.0</c:v>
                </c:pt>
              </c:numCache>
            </c:numRef>
          </c:val>
        </c:ser>
        <c:ser>
          <c:idx val="1"/>
          <c:order val="1"/>
          <c:tx>
            <c:strRef>
              <c:f>'Types of Charges'!$B$8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'Types of Charges'!$C$6:$H$6</c:f>
              <c:strCache>
                <c:ptCount val="6"/>
                <c:pt idx="0">
                  <c:v>Count</c:v>
                </c:pt>
                <c:pt idx="1">
                  <c:v>Basis Amount</c:v>
                </c:pt>
                <c:pt idx="2">
                  <c:v>Incentive Amount</c:v>
                </c:pt>
                <c:pt idx="3">
                  <c:v>Net Amount</c:v>
                </c:pt>
                <c:pt idx="4">
                  <c:v>Entered Weight</c:v>
                </c:pt>
                <c:pt idx="5">
                  <c:v>Billed Weight</c:v>
                </c:pt>
              </c:strCache>
            </c:strRef>
          </c:cat>
          <c:val>
            <c:numRef>
              <c:f>'Types of Charges'!$C$8:$H$8</c:f>
              <c:numCache>
                <c:formatCode>_("$"* #,##0.00_);_("$"* \(#,##0.00\);_("$"* "-"??_);_(@_)</c:formatCode>
                <c:ptCount val="6"/>
                <c:pt idx="0" formatCode="_(* #,##0_);_(* \(#,##0\);_(* &quot;-&quot;??_);_(@_)">
                  <c:v>62129.0</c:v>
                </c:pt>
                <c:pt idx="1">
                  <c:v>652402.89956808</c:v>
                </c:pt>
                <c:pt idx="2">
                  <c:v>370938.680780854</c:v>
                </c:pt>
                <c:pt idx="3">
                  <c:v>308273.229726571</c:v>
                </c:pt>
                <c:pt idx="4" formatCode="_(* #,##0_);_(* \(#,##0\);_(* &quot;-&quot;??_);_(@_)">
                  <c:v>31381.0</c:v>
                </c:pt>
                <c:pt idx="5" formatCode="_(* #,##0_);_(* \(#,##0\);_(* &quot;-&quot;??_);_(@_)">
                  <c:v>55773.0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42877280"/>
        <c:axId val="-2142855984"/>
      </c:barChart>
      <c:catAx>
        <c:axId val="-214287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855984"/>
        <c:crosses val="autoZero"/>
        <c:auto val="1"/>
        <c:lblAlgn val="ctr"/>
        <c:lblOffset val="100"/>
        <c:noMultiLvlLbl val="0"/>
      </c:catAx>
      <c:valAx>
        <c:axId val="-214285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87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Types</a:t>
            </a:r>
            <a:r>
              <a:rPr lang="en-US" baseline="0"/>
              <a:t> of Charges by Count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'Types of Charges'!$M$7</c:f>
              <c:strCache>
                <c:ptCount val="1"/>
                <c:pt idx="0">
                  <c:v>address correction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Charges'!$M$8:$M$22</c:f>
              <c:numCache>
                <c:formatCode>_(* #,##0_);_(* \(#,##0\);_(* "-"??_);_(@_)</c:formatCode>
                <c:ptCount val="15"/>
                <c:pt idx="1">
                  <c:v>44.0</c:v>
                </c:pt>
                <c:pt idx="2">
                  <c:v>27.0</c:v>
                </c:pt>
                <c:pt idx="3">
                  <c:v>49.0</c:v>
                </c:pt>
                <c:pt idx="4">
                  <c:v>46.0</c:v>
                </c:pt>
                <c:pt idx="5">
                  <c:v>58.0</c:v>
                </c:pt>
                <c:pt idx="6">
                  <c:v>51.0</c:v>
                </c:pt>
                <c:pt idx="7">
                  <c:v>74.0</c:v>
                </c:pt>
                <c:pt idx="9">
                  <c:v>44.0</c:v>
                </c:pt>
                <c:pt idx="10">
                  <c:v>50.0</c:v>
                </c:pt>
                <c:pt idx="11">
                  <c:v>54.0</c:v>
                </c:pt>
                <c:pt idx="12">
                  <c:v>56.0</c:v>
                </c:pt>
                <c:pt idx="13">
                  <c:v>53.0</c:v>
                </c:pt>
                <c:pt idx="14">
                  <c:v>60.0</c:v>
                </c:pt>
              </c:numCache>
            </c:numRef>
          </c:val>
        </c:ser>
        <c:ser>
          <c:idx val="1"/>
          <c:order val="1"/>
          <c:tx>
            <c:strRef>
              <c:f>'Types of Charges'!$N$7</c:f>
              <c:strCache>
                <c:ptCount val="1"/>
                <c:pt idx="0">
                  <c:v>delivery/extended/remote charge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Charges'!$N$8:$N$22</c:f>
              <c:numCache>
                <c:formatCode>_(* #,##0_);_(* \(#,##0\);_(* "-"??_);_(@_)</c:formatCode>
                <c:ptCount val="15"/>
                <c:pt idx="1">
                  <c:v>2178.0</c:v>
                </c:pt>
                <c:pt idx="2">
                  <c:v>1882.0</c:v>
                </c:pt>
                <c:pt idx="3">
                  <c:v>2081.0</c:v>
                </c:pt>
                <c:pt idx="4">
                  <c:v>2236.0</c:v>
                </c:pt>
                <c:pt idx="5">
                  <c:v>2574.0</c:v>
                </c:pt>
                <c:pt idx="6">
                  <c:v>2890.0</c:v>
                </c:pt>
                <c:pt idx="7">
                  <c:v>3365.0</c:v>
                </c:pt>
                <c:pt idx="9">
                  <c:v>2642.0</c:v>
                </c:pt>
                <c:pt idx="10">
                  <c:v>2771.0</c:v>
                </c:pt>
                <c:pt idx="11">
                  <c:v>3109.0</c:v>
                </c:pt>
                <c:pt idx="12">
                  <c:v>2696.0</c:v>
                </c:pt>
                <c:pt idx="13">
                  <c:v>2653.0</c:v>
                </c:pt>
                <c:pt idx="14">
                  <c:v>2604.0</c:v>
                </c:pt>
              </c:numCache>
            </c:numRef>
          </c:val>
        </c:ser>
        <c:ser>
          <c:idx val="2"/>
          <c:order val="2"/>
          <c:tx>
            <c:strRef>
              <c:f>'Types of Charges'!$O$7</c:f>
              <c:strCache>
                <c:ptCount val="1"/>
                <c:pt idx="0">
                  <c:v>fuel surcharge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Charges'!$O$8:$O$22</c:f>
              <c:numCache>
                <c:formatCode>_(* #,##0_);_(* \(#,##0\);_(* "-"??_);_(@_)</c:formatCode>
                <c:ptCount val="15"/>
                <c:pt idx="1">
                  <c:v>18116.0</c:v>
                </c:pt>
                <c:pt idx="2">
                  <c:v>15353.0</c:v>
                </c:pt>
                <c:pt idx="3">
                  <c:v>16973.0</c:v>
                </c:pt>
                <c:pt idx="4">
                  <c:v>18168.0</c:v>
                </c:pt>
                <c:pt idx="5">
                  <c:v>21921.0</c:v>
                </c:pt>
                <c:pt idx="6">
                  <c:v>25761.0</c:v>
                </c:pt>
                <c:pt idx="7">
                  <c:v>26755.0</c:v>
                </c:pt>
                <c:pt idx="9">
                  <c:v>22851.0</c:v>
                </c:pt>
                <c:pt idx="10">
                  <c:v>24103.0</c:v>
                </c:pt>
                <c:pt idx="11">
                  <c:v>27823.0</c:v>
                </c:pt>
                <c:pt idx="12">
                  <c:v>23906.0</c:v>
                </c:pt>
                <c:pt idx="13">
                  <c:v>21833.0</c:v>
                </c:pt>
                <c:pt idx="14">
                  <c:v>21557.0</c:v>
                </c:pt>
              </c:numCache>
            </c:numRef>
          </c:val>
        </c:ser>
        <c:ser>
          <c:idx val="3"/>
          <c:order val="3"/>
          <c:tx>
            <c:strRef>
              <c:f>'Types of Charges'!$P$7</c:f>
              <c:strCache>
                <c:ptCount val="1"/>
                <c:pt idx="0">
                  <c:v>misc charge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Charges'!$P$8:$P$22</c:f>
              <c:numCache>
                <c:formatCode>_(* #,##0_);_(* \(#,##0\);_(* "-"??_);_(@_)</c:formatCode>
                <c:ptCount val="15"/>
                <c:pt idx="1">
                  <c:v>41.0</c:v>
                </c:pt>
                <c:pt idx="2">
                  <c:v>37.0</c:v>
                </c:pt>
                <c:pt idx="3">
                  <c:v>29.0</c:v>
                </c:pt>
                <c:pt idx="4">
                  <c:v>34.0</c:v>
                </c:pt>
                <c:pt idx="5">
                  <c:v>42.0</c:v>
                </c:pt>
                <c:pt idx="6">
                  <c:v>40.0</c:v>
                </c:pt>
                <c:pt idx="7">
                  <c:v>66.0</c:v>
                </c:pt>
                <c:pt idx="9">
                  <c:v>46.0</c:v>
                </c:pt>
                <c:pt idx="10">
                  <c:v>33.0</c:v>
                </c:pt>
                <c:pt idx="11">
                  <c:v>34.0</c:v>
                </c:pt>
                <c:pt idx="12">
                  <c:v>38.0</c:v>
                </c:pt>
                <c:pt idx="13">
                  <c:v>49.0</c:v>
                </c:pt>
                <c:pt idx="14">
                  <c:v>40.0</c:v>
                </c:pt>
              </c:numCache>
            </c:numRef>
          </c:val>
        </c:ser>
        <c:ser>
          <c:idx val="4"/>
          <c:order val="4"/>
          <c:tx>
            <c:strRef>
              <c:f>'Types of Charges'!$Q$7</c:f>
              <c:strCache>
                <c:ptCount val="1"/>
                <c:pt idx="0">
                  <c:v>residential surcharge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Charges'!$Q$8:$Q$22</c:f>
              <c:numCache>
                <c:formatCode>_(* #,##0_);_(* \(#,##0\);_(* "-"??_);_(@_)</c:formatCode>
                <c:ptCount val="15"/>
                <c:pt idx="1">
                  <c:v>10606.0</c:v>
                </c:pt>
                <c:pt idx="2">
                  <c:v>8786.0</c:v>
                </c:pt>
                <c:pt idx="3">
                  <c:v>10160.0</c:v>
                </c:pt>
                <c:pt idx="4">
                  <c:v>10770.0</c:v>
                </c:pt>
                <c:pt idx="5">
                  <c:v>12990.0</c:v>
                </c:pt>
                <c:pt idx="6">
                  <c:v>16636.0</c:v>
                </c:pt>
                <c:pt idx="7">
                  <c:v>18414.0</c:v>
                </c:pt>
                <c:pt idx="9">
                  <c:v>14425.0</c:v>
                </c:pt>
                <c:pt idx="10">
                  <c:v>14667.0</c:v>
                </c:pt>
                <c:pt idx="11">
                  <c:v>17434.0</c:v>
                </c:pt>
                <c:pt idx="12">
                  <c:v>14294.0</c:v>
                </c:pt>
                <c:pt idx="13">
                  <c:v>13480.0</c:v>
                </c:pt>
                <c:pt idx="14">
                  <c:v>12869.0</c:v>
                </c:pt>
              </c:numCache>
            </c:numRef>
          </c:val>
        </c:ser>
        <c:ser>
          <c:idx val="5"/>
          <c:order val="5"/>
          <c:tx>
            <c:strRef>
              <c:f>'Types of Charges'!$R$7</c:f>
              <c:strCache>
                <c:ptCount val="1"/>
                <c:pt idx="0">
                  <c:v>return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Charges'!$R$8:$R$22</c:f>
              <c:numCache>
                <c:formatCode>_(* #,##0_);_(* \(#,##0\);_(* "-"??_);_(@_)</c:formatCode>
                <c:ptCount val="15"/>
                <c:pt idx="1">
                  <c:v>12.0</c:v>
                </c:pt>
                <c:pt idx="2">
                  <c:v>8.0</c:v>
                </c:pt>
                <c:pt idx="3">
                  <c:v>3.0</c:v>
                </c:pt>
                <c:pt idx="4">
                  <c:v>11.0</c:v>
                </c:pt>
                <c:pt idx="5">
                  <c:v>14.0</c:v>
                </c:pt>
                <c:pt idx="6">
                  <c:v>3.0</c:v>
                </c:pt>
                <c:pt idx="7">
                  <c:v>1.0</c:v>
                </c:pt>
                <c:pt idx="9">
                  <c:v>3.0</c:v>
                </c:pt>
                <c:pt idx="10">
                  <c:v>2.0</c:v>
                </c:pt>
                <c:pt idx="11">
                  <c:v>2.0</c:v>
                </c:pt>
                <c:pt idx="12">
                  <c:v>2.0</c:v>
                </c:pt>
                <c:pt idx="14">
                  <c:v>1.0</c:v>
                </c:pt>
              </c:numCache>
            </c:numRef>
          </c:val>
        </c:ser>
        <c:ser>
          <c:idx val="6"/>
          <c:order val="6"/>
          <c:tx>
            <c:strRef>
              <c:f>'Types of Charges'!$S$7</c:f>
              <c:strCache>
                <c:ptCount val="1"/>
                <c:pt idx="0">
                  <c:v>service - 2nd day air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Charges'!$S$8:$S$22</c:f>
              <c:numCache>
                <c:formatCode>_(* #,##0_);_(* \(#,##0\);_(* "-"??_);_(@_)</c:formatCode>
                <c:ptCount val="15"/>
                <c:pt idx="1">
                  <c:v>3150.0</c:v>
                </c:pt>
                <c:pt idx="2">
                  <c:v>2729.0</c:v>
                </c:pt>
                <c:pt idx="3">
                  <c:v>3238.0</c:v>
                </c:pt>
                <c:pt idx="4">
                  <c:v>3183.0</c:v>
                </c:pt>
                <c:pt idx="5">
                  <c:v>3917.0</c:v>
                </c:pt>
                <c:pt idx="6">
                  <c:v>3794.0</c:v>
                </c:pt>
                <c:pt idx="7">
                  <c:v>4149.0</c:v>
                </c:pt>
                <c:pt idx="9">
                  <c:v>2945.0</c:v>
                </c:pt>
                <c:pt idx="10">
                  <c:v>3390.0</c:v>
                </c:pt>
                <c:pt idx="11">
                  <c:v>3815.0</c:v>
                </c:pt>
                <c:pt idx="12">
                  <c:v>3428.0</c:v>
                </c:pt>
                <c:pt idx="13">
                  <c:v>2847.0</c:v>
                </c:pt>
                <c:pt idx="14">
                  <c:v>2709.0</c:v>
                </c:pt>
              </c:numCache>
            </c:numRef>
          </c:val>
        </c:ser>
        <c:ser>
          <c:idx val="7"/>
          <c:order val="7"/>
          <c:tx>
            <c:strRef>
              <c:f>'Types of Charges'!$T$7</c:f>
              <c:strCache>
                <c:ptCount val="1"/>
                <c:pt idx="0">
                  <c:v>service - 3 day select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Charges'!$T$8:$T$22</c:f>
              <c:numCache>
                <c:formatCode>_(* #,##0_);_(* \(#,##0\);_(* "-"??_);_(@_)</c:formatCode>
                <c:ptCount val="15"/>
                <c:pt idx="1">
                  <c:v>1815.0</c:v>
                </c:pt>
                <c:pt idx="2">
                  <c:v>1444.0</c:v>
                </c:pt>
                <c:pt idx="3">
                  <c:v>1590.0</c:v>
                </c:pt>
                <c:pt idx="4">
                  <c:v>1733.0</c:v>
                </c:pt>
                <c:pt idx="5">
                  <c:v>1972.0</c:v>
                </c:pt>
                <c:pt idx="6">
                  <c:v>2265.0</c:v>
                </c:pt>
                <c:pt idx="7">
                  <c:v>2949.0</c:v>
                </c:pt>
                <c:pt idx="9">
                  <c:v>1769.0</c:v>
                </c:pt>
                <c:pt idx="10">
                  <c:v>1839.0</c:v>
                </c:pt>
                <c:pt idx="11">
                  <c:v>2051.0</c:v>
                </c:pt>
                <c:pt idx="12">
                  <c:v>1940.0</c:v>
                </c:pt>
                <c:pt idx="13">
                  <c:v>1515.0</c:v>
                </c:pt>
                <c:pt idx="14">
                  <c:v>1454.0</c:v>
                </c:pt>
              </c:numCache>
            </c:numRef>
          </c:val>
        </c:ser>
        <c:ser>
          <c:idx val="8"/>
          <c:order val="8"/>
          <c:tx>
            <c:strRef>
              <c:f>'Types of Charges'!$U$7</c:f>
              <c:strCache>
                <c:ptCount val="1"/>
                <c:pt idx="0">
                  <c:v>service - ground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Charges'!$U$8:$U$22</c:f>
              <c:numCache>
                <c:formatCode>_(* #,##0_);_(* \(#,##0\);_(* "-"??_);_(@_)</c:formatCode>
                <c:ptCount val="15"/>
                <c:pt idx="1">
                  <c:v>9187.0</c:v>
                </c:pt>
                <c:pt idx="2">
                  <c:v>7745.0</c:v>
                </c:pt>
                <c:pt idx="3">
                  <c:v>8506.0</c:v>
                </c:pt>
                <c:pt idx="4">
                  <c:v>9251.0</c:v>
                </c:pt>
                <c:pt idx="5">
                  <c:v>11378.0</c:v>
                </c:pt>
                <c:pt idx="6">
                  <c:v>14585.0</c:v>
                </c:pt>
                <c:pt idx="7">
                  <c:v>14561.0</c:v>
                </c:pt>
                <c:pt idx="9">
                  <c:v>13987.0</c:v>
                </c:pt>
                <c:pt idx="10">
                  <c:v>14627.0</c:v>
                </c:pt>
                <c:pt idx="11">
                  <c:v>17334.0</c:v>
                </c:pt>
                <c:pt idx="12">
                  <c:v>13970.0</c:v>
                </c:pt>
                <c:pt idx="13">
                  <c:v>13341.0</c:v>
                </c:pt>
                <c:pt idx="14">
                  <c:v>13497.0</c:v>
                </c:pt>
              </c:numCache>
            </c:numRef>
          </c:val>
        </c:ser>
        <c:ser>
          <c:idx val="9"/>
          <c:order val="9"/>
          <c:tx>
            <c:strRef>
              <c:f>'Types of Charges'!$V$7</c:f>
              <c:strCache>
                <c:ptCount val="1"/>
                <c:pt idx="0">
                  <c:v>service - next day air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Charges'!$V$8:$V$22</c:f>
              <c:numCache>
                <c:formatCode>_(* #,##0_);_(* \(#,##0\);_(* "-"??_);_(@_)</c:formatCode>
                <c:ptCount val="15"/>
                <c:pt idx="1">
                  <c:v>1523.0</c:v>
                </c:pt>
                <c:pt idx="2">
                  <c:v>1162.0</c:v>
                </c:pt>
                <c:pt idx="3">
                  <c:v>1503.0</c:v>
                </c:pt>
                <c:pt idx="4">
                  <c:v>1603.0</c:v>
                </c:pt>
                <c:pt idx="5">
                  <c:v>1859.0</c:v>
                </c:pt>
                <c:pt idx="6">
                  <c:v>1912.0</c:v>
                </c:pt>
                <c:pt idx="7">
                  <c:v>1923.0</c:v>
                </c:pt>
                <c:pt idx="9">
                  <c:v>1400.0</c:v>
                </c:pt>
                <c:pt idx="10">
                  <c:v>1639.0</c:v>
                </c:pt>
                <c:pt idx="11">
                  <c:v>1792.0</c:v>
                </c:pt>
                <c:pt idx="12">
                  <c:v>1977.0</c:v>
                </c:pt>
                <c:pt idx="13">
                  <c:v>1583.0</c:v>
                </c:pt>
                <c:pt idx="14">
                  <c:v>1444.0</c:v>
                </c:pt>
              </c:numCache>
            </c:numRef>
          </c:val>
        </c:ser>
        <c:ser>
          <c:idx val="10"/>
          <c:order val="10"/>
          <c:tx>
            <c:strRef>
              <c:f>'Types of Charges'!$W$7</c:f>
              <c:strCache>
                <c:ptCount val="1"/>
                <c:pt idx="0">
                  <c:v>service - worldwide expedited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Charges'!$W$8:$W$22</c:f>
              <c:numCache>
                <c:formatCode>_(* #,##0_);_(* \(#,##0\);_(* "-"??_);_(@_)</c:formatCode>
                <c:ptCount val="15"/>
                <c:pt idx="1">
                  <c:v>1341.0</c:v>
                </c:pt>
                <c:pt idx="2">
                  <c:v>1217.0</c:v>
                </c:pt>
                <c:pt idx="3">
                  <c:v>1201.0</c:v>
                </c:pt>
                <c:pt idx="4">
                  <c:v>1330.0</c:v>
                </c:pt>
                <c:pt idx="5">
                  <c:v>1682.0</c:v>
                </c:pt>
                <c:pt idx="6">
                  <c:v>1931.0</c:v>
                </c:pt>
                <c:pt idx="7">
                  <c:v>1985.0</c:v>
                </c:pt>
                <c:pt idx="9">
                  <c:v>1968.0</c:v>
                </c:pt>
                <c:pt idx="10">
                  <c:v>1797.0</c:v>
                </c:pt>
                <c:pt idx="11">
                  <c:v>2027.0</c:v>
                </c:pt>
                <c:pt idx="12">
                  <c:v>1815.0</c:v>
                </c:pt>
                <c:pt idx="13">
                  <c:v>1721.0</c:v>
                </c:pt>
                <c:pt idx="14">
                  <c:v>1682.0</c:v>
                </c:pt>
              </c:numCache>
            </c:numRef>
          </c:val>
        </c:ser>
        <c:ser>
          <c:idx val="11"/>
          <c:order val="11"/>
          <c:tx>
            <c:strRef>
              <c:f>'Types of Charges'!$X$7</c:f>
              <c:strCache>
                <c:ptCount val="1"/>
                <c:pt idx="0">
                  <c:v>service - worldwide express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Charges'!$X$8:$X$22</c:f>
              <c:numCache>
                <c:formatCode>_(* #,##0_);_(* \(#,##0\);_(* "-"??_);_(@_)</c:formatCode>
                <c:ptCount val="15"/>
                <c:pt idx="1">
                  <c:v>369.0</c:v>
                </c:pt>
                <c:pt idx="2">
                  <c:v>378.0</c:v>
                </c:pt>
                <c:pt idx="3">
                  <c:v>323.0</c:v>
                </c:pt>
                <c:pt idx="4">
                  <c:v>348.0</c:v>
                </c:pt>
                <c:pt idx="5">
                  <c:v>371.0</c:v>
                </c:pt>
                <c:pt idx="6">
                  <c:v>412.0</c:v>
                </c:pt>
                <c:pt idx="7">
                  <c:v>391.0</c:v>
                </c:pt>
                <c:pt idx="9">
                  <c:v>337.0</c:v>
                </c:pt>
                <c:pt idx="10">
                  <c:v>345.0</c:v>
                </c:pt>
                <c:pt idx="11">
                  <c:v>324.0</c:v>
                </c:pt>
                <c:pt idx="12">
                  <c:v>314.0</c:v>
                </c:pt>
                <c:pt idx="13">
                  <c:v>353.0</c:v>
                </c:pt>
                <c:pt idx="14">
                  <c:v>322.0</c:v>
                </c:pt>
              </c:numCache>
            </c:numRef>
          </c:val>
        </c:ser>
        <c:ser>
          <c:idx val="12"/>
          <c:order val="12"/>
          <c:tx>
            <c:strRef>
              <c:f>'Types of Charges'!$Y$7</c:f>
              <c:strCache>
                <c:ptCount val="1"/>
                <c:pt idx="0">
                  <c:v>service - worldwide saver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Charges'!$Y$8:$Y$22</c:f>
              <c:numCache>
                <c:formatCode>_(* #,##0_);_(* \(#,##0\);_(* "-"??_);_(@_)</c:formatCode>
                <c:ptCount val="15"/>
                <c:pt idx="1">
                  <c:v>745.0</c:v>
                </c:pt>
                <c:pt idx="2">
                  <c:v>678.0</c:v>
                </c:pt>
                <c:pt idx="3">
                  <c:v>631.0</c:v>
                </c:pt>
                <c:pt idx="4">
                  <c:v>729.0</c:v>
                </c:pt>
                <c:pt idx="5">
                  <c:v>756.0</c:v>
                </c:pt>
                <c:pt idx="6">
                  <c:v>897.0</c:v>
                </c:pt>
                <c:pt idx="7">
                  <c:v>828.0</c:v>
                </c:pt>
                <c:pt idx="9">
                  <c:v>478.0</c:v>
                </c:pt>
                <c:pt idx="10">
                  <c:v>480.0</c:v>
                </c:pt>
                <c:pt idx="11">
                  <c:v>505.0</c:v>
                </c:pt>
                <c:pt idx="12">
                  <c:v>483.0</c:v>
                </c:pt>
                <c:pt idx="13">
                  <c:v>492.0</c:v>
                </c:pt>
                <c:pt idx="14">
                  <c:v>472.0</c:v>
                </c:pt>
              </c:numCache>
            </c:numRef>
          </c:val>
        </c:ser>
        <c:ser>
          <c:idx val="13"/>
          <c:order val="13"/>
          <c:tx>
            <c:strRef>
              <c:f>'Types of Charges'!$Z$7</c:f>
              <c:strCache>
                <c:ptCount val="1"/>
                <c:pt idx="0">
                  <c:v>shipping charge correction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Charges'!$L$8:$L$22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Charges'!$Z$8:$Z$22</c:f>
              <c:numCache>
                <c:formatCode>_(* #,##0_);_(* \(#,##0\);_(* "-"??_);_(@_)</c:formatCode>
                <c:ptCount val="15"/>
                <c:pt idx="1">
                  <c:v>1387.0</c:v>
                </c:pt>
                <c:pt idx="2">
                  <c:v>1054.0</c:v>
                </c:pt>
                <c:pt idx="3">
                  <c:v>1959.0</c:v>
                </c:pt>
                <c:pt idx="4">
                  <c:v>1953.0</c:v>
                </c:pt>
                <c:pt idx="5">
                  <c:v>2166.0</c:v>
                </c:pt>
                <c:pt idx="6">
                  <c:v>2134.0</c:v>
                </c:pt>
                <c:pt idx="7">
                  <c:v>2696.0</c:v>
                </c:pt>
                <c:pt idx="9">
                  <c:v>1837.0</c:v>
                </c:pt>
                <c:pt idx="10">
                  <c:v>2273.0</c:v>
                </c:pt>
                <c:pt idx="11">
                  <c:v>1930.0</c:v>
                </c:pt>
                <c:pt idx="12">
                  <c:v>1846.0</c:v>
                </c:pt>
                <c:pt idx="13">
                  <c:v>2209.0</c:v>
                </c:pt>
                <c:pt idx="14">
                  <c:v>2050.0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39381984"/>
        <c:axId val="-2139378592"/>
      </c:barChart>
      <c:catAx>
        <c:axId val="-213938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9378592"/>
        <c:crosses val="autoZero"/>
        <c:auto val="1"/>
        <c:lblAlgn val="ctr"/>
        <c:lblOffset val="100"/>
        <c:noMultiLvlLbl val="0"/>
      </c:catAx>
      <c:valAx>
        <c:axId val="-21393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938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Types of Charges by Total UPS Charge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'Types of Charges'!$M$32</c:f>
              <c:strCache>
                <c:ptCount val="1"/>
                <c:pt idx="0">
                  <c:v>address correction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Charges'!$M$33:$M$47</c:f>
              <c:numCache>
                <c:formatCode>_("$"* #,##0.00_);_("$"* \(#,##0.00\);_("$"* "-"??_);_(@_)</c:formatCode>
                <c:ptCount val="15"/>
                <c:pt idx="1">
                  <c:v>550.0</c:v>
                </c:pt>
                <c:pt idx="2">
                  <c:v>337.5</c:v>
                </c:pt>
                <c:pt idx="3">
                  <c:v>612.5</c:v>
                </c:pt>
                <c:pt idx="4">
                  <c:v>575.0</c:v>
                </c:pt>
                <c:pt idx="5">
                  <c:v>725.0</c:v>
                </c:pt>
                <c:pt idx="6">
                  <c:v>637.5</c:v>
                </c:pt>
                <c:pt idx="7">
                  <c:v>926.0</c:v>
                </c:pt>
                <c:pt idx="9">
                  <c:v>571.0</c:v>
                </c:pt>
                <c:pt idx="10">
                  <c:v>650.0</c:v>
                </c:pt>
                <c:pt idx="11">
                  <c:v>702.0</c:v>
                </c:pt>
                <c:pt idx="12">
                  <c:v>728.0</c:v>
                </c:pt>
                <c:pt idx="13">
                  <c:v>689.0</c:v>
                </c:pt>
                <c:pt idx="14">
                  <c:v>780.0</c:v>
                </c:pt>
              </c:numCache>
            </c:numRef>
          </c:val>
        </c:ser>
        <c:ser>
          <c:idx val="1"/>
          <c:order val="1"/>
          <c:tx>
            <c:strRef>
              <c:f>'Types of Charges'!$N$32</c:f>
              <c:strCache>
                <c:ptCount val="1"/>
                <c:pt idx="0">
                  <c:v>delivery/extended/remote charge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Charges'!$N$33:$N$47</c:f>
              <c:numCache>
                <c:formatCode>_("$"* #,##0.00_);_("$"* \(#,##0.00\);_("$"* "-"??_);_(@_)</c:formatCode>
                <c:ptCount val="15"/>
                <c:pt idx="1">
                  <c:v>8397.859996795651</c:v>
                </c:pt>
                <c:pt idx="2">
                  <c:v>7267.44999170303</c:v>
                </c:pt>
                <c:pt idx="3">
                  <c:v>8310.6599946022</c:v>
                </c:pt>
                <c:pt idx="4">
                  <c:v>8861.369995355601</c:v>
                </c:pt>
                <c:pt idx="5">
                  <c:v>9832.11999416351</c:v>
                </c:pt>
                <c:pt idx="6">
                  <c:v>10988.9899778366</c:v>
                </c:pt>
                <c:pt idx="7">
                  <c:v>13299.6199812889</c:v>
                </c:pt>
                <c:pt idx="9">
                  <c:v>10133.2300248146</c:v>
                </c:pt>
                <c:pt idx="10">
                  <c:v>10237.4000213146</c:v>
                </c:pt>
                <c:pt idx="11">
                  <c:v>11557.9500277042</c:v>
                </c:pt>
                <c:pt idx="12">
                  <c:v>10088.0500144958</c:v>
                </c:pt>
                <c:pt idx="13">
                  <c:v>10074.6800069808</c:v>
                </c:pt>
                <c:pt idx="14">
                  <c:v>9510.20000147819</c:v>
                </c:pt>
              </c:numCache>
            </c:numRef>
          </c:val>
        </c:ser>
        <c:ser>
          <c:idx val="2"/>
          <c:order val="2"/>
          <c:tx>
            <c:strRef>
              <c:f>'Types of Charges'!$O$32</c:f>
              <c:strCache>
                <c:ptCount val="1"/>
                <c:pt idx="0">
                  <c:v>fuel surcharge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Charges'!$O$33:$O$47</c:f>
              <c:numCache>
                <c:formatCode>_("$"* #,##0.00_);_("$"* \(#,##0.00\);_("$"* "-"??_);_(@_)</c:formatCode>
                <c:ptCount val="15"/>
                <c:pt idx="1">
                  <c:v>11406.1999494433</c:v>
                </c:pt>
                <c:pt idx="2">
                  <c:v>10732.1299719512</c:v>
                </c:pt>
                <c:pt idx="3">
                  <c:v>11092.8399385213</c:v>
                </c:pt>
                <c:pt idx="4">
                  <c:v>10470.8899244666</c:v>
                </c:pt>
                <c:pt idx="5">
                  <c:v>10387.3399737775</c:v>
                </c:pt>
                <c:pt idx="6">
                  <c:v>15747.839906007</c:v>
                </c:pt>
                <c:pt idx="7">
                  <c:v>16480.7999264299</c:v>
                </c:pt>
                <c:pt idx="9">
                  <c:v>14248.2999314367</c:v>
                </c:pt>
                <c:pt idx="10">
                  <c:v>12015.419907093</c:v>
                </c:pt>
                <c:pt idx="11">
                  <c:v>11836.9899490028</c:v>
                </c:pt>
                <c:pt idx="12">
                  <c:v>9550.24992834031</c:v>
                </c:pt>
                <c:pt idx="13">
                  <c:v>10159.3699831813</c:v>
                </c:pt>
                <c:pt idx="14">
                  <c:v>10572.8600016832</c:v>
                </c:pt>
              </c:numCache>
            </c:numRef>
          </c:val>
        </c:ser>
        <c:ser>
          <c:idx val="3"/>
          <c:order val="3"/>
          <c:tx>
            <c:strRef>
              <c:f>'Types of Charges'!$P$32</c:f>
              <c:strCache>
                <c:ptCount val="1"/>
                <c:pt idx="0">
                  <c:v>misc charge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Charges'!$P$33:$P$47</c:f>
              <c:numCache>
                <c:formatCode>_("$"* #,##0.00_);_("$"* \(#,##0.00\);_("$"* "-"??_);_(@_)</c:formatCode>
                <c:ptCount val="15"/>
                <c:pt idx="1">
                  <c:v>436.860000610351</c:v>
                </c:pt>
                <c:pt idx="2">
                  <c:v>362.160000026226</c:v>
                </c:pt>
                <c:pt idx="3">
                  <c:v>292.5</c:v>
                </c:pt>
                <c:pt idx="4">
                  <c:v>325.139999985694</c:v>
                </c:pt>
                <c:pt idx="5">
                  <c:v>433.0</c:v>
                </c:pt>
                <c:pt idx="6">
                  <c:v>397.22000002861</c:v>
                </c:pt>
                <c:pt idx="7">
                  <c:v>582.859997272491</c:v>
                </c:pt>
                <c:pt idx="9">
                  <c:v>463.119999408721</c:v>
                </c:pt>
                <c:pt idx="10">
                  <c:v>310.759999513626</c:v>
                </c:pt>
                <c:pt idx="11">
                  <c:v>342.89999961853</c:v>
                </c:pt>
                <c:pt idx="12">
                  <c:v>380.0</c:v>
                </c:pt>
                <c:pt idx="13">
                  <c:v>533.109998941421</c:v>
                </c:pt>
                <c:pt idx="14">
                  <c:v>375.059999659657</c:v>
                </c:pt>
              </c:numCache>
            </c:numRef>
          </c:val>
        </c:ser>
        <c:ser>
          <c:idx val="4"/>
          <c:order val="4"/>
          <c:tx>
            <c:strRef>
              <c:f>'Types of Charges'!$Q$32</c:f>
              <c:strCache>
                <c:ptCount val="1"/>
                <c:pt idx="0">
                  <c:v>residential surcharge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Charges'!$Q$33:$Q$47</c:f>
              <c:numCache>
                <c:formatCode>_("$"* #,##0.00_);_("$"* \(#,##0.00\);_("$"* "-"??_);_(@_)</c:formatCode>
                <c:ptCount val="15"/>
                <c:pt idx="1">
                  <c:v>23936.7894484996</c:v>
                </c:pt>
                <c:pt idx="2">
                  <c:v>19795.4695489406</c:v>
                </c:pt>
                <c:pt idx="3">
                  <c:v>23005.5594587326</c:v>
                </c:pt>
                <c:pt idx="4">
                  <c:v>24317.6694381237</c:v>
                </c:pt>
                <c:pt idx="5">
                  <c:v>29375.2293145656</c:v>
                </c:pt>
                <c:pt idx="6">
                  <c:v>36917.7992429733</c:v>
                </c:pt>
                <c:pt idx="7">
                  <c:v>41638.4789950847</c:v>
                </c:pt>
                <c:pt idx="9">
                  <c:v>33099.1289703846</c:v>
                </c:pt>
                <c:pt idx="10">
                  <c:v>33863.008991003</c:v>
                </c:pt>
                <c:pt idx="11">
                  <c:v>40006.2987561225</c:v>
                </c:pt>
                <c:pt idx="12">
                  <c:v>33120.0790381431</c:v>
                </c:pt>
                <c:pt idx="13">
                  <c:v>30913.0290346145</c:v>
                </c:pt>
                <c:pt idx="14">
                  <c:v>28747.0291790962</c:v>
                </c:pt>
              </c:numCache>
            </c:numRef>
          </c:val>
        </c:ser>
        <c:ser>
          <c:idx val="5"/>
          <c:order val="5"/>
          <c:tx>
            <c:strRef>
              <c:f>'Types of Charges'!$R$32</c:f>
              <c:strCache>
                <c:ptCount val="1"/>
                <c:pt idx="0">
                  <c:v>return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Charges'!$R$33:$R$47</c:f>
              <c:numCache>
                <c:formatCode>_("$"* #,##0.00_);_("$"* \(#,##0.00\);_("$"* "-"??_);_(@_)</c:formatCode>
                <c:ptCount val="15"/>
                <c:pt idx="1">
                  <c:v>85.2100014686584</c:v>
                </c:pt>
                <c:pt idx="2">
                  <c:v>56.8400001525878</c:v>
                </c:pt>
                <c:pt idx="3">
                  <c:v>20.8200001716613</c:v>
                </c:pt>
                <c:pt idx="4">
                  <c:v>79.4600005149841</c:v>
                </c:pt>
                <c:pt idx="5">
                  <c:v>115.590001583099</c:v>
                </c:pt>
                <c:pt idx="6">
                  <c:v>19.8300004005432</c:v>
                </c:pt>
                <c:pt idx="7">
                  <c:v>6.94000005722045</c:v>
                </c:pt>
                <c:pt idx="9">
                  <c:v>26.7799997329711</c:v>
                </c:pt>
                <c:pt idx="10">
                  <c:v>13.8800001144409</c:v>
                </c:pt>
                <c:pt idx="11">
                  <c:v>19.8399996757507</c:v>
                </c:pt>
                <c:pt idx="12">
                  <c:v>13.8800001144409</c:v>
                </c:pt>
                <c:pt idx="14">
                  <c:v>6.34000015258789</c:v>
                </c:pt>
              </c:numCache>
            </c:numRef>
          </c:val>
        </c:ser>
        <c:ser>
          <c:idx val="6"/>
          <c:order val="6"/>
          <c:tx>
            <c:strRef>
              <c:f>'Types of Charges'!$S$32</c:f>
              <c:strCache>
                <c:ptCount val="1"/>
                <c:pt idx="0">
                  <c:v>service - 2nd day air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Charges'!$S$33:$S$47</c:f>
              <c:numCache>
                <c:formatCode>_("$"* #,##0.00_);_("$"* \(#,##0.00\);_("$"* "-"??_);_(@_)</c:formatCode>
                <c:ptCount val="15"/>
                <c:pt idx="1">
                  <c:v>28577.0298309326</c:v>
                </c:pt>
                <c:pt idx="2">
                  <c:v>24741.9398441314</c:v>
                </c:pt>
                <c:pt idx="3">
                  <c:v>29595.5098085403</c:v>
                </c:pt>
                <c:pt idx="4">
                  <c:v>29036.2398233413</c:v>
                </c:pt>
                <c:pt idx="5">
                  <c:v>35385.4897718429</c:v>
                </c:pt>
                <c:pt idx="6">
                  <c:v>34143.1298017501</c:v>
                </c:pt>
                <c:pt idx="7">
                  <c:v>38181.0398254394</c:v>
                </c:pt>
                <c:pt idx="9">
                  <c:v>29436.5901184082</c:v>
                </c:pt>
                <c:pt idx="10">
                  <c:v>33986.6301469802</c:v>
                </c:pt>
                <c:pt idx="11">
                  <c:v>38144.6101942062</c:v>
                </c:pt>
                <c:pt idx="12">
                  <c:v>34610.6101255416</c:v>
                </c:pt>
                <c:pt idx="13">
                  <c:v>28826.7601547241</c:v>
                </c:pt>
                <c:pt idx="14">
                  <c:v>27538.6200742721</c:v>
                </c:pt>
              </c:numCache>
            </c:numRef>
          </c:val>
        </c:ser>
        <c:ser>
          <c:idx val="7"/>
          <c:order val="7"/>
          <c:tx>
            <c:strRef>
              <c:f>'Types of Charges'!$T$32</c:f>
              <c:strCache>
                <c:ptCount val="1"/>
                <c:pt idx="0">
                  <c:v>service - 3 day select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Charges'!$T$33:$T$47</c:f>
              <c:numCache>
                <c:formatCode>_("$"* #,##0.00_);_("$"* \(#,##0.00\);_("$"* "-"??_);_(@_)</c:formatCode>
                <c:ptCount val="15"/>
                <c:pt idx="1">
                  <c:v>14442.2698383331</c:v>
                </c:pt>
                <c:pt idx="2">
                  <c:v>11367.4798679351</c:v>
                </c:pt>
                <c:pt idx="3">
                  <c:v>12423.8398528099</c:v>
                </c:pt>
                <c:pt idx="4">
                  <c:v>13673.1198430061</c:v>
                </c:pt>
                <c:pt idx="5">
                  <c:v>15482.8798127174</c:v>
                </c:pt>
                <c:pt idx="6">
                  <c:v>17730.9497795104</c:v>
                </c:pt>
                <c:pt idx="7">
                  <c:v>23456.4797539711</c:v>
                </c:pt>
                <c:pt idx="9">
                  <c:v>15076.2299642562</c:v>
                </c:pt>
                <c:pt idx="10">
                  <c:v>15628.0999622344</c:v>
                </c:pt>
                <c:pt idx="11">
                  <c:v>17397.4699697494</c:v>
                </c:pt>
                <c:pt idx="12">
                  <c:v>16514.9799585342</c:v>
                </c:pt>
                <c:pt idx="13">
                  <c:v>13203.6499605178</c:v>
                </c:pt>
                <c:pt idx="14">
                  <c:v>12537.5899763107</c:v>
                </c:pt>
              </c:numCache>
            </c:numRef>
          </c:val>
        </c:ser>
        <c:ser>
          <c:idx val="8"/>
          <c:order val="8"/>
          <c:tx>
            <c:strRef>
              <c:f>'Types of Charges'!$U$32</c:f>
              <c:strCache>
                <c:ptCount val="1"/>
                <c:pt idx="0">
                  <c:v>service - ground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Charges'!$U$33:$U$47</c:f>
              <c:numCache>
                <c:formatCode>_("$"* #,##0.00_);_("$"* \(#,##0.00\);_("$"* "-"??_);_(@_)</c:formatCode>
                <c:ptCount val="15"/>
                <c:pt idx="1">
                  <c:v>61584.3911151886</c:v>
                </c:pt>
                <c:pt idx="2">
                  <c:v>52102.8409247398</c:v>
                </c:pt>
                <c:pt idx="3">
                  <c:v>57277.611017704</c:v>
                </c:pt>
                <c:pt idx="4">
                  <c:v>62197.3211121559</c:v>
                </c:pt>
                <c:pt idx="5">
                  <c:v>76543.5713858604</c:v>
                </c:pt>
                <c:pt idx="6">
                  <c:v>97491.631799221</c:v>
                </c:pt>
                <c:pt idx="7">
                  <c:v>98064.73163414</c:v>
                </c:pt>
                <c:pt idx="9">
                  <c:v>98206.6307387352</c:v>
                </c:pt>
                <c:pt idx="10">
                  <c:v>102642.460764884</c:v>
                </c:pt>
                <c:pt idx="11">
                  <c:v>121306.760912418</c:v>
                </c:pt>
                <c:pt idx="12">
                  <c:v>98079.0007252693</c:v>
                </c:pt>
                <c:pt idx="13">
                  <c:v>94078.2206811904</c:v>
                </c:pt>
                <c:pt idx="14">
                  <c:v>93318.6609411239</c:v>
                </c:pt>
              </c:numCache>
            </c:numRef>
          </c:val>
        </c:ser>
        <c:ser>
          <c:idx val="9"/>
          <c:order val="9"/>
          <c:tx>
            <c:strRef>
              <c:f>'Types of Charges'!$V$32</c:f>
              <c:strCache>
                <c:ptCount val="1"/>
                <c:pt idx="0">
                  <c:v>service - next day air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Charges'!$V$33:$V$47</c:f>
              <c:numCache>
                <c:formatCode>_("$"* #,##0.00_);_("$"* \(#,##0.00\);_("$"* "-"??_);_(@_)</c:formatCode>
                <c:ptCount val="15"/>
                <c:pt idx="1">
                  <c:v>22228.1396856308</c:v>
                </c:pt>
                <c:pt idx="2">
                  <c:v>17022.8897285461</c:v>
                </c:pt>
                <c:pt idx="3">
                  <c:v>22674.4796695709</c:v>
                </c:pt>
                <c:pt idx="4">
                  <c:v>23577.4896640777</c:v>
                </c:pt>
                <c:pt idx="5">
                  <c:v>26631.8496522903</c:v>
                </c:pt>
                <c:pt idx="6">
                  <c:v>27428.979645729</c:v>
                </c:pt>
                <c:pt idx="7">
                  <c:v>27614.2997159957</c:v>
                </c:pt>
                <c:pt idx="9">
                  <c:v>21786.339978218</c:v>
                </c:pt>
                <c:pt idx="10">
                  <c:v>25474.349943161</c:v>
                </c:pt>
                <c:pt idx="11">
                  <c:v>27470.6199760437</c:v>
                </c:pt>
                <c:pt idx="12">
                  <c:v>30017.1599168777</c:v>
                </c:pt>
                <c:pt idx="13">
                  <c:v>24414.8399925231</c:v>
                </c:pt>
                <c:pt idx="14">
                  <c:v>23565.7199096679</c:v>
                </c:pt>
              </c:numCache>
            </c:numRef>
          </c:val>
        </c:ser>
        <c:ser>
          <c:idx val="10"/>
          <c:order val="10"/>
          <c:tx>
            <c:strRef>
              <c:f>'Types of Charges'!$W$32</c:f>
              <c:strCache>
                <c:ptCount val="1"/>
                <c:pt idx="0">
                  <c:v>service - worldwide expedited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Charges'!$W$33:$W$47</c:f>
              <c:numCache>
                <c:formatCode>_("$"* #,##0.00_);_("$"* \(#,##0.00\);_("$"* "-"??_);_(@_)</c:formatCode>
                <c:ptCount val="15"/>
                <c:pt idx="1">
                  <c:v>43405.4003067016</c:v>
                </c:pt>
                <c:pt idx="2">
                  <c:v>38462.200263977</c:v>
                </c:pt>
                <c:pt idx="3">
                  <c:v>38859.7502384185</c:v>
                </c:pt>
                <c:pt idx="4">
                  <c:v>41902.4703254699</c:v>
                </c:pt>
                <c:pt idx="5">
                  <c:v>52646.5704250335</c:v>
                </c:pt>
                <c:pt idx="6">
                  <c:v>60378.1204776763</c:v>
                </c:pt>
                <c:pt idx="7">
                  <c:v>61735.3704471588</c:v>
                </c:pt>
                <c:pt idx="9">
                  <c:v>65996.48020744319</c:v>
                </c:pt>
                <c:pt idx="10">
                  <c:v>58948.0100536346</c:v>
                </c:pt>
                <c:pt idx="11">
                  <c:v>66128.8501853942</c:v>
                </c:pt>
                <c:pt idx="12">
                  <c:v>59917.4600868225</c:v>
                </c:pt>
                <c:pt idx="13">
                  <c:v>57312.6600513458</c:v>
                </c:pt>
                <c:pt idx="14">
                  <c:v>56752.3800029754</c:v>
                </c:pt>
              </c:numCache>
            </c:numRef>
          </c:val>
        </c:ser>
        <c:ser>
          <c:idx val="11"/>
          <c:order val="11"/>
          <c:tx>
            <c:strRef>
              <c:f>'Types of Charges'!$X$32</c:f>
              <c:strCache>
                <c:ptCount val="1"/>
                <c:pt idx="0">
                  <c:v>service - worldwide express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Charges'!$X$33:$X$47</c:f>
              <c:numCache>
                <c:formatCode>_("$"* #,##0.00_);_("$"* \(#,##0.00\);_("$"* "-"??_);_(@_)</c:formatCode>
                <c:ptCount val="15"/>
                <c:pt idx="1">
                  <c:v>13438.6300106048</c:v>
                </c:pt>
                <c:pt idx="2">
                  <c:v>13584.7399959564</c:v>
                </c:pt>
                <c:pt idx="3">
                  <c:v>12169.859998703</c:v>
                </c:pt>
                <c:pt idx="4">
                  <c:v>12952.0599746704</c:v>
                </c:pt>
                <c:pt idx="5">
                  <c:v>14157.8199787139</c:v>
                </c:pt>
                <c:pt idx="6">
                  <c:v>15104.3299751281</c:v>
                </c:pt>
                <c:pt idx="7">
                  <c:v>13919.5199565887</c:v>
                </c:pt>
                <c:pt idx="9">
                  <c:v>12776.0797920227</c:v>
                </c:pt>
                <c:pt idx="10">
                  <c:v>14227.9898452758</c:v>
                </c:pt>
                <c:pt idx="11">
                  <c:v>12632.6997985839</c:v>
                </c:pt>
                <c:pt idx="12">
                  <c:v>12279.6797885894</c:v>
                </c:pt>
                <c:pt idx="13">
                  <c:v>14520.7198295593</c:v>
                </c:pt>
                <c:pt idx="14">
                  <c:v>12915.6298122406</c:v>
                </c:pt>
              </c:numCache>
            </c:numRef>
          </c:val>
        </c:ser>
        <c:ser>
          <c:idx val="12"/>
          <c:order val="12"/>
          <c:tx>
            <c:strRef>
              <c:f>'Types of Charges'!$Y$32</c:f>
              <c:strCache>
                <c:ptCount val="1"/>
                <c:pt idx="0">
                  <c:v>service - worldwide saver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Charges'!$Y$33:$Y$47</c:f>
              <c:numCache>
                <c:formatCode>_("$"* #,##0.00_);_("$"* \(#,##0.00\);_("$"* "-"??_);_(@_)</c:formatCode>
                <c:ptCount val="15"/>
                <c:pt idx="1">
                  <c:v>26033.3298568725</c:v>
                </c:pt>
                <c:pt idx="2">
                  <c:v>23712.5598926544</c:v>
                </c:pt>
                <c:pt idx="3">
                  <c:v>22790.3498706817</c:v>
                </c:pt>
                <c:pt idx="4">
                  <c:v>25156.7297992706</c:v>
                </c:pt>
                <c:pt idx="5">
                  <c:v>26400.549829483</c:v>
                </c:pt>
                <c:pt idx="6">
                  <c:v>30805.1697597503</c:v>
                </c:pt>
                <c:pt idx="7">
                  <c:v>29141.3498458862</c:v>
                </c:pt>
                <c:pt idx="9">
                  <c:v>20387.3900203704</c:v>
                </c:pt>
                <c:pt idx="10">
                  <c:v>20900.4100475311</c:v>
                </c:pt>
                <c:pt idx="11">
                  <c:v>21287.7800178527</c:v>
                </c:pt>
                <c:pt idx="12">
                  <c:v>20483.7000370025</c:v>
                </c:pt>
                <c:pt idx="13">
                  <c:v>21265.3100337982</c:v>
                </c:pt>
                <c:pt idx="14">
                  <c:v>20842.4500446319</c:v>
                </c:pt>
              </c:numCache>
            </c:numRef>
          </c:val>
        </c:ser>
        <c:ser>
          <c:idx val="13"/>
          <c:order val="13"/>
          <c:tx>
            <c:strRef>
              <c:f>'Types of Charges'!$Z$32</c:f>
              <c:strCache>
                <c:ptCount val="1"/>
                <c:pt idx="0">
                  <c:v>shipping charge correction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'Types of Charges'!$L$33:$L$47</c:f>
              <c:strCache>
                <c:ptCount val="15"/>
                <c:pt idx="0">
                  <c:v>2015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2016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</c:strCache>
            </c:strRef>
          </c:cat>
          <c:val>
            <c:numRef>
              <c:f>'Types of Charges'!$Z$33:$Z$47</c:f>
              <c:numCache>
                <c:formatCode>_("$"* #,##0.00_);_("$"* \(#,##0.00\);_("$"* "-"??_);_(@_)</c:formatCode>
                <c:ptCount val="15"/>
                <c:pt idx="1">
                  <c:v>1590.97999929822</c:v>
                </c:pt>
                <c:pt idx="2">
                  <c:v>1391.83000348694</c:v>
                </c:pt>
                <c:pt idx="3">
                  <c:v>2407.3199928198</c:v>
                </c:pt>
                <c:pt idx="4">
                  <c:v>2249.63999264873</c:v>
                </c:pt>
                <c:pt idx="5">
                  <c:v>2017.37999584339</c:v>
                </c:pt>
                <c:pt idx="6">
                  <c:v>2206.98999433219</c:v>
                </c:pt>
                <c:pt idx="7">
                  <c:v>2733.75999685563</c:v>
                </c:pt>
                <c:pt idx="9">
                  <c:v>1758.96999557688</c:v>
                </c:pt>
                <c:pt idx="10">
                  <c:v>2269.77999626472</c:v>
                </c:pt>
                <c:pt idx="11">
                  <c:v>2059.02000004239</c:v>
                </c:pt>
                <c:pt idx="12">
                  <c:v>2325.86000044271</c:v>
                </c:pt>
                <c:pt idx="13">
                  <c:v>2281.87999919429</c:v>
                </c:pt>
                <c:pt idx="14">
                  <c:v>2267.17999817244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39265200"/>
        <c:axId val="-2139261808"/>
      </c:barChart>
      <c:catAx>
        <c:axId val="-213926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9261808"/>
        <c:crosses val="autoZero"/>
        <c:auto val="1"/>
        <c:lblAlgn val="ctr"/>
        <c:lblOffset val="100"/>
        <c:noMultiLvlLbl val="0"/>
      </c:catAx>
      <c:valAx>
        <c:axId val="-213926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926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Shipping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'Free Shipping'!$D$7</c:f>
              <c:strCache>
                <c:ptCount val="1"/>
                <c:pt idx="0">
                  <c:v>Non Resellers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'Free Shipping'!$B$8:$C$20</c:f>
              <c:multiLvlStrCache>
                <c:ptCount val="13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  <c:pt idx="12">
                    <c:v>June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2015</c:v>
                  </c:pt>
                  <c:pt idx="4">
                    <c:v>2015</c:v>
                  </c:pt>
                  <c:pt idx="5">
                    <c:v>2015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'Free Shipping'!$D$8:$D$20</c:f>
              <c:numCache>
                <c:formatCode>_(* #,##0_);_(* \(#,##0\);_(* "-"??_);_(@_)</c:formatCode>
                <c:ptCount val="13"/>
                <c:pt idx="0">
                  <c:v>689.0</c:v>
                </c:pt>
                <c:pt idx="1">
                  <c:v>541.0</c:v>
                </c:pt>
                <c:pt idx="2">
                  <c:v>586.0</c:v>
                </c:pt>
                <c:pt idx="3">
                  <c:v>606.0</c:v>
                </c:pt>
                <c:pt idx="4">
                  <c:v>637.0</c:v>
                </c:pt>
                <c:pt idx="5">
                  <c:v>1008.0</c:v>
                </c:pt>
                <c:pt idx="6">
                  <c:v>804.0</c:v>
                </c:pt>
                <c:pt idx="7">
                  <c:v>667.0</c:v>
                </c:pt>
                <c:pt idx="8">
                  <c:v>682.0</c:v>
                </c:pt>
                <c:pt idx="9">
                  <c:v>744.0</c:v>
                </c:pt>
                <c:pt idx="10">
                  <c:v>691.0</c:v>
                </c:pt>
                <c:pt idx="11">
                  <c:v>708.0</c:v>
                </c:pt>
                <c:pt idx="12">
                  <c:v>616.0</c:v>
                </c:pt>
              </c:numCache>
            </c:numRef>
          </c:val>
        </c:ser>
        <c:ser>
          <c:idx val="1"/>
          <c:order val="1"/>
          <c:tx>
            <c:strRef>
              <c:f>'Free Shipping'!$F$7</c:f>
              <c:strCache>
                <c:ptCount val="1"/>
                <c:pt idx="0">
                  <c:v>Resellers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'Free Shipping'!$B$8:$C$20</c:f>
              <c:multiLvlStrCache>
                <c:ptCount val="13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  <c:pt idx="12">
                    <c:v>June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2015</c:v>
                  </c:pt>
                  <c:pt idx="4">
                    <c:v>2015</c:v>
                  </c:pt>
                  <c:pt idx="5">
                    <c:v>2015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'Free Shipping'!$F$8:$F$20</c:f>
              <c:numCache>
                <c:formatCode>General</c:formatCode>
                <c:ptCount val="13"/>
                <c:pt idx="0">
                  <c:v>40.0</c:v>
                </c:pt>
                <c:pt idx="1">
                  <c:v>27.0</c:v>
                </c:pt>
                <c:pt idx="2">
                  <c:v>34.0</c:v>
                </c:pt>
                <c:pt idx="3">
                  <c:v>23.0</c:v>
                </c:pt>
                <c:pt idx="4">
                  <c:v>14.0</c:v>
                </c:pt>
                <c:pt idx="5">
                  <c:v>35.0</c:v>
                </c:pt>
                <c:pt idx="6">
                  <c:v>42.0</c:v>
                </c:pt>
                <c:pt idx="7">
                  <c:v>43.0</c:v>
                </c:pt>
                <c:pt idx="8">
                  <c:v>53.0</c:v>
                </c:pt>
                <c:pt idx="9">
                  <c:v>65.0</c:v>
                </c:pt>
                <c:pt idx="10">
                  <c:v>61.0</c:v>
                </c:pt>
                <c:pt idx="11">
                  <c:v>49.0</c:v>
                </c:pt>
                <c:pt idx="12">
                  <c:v>46.0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39227584"/>
        <c:axId val="-2139224256"/>
      </c:barChart>
      <c:catAx>
        <c:axId val="-21392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9224256"/>
        <c:crosses val="autoZero"/>
        <c:auto val="1"/>
        <c:lblAlgn val="ctr"/>
        <c:lblOffset val="100"/>
        <c:noMultiLvlLbl val="0"/>
      </c:catAx>
      <c:valAx>
        <c:axId val="-213922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92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Despite Free Shipping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'Free Shipping'!$T$6:$T$7</c:f>
              <c:strCache>
                <c:ptCount val="2"/>
                <c:pt idx="0">
                  <c:v>Profit Despite Free Shipping</c:v>
                </c:pt>
                <c:pt idx="1">
                  <c:v>Resellers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'Free Shipping'!$K$8:$L$20</c:f>
              <c:multiLvlStrCache>
                <c:ptCount val="13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  <c:pt idx="12">
                    <c:v>June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2015</c:v>
                  </c:pt>
                  <c:pt idx="4">
                    <c:v>2015</c:v>
                  </c:pt>
                  <c:pt idx="5">
                    <c:v>2015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'Free Shipping'!$T$8:$T$20</c:f>
              <c:numCache>
                <c:formatCode>_("$"* #,##0.00_);_("$"* \(#,##0.00\);_("$"* "-"??_);_(@_)</c:formatCode>
                <c:ptCount val="13"/>
                <c:pt idx="0">
                  <c:v>207504.5699435806</c:v>
                </c:pt>
                <c:pt idx="1">
                  <c:v>165988.3899658203</c:v>
                </c:pt>
                <c:pt idx="2">
                  <c:v>184858.7199579239</c:v>
                </c:pt>
                <c:pt idx="3">
                  <c:v>201869.1799511337</c:v>
                </c:pt>
                <c:pt idx="4">
                  <c:v>216249.9099478149</c:v>
                </c:pt>
                <c:pt idx="5">
                  <c:v>329139.7199222374</c:v>
                </c:pt>
                <c:pt idx="6">
                  <c:v>250399.2299460793</c:v>
                </c:pt>
                <c:pt idx="7">
                  <c:v>210364.9599824524</c:v>
                </c:pt>
                <c:pt idx="8">
                  <c:v>210751.6499834823</c:v>
                </c:pt>
                <c:pt idx="9">
                  <c:v>216765.9999837875</c:v>
                </c:pt>
                <c:pt idx="10">
                  <c:v>213829.1899822998</c:v>
                </c:pt>
                <c:pt idx="11">
                  <c:v>229340.2599844742</c:v>
                </c:pt>
                <c:pt idx="12">
                  <c:v>200041.8899713516</c:v>
                </c:pt>
              </c:numCache>
            </c:numRef>
          </c:val>
        </c:ser>
        <c:ser>
          <c:idx val="1"/>
          <c:order val="1"/>
          <c:tx>
            <c:strRef>
              <c:f>'Free Shipping'!$U$6:$U$7</c:f>
              <c:strCache>
                <c:ptCount val="2"/>
                <c:pt idx="0">
                  <c:v>Profit Despite Free Shipping</c:v>
                </c:pt>
                <c:pt idx="1">
                  <c:v>Non Resellers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'Free Shipping'!$K$8:$L$20</c:f>
              <c:multiLvlStrCache>
                <c:ptCount val="13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  <c:pt idx="12">
                    <c:v>June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2015</c:v>
                  </c:pt>
                  <c:pt idx="4">
                    <c:v>2015</c:v>
                  </c:pt>
                  <c:pt idx="5">
                    <c:v>2015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'Free Shipping'!$U$8:$U$20</c:f>
              <c:numCache>
                <c:formatCode>_("$"* #,##0.00_);_("$"* \(#,##0.00\);_("$"* "-"??_);_(@_)</c:formatCode>
                <c:ptCount val="13"/>
                <c:pt idx="0">
                  <c:v>35461.89499752045</c:v>
                </c:pt>
                <c:pt idx="1">
                  <c:v>29550.59499992371</c:v>
                </c:pt>
                <c:pt idx="2">
                  <c:v>39318.05999889374</c:v>
                </c:pt>
                <c:pt idx="3">
                  <c:v>28718.20499902725</c:v>
                </c:pt>
                <c:pt idx="4">
                  <c:v>16982.99499904632</c:v>
                </c:pt>
                <c:pt idx="5">
                  <c:v>39156.03999696732</c:v>
                </c:pt>
                <c:pt idx="6">
                  <c:v>74010.06999523163</c:v>
                </c:pt>
                <c:pt idx="7">
                  <c:v>73764.4299969673</c:v>
                </c:pt>
                <c:pt idx="8">
                  <c:v>92078.2499982643</c:v>
                </c:pt>
                <c:pt idx="9">
                  <c:v>94580.49999547958</c:v>
                </c:pt>
                <c:pt idx="10">
                  <c:v>93997.5699994278</c:v>
                </c:pt>
                <c:pt idx="11">
                  <c:v>68754.54000123977</c:v>
                </c:pt>
                <c:pt idx="12">
                  <c:v>58303.44999721527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37121936"/>
        <c:axId val="-2137118640"/>
      </c:barChart>
      <c:catAx>
        <c:axId val="-213712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118640"/>
        <c:crosses val="autoZero"/>
        <c:auto val="1"/>
        <c:lblAlgn val="ctr"/>
        <c:lblOffset val="100"/>
        <c:noMultiLvlLbl val="0"/>
      </c:catAx>
      <c:valAx>
        <c:axId val="-213711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12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24</xdr:row>
      <xdr:rowOff>76200</xdr:rowOff>
    </xdr:from>
    <xdr:to>
      <xdr:col>3</xdr:col>
      <xdr:colOff>2000250</xdr:colOff>
      <xdr:row>40</xdr:row>
      <xdr:rowOff>177800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82550</xdr:colOff>
      <xdr:row>24</xdr:row>
      <xdr:rowOff>63500</xdr:rowOff>
    </xdr:from>
    <xdr:to>
      <xdr:col>7</xdr:col>
      <xdr:colOff>1911350</xdr:colOff>
      <xdr:row>40</xdr:row>
      <xdr:rowOff>165100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</xdr:colOff>
      <xdr:row>24</xdr:row>
      <xdr:rowOff>0</xdr:rowOff>
    </xdr:from>
    <xdr:to>
      <xdr:col>11</xdr:col>
      <xdr:colOff>1905000</xdr:colOff>
      <xdr:row>40</xdr:row>
      <xdr:rowOff>101600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524347</xdr:colOff>
      <xdr:row>7</xdr:row>
      <xdr:rowOff>187609</xdr:rowOff>
    </xdr:from>
    <xdr:to>
      <xdr:col>28</xdr:col>
      <xdr:colOff>1964351</xdr:colOff>
      <xdr:row>23</xdr:row>
      <xdr:rowOff>131276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612366</xdr:colOff>
      <xdr:row>29</xdr:row>
      <xdr:rowOff>212756</xdr:rowOff>
    </xdr:from>
    <xdr:to>
      <xdr:col>28</xdr:col>
      <xdr:colOff>2049603</xdr:colOff>
      <xdr:row>46</xdr:row>
      <xdr:rowOff>100594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553268</xdr:colOff>
      <xdr:row>51</xdr:row>
      <xdr:rowOff>124736</xdr:rowOff>
    </xdr:from>
    <xdr:to>
      <xdr:col>28</xdr:col>
      <xdr:colOff>1974158</xdr:colOff>
      <xdr:row>68</xdr:row>
      <xdr:rowOff>176040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10</xdr:row>
      <xdr:rowOff>152400</xdr:rowOff>
    </xdr:from>
    <xdr:to>
      <xdr:col>7</xdr:col>
      <xdr:colOff>825500</xdr:colOff>
      <xdr:row>24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615950</xdr:colOff>
      <xdr:row>3</xdr:row>
      <xdr:rowOff>0</xdr:rowOff>
    </xdr:from>
    <xdr:to>
      <xdr:col>54</xdr:col>
      <xdr:colOff>317500</xdr:colOff>
      <xdr:row>25</xdr:row>
      <xdr:rowOff>127000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577850</xdr:colOff>
      <xdr:row>28</xdr:row>
      <xdr:rowOff>63500</xdr:rowOff>
    </xdr:from>
    <xdr:to>
      <xdr:col>54</xdr:col>
      <xdr:colOff>266700</xdr:colOff>
      <xdr:row>50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1022350</xdr:colOff>
      <xdr:row>22</xdr:row>
      <xdr:rowOff>139700</xdr:rowOff>
    </xdr:from>
    <xdr:to>
      <xdr:col>8</xdr:col>
      <xdr:colOff>317500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806450</xdr:colOff>
      <xdr:row>22</xdr:row>
      <xdr:rowOff>114300</xdr:rowOff>
    </xdr:from>
    <xdr:to>
      <xdr:col>22</xdr:col>
      <xdr:colOff>146050</xdr:colOff>
      <xdr:row>40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564.631701157406" createdVersion="4" refreshedVersion="4" minRefreshableVersion="3" recordCount="181">
  <cacheSource type="worksheet">
    <worksheetSource name="Table5"/>
  </cacheSource>
  <cacheFields count="8">
    <cacheField name="Year" numFmtId="0">
      <sharedItems containsSemiMixedTypes="0" containsString="0" containsNumber="1" containsInteger="1" minValue="2015" maxValue="2016" count="2">
        <n v="2015"/>
        <n v="2016"/>
      </sharedItems>
    </cacheField>
    <cacheField name="Month" numFmtId="0">
      <sharedItems count="12"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</sharedItems>
    </cacheField>
    <cacheField name="Charge" numFmtId="0">
      <sharedItems count="14">
        <s v="shipping charge correction"/>
        <s v="service - worldwide expedited"/>
        <s v="return"/>
        <s v="service - 3 day select"/>
        <s v="service - worldwide express"/>
        <s v="misc charge"/>
        <s v="delivery/extended/remote charge"/>
        <s v="service - worldwide saver"/>
        <s v="service - 2nd day air"/>
        <s v="address correction"/>
        <s v="fuel surcharge"/>
        <s v="service - next day air"/>
        <s v="residential surcharge"/>
        <s v="service - ground"/>
      </sharedItems>
    </cacheField>
    <cacheField name="Count" numFmtId="0">
      <sharedItems containsSemiMixedTypes="0" containsString="0" containsNumber="1" containsInteger="1" minValue="1" maxValue="27823"/>
    </cacheField>
    <cacheField name="Incentive Amount" numFmtId="0">
      <sharedItems containsSemiMixedTypes="0" containsString="0" containsNumber="1" minValue="0" maxValue="154361.05957794099"/>
    </cacheField>
    <cacheField name="Net Amount" numFmtId="0">
      <sharedItems containsSemiMixedTypes="0" containsString="0" containsNumber="1" minValue="6.3400001525878897" maxValue="121306.760912418" count="180">
        <n v="1590.97999929822"/>
        <n v="43405.400306701602"/>
        <n v="85.210001468658405"/>
        <n v="14442.269838333101"/>
        <n v="13438.6300106048"/>
        <n v="436.86000061035099"/>
        <n v="8397.8599967956507"/>
        <n v="26033.3298568725"/>
        <n v="28577.029830932599"/>
        <n v="550"/>
        <n v="11406.1999494433"/>
        <n v="22228.139685630798"/>
        <n v="23936.7894484996"/>
        <n v="61584.391115188599"/>
        <n v="10732.129971951201"/>
        <n v="13584.739995956401"/>
        <n v="19795.4695489406"/>
        <n v="11367.479867935101"/>
        <n v="23712.559892654401"/>
        <n v="1391.8300034869401"/>
        <n v="7267.4499917030298"/>
        <n v="362.16000002622599"/>
        <n v="337.5"/>
        <n v="17022.889728546099"/>
        <n v="24741.939844131401"/>
        <n v="56.840000152587798"/>
        <n v="52102.840924739801"/>
        <n v="38462.200263977"/>
        <n v="22674.479669570901"/>
        <n v="292.5"/>
        <n v="20.820000171661299"/>
        <n v="57277.611017704003"/>
        <n v="38859.750238418499"/>
        <n v="11092.8399385213"/>
        <n v="22790.349870681701"/>
        <n v="12423.839852809901"/>
        <n v="12169.859998702999"/>
        <n v="612.5"/>
        <n v="8310.6599946021997"/>
        <n v="29595.509808540301"/>
        <n v="23005.559458732601"/>
        <n v="2407.3199928198001"/>
        <n v="79.460000514984102"/>
        <n v="8861.3699953556006"/>
        <n v="29036.239823341301"/>
        <n v="41902.470325469898"/>
        <n v="10470.889924466601"/>
        <n v="24317.669438123699"/>
        <n v="325.13999998569398"/>
        <n v="13673.119843006099"/>
        <n v="575"/>
        <n v="2249.6399926487302"/>
        <n v="23577.489664077701"/>
        <n v="62197.3211121559"/>
        <n v="25156.729799270601"/>
        <n v="12952.059974670399"/>
        <n v="26631.849652290301"/>
        <n v="2017.3799958433899"/>
        <n v="52646.570425033497"/>
        <n v="76543.571385860399"/>
        <n v="14157.8199787139"/>
        <n v="10387.3399737775"/>
        <n v="15482.8798127174"/>
        <n v="115.590001583099"/>
        <n v="433"/>
        <n v="725"/>
        <n v="29375.2293145656"/>
        <n v="9832.1199941635095"/>
        <n v="35385.489771842898"/>
        <n v="26400.549829482999"/>
        <n v="15104.329975128099"/>
        <n v="19.830000400543199"/>
        <n v="17730.9497795104"/>
        <n v="30805.169759750301"/>
        <n v="10988.9899778366"/>
        <n v="397.22000002861"/>
        <n v="2206.9899943321898"/>
        <n v="27428.979645728999"/>
        <n v="36917.799242973299"/>
        <n v="34143.129801750103"/>
        <n v="60378.120477676297"/>
        <n v="97491.631799220995"/>
        <n v="15747.839906007001"/>
        <n v="637.5"/>
        <n v="582.859997272491"/>
        <n v="38181.039825439402"/>
        <n v="6.9400000572204501"/>
        <n v="926"/>
        <n v="13299.619981288901"/>
        <n v="29141.349845886201"/>
        <n v="61735.370447158799"/>
        <n v="23456.4797539711"/>
        <n v="2733.7599968556301"/>
        <n v="27614.299715995701"/>
        <n v="98064.73163414"/>
        <n v="13919.5199565887"/>
        <n v="16480.7999264299"/>
        <n v="41638.478995084697"/>
        <n v="12776.0797920227"/>
        <n v="10133.2300248146"/>
        <n v="33099.128970384598"/>
        <n v="1758.9699955768799"/>
        <n v="29436.590118408199"/>
        <n v="571"/>
        <n v="26.779999732971099"/>
        <n v="20387.3900203704"/>
        <n v="98206.630738735199"/>
        <n v="463.11999940872101"/>
        <n v="14248.299931436701"/>
        <n v="21786.339978217999"/>
        <n v="65996.480207443194"/>
        <n v="15076.229964256199"/>
        <n v="58948.0100536346"/>
        <n v="310.75999951362598"/>
        <n v="102642.460764884"/>
        <n v="25474.349943161"/>
        <n v="20900.410047531099"/>
        <n v="15628.099962234401"/>
        <n v="14227.989845275801"/>
        <n v="12015.419907093001"/>
        <n v="33863.008991003"/>
        <n v="10237.400021314599"/>
        <n v="33986.630146980198"/>
        <n v="2269.77999626472"/>
        <n v="13.8800001144409"/>
        <n v="650"/>
        <n v="2059.0200000423902"/>
        <n v="12632.699798583901"/>
        <n v="38144.610194206201"/>
        <n v="11557.950027704201"/>
        <n v="702"/>
        <n v="66128.8501853942"/>
        <n v="121306.760912418"/>
        <n v="342.89999961852999"/>
        <n v="19.8399996757507"/>
        <n v="40006.298756122502"/>
        <n v="27470.619976043701"/>
        <n v="17397.4699697494"/>
        <n v="11836.9899490028"/>
        <n v="21287.7800178527"/>
        <n v="98079.000725269303"/>
        <n v="20483.700037002502"/>
        <n v="9550.2499283403104"/>
        <n v="728"/>
        <n v="34610.6101255416"/>
        <n v="16514.979958534201"/>
        <n v="59917.460086822502"/>
        <n v="10088.0500144958"/>
        <n v="30017.159916877699"/>
        <n v="2325.8600004427099"/>
        <n v="12279.679788589399"/>
        <n v="33120.0790381431"/>
        <n v="380"/>
        <n v="21265.3100337982"/>
        <n v="2281.8799991942901"/>
        <n v="533.10999894142105"/>
        <n v="24414.839992523099"/>
        <n v="689"/>
        <n v="94078.220681190403"/>
        <n v="30913.029034614501"/>
        <n v="10159.369983181299"/>
        <n v="28826.760154724099"/>
        <n v="57312.660051345803"/>
        <n v="14520.719829559301"/>
        <n v="13203.6499605178"/>
        <n v="10074.6800069808"/>
        <n v="9510.2000014781897"/>
        <n v="12537.589976310701"/>
        <n v="780"/>
        <n v="20842.4500446319"/>
        <n v="10572.860001683201"/>
        <n v="28747.0291790962"/>
        <n v="6.3400001525878897"/>
        <n v="56752.380002975398"/>
        <n v="23565.7199096679"/>
        <n v="375.05999965965702"/>
        <n v="93318.660941123904"/>
        <n v="12915.629812240601"/>
        <n v="2267.1799981724398"/>
        <n v="27538.620074272101"/>
      </sharedItems>
    </cacheField>
    <cacheField name="Entered Weight" numFmtId="0">
      <sharedItems containsSemiMixedTypes="0" containsString="0" containsNumber="1" containsInteger="1" minValue="0" maxValue="14737"/>
    </cacheField>
    <cacheField name="Billed Weight" numFmtId="0">
      <sharedItems containsSemiMixedTypes="0" containsString="0" containsNumber="1" containsInteger="1" minValue="0" maxValue="289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crosoft Office User" refreshedDate="42564.655205555558" createdVersion="4" refreshedVersion="4" minRefreshableVersion="3" recordCount="78">
  <cacheSource type="worksheet">
    <worksheetSource name="Table7"/>
  </cacheSource>
  <cacheFields count="6">
    <cacheField name="Year" numFmtId="0">
      <sharedItems containsSemiMixedTypes="0" containsString="0" containsNumber="1" containsInteger="1" minValue="2015" maxValue="2016" count="2">
        <n v="2015"/>
        <n v="2016"/>
      </sharedItems>
    </cacheField>
    <cacheField name="Month" numFmtId="0">
      <sharedItems count="12"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</sharedItems>
    </cacheField>
    <cacheField name="Service" numFmtId="0">
      <sharedItems count="6">
        <s v="ground"/>
        <s v="3 Day Select"/>
        <s v="2nd day air"/>
        <s v="express saver"/>
        <s v="worldwide express"/>
        <s v="next day air"/>
      </sharedItems>
    </cacheField>
    <cacheField name="Adafruit Ship Rev" numFmtId="0">
      <sharedItems containsSemiMixedTypes="0" containsString="0" containsNumber="1" minValue="17304.18" maxValue="146677.51" count="78">
        <n v="66857.8"/>
        <n v="19821.439999999999"/>
        <n v="38158.949999999997"/>
        <n v="28474.27"/>
        <n v="66873.03"/>
        <n v="27778.34"/>
        <n v="25134.07"/>
        <n v="60635.07"/>
        <n v="66032.34"/>
        <n v="28050.45"/>
        <n v="39563.040000000001"/>
        <n v="18390.36"/>
        <n v="28803.42"/>
        <n v="65978.98"/>
        <n v="25927.43"/>
        <n v="40640.22"/>
        <n v="17967.7"/>
        <n v="60890.58"/>
        <n v="72379.179999999993"/>
        <n v="39045.24"/>
        <n v="27548.95"/>
        <n v="64316.58"/>
        <n v="19128.66"/>
        <n v="29076.34"/>
        <n v="46787.66"/>
        <n v="79222.740000000005"/>
        <n v="88605.65"/>
        <n v="29931.73"/>
        <n v="32108.57"/>
        <n v="21571.84"/>
        <n v="26105.43"/>
        <n v="38378.03"/>
        <n v="48808.959999999999"/>
        <n v="35908.660000000003"/>
        <n v="126581.21"/>
        <n v="98663.34"/>
        <n v="85665.14"/>
        <n v="33749.65"/>
        <n v="31919.86"/>
        <n v="115551.26"/>
        <n v="33068.410000000003"/>
        <n v="50736.17"/>
        <n v="96426.42"/>
        <n v="24628.95"/>
        <n v="22018.09"/>
        <n v="27737.84"/>
        <n v="123941.47"/>
        <n v="40916.35"/>
        <n v="122104.29"/>
        <n v="44781.29"/>
        <n v="31829.27"/>
        <n v="21450.89"/>
        <n v="88967.15"/>
        <n v="24772.49"/>
        <n v="23980.65"/>
        <n v="33934.129999999997"/>
        <n v="146677.51"/>
        <n v="24420.81"/>
        <n v="49603.65"/>
        <n v="91284.27"/>
        <n v="84974.27"/>
        <n v="22403.06"/>
        <n v="23983.14"/>
        <n v="118048.45"/>
        <n v="45142.94"/>
        <n v="37381.78"/>
        <n v="84447.99"/>
        <n v="30689.94"/>
        <n v="38946.160000000003"/>
        <n v="25082.38"/>
        <n v="107810.12"/>
        <n v="18540.12"/>
        <n v="109978.4"/>
        <n v="31314.26"/>
        <n v="17304.18"/>
        <n v="36113.550000000003"/>
        <n v="79481.97"/>
        <n v="23188.59"/>
      </sharedItems>
    </cacheField>
    <cacheField name="OID Count" numFmtId="0">
      <sharedItems containsSemiMixedTypes="0" containsString="0" containsNumber="1" containsInteger="1" minValue="445" maxValue="17207" count="78">
        <n v="8907"/>
        <n v="1770"/>
        <n v="3138"/>
        <n v="708"/>
        <n v="1699"/>
        <n v="1529"/>
        <n v="636"/>
        <n v="1585"/>
        <n v="8619"/>
        <n v="1538"/>
        <n v="3193"/>
        <n v="1667"/>
        <n v="1523"/>
        <n v="8623"/>
        <n v="617"/>
        <n v="3259"/>
        <n v="1609"/>
        <n v="1558"/>
        <n v="9292"/>
        <n v="3184"/>
        <n v="693"/>
        <n v="1684"/>
        <n v="1726"/>
        <n v="1614"/>
        <n v="3881"/>
        <n v="2075"/>
        <n v="11258"/>
        <n v="741"/>
        <n v="1830"/>
        <n v="1971"/>
        <n v="2361"/>
        <n v="921"/>
        <n v="3971"/>
        <n v="1982"/>
        <n v="15621"/>
        <n v="2627"/>
        <n v="2138"/>
        <n v="1848"/>
        <n v="725"/>
        <n v="13817"/>
        <n v="2835"/>
        <n v="3956"/>
        <n v="2336"/>
        <n v="472"/>
        <n v="1835"/>
        <n v="1431"/>
        <n v="14393"/>
        <n v="3050"/>
        <n v="14518"/>
        <n v="3377"/>
        <n v="1649"/>
        <n v="1815"/>
        <n v="2161"/>
        <n v="481"/>
        <n v="2058"/>
        <n v="1796"/>
        <n v="17207"/>
        <n v="487"/>
        <n v="3783"/>
        <n v="2291"/>
        <n v="2150"/>
        <n v="1908"/>
        <n v="462"/>
        <n v="14186"/>
        <n v="3387"/>
        <n v="1940"/>
        <n v="2087"/>
        <n v="1607"/>
        <n v="2866"/>
        <n v="495"/>
        <n v="12918"/>
        <n v="1493"/>
        <n v="13521"/>
        <n v="1411"/>
        <n v="1445"/>
        <n v="2681"/>
        <n v="1929"/>
        <n v="445"/>
      </sharedItems>
    </cacheField>
    <cacheField name="Avg Ada Ship Charge" numFmtId="0">
      <sharedItems containsSemiMixedTypes="0" containsString="0" containsNumber="1" minValue="7.5062085999999999" maxValue="52.179978810000001" count="78">
        <n v="7.5062085999999999"/>
        <n v="11.198553670000001"/>
        <n v="12.16027725"/>
        <n v="40.217895480000003"/>
        <n v="39.36022955"/>
        <n v="18.167652060000002"/>
        <n v="39.518977990000003"/>
        <n v="38.255564669999998"/>
        <n v="7.66125305"/>
        <n v="18.238263979999999"/>
        <n v="12.39055434"/>
        <n v="11.0320096"/>
        <n v="18.912291530000001"/>
        <n v="7.6515110799999997"/>
        <n v="42.02176661"/>
        <n v="12.470150350000001"/>
        <n v="11.16699814"/>
        <n v="39.082528879999998"/>
        <n v="7.7894080900000002"/>
        <n v="12.26295226"/>
        <n v="39.753174600000001"/>
        <n v="38.192743470000003"/>
        <n v="11.08265353"/>
        <n v="18.01508055"/>
        <n v="12.055568149999999"/>
        <n v="38.179633729999999"/>
        <n v="7.8704610099999996"/>
        <n v="40.393697709999998"/>
        <n v="17.545666669999999"/>
        <n v="10.94461695"/>
        <n v="11.05693774"/>
        <n v="41.669956569999997"/>
        <n v="12.2913523"/>
        <n v="18.11738648"/>
        <n v="8.1032718799999994"/>
        <n v="37.557419109999998"/>
        <n v="40.067885869999998"/>
        <n v="18.262797620000001"/>
        <n v="44.027393099999998"/>
        <n v="8.3629774900000005"/>
        <n v="11.66434215"/>
        <n v="12.825118809999999"/>
        <n v="41.278433219999997"/>
        <n v="52.179978810000001"/>
        <n v="11.998959129999999"/>
        <n v="19.383535989999999"/>
        <n v="8.6112325399999996"/>
        <n v="13.415196720000001"/>
        <n v="8.41054484"/>
        <n v="13.260672189999999"/>
        <n v="19.302164950000002"/>
        <n v="11.81867218"/>
        <n v="41.169435450000002"/>
        <n v="51.502058210000001"/>
        <n v="11.652405249999999"/>
        <n v="18.89428174"/>
        <n v="8.52429302"/>
        <n v="50.145400410000001"/>
        <n v="13.11225218"/>
        <n v="39.84472719"/>
        <n v="39.522916279999997"/>
        <n v="11.741645699999999"/>
        <n v="51.91155844"/>
        <n v="8.3214754000000006"/>
        <n v="13.32829643"/>
        <n v="19.26895876"/>
        <n v="40.463818879999998"/>
        <n v="19.09766024"/>
        <n v="13.58903001"/>
        <n v="50.671474750000002"/>
        <n v="8.3457284400000002"/>
        <n v="12.418030809999999"/>
        <n v="8.13389542"/>
        <n v="22.192955349999998"/>
        <n v="11.97521107"/>
        <n v="13.47017904"/>
        <n v="41.20371695"/>
        <n v="52.10919101000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">
  <r>
    <x v="0"/>
    <x v="0"/>
    <x v="0"/>
    <n v="1387"/>
    <n v="137.839999975636"/>
    <x v="0"/>
    <n v="3723"/>
    <n v="5862"/>
  </r>
  <r>
    <x v="0"/>
    <x v="0"/>
    <x v="1"/>
    <n v="1341"/>
    <n v="108792.049682617"/>
    <x v="1"/>
    <n v="3695"/>
    <n v="4914"/>
  </r>
  <r>
    <x v="0"/>
    <x v="0"/>
    <x v="2"/>
    <n v="12"/>
    <n v="22.189999699592502"/>
    <x v="2"/>
    <n v="0"/>
    <n v="20"/>
  </r>
  <r>
    <x v="0"/>
    <x v="0"/>
    <x v="3"/>
    <n v="1815"/>
    <n v="13229.4799932241"/>
    <x v="3"/>
    <n v="1132"/>
    <n v="2885"/>
  </r>
  <r>
    <x v="0"/>
    <x v="0"/>
    <x v="4"/>
    <n v="369"/>
    <n v="31554.869731903"/>
    <x v="4"/>
    <n v="1197"/>
    <n v="1532"/>
  </r>
  <r>
    <x v="0"/>
    <x v="0"/>
    <x v="5"/>
    <n v="41"/>
    <n v="0"/>
    <x v="5"/>
    <n v="0"/>
    <n v="0"/>
  </r>
  <r>
    <x v="0"/>
    <x v="0"/>
    <x v="6"/>
    <n v="2178"/>
    <n v="616.44002449512402"/>
    <x v="6"/>
    <n v="0"/>
    <n v="0"/>
  </r>
  <r>
    <x v="0"/>
    <x v="0"/>
    <x v="7"/>
    <n v="745"/>
    <n v="68049.069923400806"/>
    <x v="7"/>
    <n v="2266"/>
    <n v="3185"/>
  </r>
  <r>
    <x v="0"/>
    <x v="0"/>
    <x v="8"/>
    <n v="3150"/>
    <n v="36488.119924545201"/>
    <x v="8"/>
    <n v="1637"/>
    <n v="4700"/>
  </r>
  <r>
    <x v="0"/>
    <x v="0"/>
    <x v="9"/>
    <n v="44"/>
    <n v="0"/>
    <x v="9"/>
    <n v="0"/>
    <n v="0"/>
  </r>
  <r>
    <x v="0"/>
    <x v="0"/>
    <x v="10"/>
    <n v="18116"/>
    <n v="15058.569962494001"/>
    <x v="10"/>
    <n v="0"/>
    <n v="0"/>
  </r>
  <r>
    <x v="0"/>
    <x v="0"/>
    <x v="11"/>
    <n v="1523"/>
    <n v="48401.160306930498"/>
    <x v="11"/>
    <n v="1169"/>
    <n v="2646"/>
  </r>
  <r>
    <x v="0"/>
    <x v="0"/>
    <x v="12"/>
    <n v="10606"/>
    <n v="10659.0101902484"/>
    <x v="12"/>
    <n v="0"/>
    <n v="0"/>
  </r>
  <r>
    <x v="0"/>
    <x v="0"/>
    <x v="13"/>
    <n v="9187"/>
    <n v="13861.5299010872"/>
    <x v="13"/>
    <n v="10368"/>
    <n v="19165"/>
  </r>
  <r>
    <x v="0"/>
    <x v="1"/>
    <x v="10"/>
    <n v="15353"/>
    <n v="15036.269991124"/>
    <x v="14"/>
    <n v="0"/>
    <n v="0"/>
  </r>
  <r>
    <x v="0"/>
    <x v="1"/>
    <x v="4"/>
    <n v="378"/>
    <n v="32219.1597175598"/>
    <x v="15"/>
    <n v="1166"/>
    <n v="1474"/>
  </r>
  <r>
    <x v="0"/>
    <x v="1"/>
    <x v="12"/>
    <n v="8786"/>
    <n v="8841.5301597118305"/>
    <x v="16"/>
    <n v="0"/>
    <n v="0"/>
  </r>
  <r>
    <x v="0"/>
    <x v="1"/>
    <x v="3"/>
    <n v="1444"/>
    <n v="10452.7200073003"/>
    <x v="17"/>
    <n v="740"/>
    <n v="2146"/>
  </r>
  <r>
    <x v="0"/>
    <x v="1"/>
    <x v="7"/>
    <n v="678"/>
    <n v="62370.640052795403"/>
    <x v="18"/>
    <n v="1990"/>
    <n v="2706"/>
  </r>
  <r>
    <x v="0"/>
    <x v="1"/>
    <x v="0"/>
    <n v="1054"/>
    <n v="139.93000063858901"/>
    <x v="19"/>
    <n v="2550"/>
    <n v="4293"/>
  </r>
  <r>
    <x v="0"/>
    <x v="1"/>
    <x v="6"/>
    <n v="1882"/>
    <n v="488.56001925468399"/>
    <x v="20"/>
    <n v="0"/>
    <n v="2"/>
  </r>
  <r>
    <x v="0"/>
    <x v="1"/>
    <x v="5"/>
    <n v="37"/>
    <n v="3.6500000953674299"/>
    <x v="21"/>
    <n v="0"/>
    <n v="0"/>
  </r>
  <r>
    <x v="0"/>
    <x v="1"/>
    <x v="9"/>
    <n v="27"/>
    <n v="0"/>
    <x v="22"/>
    <n v="0"/>
    <n v="0"/>
  </r>
  <r>
    <x v="0"/>
    <x v="1"/>
    <x v="11"/>
    <n v="1162"/>
    <n v="37178.910217285098"/>
    <x v="23"/>
    <n v="827"/>
    <n v="1961"/>
  </r>
  <r>
    <x v="0"/>
    <x v="1"/>
    <x v="8"/>
    <n v="2729"/>
    <n v="31800.409920215599"/>
    <x v="24"/>
    <n v="1375"/>
    <n v="4023"/>
  </r>
  <r>
    <x v="0"/>
    <x v="1"/>
    <x v="2"/>
    <n v="8"/>
    <n v="33.329999685287397"/>
    <x v="25"/>
    <n v="0"/>
    <n v="11"/>
  </r>
  <r>
    <x v="0"/>
    <x v="1"/>
    <x v="13"/>
    <n v="7745"/>
    <n v="12241.8999156355"/>
    <x v="26"/>
    <n v="8979"/>
    <n v="16396"/>
  </r>
  <r>
    <x v="0"/>
    <x v="1"/>
    <x v="1"/>
    <n v="1217"/>
    <n v="96083.649700164795"/>
    <x v="27"/>
    <n v="3112"/>
    <n v="4192"/>
  </r>
  <r>
    <x v="0"/>
    <x v="2"/>
    <x v="11"/>
    <n v="1503"/>
    <n v="49458.920251846299"/>
    <x v="28"/>
    <n v="1260"/>
    <n v="2706"/>
  </r>
  <r>
    <x v="0"/>
    <x v="2"/>
    <x v="5"/>
    <n v="29"/>
    <n v="0"/>
    <x v="29"/>
    <n v="0"/>
    <n v="0"/>
  </r>
  <r>
    <x v="0"/>
    <x v="2"/>
    <x v="2"/>
    <n v="3"/>
    <n v="11.6900000572204"/>
    <x v="30"/>
    <n v="0"/>
    <n v="4"/>
  </r>
  <r>
    <x v="0"/>
    <x v="2"/>
    <x v="13"/>
    <n v="8506"/>
    <n v="13332.609906435"/>
    <x v="31"/>
    <n v="11742"/>
    <n v="19764"/>
  </r>
  <r>
    <x v="0"/>
    <x v="2"/>
    <x v="1"/>
    <n v="1201"/>
    <n v="97443.249553680405"/>
    <x v="32"/>
    <n v="3324"/>
    <n v="4284"/>
  </r>
  <r>
    <x v="0"/>
    <x v="2"/>
    <x v="10"/>
    <n v="16973"/>
    <n v="14848.1000066008"/>
    <x v="33"/>
    <n v="0"/>
    <n v="0"/>
  </r>
  <r>
    <x v="0"/>
    <x v="2"/>
    <x v="7"/>
    <n v="631"/>
    <n v="60687.549922943101"/>
    <x v="34"/>
    <n v="2056"/>
    <n v="2922"/>
  </r>
  <r>
    <x v="0"/>
    <x v="2"/>
    <x v="3"/>
    <n v="1590"/>
    <n v="11328.110004067399"/>
    <x v="35"/>
    <n v="742"/>
    <n v="2276"/>
  </r>
  <r>
    <x v="0"/>
    <x v="2"/>
    <x v="4"/>
    <n v="323"/>
    <n v="28993.289676666202"/>
    <x v="36"/>
    <n v="1131"/>
    <n v="1454"/>
  </r>
  <r>
    <x v="0"/>
    <x v="2"/>
    <x v="9"/>
    <n v="49"/>
    <n v="0"/>
    <x v="37"/>
    <n v="0"/>
    <n v="0"/>
  </r>
  <r>
    <x v="0"/>
    <x v="2"/>
    <x v="6"/>
    <n v="2081"/>
    <n v="623.04002475738503"/>
    <x v="38"/>
    <n v="0"/>
    <n v="0"/>
  </r>
  <r>
    <x v="0"/>
    <x v="2"/>
    <x v="8"/>
    <n v="3238"/>
    <n v="38567.039895534501"/>
    <x v="39"/>
    <n v="1730"/>
    <n v="4868"/>
  </r>
  <r>
    <x v="0"/>
    <x v="2"/>
    <x v="12"/>
    <n v="10160"/>
    <n v="10184.840177536"/>
    <x v="40"/>
    <n v="0"/>
    <n v="0"/>
  </r>
  <r>
    <x v="0"/>
    <x v="2"/>
    <x v="0"/>
    <n v="1959"/>
    <n v="235.66999838873701"/>
    <x v="41"/>
    <n v="5402"/>
    <n v="8449"/>
  </r>
  <r>
    <x v="0"/>
    <x v="3"/>
    <x v="2"/>
    <n v="11"/>
    <n v="22.9100000858306"/>
    <x v="42"/>
    <n v="0"/>
    <n v="11"/>
  </r>
  <r>
    <x v="0"/>
    <x v="3"/>
    <x v="6"/>
    <n v="2236"/>
    <n v="638.26002526283196"/>
    <x v="43"/>
    <n v="0"/>
    <n v="6"/>
  </r>
  <r>
    <x v="0"/>
    <x v="3"/>
    <x v="8"/>
    <n v="3183"/>
    <n v="37560.359871864297"/>
    <x v="44"/>
    <n v="1671"/>
    <n v="4749"/>
  </r>
  <r>
    <x v="0"/>
    <x v="3"/>
    <x v="1"/>
    <n v="1330"/>
    <n v="104138.62955093299"/>
    <x v="45"/>
    <n v="3393"/>
    <n v="4408"/>
  </r>
  <r>
    <x v="0"/>
    <x v="3"/>
    <x v="10"/>
    <n v="18168"/>
    <n v="13163.6200011316"/>
    <x v="46"/>
    <n v="0"/>
    <n v="0"/>
  </r>
  <r>
    <x v="0"/>
    <x v="3"/>
    <x v="12"/>
    <n v="10770"/>
    <n v="10820.1301925182"/>
    <x v="47"/>
    <n v="0"/>
    <n v="0"/>
  </r>
  <r>
    <x v="0"/>
    <x v="3"/>
    <x v="5"/>
    <n v="34"/>
    <n v="12.760000199079499"/>
    <x v="48"/>
    <n v="2"/>
    <n v="2"/>
  </r>
  <r>
    <x v="0"/>
    <x v="3"/>
    <x v="3"/>
    <n v="1733"/>
    <n v="12405.179998159399"/>
    <x v="49"/>
    <n v="1149"/>
    <n v="2812"/>
  </r>
  <r>
    <x v="0"/>
    <x v="3"/>
    <x v="9"/>
    <n v="46"/>
    <n v="0"/>
    <x v="50"/>
    <n v="0"/>
    <n v="0"/>
  </r>
  <r>
    <x v="0"/>
    <x v="3"/>
    <x v="0"/>
    <n v="1953"/>
    <n v="167.97999924980101"/>
    <x v="51"/>
    <n v="5394"/>
    <n v="8330"/>
  </r>
  <r>
    <x v="0"/>
    <x v="3"/>
    <x v="11"/>
    <n v="1603"/>
    <n v="51213.560289382898"/>
    <x v="52"/>
    <n v="1319"/>
    <n v="2851"/>
  </r>
  <r>
    <x v="0"/>
    <x v="3"/>
    <x v="13"/>
    <n v="9251"/>
    <n v="14390.3298991918"/>
    <x v="53"/>
    <n v="10956"/>
    <n v="19753"/>
  </r>
  <r>
    <x v="0"/>
    <x v="3"/>
    <x v="7"/>
    <n v="729"/>
    <n v="66108.2698478698"/>
    <x v="54"/>
    <n v="2177"/>
    <n v="2954"/>
  </r>
  <r>
    <x v="0"/>
    <x v="3"/>
    <x v="4"/>
    <n v="348"/>
    <n v="30857.339786529501"/>
    <x v="55"/>
    <n v="1168"/>
    <n v="1531"/>
  </r>
  <r>
    <x v="0"/>
    <x v="4"/>
    <x v="11"/>
    <n v="1859"/>
    <n v="57440.6003055572"/>
    <x v="56"/>
    <n v="1284"/>
    <n v="3085"/>
  </r>
  <r>
    <x v="0"/>
    <x v="4"/>
    <x v="0"/>
    <n v="2166"/>
    <n v="135.05999962612901"/>
    <x v="57"/>
    <n v="5274"/>
    <n v="8001"/>
  </r>
  <r>
    <x v="0"/>
    <x v="4"/>
    <x v="1"/>
    <n v="1682"/>
    <n v="130070.629497528"/>
    <x v="58"/>
    <n v="4122"/>
    <n v="5353"/>
  </r>
  <r>
    <x v="0"/>
    <x v="4"/>
    <x v="13"/>
    <n v="11378"/>
    <n v="17231.6898704171"/>
    <x v="59"/>
    <n v="12763"/>
    <n v="23634"/>
  </r>
  <r>
    <x v="0"/>
    <x v="4"/>
    <x v="4"/>
    <n v="371"/>
    <n v="34471.779724120999"/>
    <x v="60"/>
    <n v="1427"/>
    <n v="1793"/>
  </r>
  <r>
    <x v="0"/>
    <x v="4"/>
    <x v="10"/>
    <n v="21921"/>
    <n v="12150.4599737059"/>
    <x v="61"/>
    <n v="0"/>
    <n v="0"/>
  </r>
  <r>
    <x v="0"/>
    <x v="4"/>
    <x v="3"/>
    <n v="1972"/>
    <n v="14302.670002221999"/>
    <x v="62"/>
    <n v="927"/>
    <n v="2845"/>
  </r>
  <r>
    <x v="0"/>
    <x v="4"/>
    <x v="2"/>
    <n v="14"/>
    <n v="29.169999718665999"/>
    <x v="63"/>
    <n v="0"/>
    <n v="58"/>
  </r>
  <r>
    <x v="0"/>
    <x v="4"/>
    <x v="5"/>
    <n v="42"/>
    <n v="0"/>
    <x v="64"/>
    <n v="0"/>
    <n v="0"/>
  </r>
  <r>
    <x v="0"/>
    <x v="4"/>
    <x v="9"/>
    <n v="58"/>
    <n v="0"/>
    <x v="65"/>
    <n v="0"/>
    <n v="0"/>
  </r>
  <r>
    <x v="0"/>
    <x v="4"/>
    <x v="12"/>
    <n v="12990"/>
    <n v="13034.9702293872"/>
    <x v="66"/>
    <n v="0"/>
    <n v="0"/>
  </r>
  <r>
    <x v="0"/>
    <x v="4"/>
    <x v="6"/>
    <n v="2574"/>
    <n v="718.08002853393498"/>
    <x v="67"/>
    <n v="0"/>
    <n v="0"/>
  </r>
  <r>
    <x v="0"/>
    <x v="4"/>
    <x v="8"/>
    <n v="3917"/>
    <n v="45962.459918022098"/>
    <x v="68"/>
    <n v="1801"/>
    <n v="5612"/>
  </r>
  <r>
    <x v="0"/>
    <x v="4"/>
    <x v="7"/>
    <n v="756"/>
    <n v="70064.850078582705"/>
    <x v="69"/>
    <n v="2461"/>
    <n v="3256"/>
  </r>
  <r>
    <x v="0"/>
    <x v="5"/>
    <x v="4"/>
    <n v="412"/>
    <n v="36301.519783019998"/>
    <x v="70"/>
    <n v="1222"/>
    <n v="1622"/>
  </r>
  <r>
    <x v="0"/>
    <x v="5"/>
    <x v="2"/>
    <n v="3"/>
    <n v="3.91999983787536"/>
    <x v="71"/>
    <n v="0"/>
    <n v="4"/>
  </r>
  <r>
    <x v="0"/>
    <x v="5"/>
    <x v="3"/>
    <n v="2265"/>
    <n v="15682.250020027101"/>
    <x v="72"/>
    <n v="1070"/>
    <n v="3263"/>
  </r>
  <r>
    <x v="0"/>
    <x v="5"/>
    <x v="7"/>
    <n v="897"/>
    <n v="81920.430213928194"/>
    <x v="73"/>
    <n v="2815"/>
    <n v="3845"/>
  </r>
  <r>
    <x v="0"/>
    <x v="5"/>
    <x v="6"/>
    <n v="2890"/>
    <n v="595.86002367734898"/>
    <x v="74"/>
    <n v="0"/>
    <n v="1"/>
  </r>
  <r>
    <x v="0"/>
    <x v="5"/>
    <x v="5"/>
    <n v="40"/>
    <n v="0"/>
    <x v="75"/>
    <n v="0"/>
    <n v="0"/>
  </r>
  <r>
    <x v="0"/>
    <x v="5"/>
    <x v="0"/>
    <n v="2134"/>
    <n v="193.63000020198501"/>
    <x v="76"/>
    <n v="5181"/>
    <n v="8076"/>
  </r>
  <r>
    <x v="0"/>
    <x v="5"/>
    <x v="11"/>
    <n v="1912"/>
    <n v="59147.7703475952"/>
    <x v="77"/>
    <n v="1490"/>
    <n v="3355"/>
  </r>
  <r>
    <x v="0"/>
    <x v="5"/>
    <x v="12"/>
    <n v="16636"/>
    <n v="16935.400337695999"/>
    <x v="78"/>
    <n v="0"/>
    <n v="0"/>
  </r>
  <r>
    <x v="0"/>
    <x v="5"/>
    <x v="8"/>
    <n v="3794"/>
    <n v="43093.2698640823"/>
    <x v="79"/>
    <n v="1694"/>
    <n v="5373"/>
  </r>
  <r>
    <x v="0"/>
    <x v="5"/>
    <x v="1"/>
    <n v="1931"/>
    <n v="152990.32958221401"/>
    <x v="80"/>
    <n v="4921"/>
    <n v="6647"/>
  </r>
  <r>
    <x v="0"/>
    <x v="5"/>
    <x v="13"/>
    <n v="14585"/>
    <n v="21129.349825739799"/>
    <x v="81"/>
    <n v="12869"/>
    <n v="26902"/>
  </r>
  <r>
    <x v="0"/>
    <x v="5"/>
    <x v="10"/>
    <n v="25761"/>
    <n v="19482.939971093001"/>
    <x v="82"/>
    <n v="0"/>
    <n v="0"/>
  </r>
  <r>
    <x v="0"/>
    <x v="5"/>
    <x v="9"/>
    <n v="51"/>
    <n v="0"/>
    <x v="83"/>
    <n v="0"/>
    <n v="0"/>
  </r>
  <r>
    <x v="0"/>
    <x v="6"/>
    <x v="5"/>
    <n v="66"/>
    <n v="7.5"/>
    <x v="84"/>
    <n v="0"/>
    <n v="0"/>
  </r>
  <r>
    <x v="0"/>
    <x v="6"/>
    <x v="8"/>
    <n v="4149"/>
    <n v="48455.710016727397"/>
    <x v="85"/>
    <n v="2221"/>
    <n v="6240"/>
  </r>
  <r>
    <x v="0"/>
    <x v="6"/>
    <x v="2"/>
    <n v="1"/>
    <n v="1.4800000190734801"/>
    <x v="86"/>
    <n v="0"/>
    <n v="1"/>
  </r>
  <r>
    <x v="0"/>
    <x v="6"/>
    <x v="9"/>
    <n v="74"/>
    <n v="0"/>
    <x v="87"/>
    <n v="0"/>
    <n v="0"/>
  </r>
  <r>
    <x v="0"/>
    <x v="6"/>
    <x v="6"/>
    <n v="3365"/>
    <n v="577.39001893997101"/>
    <x v="88"/>
    <n v="0"/>
    <n v="2"/>
  </r>
  <r>
    <x v="0"/>
    <x v="6"/>
    <x v="7"/>
    <n v="828"/>
    <n v="76380.7499389648"/>
    <x v="89"/>
    <n v="2609"/>
    <n v="3542"/>
  </r>
  <r>
    <x v="0"/>
    <x v="6"/>
    <x v="1"/>
    <n v="1985"/>
    <n v="154361.05957794099"/>
    <x v="90"/>
    <n v="5000"/>
    <n v="6679"/>
  </r>
  <r>
    <x v="0"/>
    <x v="6"/>
    <x v="3"/>
    <n v="2949"/>
    <n v="20771.469996571501"/>
    <x v="91"/>
    <n v="1808"/>
    <n v="4663"/>
  </r>
  <r>
    <x v="0"/>
    <x v="6"/>
    <x v="0"/>
    <n v="2696"/>
    <n v="220.87999940849801"/>
    <x v="92"/>
    <n v="6264"/>
    <n v="10167"/>
  </r>
  <r>
    <x v="0"/>
    <x v="6"/>
    <x v="11"/>
    <n v="1923"/>
    <n v="59227.700313568101"/>
    <x v="93"/>
    <n v="1467"/>
    <n v="3322"/>
  </r>
  <r>
    <x v="0"/>
    <x v="6"/>
    <x v="13"/>
    <n v="14561"/>
    <n v="21109.539909720399"/>
    <x v="94"/>
    <n v="13278"/>
    <n v="27264"/>
  </r>
  <r>
    <x v="0"/>
    <x v="6"/>
    <x v="4"/>
    <n v="391"/>
    <n v="33486.509708404497"/>
    <x v="95"/>
    <n v="1194"/>
    <n v="1540"/>
  </r>
  <r>
    <x v="0"/>
    <x v="6"/>
    <x v="10"/>
    <n v="26755"/>
    <n v="19709.999963084199"/>
    <x v="96"/>
    <n v="0"/>
    <n v="0"/>
  </r>
  <r>
    <x v="0"/>
    <x v="6"/>
    <x v="12"/>
    <n v="18414"/>
    <n v="18712.220274388699"/>
    <x v="97"/>
    <n v="0"/>
    <n v="0"/>
  </r>
  <r>
    <x v="1"/>
    <x v="7"/>
    <x v="4"/>
    <n v="337"/>
    <n v="29225.7798042297"/>
    <x v="98"/>
    <n v="982"/>
    <n v="1300"/>
  </r>
  <r>
    <x v="1"/>
    <x v="7"/>
    <x v="6"/>
    <n v="2642"/>
    <n v="684.09999060630798"/>
    <x v="99"/>
    <n v="0"/>
    <n v="1"/>
  </r>
  <r>
    <x v="1"/>
    <x v="7"/>
    <x v="12"/>
    <n v="14425"/>
    <n v="15472.519964933301"/>
    <x v="100"/>
    <n v="0"/>
    <n v="0"/>
  </r>
  <r>
    <x v="1"/>
    <x v="7"/>
    <x v="0"/>
    <n v="1837"/>
    <n v="137.859999619424"/>
    <x v="101"/>
    <n v="4955"/>
    <n v="7487"/>
  </r>
  <r>
    <x v="1"/>
    <x v="7"/>
    <x v="8"/>
    <n v="2945"/>
    <n v="36746.750557899402"/>
    <x v="102"/>
    <n v="1337"/>
    <n v="4215"/>
  </r>
  <r>
    <x v="1"/>
    <x v="7"/>
    <x v="9"/>
    <n v="44"/>
    <n v="0"/>
    <x v="103"/>
    <n v="0"/>
    <n v="0"/>
  </r>
  <r>
    <x v="1"/>
    <x v="7"/>
    <x v="2"/>
    <n v="3"/>
    <n v="6.2000000476837096"/>
    <x v="104"/>
    <n v="0"/>
    <n v="6"/>
  </r>
  <r>
    <x v="1"/>
    <x v="7"/>
    <x v="7"/>
    <n v="478"/>
    <n v="52935.949905395501"/>
    <x v="105"/>
    <n v="1896"/>
    <n v="2586"/>
  </r>
  <r>
    <x v="1"/>
    <x v="7"/>
    <x v="13"/>
    <n v="13987"/>
    <n v="21604.6002664566"/>
    <x v="106"/>
    <n v="12196"/>
    <n v="25600"/>
  </r>
  <r>
    <x v="1"/>
    <x v="7"/>
    <x v="5"/>
    <n v="46"/>
    <n v="0"/>
    <x v="107"/>
    <n v="0"/>
    <n v="2"/>
  </r>
  <r>
    <x v="1"/>
    <x v="7"/>
    <x v="10"/>
    <n v="22851"/>
    <n v="16063.000017778901"/>
    <x v="108"/>
    <n v="0"/>
    <n v="0"/>
  </r>
  <r>
    <x v="1"/>
    <x v="7"/>
    <x v="11"/>
    <n v="1400"/>
    <n v="46790.300415038997"/>
    <x v="109"/>
    <n v="1112"/>
    <n v="2462"/>
  </r>
  <r>
    <x v="1"/>
    <x v="7"/>
    <x v="1"/>
    <n v="1968"/>
    <n v="153609.00960159299"/>
    <x v="110"/>
    <n v="5085"/>
    <n v="6501"/>
  </r>
  <r>
    <x v="1"/>
    <x v="7"/>
    <x v="3"/>
    <n v="1769"/>
    <n v="13531.620025873101"/>
    <x v="111"/>
    <n v="915"/>
    <n v="2630"/>
  </r>
  <r>
    <x v="1"/>
    <x v="8"/>
    <x v="1"/>
    <n v="1797"/>
    <n v="137796.58969497599"/>
    <x v="112"/>
    <n v="3986"/>
    <n v="5350"/>
  </r>
  <r>
    <x v="1"/>
    <x v="8"/>
    <x v="5"/>
    <n v="33"/>
    <n v="0"/>
    <x v="113"/>
    <n v="0"/>
    <n v="3"/>
  </r>
  <r>
    <x v="1"/>
    <x v="8"/>
    <x v="13"/>
    <n v="14627"/>
    <n v="22345.2202680706"/>
    <x v="114"/>
    <n v="12902"/>
    <n v="26968"/>
  </r>
  <r>
    <x v="1"/>
    <x v="8"/>
    <x v="11"/>
    <n v="1639"/>
    <n v="54282.060415267901"/>
    <x v="115"/>
    <n v="1314"/>
    <n v="2892"/>
  </r>
  <r>
    <x v="1"/>
    <x v="8"/>
    <x v="7"/>
    <n v="480"/>
    <n v="54687.409988403298"/>
    <x v="116"/>
    <n v="1928"/>
    <n v="2712"/>
  </r>
  <r>
    <x v="1"/>
    <x v="8"/>
    <x v="3"/>
    <n v="1839"/>
    <n v="13976.600036382601"/>
    <x v="117"/>
    <n v="867"/>
    <n v="2652"/>
  </r>
  <r>
    <x v="1"/>
    <x v="8"/>
    <x v="4"/>
    <n v="345"/>
    <n v="33285.499927520701"/>
    <x v="118"/>
    <n v="1211"/>
    <n v="1617"/>
  </r>
  <r>
    <x v="1"/>
    <x v="8"/>
    <x v="10"/>
    <n v="24103"/>
    <n v="11917.110009128201"/>
    <x v="119"/>
    <n v="0"/>
    <n v="0"/>
  </r>
  <r>
    <x v="1"/>
    <x v="8"/>
    <x v="12"/>
    <n v="14667"/>
    <n v="15655.939977765"/>
    <x v="120"/>
    <n v="0"/>
    <n v="0"/>
  </r>
  <r>
    <x v="1"/>
    <x v="8"/>
    <x v="6"/>
    <n v="2771"/>
    <n v="673.399988532066"/>
    <x v="121"/>
    <n v="0"/>
    <n v="0"/>
  </r>
  <r>
    <x v="1"/>
    <x v="8"/>
    <x v="8"/>
    <n v="3390"/>
    <n v="42380.430623054497"/>
    <x v="122"/>
    <n v="1681"/>
    <n v="4964"/>
  </r>
  <r>
    <x v="1"/>
    <x v="8"/>
    <x v="0"/>
    <n v="2273"/>
    <n v="133.439999992027"/>
    <x v="123"/>
    <n v="5092"/>
    <n v="8238"/>
  </r>
  <r>
    <x v="1"/>
    <x v="8"/>
    <x v="2"/>
    <n v="2"/>
    <n v="1.7200000286102199"/>
    <x v="124"/>
    <n v="0"/>
    <n v="2"/>
  </r>
  <r>
    <x v="1"/>
    <x v="8"/>
    <x v="9"/>
    <n v="50"/>
    <n v="0"/>
    <x v="125"/>
    <n v="0"/>
    <n v="0"/>
  </r>
  <r>
    <x v="1"/>
    <x v="9"/>
    <x v="0"/>
    <n v="1930"/>
    <n v="100.490000044927"/>
    <x v="126"/>
    <n v="4461"/>
    <n v="7376"/>
  </r>
  <r>
    <x v="1"/>
    <x v="9"/>
    <x v="4"/>
    <n v="324"/>
    <n v="28552.279792785601"/>
    <x v="127"/>
    <n v="1025"/>
    <n v="1337"/>
  </r>
  <r>
    <x v="1"/>
    <x v="9"/>
    <x v="8"/>
    <n v="3815"/>
    <n v="47503.590713024103"/>
    <x v="128"/>
    <n v="1669"/>
    <n v="5401"/>
  </r>
  <r>
    <x v="1"/>
    <x v="9"/>
    <x v="6"/>
    <n v="3109"/>
    <n v="706.99998795986096"/>
    <x v="129"/>
    <n v="0"/>
    <n v="0"/>
  </r>
  <r>
    <x v="1"/>
    <x v="9"/>
    <x v="9"/>
    <n v="54"/>
    <n v="0"/>
    <x v="130"/>
    <n v="0"/>
    <n v="0"/>
  </r>
  <r>
    <x v="1"/>
    <x v="9"/>
    <x v="1"/>
    <n v="2027"/>
    <n v="149705.90969467099"/>
    <x v="131"/>
    <n v="4569"/>
    <n v="5933"/>
  </r>
  <r>
    <x v="1"/>
    <x v="9"/>
    <x v="13"/>
    <n v="17334"/>
    <n v="25442.790345072699"/>
    <x v="132"/>
    <n v="12227"/>
    <n v="28967"/>
  </r>
  <r>
    <x v="1"/>
    <x v="9"/>
    <x v="5"/>
    <n v="34"/>
    <n v="0"/>
    <x v="133"/>
    <n v="0"/>
    <n v="0"/>
  </r>
  <r>
    <x v="1"/>
    <x v="9"/>
    <x v="2"/>
    <n v="2"/>
    <n v="1.1900000572204501"/>
    <x v="134"/>
    <n v="0"/>
    <n v="1"/>
  </r>
  <r>
    <x v="1"/>
    <x v="9"/>
    <x v="12"/>
    <n v="17434"/>
    <n v="18698.999957799901"/>
    <x v="135"/>
    <n v="0"/>
    <n v="0"/>
  </r>
  <r>
    <x v="1"/>
    <x v="9"/>
    <x v="11"/>
    <n v="1792"/>
    <n v="58545.820507049502"/>
    <x v="136"/>
    <n v="1278"/>
    <n v="3015"/>
  </r>
  <r>
    <x v="1"/>
    <x v="9"/>
    <x v="3"/>
    <n v="2051"/>
    <n v="15716.9800442457"/>
    <x v="137"/>
    <n v="894"/>
    <n v="2890"/>
  </r>
  <r>
    <x v="1"/>
    <x v="9"/>
    <x v="10"/>
    <n v="27823"/>
    <n v="10370.519990671401"/>
    <x v="138"/>
    <n v="0"/>
    <n v="0"/>
  </r>
  <r>
    <x v="1"/>
    <x v="9"/>
    <x v="7"/>
    <n v="505"/>
    <n v="54793.069858551004"/>
    <x v="139"/>
    <n v="1883"/>
    <n v="2676"/>
  </r>
  <r>
    <x v="1"/>
    <x v="10"/>
    <x v="13"/>
    <n v="13970"/>
    <n v="21522.6102656722"/>
    <x v="140"/>
    <n v="12127"/>
    <n v="25637"/>
  </r>
  <r>
    <x v="1"/>
    <x v="10"/>
    <x v="7"/>
    <n v="483"/>
    <n v="53537.459907531702"/>
    <x v="141"/>
    <n v="1923"/>
    <n v="2590"/>
  </r>
  <r>
    <x v="1"/>
    <x v="10"/>
    <x v="10"/>
    <n v="23906"/>
    <n v="9138.6199877671897"/>
    <x v="142"/>
    <n v="0"/>
    <n v="0"/>
  </r>
  <r>
    <x v="1"/>
    <x v="10"/>
    <x v="9"/>
    <n v="56"/>
    <n v="0"/>
    <x v="143"/>
    <n v="0"/>
    <n v="0"/>
  </r>
  <r>
    <x v="1"/>
    <x v="10"/>
    <x v="8"/>
    <n v="3428"/>
    <n v="43030.180641174302"/>
    <x v="144"/>
    <n v="1716"/>
    <n v="5055"/>
  </r>
  <r>
    <x v="1"/>
    <x v="10"/>
    <x v="3"/>
    <n v="1940"/>
    <n v="14800.820036888101"/>
    <x v="145"/>
    <n v="910"/>
    <n v="2797"/>
  </r>
  <r>
    <x v="1"/>
    <x v="10"/>
    <x v="1"/>
    <n v="1815"/>
    <n v="137303.80974578799"/>
    <x v="146"/>
    <n v="4285"/>
    <n v="5562"/>
  </r>
  <r>
    <x v="1"/>
    <x v="10"/>
    <x v="2"/>
    <n v="2"/>
    <n v="1.1900000572204501"/>
    <x v="124"/>
    <n v="0"/>
    <n v="2"/>
  </r>
  <r>
    <x v="1"/>
    <x v="10"/>
    <x v="6"/>
    <n v="2696"/>
    <n v="715.39998781681004"/>
    <x v="147"/>
    <n v="0"/>
    <n v="0"/>
  </r>
  <r>
    <x v="1"/>
    <x v="10"/>
    <x v="11"/>
    <n v="1977"/>
    <n v="63753.330461502002"/>
    <x v="148"/>
    <n v="1280"/>
    <n v="3192"/>
  </r>
  <r>
    <x v="1"/>
    <x v="10"/>
    <x v="0"/>
    <n v="1846"/>
    <n v="96.859999913722206"/>
    <x v="149"/>
    <n v="4890"/>
    <n v="8025"/>
  </r>
  <r>
    <x v="1"/>
    <x v="10"/>
    <x v="4"/>
    <n v="314"/>
    <n v="28046.209823608398"/>
    <x v="150"/>
    <n v="931"/>
    <n v="1214"/>
  </r>
  <r>
    <x v="1"/>
    <x v="10"/>
    <x v="12"/>
    <n v="14294"/>
    <n v="15214.619985937999"/>
    <x v="151"/>
    <n v="0"/>
    <n v="0"/>
  </r>
  <r>
    <x v="1"/>
    <x v="10"/>
    <x v="5"/>
    <n v="38"/>
    <n v="0"/>
    <x v="152"/>
    <n v="0"/>
    <n v="0"/>
  </r>
  <r>
    <x v="1"/>
    <x v="11"/>
    <x v="7"/>
    <n v="492"/>
    <n v="55597.199790954503"/>
    <x v="153"/>
    <n v="2068"/>
    <n v="2803"/>
  </r>
  <r>
    <x v="1"/>
    <x v="11"/>
    <x v="0"/>
    <n v="2209"/>
    <n v="124.570000045001"/>
    <x v="154"/>
    <n v="5563"/>
    <n v="8773"/>
  </r>
  <r>
    <x v="1"/>
    <x v="11"/>
    <x v="5"/>
    <n v="49"/>
    <n v="0"/>
    <x v="155"/>
    <n v="0"/>
    <n v="2"/>
  </r>
  <r>
    <x v="1"/>
    <x v="11"/>
    <x v="11"/>
    <n v="1583"/>
    <n v="52119.450475692698"/>
    <x v="156"/>
    <n v="1070"/>
    <n v="2595"/>
  </r>
  <r>
    <x v="1"/>
    <x v="11"/>
    <x v="9"/>
    <n v="53"/>
    <n v="0"/>
    <x v="157"/>
    <n v="0"/>
    <n v="0"/>
  </r>
  <r>
    <x v="1"/>
    <x v="11"/>
    <x v="13"/>
    <n v="13341"/>
    <n v="21727.2002477645"/>
    <x v="158"/>
    <n v="14737"/>
    <n v="27552"/>
  </r>
  <r>
    <x v="1"/>
    <x v="11"/>
    <x v="12"/>
    <n v="13480"/>
    <n v="14465.3699660897"/>
    <x v="159"/>
    <n v="0"/>
    <n v="0"/>
  </r>
  <r>
    <x v="1"/>
    <x v="11"/>
    <x v="10"/>
    <n v="21833"/>
    <n v="10457.579991016501"/>
    <x v="160"/>
    <n v="0"/>
    <n v="0"/>
  </r>
  <r>
    <x v="1"/>
    <x v="11"/>
    <x v="8"/>
    <n v="2847"/>
    <n v="36822.020541191101"/>
    <x v="161"/>
    <n v="1502"/>
    <n v="4272"/>
  </r>
  <r>
    <x v="1"/>
    <x v="11"/>
    <x v="1"/>
    <n v="1721"/>
    <n v="132204.58981323201"/>
    <x v="162"/>
    <n v="4072"/>
    <n v="5554"/>
  </r>
  <r>
    <x v="1"/>
    <x v="11"/>
    <x v="4"/>
    <n v="353"/>
    <n v="33803.959949493401"/>
    <x v="163"/>
    <n v="1289"/>
    <n v="1681"/>
  </r>
  <r>
    <x v="1"/>
    <x v="11"/>
    <x v="3"/>
    <n v="1515"/>
    <n v="12830.7500177621"/>
    <x v="164"/>
    <n v="1080"/>
    <n v="2539"/>
  </r>
  <r>
    <x v="1"/>
    <x v="11"/>
    <x v="6"/>
    <n v="2653"/>
    <n v="785.98998761176995"/>
    <x v="165"/>
    <n v="0"/>
    <n v="2"/>
  </r>
  <r>
    <x v="1"/>
    <x v="0"/>
    <x v="6"/>
    <n v="2604"/>
    <n v="795.19998645782402"/>
    <x v="166"/>
    <n v="0"/>
    <n v="0"/>
  </r>
  <r>
    <x v="1"/>
    <x v="0"/>
    <x v="3"/>
    <n v="1454"/>
    <n v="11697.010026097199"/>
    <x v="167"/>
    <n v="978"/>
    <n v="2379"/>
  </r>
  <r>
    <x v="1"/>
    <x v="0"/>
    <x v="9"/>
    <n v="60"/>
    <n v="0"/>
    <x v="168"/>
    <n v="0"/>
    <n v="0"/>
  </r>
  <r>
    <x v="1"/>
    <x v="0"/>
    <x v="7"/>
    <n v="472"/>
    <n v="54675.979850768999"/>
    <x v="169"/>
    <n v="2014"/>
    <n v="2677"/>
  </r>
  <r>
    <x v="1"/>
    <x v="0"/>
    <x v="10"/>
    <n v="21557"/>
    <n v="11547.659984681701"/>
    <x v="170"/>
    <n v="0"/>
    <n v="0"/>
  </r>
  <r>
    <x v="1"/>
    <x v="0"/>
    <x v="12"/>
    <n v="12869"/>
    <n v="14478.820058584201"/>
    <x v="171"/>
    <n v="0"/>
    <n v="0"/>
  </r>
  <r>
    <x v="1"/>
    <x v="0"/>
    <x v="2"/>
    <n v="1"/>
    <n v="2.0799999237060498"/>
    <x v="172"/>
    <n v="0"/>
    <n v="1"/>
  </r>
  <r>
    <x v="1"/>
    <x v="0"/>
    <x v="1"/>
    <n v="1682"/>
    <n v="130270.179904937"/>
    <x v="173"/>
    <n v="4161"/>
    <n v="5471"/>
  </r>
  <r>
    <x v="1"/>
    <x v="0"/>
    <x v="11"/>
    <n v="1444"/>
    <n v="51052.820522308299"/>
    <x v="174"/>
    <n v="1503"/>
    <n v="2891"/>
  </r>
  <r>
    <x v="1"/>
    <x v="0"/>
    <x v="5"/>
    <n v="40"/>
    <n v="101.779999375343"/>
    <x v="175"/>
    <n v="0"/>
    <n v="0"/>
  </r>
  <r>
    <x v="1"/>
    <x v="0"/>
    <x v="13"/>
    <n v="13497"/>
    <n v="22893.760172188198"/>
    <x v="176"/>
    <n v="12759"/>
    <n v="25752"/>
  </r>
  <r>
    <x v="1"/>
    <x v="0"/>
    <x v="4"/>
    <n v="322"/>
    <n v="30668.229766845699"/>
    <x v="177"/>
    <n v="1136"/>
    <n v="1512"/>
  </r>
  <r>
    <x v="1"/>
    <x v="0"/>
    <x v="0"/>
    <n v="2050"/>
    <n v="136.69999994337499"/>
    <x v="178"/>
    <n v="5464"/>
    <n v="8360"/>
  </r>
  <r>
    <x v="1"/>
    <x v="0"/>
    <x v="8"/>
    <n v="2709"/>
    <n v="35151.020438194202"/>
    <x v="179"/>
    <n v="1667"/>
    <n v="43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8">
  <r>
    <x v="0"/>
    <x v="0"/>
    <x v="0"/>
    <x v="0"/>
    <x v="0"/>
    <x v="0"/>
  </r>
  <r>
    <x v="0"/>
    <x v="0"/>
    <x v="1"/>
    <x v="1"/>
    <x v="1"/>
    <x v="1"/>
  </r>
  <r>
    <x v="0"/>
    <x v="0"/>
    <x v="2"/>
    <x v="2"/>
    <x v="2"/>
    <x v="2"/>
  </r>
  <r>
    <x v="0"/>
    <x v="0"/>
    <x v="3"/>
    <x v="3"/>
    <x v="3"/>
    <x v="3"/>
  </r>
  <r>
    <x v="0"/>
    <x v="0"/>
    <x v="4"/>
    <x v="4"/>
    <x v="4"/>
    <x v="4"/>
  </r>
  <r>
    <x v="0"/>
    <x v="0"/>
    <x v="5"/>
    <x v="5"/>
    <x v="5"/>
    <x v="5"/>
  </r>
  <r>
    <x v="0"/>
    <x v="1"/>
    <x v="3"/>
    <x v="6"/>
    <x v="6"/>
    <x v="6"/>
  </r>
  <r>
    <x v="0"/>
    <x v="1"/>
    <x v="4"/>
    <x v="7"/>
    <x v="7"/>
    <x v="7"/>
  </r>
  <r>
    <x v="0"/>
    <x v="1"/>
    <x v="0"/>
    <x v="8"/>
    <x v="8"/>
    <x v="8"/>
  </r>
  <r>
    <x v="0"/>
    <x v="1"/>
    <x v="5"/>
    <x v="9"/>
    <x v="9"/>
    <x v="9"/>
  </r>
  <r>
    <x v="0"/>
    <x v="1"/>
    <x v="2"/>
    <x v="10"/>
    <x v="10"/>
    <x v="10"/>
  </r>
  <r>
    <x v="0"/>
    <x v="1"/>
    <x v="1"/>
    <x v="11"/>
    <x v="11"/>
    <x v="11"/>
  </r>
  <r>
    <x v="0"/>
    <x v="2"/>
    <x v="5"/>
    <x v="12"/>
    <x v="12"/>
    <x v="12"/>
  </r>
  <r>
    <x v="0"/>
    <x v="2"/>
    <x v="0"/>
    <x v="13"/>
    <x v="13"/>
    <x v="13"/>
  </r>
  <r>
    <x v="0"/>
    <x v="2"/>
    <x v="3"/>
    <x v="14"/>
    <x v="14"/>
    <x v="14"/>
  </r>
  <r>
    <x v="0"/>
    <x v="2"/>
    <x v="2"/>
    <x v="15"/>
    <x v="15"/>
    <x v="15"/>
  </r>
  <r>
    <x v="0"/>
    <x v="2"/>
    <x v="1"/>
    <x v="16"/>
    <x v="16"/>
    <x v="16"/>
  </r>
  <r>
    <x v="0"/>
    <x v="2"/>
    <x v="4"/>
    <x v="17"/>
    <x v="17"/>
    <x v="17"/>
  </r>
  <r>
    <x v="0"/>
    <x v="3"/>
    <x v="0"/>
    <x v="18"/>
    <x v="18"/>
    <x v="18"/>
  </r>
  <r>
    <x v="0"/>
    <x v="3"/>
    <x v="2"/>
    <x v="19"/>
    <x v="19"/>
    <x v="19"/>
  </r>
  <r>
    <x v="0"/>
    <x v="3"/>
    <x v="3"/>
    <x v="20"/>
    <x v="20"/>
    <x v="20"/>
  </r>
  <r>
    <x v="0"/>
    <x v="3"/>
    <x v="4"/>
    <x v="21"/>
    <x v="21"/>
    <x v="21"/>
  </r>
  <r>
    <x v="0"/>
    <x v="3"/>
    <x v="1"/>
    <x v="22"/>
    <x v="22"/>
    <x v="22"/>
  </r>
  <r>
    <x v="0"/>
    <x v="3"/>
    <x v="5"/>
    <x v="23"/>
    <x v="23"/>
    <x v="23"/>
  </r>
  <r>
    <x v="0"/>
    <x v="4"/>
    <x v="2"/>
    <x v="24"/>
    <x v="24"/>
    <x v="24"/>
  </r>
  <r>
    <x v="0"/>
    <x v="4"/>
    <x v="4"/>
    <x v="25"/>
    <x v="25"/>
    <x v="25"/>
  </r>
  <r>
    <x v="0"/>
    <x v="4"/>
    <x v="0"/>
    <x v="26"/>
    <x v="26"/>
    <x v="26"/>
  </r>
  <r>
    <x v="0"/>
    <x v="4"/>
    <x v="3"/>
    <x v="27"/>
    <x v="27"/>
    <x v="27"/>
  </r>
  <r>
    <x v="0"/>
    <x v="4"/>
    <x v="5"/>
    <x v="28"/>
    <x v="28"/>
    <x v="28"/>
  </r>
  <r>
    <x v="0"/>
    <x v="4"/>
    <x v="1"/>
    <x v="29"/>
    <x v="29"/>
    <x v="29"/>
  </r>
  <r>
    <x v="0"/>
    <x v="5"/>
    <x v="1"/>
    <x v="30"/>
    <x v="30"/>
    <x v="30"/>
  </r>
  <r>
    <x v="0"/>
    <x v="5"/>
    <x v="3"/>
    <x v="31"/>
    <x v="31"/>
    <x v="31"/>
  </r>
  <r>
    <x v="0"/>
    <x v="5"/>
    <x v="2"/>
    <x v="32"/>
    <x v="32"/>
    <x v="32"/>
  </r>
  <r>
    <x v="0"/>
    <x v="5"/>
    <x v="5"/>
    <x v="33"/>
    <x v="33"/>
    <x v="33"/>
  </r>
  <r>
    <x v="0"/>
    <x v="5"/>
    <x v="0"/>
    <x v="34"/>
    <x v="34"/>
    <x v="34"/>
  </r>
  <r>
    <x v="0"/>
    <x v="5"/>
    <x v="4"/>
    <x v="35"/>
    <x v="35"/>
    <x v="35"/>
  </r>
  <r>
    <x v="0"/>
    <x v="6"/>
    <x v="4"/>
    <x v="36"/>
    <x v="36"/>
    <x v="36"/>
  </r>
  <r>
    <x v="0"/>
    <x v="6"/>
    <x v="5"/>
    <x v="37"/>
    <x v="37"/>
    <x v="37"/>
  </r>
  <r>
    <x v="0"/>
    <x v="6"/>
    <x v="3"/>
    <x v="38"/>
    <x v="38"/>
    <x v="38"/>
  </r>
  <r>
    <x v="0"/>
    <x v="6"/>
    <x v="0"/>
    <x v="39"/>
    <x v="39"/>
    <x v="39"/>
  </r>
  <r>
    <x v="0"/>
    <x v="6"/>
    <x v="1"/>
    <x v="40"/>
    <x v="40"/>
    <x v="40"/>
  </r>
  <r>
    <x v="0"/>
    <x v="6"/>
    <x v="2"/>
    <x v="41"/>
    <x v="41"/>
    <x v="41"/>
  </r>
  <r>
    <x v="1"/>
    <x v="7"/>
    <x v="4"/>
    <x v="42"/>
    <x v="42"/>
    <x v="42"/>
  </r>
  <r>
    <x v="1"/>
    <x v="7"/>
    <x v="3"/>
    <x v="43"/>
    <x v="43"/>
    <x v="43"/>
  </r>
  <r>
    <x v="1"/>
    <x v="7"/>
    <x v="1"/>
    <x v="44"/>
    <x v="44"/>
    <x v="44"/>
  </r>
  <r>
    <x v="1"/>
    <x v="7"/>
    <x v="5"/>
    <x v="45"/>
    <x v="45"/>
    <x v="45"/>
  </r>
  <r>
    <x v="1"/>
    <x v="7"/>
    <x v="0"/>
    <x v="46"/>
    <x v="46"/>
    <x v="46"/>
  </r>
  <r>
    <x v="1"/>
    <x v="7"/>
    <x v="2"/>
    <x v="47"/>
    <x v="47"/>
    <x v="47"/>
  </r>
  <r>
    <x v="1"/>
    <x v="8"/>
    <x v="0"/>
    <x v="48"/>
    <x v="48"/>
    <x v="48"/>
  </r>
  <r>
    <x v="1"/>
    <x v="8"/>
    <x v="2"/>
    <x v="49"/>
    <x v="49"/>
    <x v="49"/>
  </r>
  <r>
    <x v="1"/>
    <x v="8"/>
    <x v="5"/>
    <x v="50"/>
    <x v="50"/>
    <x v="50"/>
  </r>
  <r>
    <x v="1"/>
    <x v="8"/>
    <x v="1"/>
    <x v="51"/>
    <x v="51"/>
    <x v="51"/>
  </r>
  <r>
    <x v="1"/>
    <x v="8"/>
    <x v="4"/>
    <x v="52"/>
    <x v="52"/>
    <x v="52"/>
  </r>
  <r>
    <x v="1"/>
    <x v="8"/>
    <x v="3"/>
    <x v="53"/>
    <x v="53"/>
    <x v="53"/>
  </r>
  <r>
    <x v="1"/>
    <x v="9"/>
    <x v="1"/>
    <x v="54"/>
    <x v="54"/>
    <x v="54"/>
  </r>
  <r>
    <x v="1"/>
    <x v="9"/>
    <x v="5"/>
    <x v="55"/>
    <x v="55"/>
    <x v="55"/>
  </r>
  <r>
    <x v="1"/>
    <x v="9"/>
    <x v="0"/>
    <x v="56"/>
    <x v="56"/>
    <x v="56"/>
  </r>
  <r>
    <x v="1"/>
    <x v="9"/>
    <x v="3"/>
    <x v="57"/>
    <x v="57"/>
    <x v="57"/>
  </r>
  <r>
    <x v="1"/>
    <x v="9"/>
    <x v="2"/>
    <x v="58"/>
    <x v="58"/>
    <x v="58"/>
  </r>
  <r>
    <x v="1"/>
    <x v="9"/>
    <x v="4"/>
    <x v="59"/>
    <x v="59"/>
    <x v="59"/>
  </r>
  <r>
    <x v="1"/>
    <x v="10"/>
    <x v="4"/>
    <x v="60"/>
    <x v="60"/>
    <x v="60"/>
  </r>
  <r>
    <x v="1"/>
    <x v="10"/>
    <x v="1"/>
    <x v="61"/>
    <x v="61"/>
    <x v="61"/>
  </r>
  <r>
    <x v="1"/>
    <x v="10"/>
    <x v="3"/>
    <x v="62"/>
    <x v="62"/>
    <x v="62"/>
  </r>
  <r>
    <x v="1"/>
    <x v="10"/>
    <x v="0"/>
    <x v="63"/>
    <x v="63"/>
    <x v="63"/>
  </r>
  <r>
    <x v="1"/>
    <x v="10"/>
    <x v="2"/>
    <x v="64"/>
    <x v="64"/>
    <x v="64"/>
  </r>
  <r>
    <x v="1"/>
    <x v="10"/>
    <x v="5"/>
    <x v="65"/>
    <x v="65"/>
    <x v="65"/>
  </r>
  <r>
    <x v="1"/>
    <x v="11"/>
    <x v="4"/>
    <x v="66"/>
    <x v="66"/>
    <x v="66"/>
  </r>
  <r>
    <x v="1"/>
    <x v="11"/>
    <x v="5"/>
    <x v="67"/>
    <x v="67"/>
    <x v="67"/>
  </r>
  <r>
    <x v="1"/>
    <x v="11"/>
    <x v="2"/>
    <x v="68"/>
    <x v="68"/>
    <x v="68"/>
  </r>
  <r>
    <x v="1"/>
    <x v="11"/>
    <x v="3"/>
    <x v="69"/>
    <x v="69"/>
    <x v="69"/>
  </r>
  <r>
    <x v="1"/>
    <x v="11"/>
    <x v="0"/>
    <x v="70"/>
    <x v="70"/>
    <x v="70"/>
  </r>
  <r>
    <x v="1"/>
    <x v="11"/>
    <x v="1"/>
    <x v="71"/>
    <x v="71"/>
    <x v="71"/>
  </r>
  <r>
    <x v="1"/>
    <x v="0"/>
    <x v="0"/>
    <x v="72"/>
    <x v="72"/>
    <x v="72"/>
  </r>
  <r>
    <x v="1"/>
    <x v="0"/>
    <x v="5"/>
    <x v="73"/>
    <x v="73"/>
    <x v="73"/>
  </r>
  <r>
    <x v="1"/>
    <x v="0"/>
    <x v="1"/>
    <x v="74"/>
    <x v="74"/>
    <x v="74"/>
  </r>
  <r>
    <x v="1"/>
    <x v="0"/>
    <x v="2"/>
    <x v="75"/>
    <x v="75"/>
    <x v="75"/>
  </r>
  <r>
    <x v="1"/>
    <x v="0"/>
    <x v="4"/>
    <x v="76"/>
    <x v="76"/>
    <x v="76"/>
  </r>
  <r>
    <x v="1"/>
    <x v="0"/>
    <x v="3"/>
    <x v="77"/>
    <x v="77"/>
    <x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rowHeaderCaption="DATE" colHeaderCaption="">
  <location ref="O53:U69" firstHeaderRow="1" firstDataRow="2" firstDataCol="1"/>
  <pivotFields count="6">
    <pivotField axis="axisRow" showAll="0" defaultSubtotal="0">
      <items count="2">
        <item x="0"/>
        <item x="1"/>
      </items>
    </pivotField>
    <pivotField axis="axisRow" showAll="0" defaultSubtotal="0">
      <items count="12">
        <item x="7"/>
        <item x="8"/>
        <item x="9"/>
        <item x="10"/>
        <item x="11"/>
        <item x="0"/>
        <item x="1"/>
        <item x="2"/>
        <item x="3"/>
        <item x="4"/>
        <item x="5"/>
        <item x="6"/>
      </items>
    </pivotField>
    <pivotField axis="axisCol" showAll="0" defaultSubtotal="0">
      <items count="6">
        <item x="2"/>
        <item x="1"/>
        <item x="3"/>
        <item x="0"/>
        <item x="5"/>
        <item x="4"/>
      </items>
    </pivotField>
    <pivotField showAll="0" defaultSubtotal="0">
      <items count="78">
        <item x="74"/>
        <item x="16"/>
        <item x="11"/>
        <item x="71"/>
        <item x="22"/>
        <item x="1"/>
        <item x="51"/>
        <item x="29"/>
        <item x="44"/>
        <item x="61"/>
        <item x="77"/>
        <item x="54"/>
        <item x="62"/>
        <item x="57"/>
        <item x="43"/>
        <item x="53"/>
        <item x="69"/>
        <item x="6"/>
        <item x="14"/>
        <item x="30"/>
        <item x="20"/>
        <item x="45"/>
        <item x="5"/>
        <item x="9"/>
        <item x="3"/>
        <item x="12"/>
        <item x="23"/>
        <item x="27"/>
        <item x="67"/>
        <item x="73"/>
        <item x="50"/>
        <item x="38"/>
        <item x="28"/>
        <item x="40"/>
        <item x="37"/>
        <item x="55"/>
        <item x="33"/>
        <item x="75"/>
        <item x="65"/>
        <item x="2"/>
        <item x="31"/>
        <item x="68"/>
        <item x="19"/>
        <item x="10"/>
        <item x="15"/>
        <item x="47"/>
        <item x="49"/>
        <item x="64"/>
        <item x="24"/>
        <item x="32"/>
        <item x="58"/>
        <item x="41"/>
        <item x="7"/>
        <item x="17"/>
        <item x="21"/>
        <item x="13"/>
        <item x="8"/>
        <item x="0"/>
        <item x="4"/>
        <item x="18"/>
        <item x="25"/>
        <item x="76"/>
        <item x="66"/>
        <item x="60"/>
        <item x="36"/>
        <item x="26"/>
        <item x="52"/>
        <item x="59"/>
        <item x="42"/>
        <item x="35"/>
        <item x="70"/>
        <item x="72"/>
        <item x="39"/>
        <item x="63"/>
        <item x="48"/>
        <item x="46"/>
        <item x="34"/>
        <item x="56"/>
      </items>
    </pivotField>
    <pivotField showAll="0" defaultSubtotal="0">
      <items count="78">
        <item x="77"/>
        <item x="62"/>
        <item x="43"/>
        <item x="53"/>
        <item x="57"/>
        <item x="69"/>
        <item x="14"/>
        <item x="6"/>
        <item x="20"/>
        <item x="3"/>
        <item x="38"/>
        <item x="27"/>
        <item x="31"/>
        <item x="73"/>
        <item x="45"/>
        <item x="74"/>
        <item x="71"/>
        <item x="12"/>
        <item x="5"/>
        <item x="9"/>
        <item x="17"/>
        <item x="7"/>
        <item x="67"/>
        <item x="16"/>
        <item x="23"/>
        <item x="50"/>
        <item x="11"/>
        <item x="21"/>
        <item x="4"/>
        <item x="22"/>
        <item x="1"/>
        <item x="55"/>
        <item x="51"/>
        <item x="28"/>
        <item x="44"/>
        <item x="37"/>
        <item x="61"/>
        <item x="76"/>
        <item x="65"/>
        <item x="29"/>
        <item x="33"/>
        <item x="54"/>
        <item x="25"/>
        <item x="66"/>
        <item x="36"/>
        <item x="60"/>
        <item x="52"/>
        <item x="59"/>
        <item x="42"/>
        <item x="30"/>
        <item x="35"/>
        <item x="75"/>
        <item x="40"/>
        <item x="68"/>
        <item x="47"/>
        <item x="2"/>
        <item x="19"/>
        <item x="10"/>
        <item x="15"/>
        <item x="49"/>
        <item x="64"/>
        <item x="58"/>
        <item x="24"/>
        <item x="41"/>
        <item x="32"/>
        <item x="8"/>
        <item x="13"/>
        <item x="0"/>
        <item x="18"/>
        <item x="26"/>
        <item x="70"/>
        <item x="72"/>
        <item x="39"/>
        <item x="63"/>
        <item x="46"/>
        <item x="48"/>
        <item x="34"/>
        <item x="56"/>
      </items>
    </pivotField>
    <pivotField dataField="1" showAll="0" defaultSubtotal="0">
      <items count="78">
        <item x="0"/>
        <item x="13"/>
        <item x="8"/>
        <item x="18"/>
        <item x="26"/>
        <item x="34"/>
        <item x="72"/>
        <item x="63"/>
        <item x="70"/>
        <item x="39"/>
        <item x="48"/>
        <item x="56"/>
        <item x="46"/>
        <item x="29"/>
        <item x="11"/>
        <item x="30"/>
        <item x="22"/>
        <item x="16"/>
        <item x="1"/>
        <item x="54"/>
        <item x="40"/>
        <item x="61"/>
        <item x="51"/>
        <item x="74"/>
        <item x="44"/>
        <item x="24"/>
        <item x="2"/>
        <item x="19"/>
        <item x="32"/>
        <item x="10"/>
        <item x="71"/>
        <item x="15"/>
        <item x="41"/>
        <item x="58"/>
        <item x="49"/>
        <item x="64"/>
        <item x="47"/>
        <item x="75"/>
        <item x="68"/>
        <item x="28"/>
        <item x="23"/>
        <item x="33"/>
        <item x="5"/>
        <item x="9"/>
        <item x="37"/>
        <item x="55"/>
        <item x="12"/>
        <item x="67"/>
        <item x="65"/>
        <item x="50"/>
        <item x="45"/>
        <item x="73"/>
        <item x="35"/>
        <item x="25"/>
        <item x="21"/>
        <item x="7"/>
        <item x="17"/>
        <item x="4"/>
        <item x="6"/>
        <item x="60"/>
        <item x="20"/>
        <item x="59"/>
        <item x="36"/>
        <item x="3"/>
        <item x="27"/>
        <item x="66"/>
        <item x="52"/>
        <item x="76"/>
        <item x="42"/>
        <item x="31"/>
        <item x="14"/>
        <item x="38"/>
        <item x="57"/>
        <item x="69"/>
        <item x="53"/>
        <item x="62"/>
        <item x="77"/>
        <item x="43"/>
      </items>
    </pivotField>
  </pivotFields>
  <rowFields count="2">
    <field x="0"/>
    <field x="1"/>
  </rowFields>
  <rowItems count="15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G SHIP REV" fld="5" baseField="0" baseItem="0"/>
  </dataFields>
  <formats count="3">
    <format dxfId="9">
      <pivotArea collapsedLevelsAreSubtotals="1" fieldPosition="0">
        <references count="2">
          <reference field="0" count="1" selected="0">
            <x v="0"/>
          </reference>
          <reference field="1" count="7">
            <x v="5"/>
            <x v="6"/>
            <x v="7"/>
            <x v="8"/>
            <x v="9"/>
            <x v="10"/>
            <x v="11"/>
          </reference>
        </references>
      </pivotArea>
    </format>
    <format dxfId="8">
      <pivotArea collapsedLevelsAreSubtotals="1" fieldPosition="0">
        <references count="1">
          <reference field="0" count="1">
            <x v="1"/>
          </reference>
        </references>
      </pivotArea>
    </format>
    <format dxfId="7">
      <pivotArea collapsedLevelsAreSubtotals="1" fieldPosition="0">
        <references count="2">
          <reference field="0" count="1" selected="0">
            <x v="1"/>
          </reference>
          <reference field="1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rowHeaderCaption="DATE" colHeaderCaption="">
  <location ref="O31:U47" firstHeaderRow="1" firstDataRow="2" firstDataCol="1"/>
  <pivotFields count="6">
    <pivotField axis="axisRow" showAll="0" defaultSubtotal="0">
      <items count="2">
        <item x="0"/>
        <item x="1"/>
      </items>
    </pivotField>
    <pivotField axis="axisRow" showAll="0" defaultSubtotal="0">
      <items count="12">
        <item x="7"/>
        <item x="8"/>
        <item x="9"/>
        <item x="10"/>
        <item x="11"/>
        <item x="0"/>
        <item x="1"/>
        <item x="2"/>
        <item x="3"/>
        <item x="4"/>
        <item x="5"/>
        <item x="6"/>
      </items>
    </pivotField>
    <pivotField axis="axisCol" showAll="0" defaultSubtotal="0">
      <items count="6">
        <item x="2"/>
        <item x="1"/>
        <item x="3"/>
        <item x="0"/>
        <item x="5"/>
        <item x="4"/>
      </items>
    </pivotField>
    <pivotField dataField="1" showAll="0" defaultSubtotal="0">
      <items count="78">
        <item x="74"/>
        <item x="16"/>
        <item x="11"/>
        <item x="71"/>
        <item x="22"/>
        <item x="1"/>
        <item x="51"/>
        <item x="29"/>
        <item x="44"/>
        <item x="61"/>
        <item x="77"/>
        <item x="54"/>
        <item x="62"/>
        <item x="57"/>
        <item x="43"/>
        <item x="53"/>
        <item x="69"/>
        <item x="6"/>
        <item x="14"/>
        <item x="30"/>
        <item x="20"/>
        <item x="45"/>
        <item x="5"/>
        <item x="9"/>
        <item x="3"/>
        <item x="12"/>
        <item x="23"/>
        <item x="27"/>
        <item x="67"/>
        <item x="73"/>
        <item x="50"/>
        <item x="38"/>
        <item x="28"/>
        <item x="40"/>
        <item x="37"/>
        <item x="55"/>
        <item x="33"/>
        <item x="75"/>
        <item x="65"/>
        <item x="2"/>
        <item x="31"/>
        <item x="68"/>
        <item x="19"/>
        <item x="10"/>
        <item x="15"/>
        <item x="47"/>
        <item x="49"/>
        <item x="64"/>
        <item x="24"/>
        <item x="32"/>
        <item x="58"/>
        <item x="41"/>
        <item x="7"/>
        <item x="17"/>
        <item x="21"/>
        <item x="13"/>
        <item x="8"/>
        <item x="0"/>
        <item x="4"/>
        <item x="18"/>
        <item x="25"/>
        <item x="76"/>
        <item x="66"/>
        <item x="60"/>
        <item x="36"/>
        <item x="26"/>
        <item x="52"/>
        <item x="59"/>
        <item x="42"/>
        <item x="35"/>
        <item x="70"/>
        <item x="72"/>
        <item x="39"/>
        <item x="63"/>
        <item x="48"/>
        <item x="46"/>
        <item x="34"/>
        <item x="56"/>
      </items>
    </pivotField>
    <pivotField showAll="0" defaultSubtotal="0">
      <items count="78">
        <item x="77"/>
        <item x="62"/>
        <item x="43"/>
        <item x="53"/>
        <item x="57"/>
        <item x="69"/>
        <item x="14"/>
        <item x="6"/>
        <item x="20"/>
        <item x="3"/>
        <item x="38"/>
        <item x="27"/>
        <item x="31"/>
        <item x="73"/>
        <item x="45"/>
        <item x="74"/>
        <item x="71"/>
        <item x="12"/>
        <item x="5"/>
        <item x="9"/>
        <item x="17"/>
        <item x="7"/>
        <item x="67"/>
        <item x="16"/>
        <item x="23"/>
        <item x="50"/>
        <item x="11"/>
        <item x="21"/>
        <item x="4"/>
        <item x="22"/>
        <item x="1"/>
        <item x="55"/>
        <item x="51"/>
        <item x="28"/>
        <item x="44"/>
        <item x="37"/>
        <item x="61"/>
        <item x="76"/>
        <item x="65"/>
        <item x="29"/>
        <item x="33"/>
        <item x="54"/>
        <item x="25"/>
        <item x="66"/>
        <item x="36"/>
        <item x="60"/>
        <item x="52"/>
        <item x="59"/>
        <item x="42"/>
        <item x="30"/>
        <item x="35"/>
        <item x="75"/>
        <item x="40"/>
        <item x="68"/>
        <item x="47"/>
        <item x="2"/>
        <item x="19"/>
        <item x="10"/>
        <item x="15"/>
        <item x="49"/>
        <item x="64"/>
        <item x="58"/>
        <item x="24"/>
        <item x="41"/>
        <item x="32"/>
        <item x="8"/>
        <item x="13"/>
        <item x="0"/>
        <item x="18"/>
        <item x="26"/>
        <item x="70"/>
        <item x="72"/>
        <item x="39"/>
        <item x="63"/>
        <item x="46"/>
        <item x="48"/>
        <item x="34"/>
        <item x="56"/>
      </items>
    </pivotField>
    <pivotField showAll="0" defaultSubtotal="0"/>
  </pivotFields>
  <rowFields count="2">
    <field x="0"/>
    <field x="1"/>
  </rowFields>
  <rowItems count="15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HIPPING REV" fld="3" baseField="0" baseItem="0"/>
  </dataFields>
  <formats count="3">
    <format dxfId="12">
      <pivotArea collapsedLevelsAreSubtotals="1" fieldPosition="0">
        <references count="2">
          <reference field="0" count="1" selected="0">
            <x v="0"/>
          </reference>
          <reference field="1" count="7">
            <x v="5"/>
            <x v="6"/>
            <x v="7"/>
            <x v="8"/>
            <x v="9"/>
            <x v="10"/>
            <x v="11"/>
          </reference>
        </references>
      </pivotArea>
    </format>
    <format dxfId="11">
      <pivotArea collapsedLevelsAreSubtotals="1" fieldPosition="0">
        <references count="1">
          <reference field="0" count="1">
            <x v="1"/>
          </reference>
        </references>
      </pivotArea>
    </format>
    <format dxfId="10">
      <pivotArea collapsedLevelsAreSubtotals="1" fieldPosition="0">
        <references count="2">
          <reference field="0" count="1" selected="0">
            <x v="1"/>
          </reference>
          <reference field="1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rowHeaderCaption="DATE" colHeaderCaption="">
  <location ref="O9:U25" firstHeaderRow="1" firstDataRow="2" firstDataCol="1"/>
  <pivotFields count="6">
    <pivotField axis="axisRow" showAll="0" defaultSubtotal="0">
      <items count="2">
        <item x="0"/>
        <item x="1"/>
      </items>
    </pivotField>
    <pivotField axis="axisRow" showAll="0" defaultSubtotal="0">
      <items count="12">
        <item x="7"/>
        <item x="8"/>
        <item x="9"/>
        <item x="10"/>
        <item x="11"/>
        <item x="0"/>
        <item x="1"/>
        <item x="2"/>
        <item x="3"/>
        <item x="4"/>
        <item x="5"/>
        <item x="6"/>
      </items>
    </pivotField>
    <pivotField axis="axisCol" showAll="0" defaultSubtotal="0">
      <items count="6">
        <item x="2"/>
        <item x="1"/>
        <item x="3"/>
        <item x="0"/>
        <item x="5"/>
        <item x="4"/>
      </items>
    </pivotField>
    <pivotField showAll="0" defaultSubtotal="0"/>
    <pivotField dataField="1" showAll="0" defaultSubtotal="0">
      <items count="78">
        <item x="77"/>
        <item x="62"/>
        <item x="43"/>
        <item x="53"/>
        <item x="57"/>
        <item x="69"/>
        <item x="14"/>
        <item x="6"/>
        <item x="20"/>
        <item x="3"/>
        <item x="38"/>
        <item x="27"/>
        <item x="31"/>
        <item x="73"/>
        <item x="45"/>
        <item x="74"/>
        <item x="71"/>
        <item x="12"/>
        <item x="5"/>
        <item x="9"/>
        <item x="17"/>
        <item x="7"/>
        <item x="67"/>
        <item x="16"/>
        <item x="23"/>
        <item x="50"/>
        <item x="11"/>
        <item x="21"/>
        <item x="4"/>
        <item x="22"/>
        <item x="1"/>
        <item x="55"/>
        <item x="51"/>
        <item x="28"/>
        <item x="44"/>
        <item x="37"/>
        <item x="61"/>
        <item x="76"/>
        <item x="65"/>
        <item x="29"/>
        <item x="33"/>
        <item x="54"/>
        <item x="25"/>
        <item x="66"/>
        <item x="36"/>
        <item x="60"/>
        <item x="52"/>
        <item x="59"/>
        <item x="42"/>
        <item x="30"/>
        <item x="35"/>
        <item x="75"/>
        <item x="40"/>
        <item x="68"/>
        <item x="47"/>
        <item x="2"/>
        <item x="19"/>
        <item x="10"/>
        <item x="15"/>
        <item x="49"/>
        <item x="64"/>
        <item x="58"/>
        <item x="24"/>
        <item x="41"/>
        <item x="32"/>
        <item x="8"/>
        <item x="13"/>
        <item x="0"/>
        <item x="18"/>
        <item x="26"/>
        <item x="70"/>
        <item x="72"/>
        <item x="39"/>
        <item x="63"/>
        <item x="46"/>
        <item x="48"/>
        <item x="34"/>
        <item x="56"/>
      </items>
    </pivotField>
    <pivotField showAll="0" defaultSubtotal="0"/>
  </pivotFields>
  <rowFields count="2">
    <field x="0"/>
    <field x="1"/>
  </rowFields>
  <rowItems count="15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" fld="4" baseField="0" baseItem="0"/>
  </dataFields>
  <formats count="3">
    <format dxfId="15">
      <pivotArea collapsedLevelsAreSubtotals="1" fieldPosition="0">
        <references count="2">
          <reference field="0" count="1" selected="0">
            <x v="0"/>
          </reference>
          <reference field="1" count="7">
            <x v="5"/>
            <x v="6"/>
            <x v="7"/>
            <x v="8"/>
            <x v="9"/>
            <x v="10"/>
            <x v="11"/>
          </reference>
        </references>
      </pivotArea>
    </format>
    <format dxfId="14">
      <pivotArea collapsedLevelsAreSubtotals="1" fieldPosition="0">
        <references count="1">
          <reference field="0" count="1">
            <x v="1"/>
          </reference>
        </references>
      </pivotArea>
    </format>
    <format dxfId="13">
      <pivotArea collapsedLevelsAreSubtotals="1" fieldPosition="0">
        <references count="2">
          <reference field="0" count="1" selected="0">
            <x v="1"/>
          </reference>
          <reference field="1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rowHeaderCaption="DATE" colHeaderCaption="">
  <location ref="L31:Z47" firstHeaderRow="1" firstDataRow="2" firstDataCol="1"/>
  <pivotFields count="8">
    <pivotField axis="axisRow" showAll="0" defaultSubtotal="0">
      <items count="2">
        <item x="0"/>
        <item x="1"/>
      </items>
    </pivotField>
    <pivotField axis="axisRow" showAll="0" defaultSubtotal="0">
      <items count="12">
        <item x="7"/>
        <item x="8"/>
        <item x="9"/>
        <item x="10"/>
        <item x="11"/>
        <item x="0"/>
        <item x="1"/>
        <item x="2"/>
        <item x="3"/>
        <item x="4"/>
        <item x="5"/>
        <item x="6"/>
      </items>
    </pivotField>
    <pivotField axis="axisCol" showAll="0" defaultSubtotal="0">
      <items count="14">
        <item x="9"/>
        <item x="6"/>
        <item x="10"/>
        <item x="5"/>
        <item x="12"/>
        <item x="2"/>
        <item x="8"/>
        <item x="3"/>
        <item x="13"/>
        <item x="11"/>
        <item x="1"/>
        <item x="4"/>
        <item x="7"/>
        <item x="0"/>
      </items>
    </pivotField>
    <pivotField showAll="0" defaultSubtotal="0"/>
    <pivotField showAll="0" defaultSubtotal="0"/>
    <pivotField dataField="1" showAll="0" defaultSubtotal="0">
      <items count="180">
        <item x="172"/>
        <item x="86"/>
        <item x="124"/>
        <item x="71"/>
        <item x="134"/>
        <item x="30"/>
        <item x="104"/>
        <item x="25"/>
        <item x="42"/>
        <item x="2"/>
        <item x="63"/>
        <item x="29"/>
        <item x="113"/>
        <item x="48"/>
        <item x="22"/>
        <item x="133"/>
        <item x="21"/>
        <item x="175"/>
        <item x="152"/>
        <item x="75"/>
        <item x="64"/>
        <item x="5"/>
        <item x="107"/>
        <item x="155"/>
        <item x="9"/>
        <item x="103"/>
        <item x="50"/>
        <item x="84"/>
        <item x="37"/>
        <item x="83"/>
        <item x="125"/>
        <item x="157"/>
        <item x="130"/>
        <item x="65"/>
        <item x="143"/>
        <item x="168"/>
        <item x="87"/>
        <item x="19"/>
        <item x="0"/>
        <item x="101"/>
        <item x="57"/>
        <item x="126"/>
        <item x="76"/>
        <item x="51"/>
        <item x="178"/>
        <item x="123"/>
        <item x="154"/>
        <item x="149"/>
        <item x="41"/>
        <item x="92"/>
        <item x="20"/>
        <item x="38"/>
        <item x="6"/>
        <item x="43"/>
        <item x="166"/>
        <item x="142"/>
        <item x="67"/>
        <item x="165"/>
        <item x="147"/>
        <item x="99"/>
        <item x="160"/>
        <item x="121"/>
        <item x="61"/>
        <item x="46"/>
        <item x="170"/>
        <item x="14"/>
        <item x="74"/>
        <item x="33"/>
        <item x="17"/>
        <item x="10"/>
        <item x="129"/>
        <item x="138"/>
        <item x="119"/>
        <item x="36"/>
        <item x="150"/>
        <item x="35"/>
        <item x="167"/>
        <item x="127"/>
        <item x="98"/>
        <item x="177"/>
        <item x="55"/>
        <item x="164"/>
        <item x="88"/>
        <item x="4"/>
        <item x="15"/>
        <item x="49"/>
        <item x="95"/>
        <item x="60"/>
        <item x="118"/>
        <item x="108"/>
        <item x="3"/>
        <item x="163"/>
        <item x="111"/>
        <item x="70"/>
        <item x="62"/>
        <item x="117"/>
        <item x="82"/>
        <item x="96"/>
        <item x="145"/>
        <item x="23"/>
        <item x="137"/>
        <item x="72"/>
        <item x="16"/>
        <item x="105"/>
        <item x="141"/>
        <item x="169"/>
        <item x="116"/>
        <item x="153"/>
        <item x="139"/>
        <item x="109"/>
        <item x="11"/>
        <item x="28"/>
        <item x="34"/>
        <item x="40"/>
        <item x="91"/>
        <item x="174"/>
        <item x="52"/>
        <item x="18"/>
        <item x="12"/>
        <item x="47"/>
        <item x="156"/>
        <item x="24"/>
        <item x="54"/>
        <item x="115"/>
        <item x="7"/>
        <item x="69"/>
        <item x="56"/>
        <item x="77"/>
        <item x="136"/>
        <item x="179"/>
        <item x="93"/>
        <item x="8"/>
        <item x="171"/>
        <item x="161"/>
        <item x="44"/>
        <item x="89"/>
        <item x="66"/>
        <item x="102"/>
        <item x="39"/>
        <item x="148"/>
        <item x="73"/>
        <item x="159"/>
        <item x="100"/>
        <item x="151"/>
        <item x="120"/>
        <item x="122"/>
        <item x="79"/>
        <item x="144"/>
        <item x="68"/>
        <item x="78"/>
        <item x="128"/>
        <item x="85"/>
        <item x="27"/>
        <item x="32"/>
        <item x="135"/>
        <item x="97"/>
        <item x="45"/>
        <item x="1"/>
        <item x="26"/>
        <item x="58"/>
        <item x="173"/>
        <item x="31"/>
        <item x="162"/>
        <item x="112"/>
        <item x="146"/>
        <item x="80"/>
        <item x="13"/>
        <item x="90"/>
        <item x="53"/>
        <item x="110"/>
        <item x="131"/>
        <item x="59"/>
        <item x="176"/>
        <item x="158"/>
        <item x="81"/>
        <item x="94"/>
        <item x="140"/>
        <item x="106"/>
        <item x="114"/>
        <item x="132"/>
      </items>
    </pivotField>
    <pivotField showAll="0" defaultSubtotal="0"/>
    <pivotField showAll="0" defaultSubtotal="0"/>
  </pivotFields>
  <rowFields count="2">
    <field x="0"/>
    <field x="1"/>
  </rowFields>
  <rowItems count="15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1">
    <field x="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colItems>
  <dataFields count="1">
    <dataField name="TOTAL UPS CHARGE" fld="5" baseField="0" baseItem="0"/>
  </dataFields>
  <formats count="3">
    <format dxfId="3">
      <pivotArea collapsedLevelsAreSubtotals="1" fieldPosition="0">
        <references count="2">
          <reference field="0" count="1" selected="0">
            <x v="0"/>
          </reference>
          <reference field="1" count="7"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collapsedLevelsAreSubtotals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2">
          <reference field="0" count="1" selected="0">
            <x v="1"/>
          </reference>
          <reference field="1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rowHeaderCaption="DATE" colHeaderCaption="">
  <location ref="L6:Z22" firstHeaderRow="1" firstDataRow="2" firstDataCol="1"/>
  <pivotFields count="8">
    <pivotField axis="axisRow" showAll="0" defaultSubtotal="0">
      <items count="2">
        <item x="0"/>
        <item x="1"/>
      </items>
    </pivotField>
    <pivotField axis="axisRow" showAll="0" defaultSubtotal="0">
      <items count="12">
        <item x="7"/>
        <item x="8"/>
        <item x="9"/>
        <item x="10"/>
        <item x="11"/>
        <item x="0"/>
        <item x="1"/>
        <item x="2"/>
        <item x="3"/>
        <item x="4"/>
        <item x="5"/>
        <item x="6"/>
      </items>
    </pivotField>
    <pivotField axis="axisCol" showAll="0" defaultSubtotal="0">
      <items count="14">
        <item x="9"/>
        <item x="6"/>
        <item x="10"/>
        <item x="5"/>
        <item x="12"/>
        <item x="2"/>
        <item x="8"/>
        <item x="3"/>
        <item x="13"/>
        <item x="11"/>
        <item x="1"/>
        <item x="4"/>
        <item x="7"/>
        <item x="0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0"/>
    <field x="1"/>
  </rowFields>
  <rowItems count="15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1">
    <field x="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colItems>
  <dataFields count="1">
    <dataField name="COUNT OF CHARGE TYPES" fld="3" baseField="0" baseItem="0"/>
  </dataFields>
  <formats count="3">
    <format dxfId="6">
      <pivotArea collapsedLevelsAreSubtotals="1" fieldPosition="0">
        <references count="2">
          <reference field="0" count="1" selected="0">
            <x v="0"/>
          </reference>
          <reference field="1" count="7">
            <x v="5"/>
            <x v="6"/>
            <x v="7"/>
            <x v="8"/>
            <x v="9"/>
            <x v="10"/>
            <x v="11"/>
          </reference>
        </references>
      </pivotArea>
    </format>
    <format dxfId="5">
      <pivotArea collapsedLevelsAreSubtotals="1" fieldPosition="0">
        <references count="1">
          <reference field="0" count="1">
            <x v="1"/>
          </reference>
        </references>
      </pivotArea>
    </format>
    <format dxfId="4">
      <pivotArea collapsedLevelsAreSubtotals="1" fieldPosition="0">
        <references count="2">
          <reference field="0" count="1" selected="0">
            <x v="1"/>
          </reference>
          <reference field="1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7" displayName="Table7" ref="B73:G151" totalsRowShown="0">
  <autoFilter ref="B73:G151"/>
  <tableColumns count="6">
    <tableColumn id="1" name="Year"/>
    <tableColumn id="2" name="Month"/>
    <tableColumn id="3" name="Service"/>
    <tableColumn id="4" name="Adafruit Ship Rev"/>
    <tableColumn id="5" name="OID Count"/>
    <tableColumn id="6" name="Avg Ada Ship Charg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108:H135" totalsRowShown="0">
  <autoFilter ref="B108:H135"/>
  <tableColumns count="7">
    <tableColumn id="1" name="Month"/>
    <tableColumn id="2" name="Charge"/>
    <tableColumn id="3" name="Count"/>
    <tableColumn id="4" name="Incentive Amount"/>
    <tableColumn id="5" name="Net Amount"/>
    <tableColumn id="6" name="Entered Weight"/>
    <tableColumn id="7" name="Billed Weigh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K107:R288" totalsRowShown="0" headerRowDxfId="0">
  <autoFilter ref="K107:R288"/>
  <tableColumns count="8">
    <tableColumn id="1" name="Year"/>
    <tableColumn id="2" name="Month"/>
    <tableColumn id="3" name="Charge"/>
    <tableColumn id="4" name="Count"/>
    <tableColumn id="5" name="Incentive Amount"/>
    <tableColumn id="6" name="Net Amount"/>
    <tableColumn id="7" name="Entered Weight"/>
    <tableColumn id="8" name="Billed Weigh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.xml"/><Relationship Id="rId5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1"/>
  <sheetViews>
    <sheetView topLeftCell="D7" zoomScale="101" workbookViewId="0">
      <selection activeCell="A16" sqref="A16"/>
    </sheetView>
  </sheetViews>
  <sheetFormatPr baseColWidth="10" defaultColWidth="27" defaultRowHeight="16" x14ac:dyDescent="0.2"/>
  <cols>
    <col min="15" max="15" width="24.5" customWidth="1"/>
    <col min="16" max="17" width="12.1640625" customWidth="1"/>
    <col min="18" max="18" width="12.33203125" customWidth="1"/>
    <col min="19" max="19" width="12.5" bestFit="1" customWidth="1"/>
    <col min="20" max="20" width="12.1640625" customWidth="1"/>
    <col min="21" max="21" width="16.83203125" customWidth="1"/>
    <col min="22" max="22" width="10.6640625" customWidth="1"/>
  </cols>
  <sheetData>
    <row r="1" spans="1:29" ht="24" x14ac:dyDescent="0.3">
      <c r="A1" s="2" t="s">
        <v>0</v>
      </c>
    </row>
    <row r="2" spans="1:29" ht="24" x14ac:dyDescent="0.3">
      <c r="A2" s="3" t="s">
        <v>1</v>
      </c>
    </row>
    <row r="3" spans="1:29" ht="24" x14ac:dyDescent="0.3">
      <c r="A3" s="3" t="s">
        <v>35</v>
      </c>
    </row>
    <row r="4" spans="1:29" s="31" customFormat="1" ht="21" x14ac:dyDescent="0.25">
      <c r="A4" s="32" t="s">
        <v>33</v>
      </c>
    </row>
    <row r="7" spans="1:29" ht="24" x14ac:dyDescent="0.3">
      <c r="B7" s="57" t="s">
        <v>2</v>
      </c>
      <c r="C7" s="58"/>
      <c r="D7" s="58"/>
      <c r="E7" s="58"/>
      <c r="F7" s="58"/>
      <c r="G7" s="58"/>
      <c r="H7" s="58"/>
      <c r="I7" s="58"/>
      <c r="J7" s="58"/>
      <c r="K7" s="58"/>
      <c r="L7" s="59"/>
      <c r="O7" s="54" t="s">
        <v>89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6"/>
    </row>
    <row r="9" spans="1:29" ht="19" x14ac:dyDescent="0.25">
      <c r="B9" s="4" t="s">
        <v>3</v>
      </c>
      <c r="C9" s="5" t="s">
        <v>4</v>
      </c>
      <c r="D9" s="6" t="s">
        <v>5</v>
      </c>
      <c r="E9" s="14"/>
      <c r="F9" s="4" t="s">
        <v>3</v>
      </c>
      <c r="G9" s="5" t="s">
        <v>28</v>
      </c>
      <c r="H9" s="6" t="s">
        <v>5</v>
      </c>
      <c r="I9" s="14"/>
      <c r="J9" s="22" t="s">
        <v>3</v>
      </c>
      <c r="K9" s="5" t="s">
        <v>27</v>
      </c>
      <c r="L9" s="13" t="s">
        <v>5</v>
      </c>
      <c r="O9" s="15" t="s">
        <v>88</v>
      </c>
      <c r="P9" s="15" t="s">
        <v>25</v>
      </c>
    </row>
    <row r="10" spans="1:29" x14ac:dyDescent="0.2">
      <c r="B10" t="s">
        <v>19</v>
      </c>
      <c r="C10" s="21">
        <v>17752</v>
      </c>
      <c r="D10" s="7"/>
      <c r="F10" t="s">
        <v>19</v>
      </c>
      <c r="G10" s="12">
        <v>247963.83</v>
      </c>
      <c r="H10" s="7"/>
      <c r="J10" t="s">
        <v>19</v>
      </c>
      <c r="K10" s="12">
        <v>13.96900625</v>
      </c>
      <c r="L10" s="7"/>
      <c r="O10" s="15" t="s">
        <v>79</v>
      </c>
      <c r="P10" t="s">
        <v>7</v>
      </c>
      <c r="Q10" t="s">
        <v>8</v>
      </c>
      <c r="R10" t="s">
        <v>9</v>
      </c>
      <c r="S10" t="s">
        <v>10</v>
      </c>
      <c r="T10" t="s">
        <v>11</v>
      </c>
      <c r="U10" t="s">
        <v>12</v>
      </c>
    </row>
    <row r="11" spans="1:29" x14ac:dyDescent="0.2">
      <c r="B11" t="s">
        <v>18</v>
      </c>
      <c r="C11" s="21">
        <v>17238</v>
      </c>
      <c r="D11" s="7">
        <f t="shared" ref="D11:D22" si="0">(C11-C10)/C10</f>
        <v>-2.8954484001802613E-2</v>
      </c>
      <c r="F11" t="s">
        <v>18</v>
      </c>
      <c r="G11" s="12">
        <v>237805.33</v>
      </c>
      <c r="H11" s="7">
        <f t="shared" ref="H11:H22" si="1">(G11-G10)/G10</f>
        <v>-4.096766855069145E-2</v>
      </c>
      <c r="J11" t="s">
        <v>18</v>
      </c>
      <c r="K11" s="12">
        <v>13.79541304</v>
      </c>
      <c r="L11" s="7">
        <f t="shared" ref="L11:L22" si="2">(K11-K10)/K10</f>
        <v>-1.2427026439336008E-2</v>
      </c>
      <c r="O11" s="16">
        <v>2015</v>
      </c>
      <c r="P11" s="18"/>
      <c r="Q11" s="18"/>
      <c r="R11" s="18"/>
      <c r="S11" s="18"/>
      <c r="T11" s="18"/>
      <c r="U11" s="18"/>
    </row>
    <row r="12" spans="1:29" x14ac:dyDescent="0.2">
      <c r="B12" t="s">
        <v>14</v>
      </c>
      <c r="C12" s="21">
        <v>17190</v>
      </c>
      <c r="D12" s="7">
        <f t="shared" si="0"/>
        <v>-2.7845457709711106E-3</v>
      </c>
      <c r="F12" t="s">
        <v>14</v>
      </c>
      <c r="G12" s="12">
        <v>240208.33</v>
      </c>
      <c r="H12" s="7">
        <f t="shared" si="1"/>
        <v>1.0104903872423718E-2</v>
      </c>
      <c r="J12" t="s">
        <v>14</v>
      </c>
      <c r="K12" s="12">
        <v>13.974537789999999</v>
      </c>
      <c r="L12" s="7">
        <f t="shared" si="2"/>
        <v>1.2984370201937769E-2</v>
      </c>
      <c r="O12" s="17" t="s">
        <v>19</v>
      </c>
      <c r="P12" s="20">
        <v>3138</v>
      </c>
      <c r="Q12" s="20">
        <v>1770</v>
      </c>
      <c r="R12" s="20">
        <v>708</v>
      </c>
      <c r="S12" s="20">
        <v>8907</v>
      </c>
      <c r="T12" s="20">
        <v>1529</v>
      </c>
      <c r="U12" s="20">
        <v>1699</v>
      </c>
    </row>
    <row r="13" spans="1:29" x14ac:dyDescent="0.2">
      <c r="B13" t="s">
        <v>24</v>
      </c>
      <c r="C13" s="21">
        <v>18193</v>
      </c>
      <c r="D13" s="7">
        <f t="shared" si="0"/>
        <v>5.8347876672483999E-2</v>
      </c>
      <c r="F13" t="s">
        <v>24</v>
      </c>
      <c r="G13" s="12">
        <v>251494.95</v>
      </c>
      <c r="H13" s="7">
        <f t="shared" si="1"/>
        <v>4.6986796835896676E-2</v>
      </c>
      <c r="J13" t="s">
        <v>24</v>
      </c>
      <c r="K13" s="12">
        <v>13.823720659999999</v>
      </c>
      <c r="L13" s="7">
        <f t="shared" si="2"/>
        <v>-1.0792280379242517E-2</v>
      </c>
      <c r="O13" s="17" t="s">
        <v>18</v>
      </c>
      <c r="P13" s="20">
        <v>3193</v>
      </c>
      <c r="Q13" s="20">
        <v>1667</v>
      </c>
      <c r="R13" s="20">
        <v>636</v>
      </c>
      <c r="S13" s="20">
        <v>8619</v>
      </c>
      <c r="T13" s="20">
        <v>1538</v>
      </c>
      <c r="U13" s="20">
        <v>1585</v>
      </c>
    </row>
    <row r="14" spans="1:29" x14ac:dyDescent="0.2">
      <c r="B14" t="s">
        <v>23</v>
      </c>
      <c r="C14" s="21">
        <v>21756</v>
      </c>
      <c r="D14" s="7">
        <f t="shared" si="0"/>
        <v>0.19584455559830705</v>
      </c>
      <c r="F14" t="s">
        <v>23</v>
      </c>
      <c r="G14" s="12">
        <v>298228.19</v>
      </c>
      <c r="H14" s="7">
        <f t="shared" si="1"/>
        <v>0.18582178290259899</v>
      </c>
      <c r="J14" t="s">
        <v>23</v>
      </c>
      <c r="K14" s="12">
        <v>13.70785944</v>
      </c>
      <c r="L14" s="7">
        <f t="shared" si="2"/>
        <v>-8.3813340018691704E-3</v>
      </c>
      <c r="O14" s="17" t="s">
        <v>14</v>
      </c>
      <c r="P14" s="20">
        <v>3259</v>
      </c>
      <c r="Q14" s="20">
        <v>1609</v>
      </c>
      <c r="R14" s="20">
        <v>617</v>
      </c>
      <c r="S14" s="20">
        <v>8623</v>
      </c>
      <c r="T14" s="20">
        <v>1523</v>
      </c>
      <c r="U14" s="20">
        <v>1558</v>
      </c>
    </row>
    <row r="15" spans="1:29" x14ac:dyDescent="0.2">
      <c r="B15" t="s">
        <v>22</v>
      </c>
      <c r="C15" s="21">
        <v>27482</v>
      </c>
      <c r="D15" s="7">
        <f t="shared" si="0"/>
        <v>0.26319176319176318</v>
      </c>
      <c r="F15" t="s">
        <v>22</v>
      </c>
      <c r="G15" s="12">
        <v>374445.63</v>
      </c>
      <c r="H15" s="7">
        <f t="shared" si="1"/>
        <v>0.25556752364690943</v>
      </c>
      <c r="J15" t="s">
        <v>22</v>
      </c>
      <c r="K15" s="12">
        <v>13.624627220000001</v>
      </c>
      <c r="L15" s="7">
        <f t="shared" si="2"/>
        <v>-6.0718612095718499E-3</v>
      </c>
      <c r="O15" s="17" t="s">
        <v>24</v>
      </c>
      <c r="P15" s="20">
        <v>3184</v>
      </c>
      <c r="Q15" s="20">
        <v>1726</v>
      </c>
      <c r="R15" s="20">
        <v>693</v>
      </c>
      <c r="S15" s="20">
        <v>9292</v>
      </c>
      <c r="T15" s="20">
        <v>1614</v>
      </c>
      <c r="U15" s="20">
        <v>1684</v>
      </c>
    </row>
    <row r="16" spans="1:29" x14ac:dyDescent="0.2">
      <c r="B16" t="s">
        <v>15</v>
      </c>
      <c r="C16" s="21">
        <v>25319</v>
      </c>
      <c r="D16" s="7">
        <f t="shared" si="0"/>
        <v>-7.8706062149770759E-2</v>
      </c>
      <c r="F16" t="s">
        <v>15</v>
      </c>
      <c r="G16" s="12">
        <v>350690.49</v>
      </c>
      <c r="H16" s="7">
        <f t="shared" si="1"/>
        <v>-6.3440825841658277E-2</v>
      </c>
      <c r="J16" t="s">
        <v>15</v>
      </c>
      <c r="K16" s="12">
        <v>13.85088234</v>
      </c>
      <c r="L16" s="7">
        <f t="shared" si="2"/>
        <v>1.6606334716290267E-2</v>
      </c>
      <c r="O16" s="17" t="s">
        <v>23</v>
      </c>
      <c r="P16" s="20">
        <v>3881</v>
      </c>
      <c r="Q16" s="20">
        <v>1971</v>
      </c>
      <c r="R16" s="20">
        <v>741</v>
      </c>
      <c r="S16" s="20">
        <v>11258</v>
      </c>
      <c r="T16" s="20">
        <v>1830</v>
      </c>
      <c r="U16" s="20">
        <v>2075</v>
      </c>
    </row>
    <row r="17" spans="2:29" x14ac:dyDescent="0.2">
      <c r="B17" s="1" t="s">
        <v>26</v>
      </c>
      <c r="C17" s="21">
        <v>23517</v>
      </c>
      <c r="D17" s="7">
        <f t="shared" si="0"/>
        <v>-7.1171847229353449E-2</v>
      </c>
      <c r="F17" s="1" t="s">
        <v>26</v>
      </c>
      <c r="G17" s="12">
        <v>335669.12</v>
      </c>
      <c r="H17" s="7">
        <f t="shared" si="1"/>
        <v>-4.2833696459804185E-2</v>
      </c>
      <c r="J17" s="1" t="s">
        <v>26</v>
      </c>
      <c r="K17" s="12">
        <v>14.27346685</v>
      </c>
      <c r="L17" s="7">
        <f t="shared" si="2"/>
        <v>3.0509573298418479E-2</v>
      </c>
      <c r="O17" s="17" t="s">
        <v>22</v>
      </c>
      <c r="P17" s="20">
        <v>3971</v>
      </c>
      <c r="Q17" s="20">
        <v>2361</v>
      </c>
      <c r="R17" s="20">
        <v>921</v>
      </c>
      <c r="S17" s="20">
        <v>15621</v>
      </c>
      <c r="T17" s="20">
        <v>1982</v>
      </c>
      <c r="U17" s="20">
        <v>2627</v>
      </c>
    </row>
    <row r="18" spans="2:29" x14ac:dyDescent="0.2">
      <c r="B18" t="s">
        <v>16</v>
      </c>
      <c r="C18" s="21">
        <v>24002</v>
      </c>
      <c r="D18" s="7">
        <f t="shared" si="0"/>
        <v>2.0623378832334057E-2</v>
      </c>
      <c r="F18" t="s">
        <v>16</v>
      </c>
      <c r="G18" s="12">
        <v>333905.38</v>
      </c>
      <c r="H18" s="7">
        <f t="shared" si="1"/>
        <v>-5.2544005239445043E-3</v>
      </c>
      <c r="J18" t="s">
        <v>16</v>
      </c>
      <c r="K18" s="12">
        <v>13.912144489999999</v>
      </c>
      <c r="L18" s="7">
        <f t="shared" si="2"/>
        <v>-2.5314267640590825E-2</v>
      </c>
      <c r="O18" s="17" t="s">
        <v>15</v>
      </c>
      <c r="P18" s="20">
        <v>3956</v>
      </c>
      <c r="Q18" s="20">
        <v>2835</v>
      </c>
      <c r="R18" s="20">
        <v>725</v>
      </c>
      <c r="S18" s="20">
        <v>13817</v>
      </c>
      <c r="T18" s="20">
        <v>1848</v>
      </c>
      <c r="U18" s="20">
        <v>2138</v>
      </c>
    </row>
    <row r="19" spans="2:29" x14ac:dyDescent="0.2">
      <c r="B19" t="s">
        <v>20</v>
      </c>
      <c r="C19" s="21">
        <v>27622</v>
      </c>
      <c r="D19" s="8">
        <f t="shared" si="0"/>
        <v>0.15082076493625532</v>
      </c>
      <c r="F19" t="s">
        <v>20</v>
      </c>
      <c r="G19" s="12">
        <v>369901.02</v>
      </c>
      <c r="H19" s="8">
        <f t="shared" si="1"/>
        <v>0.10780191681847119</v>
      </c>
      <c r="J19" t="s">
        <v>20</v>
      </c>
      <c r="K19" s="12">
        <v>13.391536459999999</v>
      </c>
      <c r="L19" s="8">
        <f t="shared" si="2"/>
        <v>-3.7421120113740283E-2</v>
      </c>
      <c r="O19" s="16">
        <v>2016</v>
      </c>
      <c r="P19" s="20"/>
      <c r="Q19" s="20"/>
      <c r="R19" s="20"/>
      <c r="S19" s="20"/>
      <c r="T19" s="20"/>
      <c r="U19" s="20"/>
    </row>
    <row r="20" spans="2:29" x14ac:dyDescent="0.2">
      <c r="B20" t="s">
        <v>13</v>
      </c>
      <c r="C20" s="21">
        <v>24033</v>
      </c>
      <c r="D20" s="8">
        <f t="shared" si="0"/>
        <v>-0.12993266237057419</v>
      </c>
      <c r="F20" t="s">
        <v>13</v>
      </c>
      <c r="G20" s="12">
        <v>331933.64</v>
      </c>
      <c r="H20" s="8">
        <f t="shared" si="1"/>
        <v>-0.10264199866223674</v>
      </c>
      <c r="J20" t="s">
        <v>13</v>
      </c>
      <c r="K20" s="12">
        <v>13.81157741</v>
      </c>
      <c r="L20" s="8">
        <f t="shared" si="2"/>
        <v>3.1366150647063294E-2</v>
      </c>
      <c r="O20" s="17" t="s">
        <v>17</v>
      </c>
      <c r="P20" s="20">
        <v>3050</v>
      </c>
      <c r="Q20" s="20">
        <v>1835</v>
      </c>
      <c r="R20" s="20">
        <v>472</v>
      </c>
      <c r="S20" s="20">
        <v>14393</v>
      </c>
      <c r="T20" s="20">
        <v>1431</v>
      </c>
      <c r="U20" s="20">
        <v>2336</v>
      </c>
    </row>
    <row r="21" spans="2:29" x14ac:dyDescent="0.2">
      <c r="B21" t="s">
        <v>21</v>
      </c>
      <c r="C21" s="21">
        <v>21466</v>
      </c>
      <c r="D21" s="8">
        <f t="shared" si="0"/>
        <v>-0.10681146756543086</v>
      </c>
      <c r="F21" t="s">
        <v>21</v>
      </c>
      <c r="G21" s="12">
        <v>305516.71000000002</v>
      </c>
      <c r="H21" s="8">
        <f t="shared" si="1"/>
        <v>-7.9584973671243425E-2</v>
      </c>
      <c r="J21" t="s">
        <v>21</v>
      </c>
      <c r="K21" s="12">
        <v>14.232586879999999</v>
      </c>
      <c r="L21" s="8">
        <f t="shared" si="2"/>
        <v>3.0482359653950603E-2</v>
      </c>
      <c r="O21" s="17" t="s">
        <v>16</v>
      </c>
      <c r="P21" s="20">
        <v>3377</v>
      </c>
      <c r="Q21" s="20">
        <v>1815</v>
      </c>
      <c r="R21" s="20">
        <v>481</v>
      </c>
      <c r="S21" s="20">
        <v>14518</v>
      </c>
      <c r="T21" s="20">
        <v>1649</v>
      </c>
      <c r="U21" s="20">
        <v>2161</v>
      </c>
    </row>
    <row r="22" spans="2:29" x14ac:dyDescent="0.2">
      <c r="B22" t="s">
        <v>19</v>
      </c>
      <c r="C22" s="21">
        <v>21432</v>
      </c>
      <c r="D22" s="8">
        <f t="shared" si="0"/>
        <v>-1.5839001211217739E-3</v>
      </c>
      <c r="F22" t="s">
        <v>19</v>
      </c>
      <c r="G22" s="12">
        <v>297380.95</v>
      </c>
      <c r="H22" s="8">
        <f t="shared" si="1"/>
        <v>-2.6629509070060387E-2</v>
      </c>
      <c r="J22" t="s">
        <v>19</v>
      </c>
      <c r="K22" s="12">
        <v>13.875557580000001</v>
      </c>
      <c r="L22" s="8">
        <f t="shared" si="2"/>
        <v>-2.5085341337470122E-2</v>
      </c>
      <c r="O22" s="17" t="s">
        <v>20</v>
      </c>
      <c r="P22" s="20">
        <v>3783</v>
      </c>
      <c r="Q22" s="20">
        <v>2058</v>
      </c>
      <c r="R22" s="20">
        <v>487</v>
      </c>
      <c r="S22" s="20">
        <v>17207</v>
      </c>
      <c r="T22" s="20">
        <v>1796</v>
      </c>
      <c r="U22" s="20">
        <v>2291</v>
      </c>
    </row>
    <row r="23" spans="2:29" x14ac:dyDescent="0.2">
      <c r="B23" s="9" t="s">
        <v>6</v>
      </c>
      <c r="C23" s="10"/>
      <c r="D23" s="11">
        <f>(C22-C10)/C10</f>
        <v>0.20730058584948174</v>
      </c>
      <c r="F23" s="9" t="s">
        <v>6</v>
      </c>
      <c r="G23" s="10"/>
      <c r="H23" s="11">
        <f>(G22-G10)/G10</f>
        <v>0.19929164668895472</v>
      </c>
      <c r="J23" s="9" t="s">
        <v>6</v>
      </c>
      <c r="K23" s="10"/>
      <c r="L23" s="11">
        <f>(K22-K10)/K10</f>
        <v>-6.6897149537748267E-3</v>
      </c>
      <c r="O23" s="17" t="s">
        <v>13</v>
      </c>
      <c r="P23" s="20">
        <v>3387</v>
      </c>
      <c r="Q23" s="20">
        <v>1908</v>
      </c>
      <c r="R23" s="20">
        <v>462</v>
      </c>
      <c r="S23" s="20">
        <v>14186</v>
      </c>
      <c r="T23" s="20">
        <v>1940</v>
      </c>
      <c r="U23" s="20">
        <v>2150</v>
      </c>
    </row>
    <row r="24" spans="2:29" x14ac:dyDescent="0.2">
      <c r="O24" s="17" t="s">
        <v>21</v>
      </c>
      <c r="P24" s="20">
        <v>2866</v>
      </c>
      <c r="Q24" s="20">
        <v>1493</v>
      </c>
      <c r="R24" s="20">
        <v>495</v>
      </c>
      <c r="S24" s="20">
        <v>12918</v>
      </c>
      <c r="T24" s="20">
        <v>1607</v>
      </c>
      <c r="U24" s="20">
        <v>2087</v>
      </c>
    </row>
    <row r="25" spans="2:29" x14ac:dyDescent="0.2">
      <c r="O25" s="17" t="s">
        <v>19</v>
      </c>
      <c r="P25" s="20">
        <v>2681</v>
      </c>
      <c r="Q25" s="20">
        <v>1445</v>
      </c>
      <c r="R25" s="20">
        <v>445</v>
      </c>
      <c r="S25" s="20">
        <v>13521</v>
      </c>
      <c r="T25" s="20">
        <v>1411</v>
      </c>
      <c r="U25" s="20">
        <v>1929</v>
      </c>
    </row>
    <row r="26" spans="2:29" x14ac:dyDescent="0.2">
      <c r="O26" s="49" t="s">
        <v>48</v>
      </c>
      <c r="P26" s="34">
        <f>(P25-P24)/P24</f>
        <v>-6.4549895324494067E-2</v>
      </c>
      <c r="Q26" s="34">
        <f t="shared" ref="Q26:U26" si="3">(Q25-Q24)/Q24</f>
        <v>-3.2150033489618215E-2</v>
      </c>
      <c r="R26" s="34">
        <f t="shared" si="3"/>
        <v>-0.10101010101010101</v>
      </c>
      <c r="S26" s="34">
        <f t="shared" si="3"/>
        <v>4.6679052484904782E-2</v>
      </c>
      <c r="T26" s="34">
        <f t="shared" si="3"/>
        <v>-0.12196639701306783</v>
      </c>
      <c r="U26" s="35">
        <f t="shared" si="3"/>
        <v>-7.5706756109247722E-2</v>
      </c>
    </row>
    <row r="27" spans="2:29" x14ac:dyDescent="0.2">
      <c r="O27" s="49" t="s">
        <v>41</v>
      </c>
      <c r="P27" s="34">
        <f>(P25-P12)/P12</f>
        <v>-0.14563416188655195</v>
      </c>
      <c r="Q27" s="34">
        <f t="shared" ref="Q27:U27" si="4">(Q25-Q12)/Q12</f>
        <v>-0.18361581920903955</v>
      </c>
      <c r="R27" s="34">
        <f t="shared" si="4"/>
        <v>-0.37146892655367231</v>
      </c>
      <c r="S27" s="34">
        <f t="shared" si="4"/>
        <v>0.51801953519703603</v>
      </c>
      <c r="T27" s="34">
        <f t="shared" si="4"/>
        <v>-7.717462393721386E-2</v>
      </c>
      <c r="U27" s="35">
        <f t="shared" si="4"/>
        <v>0.13537374926427309</v>
      </c>
    </row>
    <row r="29" spans="2:29" ht="24" x14ac:dyDescent="0.2">
      <c r="O29" s="54" t="s">
        <v>28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6"/>
    </row>
    <row r="30" spans="2:29" ht="17" thickBot="1" x14ac:dyDescent="0.25"/>
    <row r="31" spans="2:29" x14ac:dyDescent="0.2">
      <c r="O31" s="15" t="s">
        <v>90</v>
      </c>
      <c r="P31" s="15" t="s">
        <v>25</v>
      </c>
    </row>
    <row r="32" spans="2:29" x14ac:dyDescent="0.2">
      <c r="O32" s="15" t="s">
        <v>79</v>
      </c>
      <c r="P32" t="s">
        <v>7</v>
      </c>
      <c r="Q32" t="s">
        <v>8</v>
      </c>
      <c r="R32" t="s">
        <v>9</v>
      </c>
      <c r="S32" t="s">
        <v>10</v>
      </c>
      <c r="T32" t="s">
        <v>11</v>
      </c>
      <c r="U32" t="s">
        <v>12</v>
      </c>
    </row>
    <row r="33" spans="2:21" x14ac:dyDescent="0.2">
      <c r="O33" s="16">
        <v>2015</v>
      </c>
      <c r="P33" s="18"/>
      <c r="Q33" s="18"/>
      <c r="R33" s="18"/>
      <c r="S33" s="18"/>
      <c r="T33" s="18"/>
      <c r="U33" s="18"/>
    </row>
    <row r="34" spans="2:21" x14ac:dyDescent="0.2">
      <c r="O34" s="17" t="s">
        <v>19</v>
      </c>
      <c r="P34" s="19">
        <v>38158.949999999997</v>
      </c>
      <c r="Q34" s="19">
        <v>19821.439999999999</v>
      </c>
      <c r="R34" s="19">
        <v>28474.27</v>
      </c>
      <c r="S34" s="19">
        <v>66857.8</v>
      </c>
      <c r="T34" s="19">
        <v>27778.34</v>
      </c>
      <c r="U34" s="19">
        <v>66873.03</v>
      </c>
    </row>
    <row r="35" spans="2:21" x14ac:dyDescent="0.2">
      <c r="O35" s="17" t="s">
        <v>18</v>
      </c>
      <c r="P35" s="19">
        <v>39563.040000000001</v>
      </c>
      <c r="Q35" s="19">
        <v>18390.36</v>
      </c>
      <c r="R35" s="19">
        <v>25134.07</v>
      </c>
      <c r="S35" s="19">
        <v>66032.34</v>
      </c>
      <c r="T35" s="19">
        <v>28050.45</v>
      </c>
      <c r="U35" s="19">
        <v>60635.07</v>
      </c>
    </row>
    <row r="36" spans="2:21" x14ac:dyDescent="0.2">
      <c r="O36" s="17" t="s">
        <v>14</v>
      </c>
      <c r="P36" s="19">
        <v>40640.22</v>
      </c>
      <c r="Q36" s="19">
        <v>17967.7</v>
      </c>
      <c r="R36" s="19">
        <v>25927.43</v>
      </c>
      <c r="S36" s="19">
        <v>65978.98</v>
      </c>
      <c r="T36" s="19">
        <v>28803.42</v>
      </c>
      <c r="U36" s="19">
        <v>60890.58</v>
      </c>
    </row>
    <row r="37" spans="2:21" x14ac:dyDescent="0.2">
      <c r="O37" s="17" t="s">
        <v>24</v>
      </c>
      <c r="P37" s="19">
        <v>39045.24</v>
      </c>
      <c r="Q37" s="19">
        <v>19128.66</v>
      </c>
      <c r="R37" s="19">
        <v>27548.95</v>
      </c>
      <c r="S37" s="19">
        <v>72379.179999999993</v>
      </c>
      <c r="T37" s="19">
        <v>29076.34</v>
      </c>
      <c r="U37" s="19">
        <v>64316.58</v>
      </c>
    </row>
    <row r="38" spans="2:21" x14ac:dyDescent="0.2">
      <c r="O38" s="17" t="s">
        <v>23</v>
      </c>
      <c r="P38" s="19">
        <v>46787.66</v>
      </c>
      <c r="Q38" s="19">
        <v>21571.84</v>
      </c>
      <c r="R38" s="19">
        <v>29931.73</v>
      </c>
      <c r="S38" s="19">
        <v>88605.65</v>
      </c>
      <c r="T38" s="19">
        <v>32108.57</v>
      </c>
      <c r="U38" s="19">
        <v>79222.740000000005</v>
      </c>
    </row>
    <row r="39" spans="2:21" x14ac:dyDescent="0.2">
      <c r="O39" s="17" t="s">
        <v>22</v>
      </c>
      <c r="P39" s="19">
        <v>48808.959999999999</v>
      </c>
      <c r="Q39" s="19">
        <v>26105.43</v>
      </c>
      <c r="R39" s="19">
        <v>38378.03</v>
      </c>
      <c r="S39" s="19">
        <v>126581.21</v>
      </c>
      <c r="T39" s="19">
        <v>35908.660000000003</v>
      </c>
      <c r="U39" s="19">
        <v>98663.34</v>
      </c>
    </row>
    <row r="40" spans="2:21" x14ac:dyDescent="0.2">
      <c r="O40" s="17" t="s">
        <v>15</v>
      </c>
      <c r="P40" s="19">
        <v>50736.17</v>
      </c>
      <c r="Q40" s="19">
        <v>33068.410000000003</v>
      </c>
      <c r="R40" s="19">
        <v>31919.86</v>
      </c>
      <c r="S40" s="19">
        <v>115551.26</v>
      </c>
      <c r="T40" s="19">
        <v>33749.65</v>
      </c>
      <c r="U40" s="19">
        <v>85665.14</v>
      </c>
    </row>
    <row r="41" spans="2:21" x14ac:dyDescent="0.2">
      <c r="O41" s="16">
        <v>2016</v>
      </c>
      <c r="P41" s="19"/>
      <c r="Q41" s="19"/>
      <c r="R41" s="19"/>
      <c r="S41" s="19"/>
      <c r="T41" s="19"/>
      <c r="U41" s="19"/>
    </row>
    <row r="42" spans="2:21" x14ac:dyDescent="0.2">
      <c r="O42" s="17" t="s">
        <v>17</v>
      </c>
      <c r="P42" s="19">
        <v>40916.35</v>
      </c>
      <c r="Q42" s="19">
        <v>22018.09</v>
      </c>
      <c r="R42" s="19">
        <v>24628.95</v>
      </c>
      <c r="S42" s="19">
        <v>123941.47</v>
      </c>
      <c r="T42" s="19">
        <v>27737.84</v>
      </c>
      <c r="U42" s="19">
        <v>96426.42</v>
      </c>
    </row>
    <row r="43" spans="2:21" x14ac:dyDescent="0.2">
      <c r="O43" s="17" t="s">
        <v>16</v>
      </c>
      <c r="P43" s="19">
        <v>44781.29</v>
      </c>
      <c r="Q43" s="19">
        <v>21450.89</v>
      </c>
      <c r="R43" s="19">
        <v>24772.49</v>
      </c>
      <c r="S43" s="19">
        <v>122104.29</v>
      </c>
      <c r="T43" s="19">
        <v>31829.27</v>
      </c>
      <c r="U43" s="19">
        <v>88967.15</v>
      </c>
    </row>
    <row r="44" spans="2:21" x14ac:dyDescent="0.2">
      <c r="O44" s="17" t="s">
        <v>20</v>
      </c>
      <c r="P44" s="19">
        <v>49603.65</v>
      </c>
      <c r="Q44" s="19">
        <v>23980.65</v>
      </c>
      <c r="R44" s="19">
        <v>24420.81</v>
      </c>
      <c r="S44" s="19">
        <v>146677.51</v>
      </c>
      <c r="T44" s="19">
        <v>33934.129999999997</v>
      </c>
      <c r="U44" s="19">
        <v>91284.27</v>
      </c>
    </row>
    <row r="45" spans="2:21" x14ac:dyDescent="0.2">
      <c r="O45" s="17" t="s">
        <v>13</v>
      </c>
      <c r="P45" s="19">
        <v>45142.94</v>
      </c>
      <c r="Q45" s="19">
        <v>22403.06</v>
      </c>
      <c r="R45" s="19">
        <v>23983.14</v>
      </c>
      <c r="S45" s="19">
        <v>118048.45</v>
      </c>
      <c r="T45" s="19">
        <v>37381.78</v>
      </c>
      <c r="U45" s="19">
        <v>84974.27</v>
      </c>
    </row>
    <row r="46" spans="2:21" x14ac:dyDescent="0.2">
      <c r="O46" s="17" t="s">
        <v>21</v>
      </c>
      <c r="P46" s="19">
        <v>38946.160000000003</v>
      </c>
      <c r="Q46" s="19">
        <v>18540.12</v>
      </c>
      <c r="R46" s="19">
        <v>25082.38</v>
      </c>
      <c r="S46" s="19">
        <v>107810.12</v>
      </c>
      <c r="T46" s="19">
        <v>30689.94</v>
      </c>
      <c r="U46" s="19">
        <v>84447.99</v>
      </c>
    </row>
    <row r="47" spans="2:21" x14ac:dyDescent="0.2">
      <c r="B47" s="24" t="s">
        <v>29</v>
      </c>
      <c r="C47" s="27">
        <v>292871.240000255</v>
      </c>
      <c r="O47" s="17" t="s">
        <v>19</v>
      </c>
      <c r="P47" s="19">
        <v>36113.550000000003</v>
      </c>
      <c r="Q47" s="19">
        <v>17304.18</v>
      </c>
      <c r="R47" s="19">
        <v>23188.59</v>
      </c>
      <c r="S47" s="19">
        <v>109978.4</v>
      </c>
      <c r="T47" s="19">
        <v>31314.26</v>
      </c>
      <c r="U47" s="19">
        <v>79481.97</v>
      </c>
    </row>
    <row r="48" spans="2:21" x14ac:dyDescent="0.2">
      <c r="B48" s="25" t="s">
        <v>30</v>
      </c>
      <c r="C48" s="28">
        <v>293178.95</v>
      </c>
      <c r="O48" s="49" t="s">
        <v>48</v>
      </c>
      <c r="P48" s="34">
        <f>(P47-P46)/P46</f>
        <v>-7.2731432315791864E-2</v>
      </c>
      <c r="Q48" s="34">
        <f t="shared" ref="Q48" si="5">(Q47-Q46)/Q46</f>
        <v>-6.6662998944990587E-2</v>
      </c>
      <c r="R48" s="34">
        <f t="shared" ref="R48" si="6">(R47-R46)/R46</f>
        <v>-7.550280316301726E-2</v>
      </c>
      <c r="S48" s="34">
        <f t="shared" ref="S48" si="7">(S47-S46)/S46</f>
        <v>2.0112026588969559E-2</v>
      </c>
      <c r="T48" s="34">
        <f t="shared" ref="T48" si="8">(T47-T46)/T46</f>
        <v>2.0342822436277157E-2</v>
      </c>
      <c r="U48" s="35">
        <f t="shared" ref="U48" si="9">(U47-U46)/U46</f>
        <v>-5.8805662514880508E-2</v>
      </c>
    </row>
    <row r="49" spans="2:29" x14ac:dyDescent="0.2">
      <c r="B49" s="25" t="s">
        <v>31</v>
      </c>
      <c r="C49" s="29">
        <f>C48-C47</f>
        <v>307.70999974501319</v>
      </c>
      <c r="O49" s="51" t="s">
        <v>41</v>
      </c>
      <c r="P49" s="52">
        <f>(P47-P34)/P34</f>
        <v>-5.3602103831473201E-2</v>
      </c>
      <c r="Q49" s="52">
        <f t="shared" ref="Q49:U49" si="10">(Q47-Q34)/Q34</f>
        <v>-0.1269968276775047</v>
      </c>
      <c r="R49" s="52">
        <f t="shared" si="10"/>
        <v>-0.18563004424696403</v>
      </c>
      <c r="S49" s="52">
        <f t="shared" si="10"/>
        <v>0.64495989996679504</v>
      </c>
      <c r="T49" s="52">
        <f t="shared" si="10"/>
        <v>0.12729054363939668</v>
      </c>
      <c r="U49" s="53">
        <f t="shared" si="10"/>
        <v>0.18855045150488922</v>
      </c>
    </row>
    <row r="50" spans="2:29" x14ac:dyDescent="0.2">
      <c r="B50" s="26" t="s">
        <v>32</v>
      </c>
      <c r="C50" s="30">
        <f>C49/C48</f>
        <v>1.0495637553276358E-3</v>
      </c>
    </row>
    <row r="51" spans="2:29" ht="24" x14ac:dyDescent="0.2">
      <c r="O51" s="54" t="s">
        <v>92</v>
      </c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6"/>
    </row>
    <row r="52" spans="2:29" ht="17" thickBot="1" x14ac:dyDescent="0.25"/>
    <row r="53" spans="2:29" x14ac:dyDescent="0.2">
      <c r="O53" s="15" t="s">
        <v>91</v>
      </c>
      <c r="P53" s="15" t="s">
        <v>25</v>
      </c>
    </row>
    <row r="54" spans="2:29" x14ac:dyDescent="0.2">
      <c r="O54" s="15" t="s">
        <v>79</v>
      </c>
      <c r="P54" t="s">
        <v>7</v>
      </c>
      <c r="Q54" t="s">
        <v>8</v>
      </c>
      <c r="R54" t="s">
        <v>9</v>
      </c>
      <c r="S54" t="s">
        <v>10</v>
      </c>
      <c r="T54" t="s">
        <v>11</v>
      </c>
      <c r="U54" t="s">
        <v>12</v>
      </c>
    </row>
    <row r="55" spans="2:29" x14ac:dyDescent="0.2">
      <c r="G55" s="1"/>
      <c r="O55" s="16">
        <v>2015</v>
      </c>
      <c r="P55" s="18"/>
      <c r="Q55" s="18"/>
      <c r="R55" s="18"/>
      <c r="S55" s="18"/>
      <c r="T55" s="18"/>
      <c r="U55" s="18"/>
    </row>
    <row r="56" spans="2:29" x14ac:dyDescent="0.2">
      <c r="K56" s="1"/>
      <c r="O56" s="17" t="s">
        <v>19</v>
      </c>
      <c r="P56" s="19">
        <v>12.16027725</v>
      </c>
      <c r="Q56" s="19">
        <v>11.198553670000001</v>
      </c>
      <c r="R56" s="19">
        <v>40.217895480000003</v>
      </c>
      <c r="S56" s="19">
        <v>7.5062085999999999</v>
      </c>
      <c r="T56" s="19">
        <v>18.167652060000002</v>
      </c>
      <c r="U56" s="19">
        <v>39.36022955</v>
      </c>
    </row>
    <row r="57" spans="2:29" x14ac:dyDescent="0.2">
      <c r="O57" s="17" t="s">
        <v>18</v>
      </c>
      <c r="P57" s="19">
        <v>12.39055434</v>
      </c>
      <c r="Q57" s="19">
        <v>11.0320096</v>
      </c>
      <c r="R57" s="19">
        <v>39.518977990000003</v>
      </c>
      <c r="S57" s="19">
        <v>7.66125305</v>
      </c>
      <c r="T57" s="19">
        <v>18.238263979999999</v>
      </c>
      <c r="U57" s="19">
        <v>38.255564669999998</v>
      </c>
    </row>
    <row r="58" spans="2:29" x14ac:dyDescent="0.2">
      <c r="O58" s="17" t="s">
        <v>14</v>
      </c>
      <c r="P58" s="19">
        <v>12.470150350000001</v>
      </c>
      <c r="Q58" s="19">
        <v>11.16699814</v>
      </c>
      <c r="R58" s="19">
        <v>42.02176661</v>
      </c>
      <c r="S58" s="19">
        <v>7.6515110799999997</v>
      </c>
      <c r="T58" s="19">
        <v>18.912291530000001</v>
      </c>
      <c r="U58" s="19">
        <v>39.082528879999998</v>
      </c>
    </row>
    <row r="59" spans="2:29" x14ac:dyDescent="0.2">
      <c r="O59" s="17" t="s">
        <v>24</v>
      </c>
      <c r="P59" s="19">
        <v>12.26295226</v>
      </c>
      <c r="Q59" s="19">
        <v>11.08265353</v>
      </c>
      <c r="R59" s="19">
        <v>39.753174600000001</v>
      </c>
      <c r="S59" s="19">
        <v>7.7894080900000002</v>
      </c>
      <c r="T59" s="19">
        <v>18.01508055</v>
      </c>
      <c r="U59" s="19">
        <v>38.192743470000003</v>
      </c>
    </row>
    <row r="60" spans="2:29" x14ac:dyDescent="0.2">
      <c r="O60" s="17" t="s">
        <v>23</v>
      </c>
      <c r="P60" s="19">
        <v>12.055568149999999</v>
      </c>
      <c r="Q60" s="19">
        <v>10.94461695</v>
      </c>
      <c r="R60" s="19">
        <v>40.393697709999998</v>
      </c>
      <c r="S60" s="19">
        <v>7.8704610099999996</v>
      </c>
      <c r="T60" s="19">
        <v>17.545666669999999</v>
      </c>
      <c r="U60" s="19">
        <v>38.179633729999999</v>
      </c>
    </row>
    <row r="61" spans="2:29" x14ac:dyDescent="0.2">
      <c r="O61" s="17" t="s">
        <v>22</v>
      </c>
      <c r="P61" s="19">
        <v>12.2913523</v>
      </c>
      <c r="Q61" s="19">
        <v>11.05693774</v>
      </c>
      <c r="R61" s="19">
        <v>41.669956569999997</v>
      </c>
      <c r="S61" s="19">
        <v>8.1032718799999994</v>
      </c>
      <c r="T61" s="19">
        <v>18.11738648</v>
      </c>
      <c r="U61" s="19">
        <v>37.557419109999998</v>
      </c>
    </row>
    <row r="62" spans="2:29" x14ac:dyDescent="0.2">
      <c r="O62" s="17" t="s">
        <v>15</v>
      </c>
      <c r="P62" s="19">
        <v>12.825118809999999</v>
      </c>
      <c r="Q62" s="19">
        <v>11.66434215</v>
      </c>
      <c r="R62" s="19">
        <v>44.027393099999998</v>
      </c>
      <c r="S62" s="19">
        <v>8.3629774900000005</v>
      </c>
      <c r="T62" s="19">
        <v>18.262797620000001</v>
      </c>
      <c r="U62" s="19">
        <v>40.067885869999998</v>
      </c>
    </row>
    <row r="63" spans="2:29" x14ac:dyDescent="0.2">
      <c r="O63" s="16">
        <v>2016</v>
      </c>
      <c r="P63" s="19"/>
      <c r="Q63" s="19"/>
      <c r="R63" s="19"/>
      <c r="S63" s="19"/>
      <c r="T63" s="19"/>
      <c r="U63" s="19"/>
    </row>
    <row r="64" spans="2:29" x14ac:dyDescent="0.2">
      <c r="O64" s="17" t="s">
        <v>17</v>
      </c>
      <c r="P64" s="19">
        <v>13.415196720000001</v>
      </c>
      <c r="Q64" s="19">
        <v>11.998959129999999</v>
      </c>
      <c r="R64" s="19">
        <v>52.179978810000001</v>
      </c>
      <c r="S64" s="19">
        <v>8.6112325399999996</v>
      </c>
      <c r="T64" s="19">
        <v>19.383535989999999</v>
      </c>
      <c r="U64" s="19">
        <v>41.278433219999997</v>
      </c>
    </row>
    <row r="65" spans="2:21" ht="16" customHeight="1" x14ac:dyDescent="0.2">
      <c r="O65" s="17" t="s">
        <v>16</v>
      </c>
      <c r="P65" s="19">
        <v>13.260672189999999</v>
      </c>
      <c r="Q65" s="19">
        <v>11.81867218</v>
      </c>
      <c r="R65" s="19">
        <v>51.502058210000001</v>
      </c>
      <c r="S65" s="19">
        <v>8.41054484</v>
      </c>
      <c r="T65" s="19">
        <v>19.302164950000002</v>
      </c>
      <c r="U65" s="19">
        <v>41.169435450000002</v>
      </c>
    </row>
    <row r="66" spans="2:21" ht="16" customHeight="1" x14ac:dyDescent="0.2">
      <c r="O66" s="17" t="s">
        <v>20</v>
      </c>
      <c r="P66" s="19">
        <v>13.11225218</v>
      </c>
      <c r="Q66" s="19">
        <v>11.652405249999999</v>
      </c>
      <c r="R66" s="19">
        <v>50.145400410000001</v>
      </c>
      <c r="S66" s="19">
        <v>8.52429302</v>
      </c>
      <c r="T66" s="19">
        <v>18.89428174</v>
      </c>
      <c r="U66" s="19">
        <v>39.84472719</v>
      </c>
    </row>
    <row r="67" spans="2:21" ht="16" customHeight="1" x14ac:dyDescent="0.2">
      <c r="O67" s="17" t="s">
        <v>13</v>
      </c>
      <c r="P67" s="19">
        <v>13.32829643</v>
      </c>
      <c r="Q67" s="19">
        <v>11.741645699999999</v>
      </c>
      <c r="R67" s="19">
        <v>51.91155844</v>
      </c>
      <c r="S67" s="19">
        <v>8.3214754000000006</v>
      </c>
      <c r="T67" s="19">
        <v>19.26895876</v>
      </c>
      <c r="U67" s="19">
        <v>39.522916279999997</v>
      </c>
    </row>
    <row r="68" spans="2:21" x14ac:dyDescent="0.2">
      <c r="O68" s="17" t="s">
        <v>21</v>
      </c>
      <c r="P68" s="19">
        <v>13.58903001</v>
      </c>
      <c r="Q68" s="19">
        <v>12.418030809999999</v>
      </c>
      <c r="R68" s="19">
        <v>50.671474750000002</v>
      </c>
      <c r="S68" s="19">
        <v>8.3457284400000002</v>
      </c>
      <c r="T68" s="19">
        <v>19.09766024</v>
      </c>
      <c r="U68" s="19">
        <v>40.463818879999998</v>
      </c>
    </row>
    <row r="69" spans="2:21" x14ac:dyDescent="0.2">
      <c r="O69" s="17" t="s">
        <v>19</v>
      </c>
      <c r="P69" s="19">
        <v>13.47017904</v>
      </c>
      <c r="Q69" s="19">
        <v>11.97521107</v>
      </c>
      <c r="R69" s="19">
        <v>52.109191010000004</v>
      </c>
      <c r="S69" s="19">
        <v>8.13389542</v>
      </c>
      <c r="T69" s="19">
        <v>22.192955349999998</v>
      </c>
      <c r="U69" s="19">
        <v>41.20371695</v>
      </c>
    </row>
    <row r="70" spans="2:21" x14ac:dyDescent="0.2">
      <c r="O70" s="49" t="s">
        <v>48</v>
      </c>
      <c r="P70" s="34">
        <f>(P69-P68)/P68</f>
        <v>-8.7460966612436259E-3</v>
      </c>
      <c r="Q70" s="34">
        <f t="shared" ref="Q70" si="11">(Q69-Q68)/Q68</f>
        <v>-3.5659417082731425E-2</v>
      </c>
      <c r="R70" s="34">
        <f t="shared" ref="R70" si="12">(R69-R68)/R68</f>
        <v>2.8373286293586746E-2</v>
      </c>
      <c r="S70" s="34">
        <f t="shared" ref="S70" si="13">(S69-S68)/S68</f>
        <v>-2.5382208578068742E-2</v>
      </c>
      <c r="T70" s="34">
        <f t="shared" ref="T70" si="14">(T69-T68)/T68</f>
        <v>0.16207719014274383</v>
      </c>
      <c r="U70" s="35">
        <f t="shared" ref="U70" si="15">(U69-U68)/U68</f>
        <v>1.8285423632264007E-2</v>
      </c>
    </row>
    <row r="71" spans="2:21" x14ac:dyDescent="0.2">
      <c r="O71" s="49" t="s">
        <v>41</v>
      </c>
      <c r="P71" s="34">
        <f>(P69-P56)/P56</f>
        <v>0.10771973065005566</v>
      </c>
      <c r="Q71" s="34">
        <f t="shared" ref="Q71:U71" si="16">(Q69-Q56)/Q56</f>
        <v>6.935336677276463E-2</v>
      </c>
      <c r="R71" s="34">
        <f t="shared" si="16"/>
        <v>0.29567174980385125</v>
      </c>
      <c r="S71" s="34">
        <f t="shared" si="16"/>
        <v>8.3622352301799888E-2</v>
      </c>
      <c r="T71" s="34">
        <f t="shared" si="16"/>
        <v>0.22156430983520256</v>
      </c>
      <c r="U71" s="35">
        <f t="shared" si="16"/>
        <v>4.6836296969716244E-2</v>
      </c>
    </row>
    <row r="73" spans="2:21" hidden="1" x14ac:dyDescent="0.2">
      <c r="B73" t="s">
        <v>36</v>
      </c>
      <c r="C73" t="s">
        <v>3</v>
      </c>
      <c r="D73" t="s">
        <v>84</v>
      </c>
      <c r="E73" t="s">
        <v>86</v>
      </c>
      <c r="F73" t="s">
        <v>85</v>
      </c>
      <c r="G73" t="s">
        <v>87</v>
      </c>
    </row>
    <row r="74" spans="2:21" hidden="1" x14ac:dyDescent="0.2">
      <c r="B74">
        <v>2015</v>
      </c>
      <c r="C74" t="s">
        <v>19</v>
      </c>
      <c r="D74" t="s">
        <v>10</v>
      </c>
      <c r="E74">
        <v>66857.8</v>
      </c>
      <c r="F74">
        <v>8907</v>
      </c>
      <c r="G74">
        <v>7.5062085999999999</v>
      </c>
    </row>
    <row r="75" spans="2:21" hidden="1" x14ac:dyDescent="0.2">
      <c r="B75">
        <v>2015</v>
      </c>
      <c r="C75" t="s">
        <v>19</v>
      </c>
      <c r="D75" t="s">
        <v>8</v>
      </c>
      <c r="E75">
        <v>19821.439999999999</v>
      </c>
      <c r="F75">
        <v>1770</v>
      </c>
      <c r="G75">
        <v>11.198553670000001</v>
      </c>
    </row>
    <row r="76" spans="2:21" hidden="1" x14ac:dyDescent="0.2">
      <c r="B76">
        <v>2015</v>
      </c>
      <c r="C76" t="s">
        <v>19</v>
      </c>
      <c r="D76" t="s">
        <v>7</v>
      </c>
      <c r="E76">
        <v>38158.949999999997</v>
      </c>
      <c r="F76">
        <v>3138</v>
      </c>
      <c r="G76">
        <v>12.16027725</v>
      </c>
    </row>
    <row r="77" spans="2:21" hidden="1" x14ac:dyDescent="0.2">
      <c r="B77">
        <v>2015</v>
      </c>
      <c r="C77" t="s">
        <v>19</v>
      </c>
      <c r="D77" t="s">
        <v>9</v>
      </c>
      <c r="E77">
        <v>28474.27</v>
      </c>
      <c r="F77">
        <v>708</v>
      </c>
      <c r="G77">
        <v>40.217895480000003</v>
      </c>
    </row>
    <row r="78" spans="2:21" hidden="1" x14ac:dyDescent="0.2">
      <c r="B78">
        <v>2015</v>
      </c>
      <c r="C78" t="s">
        <v>19</v>
      </c>
      <c r="D78" t="s">
        <v>12</v>
      </c>
      <c r="E78">
        <v>66873.03</v>
      </c>
      <c r="F78">
        <v>1699</v>
      </c>
      <c r="G78">
        <v>39.36022955</v>
      </c>
    </row>
    <row r="79" spans="2:21" hidden="1" x14ac:dyDescent="0.2">
      <c r="B79">
        <v>2015</v>
      </c>
      <c r="C79" t="s">
        <v>19</v>
      </c>
      <c r="D79" t="s">
        <v>11</v>
      </c>
      <c r="E79">
        <v>27778.34</v>
      </c>
      <c r="F79">
        <v>1529</v>
      </c>
      <c r="G79">
        <v>18.167652060000002</v>
      </c>
    </row>
    <row r="80" spans="2:21" hidden="1" x14ac:dyDescent="0.2">
      <c r="B80">
        <v>2015</v>
      </c>
      <c r="C80" t="s">
        <v>18</v>
      </c>
      <c r="D80" t="s">
        <v>9</v>
      </c>
      <c r="E80">
        <v>25134.07</v>
      </c>
      <c r="F80">
        <v>636</v>
      </c>
      <c r="G80">
        <v>39.518977990000003</v>
      </c>
    </row>
    <row r="81" spans="2:7" hidden="1" x14ac:dyDescent="0.2">
      <c r="B81">
        <v>2015</v>
      </c>
      <c r="C81" t="s">
        <v>18</v>
      </c>
      <c r="D81" t="s">
        <v>12</v>
      </c>
      <c r="E81">
        <v>60635.07</v>
      </c>
      <c r="F81">
        <v>1585</v>
      </c>
      <c r="G81">
        <v>38.255564669999998</v>
      </c>
    </row>
    <row r="82" spans="2:7" hidden="1" x14ac:dyDescent="0.2">
      <c r="B82">
        <v>2015</v>
      </c>
      <c r="C82" t="s">
        <v>18</v>
      </c>
      <c r="D82" t="s">
        <v>10</v>
      </c>
      <c r="E82">
        <v>66032.34</v>
      </c>
      <c r="F82">
        <v>8619</v>
      </c>
      <c r="G82">
        <v>7.66125305</v>
      </c>
    </row>
    <row r="83" spans="2:7" hidden="1" x14ac:dyDescent="0.2">
      <c r="B83">
        <v>2015</v>
      </c>
      <c r="C83" t="s">
        <v>18</v>
      </c>
      <c r="D83" t="s">
        <v>11</v>
      </c>
      <c r="E83">
        <v>28050.45</v>
      </c>
      <c r="F83">
        <v>1538</v>
      </c>
      <c r="G83">
        <v>18.238263979999999</v>
      </c>
    </row>
    <row r="84" spans="2:7" hidden="1" x14ac:dyDescent="0.2">
      <c r="B84">
        <v>2015</v>
      </c>
      <c r="C84" t="s">
        <v>18</v>
      </c>
      <c r="D84" t="s">
        <v>7</v>
      </c>
      <c r="E84">
        <v>39563.040000000001</v>
      </c>
      <c r="F84">
        <v>3193</v>
      </c>
      <c r="G84">
        <v>12.39055434</v>
      </c>
    </row>
    <row r="85" spans="2:7" hidden="1" x14ac:dyDescent="0.2">
      <c r="B85">
        <v>2015</v>
      </c>
      <c r="C85" t="s">
        <v>18</v>
      </c>
      <c r="D85" t="s">
        <v>8</v>
      </c>
      <c r="E85">
        <v>18390.36</v>
      </c>
      <c r="F85">
        <v>1667</v>
      </c>
      <c r="G85">
        <v>11.0320096</v>
      </c>
    </row>
    <row r="86" spans="2:7" hidden="1" x14ac:dyDescent="0.2">
      <c r="B86">
        <v>2015</v>
      </c>
      <c r="C86" t="s">
        <v>14</v>
      </c>
      <c r="D86" t="s">
        <v>11</v>
      </c>
      <c r="E86">
        <v>28803.42</v>
      </c>
      <c r="F86">
        <v>1523</v>
      </c>
      <c r="G86">
        <v>18.912291530000001</v>
      </c>
    </row>
    <row r="87" spans="2:7" hidden="1" x14ac:dyDescent="0.2">
      <c r="B87">
        <v>2015</v>
      </c>
      <c r="C87" t="s">
        <v>14</v>
      </c>
      <c r="D87" t="s">
        <v>10</v>
      </c>
      <c r="E87">
        <v>65978.98</v>
      </c>
      <c r="F87">
        <v>8623</v>
      </c>
      <c r="G87">
        <v>7.6515110799999997</v>
      </c>
    </row>
    <row r="88" spans="2:7" hidden="1" x14ac:dyDescent="0.2">
      <c r="B88">
        <v>2015</v>
      </c>
      <c r="C88" t="s">
        <v>14</v>
      </c>
      <c r="D88" t="s">
        <v>9</v>
      </c>
      <c r="E88">
        <v>25927.43</v>
      </c>
      <c r="F88">
        <v>617</v>
      </c>
      <c r="G88">
        <v>42.02176661</v>
      </c>
    </row>
    <row r="89" spans="2:7" hidden="1" x14ac:dyDescent="0.2">
      <c r="B89">
        <v>2015</v>
      </c>
      <c r="C89" t="s">
        <v>14</v>
      </c>
      <c r="D89" t="s">
        <v>7</v>
      </c>
      <c r="E89">
        <v>40640.22</v>
      </c>
      <c r="F89">
        <v>3259</v>
      </c>
      <c r="G89">
        <v>12.470150350000001</v>
      </c>
    </row>
    <row r="90" spans="2:7" hidden="1" x14ac:dyDescent="0.2">
      <c r="B90">
        <v>2015</v>
      </c>
      <c r="C90" t="s">
        <v>14</v>
      </c>
      <c r="D90" t="s">
        <v>8</v>
      </c>
      <c r="E90">
        <v>17967.7</v>
      </c>
      <c r="F90">
        <v>1609</v>
      </c>
      <c r="G90">
        <v>11.16699814</v>
      </c>
    </row>
    <row r="91" spans="2:7" hidden="1" x14ac:dyDescent="0.2">
      <c r="B91">
        <v>2015</v>
      </c>
      <c r="C91" t="s">
        <v>14</v>
      </c>
      <c r="D91" t="s">
        <v>12</v>
      </c>
      <c r="E91">
        <v>60890.58</v>
      </c>
      <c r="F91">
        <v>1558</v>
      </c>
      <c r="G91">
        <v>39.082528879999998</v>
      </c>
    </row>
    <row r="92" spans="2:7" hidden="1" x14ac:dyDescent="0.2">
      <c r="B92">
        <v>2015</v>
      </c>
      <c r="C92" t="s">
        <v>24</v>
      </c>
      <c r="D92" t="s">
        <v>10</v>
      </c>
      <c r="E92">
        <v>72379.179999999993</v>
      </c>
      <c r="F92">
        <v>9292</v>
      </c>
      <c r="G92">
        <v>7.7894080900000002</v>
      </c>
    </row>
    <row r="93" spans="2:7" hidden="1" x14ac:dyDescent="0.2">
      <c r="B93">
        <v>2015</v>
      </c>
      <c r="C93" t="s">
        <v>24</v>
      </c>
      <c r="D93" t="s">
        <v>7</v>
      </c>
      <c r="E93">
        <v>39045.24</v>
      </c>
      <c r="F93">
        <v>3184</v>
      </c>
      <c r="G93">
        <v>12.26295226</v>
      </c>
    </row>
    <row r="94" spans="2:7" hidden="1" x14ac:dyDescent="0.2">
      <c r="B94">
        <v>2015</v>
      </c>
      <c r="C94" t="s">
        <v>24</v>
      </c>
      <c r="D94" t="s">
        <v>9</v>
      </c>
      <c r="E94">
        <v>27548.95</v>
      </c>
      <c r="F94">
        <v>693</v>
      </c>
      <c r="G94">
        <v>39.753174600000001</v>
      </c>
    </row>
    <row r="95" spans="2:7" hidden="1" x14ac:dyDescent="0.2">
      <c r="B95">
        <v>2015</v>
      </c>
      <c r="C95" t="s">
        <v>24</v>
      </c>
      <c r="D95" t="s">
        <v>12</v>
      </c>
      <c r="E95">
        <v>64316.58</v>
      </c>
      <c r="F95">
        <v>1684</v>
      </c>
      <c r="G95">
        <v>38.192743470000003</v>
      </c>
    </row>
    <row r="96" spans="2:7" hidden="1" x14ac:dyDescent="0.2">
      <c r="B96">
        <v>2015</v>
      </c>
      <c r="C96" t="s">
        <v>24</v>
      </c>
      <c r="D96" t="s">
        <v>8</v>
      </c>
      <c r="E96">
        <v>19128.66</v>
      </c>
      <c r="F96">
        <v>1726</v>
      </c>
      <c r="G96">
        <v>11.08265353</v>
      </c>
    </row>
    <row r="97" spans="2:7" hidden="1" x14ac:dyDescent="0.2">
      <c r="B97">
        <v>2015</v>
      </c>
      <c r="C97" t="s">
        <v>24</v>
      </c>
      <c r="D97" t="s">
        <v>11</v>
      </c>
      <c r="E97">
        <v>29076.34</v>
      </c>
      <c r="F97">
        <v>1614</v>
      </c>
      <c r="G97">
        <v>18.01508055</v>
      </c>
    </row>
    <row r="98" spans="2:7" hidden="1" x14ac:dyDescent="0.2">
      <c r="B98">
        <v>2015</v>
      </c>
      <c r="C98" t="s">
        <v>23</v>
      </c>
      <c r="D98" t="s">
        <v>7</v>
      </c>
      <c r="E98">
        <v>46787.66</v>
      </c>
      <c r="F98">
        <v>3881</v>
      </c>
      <c r="G98">
        <v>12.055568149999999</v>
      </c>
    </row>
    <row r="99" spans="2:7" hidden="1" x14ac:dyDescent="0.2">
      <c r="B99">
        <v>2015</v>
      </c>
      <c r="C99" t="s">
        <v>23</v>
      </c>
      <c r="D99" t="s">
        <v>12</v>
      </c>
      <c r="E99">
        <v>79222.740000000005</v>
      </c>
      <c r="F99">
        <v>2075</v>
      </c>
      <c r="G99">
        <v>38.179633729999999</v>
      </c>
    </row>
    <row r="100" spans="2:7" hidden="1" x14ac:dyDescent="0.2">
      <c r="B100">
        <v>2015</v>
      </c>
      <c r="C100" t="s">
        <v>23</v>
      </c>
      <c r="D100" t="s">
        <v>10</v>
      </c>
      <c r="E100">
        <v>88605.65</v>
      </c>
      <c r="F100">
        <v>11258</v>
      </c>
      <c r="G100">
        <v>7.8704610099999996</v>
      </c>
    </row>
    <row r="101" spans="2:7" hidden="1" x14ac:dyDescent="0.2">
      <c r="B101">
        <v>2015</v>
      </c>
      <c r="C101" t="s">
        <v>23</v>
      </c>
      <c r="D101" t="s">
        <v>9</v>
      </c>
      <c r="E101">
        <v>29931.73</v>
      </c>
      <c r="F101">
        <v>741</v>
      </c>
      <c r="G101">
        <v>40.393697709999998</v>
      </c>
    </row>
    <row r="102" spans="2:7" hidden="1" x14ac:dyDescent="0.2">
      <c r="B102">
        <v>2015</v>
      </c>
      <c r="C102" t="s">
        <v>23</v>
      </c>
      <c r="D102" t="s">
        <v>11</v>
      </c>
      <c r="E102">
        <v>32108.57</v>
      </c>
      <c r="F102">
        <v>1830</v>
      </c>
      <c r="G102">
        <v>17.545666669999999</v>
      </c>
    </row>
    <row r="103" spans="2:7" hidden="1" x14ac:dyDescent="0.2">
      <c r="B103">
        <v>2015</v>
      </c>
      <c r="C103" t="s">
        <v>23</v>
      </c>
      <c r="D103" t="s">
        <v>8</v>
      </c>
      <c r="E103">
        <v>21571.84</v>
      </c>
      <c r="F103">
        <v>1971</v>
      </c>
      <c r="G103">
        <v>10.94461695</v>
      </c>
    </row>
    <row r="104" spans="2:7" hidden="1" x14ac:dyDescent="0.2">
      <c r="B104">
        <v>2015</v>
      </c>
      <c r="C104" t="s">
        <v>22</v>
      </c>
      <c r="D104" t="s">
        <v>8</v>
      </c>
      <c r="E104">
        <v>26105.43</v>
      </c>
      <c r="F104">
        <v>2361</v>
      </c>
      <c r="G104">
        <v>11.05693774</v>
      </c>
    </row>
    <row r="105" spans="2:7" hidden="1" x14ac:dyDescent="0.2">
      <c r="B105">
        <v>2015</v>
      </c>
      <c r="C105" t="s">
        <v>22</v>
      </c>
      <c r="D105" t="s">
        <v>9</v>
      </c>
      <c r="E105">
        <v>38378.03</v>
      </c>
      <c r="F105">
        <v>921</v>
      </c>
      <c r="G105">
        <v>41.669956569999997</v>
      </c>
    </row>
    <row r="106" spans="2:7" hidden="1" x14ac:dyDescent="0.2">
      <c r="B106">
        <v>2015</v>
      </c>
      <c r="C106" t="s">
        <v>22</v>
      </c>
      <c r="D106" t="s">
        <v>7</v>
      </c>
      <c r="E106">
        <v>48808.959999999999</v>
      </c>
      <c r="F106">
        <v>3971</v>
      </c>
      <c r="G106">
        <v>12.2913523</v>
      </c>
    </row>
    <row r="107" spans="2:7" hidden="1" x14ac:dyDescent="0.2">
      <c r="B107">
        <v>2015</v>
      </c>
      <c r="C107" t="s">
        <v>22</v>
      </c>
      <c r="D107" t="s">
        <v>11</v>
      </c>
      <c r="E107">
        <v>35908.660000000003</v>
      </c>
      <c r="F107">
        <v>1982</v>
      </c>
      <c r="G107">
        <v>18.11738648</v>
      </c>
    </row>
    <row r="108" spans="2:7" hidden="1" x14ac:dyDescent="0.2">
      <c r="B108">
        <v>2015</v>
      </c>
      <c r="C108" t="s">
        <v>22</v>
      </c>
      <c r="D108" t="s">
        <v>10</v>
      </c>
      <c r="E108">
        <v>126581.21</v>
      </c>
      <c r="F108">
        <v>15621</v>
      </c>
      <c r="G108">
        <v>8.1032718799999994</v>
      </c>
    </row>
    <row r="109" spans="2:7" hidden="1" x14ac:dyDescent="0.2">
      <c r="B109">
        <v>2015</v>
      </c>
      <c r="C109" t="s">
        <v>22</v>
      </c>
      <c r="D109" t="s">
        <v>12</v>
      </c>
      <c r="E109">
        <v>98663.34</v>
      </c>
      <c r="F109">
        <v>2627</v>
      </c>
      <c r="G109">
        <v>37.557419109999998</v>
      </c>
    </row>
    <row r="110" spans="2:7" hidden="1" x14ac:dyDescent="0.2">
      <c r="B110">
        <v>2015</v>
      </c>
      <c r="C110" t="s">
        <v>15</v>
      </c>
      <c r="D110" t="s">
        <v>12</v>
      </c>
      <c r="E110">
        <v>85665.14</v>
      </c>
      <c r="F110">
        <v>2138</v>
      </c>
      <c r="G110">
        <v>40.067885869999998</v>
      </c>
    </row>
    <row r="111" spans="2:7" hidden="1" x14ac:dyDescent="0.2">
      <c r="B111">
        <v>2015</v>
      </c>
      <c r="C111" t="s">
        <v>15</v>
      </c>
      <c r="D111" t="s">
        <v>11</v>
      </c>
      <c r="E111">
        <v>33749.65</v>
      </c>
      <c r="F111">
        <v>1848</v>
      </c>
      <c r="G111">
        <v>18.262797620000001</v>
      </c>
    </row>
    <row r="112" spans="2:7" hidden="1" x14ac:dyDescent="0.2">
      <c r="B112">
        <v>2015</v>
      </c>
      <c r="C112" t="s">
        <v>15</v>
      </c>
      <c r="D112" t="s">
        <v>9</v>
      </c>
      <c r="E112">
        <v>31919.86</v>
      </c>
      <c r="F112">
        <v>725</v>
      </c>
      <c r="G112">
        <v>44.027393099999998</v>
      </c>
    </row>
    <row r="113" spans="2:7" hidden="1" x14ac:dyDescent="0.2">
      <c r="B113">
        <v>2015</v>
      </c>
      <c r="C113" t="s">
        <v>15</v>
      </c>
      <c r="D113" t="s">
        <v>10</v>
      </c>
      <c r="E113">
        <v>115551.26</v>
      </c>
      <c r="F113">
        <v>13817</v>
      </c>
      <c r="G113">
        <v>8.3629774900000005</v>
      </c>
    </row>
    <row r="114" spans="2:7" hidden="1" x14ac:dyDescent="0.2">
      <c r="B114">
        <v>2015</v>
      </c>
      <c r="C114" t="s">
        <v>15</v>
      </c>
      <c r="D114" t="s">
        <v>8</v>
      </c>
      <c r="E114">
        <v>33068.410000000003</v>
      </c>
      <c r="F114">
        <v>2835</v>
      </c>
      <c r="G114">
        <v>11.66434215</v>
      </c>
    </row>
    <row r="115" spans="2:7" hidden="1" x14ac:dyDescent="0.2">
      <c r="B115">
        <v>2015</v>
      </c>
      <c r="C115" t="s">
        <v>15</v>
      </c>
      <c r="D115" t="s">
        <v>7</v>
      </c>
      <c r="E115">
        <v>50736.17</v>
      </c>
      <c r="F115">
        <v>3956</v>
      </c>
      <c r="G115">
        <v>12.825118809999999</v>
      </c>
    </row>
    <row r="116" spans="2:7" hidden="1" x14ac:dyDescent="0.2">
      <c r="B116">
        <v>2016</v>
      </c>
      <c r="C116" t="s">
        <v>17</v>
      </c>
      <c r="D116" t="s">
        <v>12</v>
      </c>
      <c r="E116">
        <v>96426.42</v>
      </c>
      <c r="F116">
        <v>2336</v>
      </c>
      <c r="G116">
        <v>41.278433219999997</v>
      </c>
    </row>
    <row r="117" spans="2:7" hidden="1" x14ac:dyDescent="0.2">
      <c r="B117">
        <v>2016</v>
      </c>
      <c r="C117" t="s">
        <v>17</v>
      </c>
      <c r="D117" t="s">
        <v>9</v>
      </c>
      <c r="E117">
        <v>24628.95</v>
      </c>
      <c r="F117">
        <v>472</v>
      </c>
      <c r="G117">
        <v>52.179978810000001</v>
      </c>
    </row>
    <row r="118" spans="2:7" hidden="1" x14ac:dyDescent="0.2">
      <c r="B118">
        <v>2016</v>
      </c>
      <c r="C118" t="s">
        <v>17</v>
      </c>
      <c r="D118" t="s">
        <v>8</v>
      </c>
      <c r="E118">
        <v>22018.09</v>
      </c>
      <c r="F118">
        <v>1835</v>
      </c>
      <c r="G118">
        <v>11.998959129999999</v>
      </c>
    </row>
    <row r="119" spans="2:7" hidden="1" x14ac:dyDescent="0.2">
      <c r="B119">
        <v>2016</v>
      </c>
      <c r="C119" t="s">
        <v>17</v>
      </c>
      <c r="D119" t="s">
        <v>11</v>
      </c>
      <c r="E119">
        <v>27737.84</v>
      </c>
      <c r="F119">
        <v>1431</v>
      </c>
      <c r="G119">
        <v>19.383535989999999</v>
      </c>
    </row>
    <row r="120" spans="2:7" hidden="1" x14ac:dyDescent="0.2">
      <c r="B120">
        <v>2016</v>
      </c>
      <c r="C120" t="s">
        <v>17</v>
      </c>
      <c r="D120" t="s">
        <v>10</v>
      </c>
      <c r="E120">
        <v>123941.47</v>
      </c>
      <c r="F120">
        <v>14393</v>
      </c>
      <c r="G120">
        <v>8.6112325399999996</v>
      </c>
    </row>
    <row r="121" spans="2:7" hidden="1" x14ac:dyDescent="0.2">
      <c r="B121">
        <v>2016</v>
      </c>
      <c r="C121" t="s">
        <v>17</v>
      </c>
      <c r="D121" t="s">
        <v>7</v>
      </c>
      <c r="E121">
        <v>40916.35</v>
      </c>
      <c r="F121">
        <v>3050</v>
      </c>
      <c r="G121">
        <v>13.415196720000001</v>
      </c>
    </row>
    <row r="122" spans="2:7" hidden="1" x14ac:dyDescent="0.2">
      <c r="B122">
        <v>2016</v>
      </c>
      <c r="C122" t="s">
        <v>16</v>
      </c>
      <c r="D122" t="s">
        <v>10</v>
      </c>
      <c r="E122">
        <v>122104.29</v>
      </c>
      <c r="F122">
        <v>14518</v>
      </c>
      <c r="G122">
        <v>8.41054484</v>
      </c>
    </row>
    <row r="123" spans="2:7" hidden="1" x14ac:dyDescent="0.2">
      <c r="B123">
        <v>2016</v>
      </c>
      <c r="C123" t="s">
        <v>16</v>
      </c>
      <c r="D123" t="s">
        <v>7</v>
      </c>
      <c r="E123">
        <v>44781.29</v>
      </c>
      <c r="F123">
        <v>3377</v>
      </c>
      <c r="G123">
        <v>13.260672189999999</v>
      </c>
    </row>
    <row r="124" spans="2:7" hidden="1" x14ac:dyDescent="0.2">
      <c r="B124">
        <v>2016</v>
      </c>
      <c r="C124" t="s">
        <v>16</v>
      </c>
      <c r="D124" t="s">
        <v>11</v>
      </c>
      <c r="E124">
        <v>31829.27</v>
      </c>
      <c r="F124">
        <v>1649</v>
      </c>
      <c r="G124">
        <v>19.302164950000002</v>
      </c>
    </row>
    <row r="125" spans="2:7" hidden="1" x14ac:dyDescent="0.2">
      <c r="B125">
        <v>2016</v>
      </c>
      <c r="C125" t="s">
        <v>16</v>
      </c>
      <c r="D125" t="s">
        <v>8</v>
      </c>
      <c r="E125">
        <v>21450.89</v>
      </c>
      <c r="F125">
        <v>1815</v>
      </c>
      <c r="G125">
        <v>11.81867218</v>
      </c>
    </row>
    <row r="126" spans="2:7" hidden="1" x14ac:dyDescent="0.2">
      <c r="B126">
        <v>2016</v>
      </c>
      <c r="C126" t="s">
        <v>16</v>
      </c>
      <c r="D126" t="s">
        <v>12</v>
      </c>
      <c r="E126">
        <v>88967.15</v>
      </c>
      <c r="F126">
        <v>2161</v>
      </c>
      <c r="G126">
        <v>41.169435450000002</v>
      </c>
    </row>
    <row r="127" spans="2:7" hidden="1" x14ac:dyDescent="0.2">
      <c r="B127">
        <v>2016</v>
      </c>
      <c r="C127" t="s">
        <v>16</v>
      </c>
      <c r="D127" t="s">
        <v>9</v>
      </c>
      <c r="E127">
        <v>24772.49</v>
      </c>
      <c r="F127">
        <v>481</v>
      </c>
      <c r="G127">
        <v>51.502058210000001</v>
      </c>
    </row>
    <row r="128" spans="2:7" hidden="1" x14ac:dyDescent="0.2">
      <c r="B128">
        <v>2016</v>
      </c>
      <c r="C128" t="s">
        <v>20</v>
      </c>
      <c r="D128" t="s">
        <v>8</v>
      </c>
      <c r="E128">
        <v>23980.65</v>
      </c>
      <c r="F128">
        <v>2058</v>
      </c>
      <c r="G128">
        <v>11.652405249999999</v>
      </c>
    </row>
    <row r="129" spans="2:7" hidden="1" x14ac:dyDescent="0.2">
      <c r="B129">
        <v>2016</v>
      </c>
      <c r="C129" t="s">
        <v>20</v>
      </c>
      <c r="D129" t="s">
        <v>11</v>
      </c>
      <c r="E129">
        <v>33934.129999999997</v>
      </c>
      <c r="F129">
        <v>1796</v>
      </c>
      <c r="G129">
        <v>18.89428174</v>
      </c>
    </row>
    <row r="130" spans="2:7" hidden="1" x14ac:dyDescent="0.2">
      <c r="B130">
        <v>2016</v>
      </c>
      <c r="C130" t="s">
        <v>20</v>
      </c>
      <c r="D130" t="s">
        <v>10</v>
      </c>
      <c r="E130">
        <v>146677.51</v>
      </c>
      <c r="F130">
        <v>17207</v>
      </c>
      <c r="G130">
        <v>8.52429302</v>
      </c>
    </row>
    <row r="131" spans="2:7" hidden="1" x14ac:dyDescent="0.2">
      <c r="B131">
        <v>2016</v>
      </c>
      <c r="C131" t="s">
        <v>20</v>
      </c>
      <c r="D131" t="s">
        <v>9</v>
      </c>
      <c r="E131">
        <v>24420.81</v>
      </c>
      <c r="F131">
        <v>487</v>
      </c>
      <c r="G131">
        <v>50.145400410000001</v>
      </c>
    </row>
    <row r="132" spans="2:7" hidden="1" x14ac:dyDescent="0.2">
      <c r="B132">
        <v>2016</v>
      </c>
      <c r="C132" t="s">
        <v>20</v>
      </c>
      <c r="D132" t="s">
        <v>7</v>
      </c>
      <c r="E132">
        <v>49603.65</v>
      </c>
      <c r="F132">
        <v>3783</v>
      </c>
      <c r="G132">
        <v>13.11225218</v>
      </c>
    </row>
    <row r="133" spans="2:7" hidden="1" x14ac:dyDescent="0.2">
      <c r="B133">
        <v>2016</v>
      </c>
      <c r="C133" t="s">
        <v>20</v>
      </c>
      <c r="D133" t="s">
        <v>12</v>
      </c>
      <c r="E133">
        <v>91284.27</v>
      </c>
      <c r="F133">
        <v>2291</v>
      </c>
      <c r="G133">
        <v>39.84472719</v>
      </c>
    </row>
    <row r="134" spans="2:7" hidden="1" x14ac:dyDescent="0.2">
      <c r="B134">
        <v>2016</v>
      </c>
      <c r="C134" t="s">
        <v>13</v>
      </c>
      <c r="D134" t="s">
        <v>12</v>
      </c>
      <c r="E134">
        <v>84974.27</v>
      </c>
      <c r="F134">
        <v>2150</v>
      </c>
      <c r="G134">
        <v>39.522916279999997</v>
      </c>
    </row>
    <row r="135" spans="2:7" hidden="1" x14ac:dyDescent="0.2">
      <c r="B135">
        <v>2016</v>
      </c>
      <c r="C135" t="s">
        <v>13</v>
      </c>
      <c r="D135" t="s">
        <v>8</v>
      </c>
      <c r="E135">
        <v>22403.06</v>
      </c>
      <c r="F135">
        <v>1908</v>
      </c>
      <c r="G135">
        <v>11.741645699999999</v>
      </c>
    </row>
    <row r="136" spans="2:7" hidden="1" x14ac:dyDescent="0.2">
      <c r="B136">
        <v>2016</v>
      </c>
      <c r="C136" t="s">
        <v>13</v>
      </c>
      <c r="D136" t="s">
        <v>9</v>
      </c>
      <c r="E136">
        <v>23983.14</v>
      </c>
      <c r="F136">
        <v>462</v>
      </c>
      <c r="G136">
        <v>51.91155844</v>
      </c>
    </row>
    <row r="137" spans="2:7" hidden="1" x14ac:dyDescent="0.2">
      <c r="B137">
        <v>2016</v>
      </c>
      <c r="C137" t="s">
        <v>13</v>
      </c>
      <c r="D137" t="s">
        <v>10</v>
      </c>
      <c r="E137">
        <v>118048.45</v>
      </c>
      <c r="F137">
        <v>14186</v>
      </c>
      <c r="G137">
        <v>8.3214754000000006</v>
      </c>
    </row>
    <row r="138" spans="2:7" hidden="1" x14ac:dyDescent="0.2">
      <c r="B138">
        <v>2016</v>
      </c>
      <c r="C138" t="s">
        <v>13</v>
      </c>
      <c r="D138" t="s">
        <v>7</v>
      </c>
      <c r="E138">
        <v>45142.94</v>
      </c>
      <c r="F138">
        <v>3387</v>
      </c>
      <c r="G138">
        <v>13.32829643</v>
      </c>
    </row>
    <row r="139" spans="2:7" hidden="1" x14ac:dyDescent="0.2">
      <c r="B139">
        <v>2016</v>
      </c>
      <c r="C139" t="s">
        <v>13</v>
      </c>
      <c r="D139" t="s">
        <v>11</v>
      </c>
      <c r="E139">
        <v>37381.78</v>
      </c>
      <c r="F139">
        <v>1940</v>
      </c>
      <c r="G139">
        <v>19.26895876</v>
      </c>
    </row>
    <row r="140" spans="2:7" hidden="1" x14ac:dyDescent="0.2">
      <c r="B140">
        <v>2016</v>
      </c>
      <c r="C140" t="s">
        <v>21</v>
      </c>
      <c r="D140" t="s">
        <v>12</v>
      </c>
      <c r="E140">
        <v>84447.99</v>
      </c>
      <c r="F140">
        <v>2087</v>
      </c>
      <c r="G140">
        <v>40.463818879999998</v>
      </c>
    </row>
    <row r="141" spans="2:7" hidden="1" x14ac:dyDescent="0.2">
      <c r="B141">
        <v>2016</v>
      </c>
      <c r="C141" t="s">
        <v>21</v>
      </c>
      <c r="D141" t="s">
        <v>11</v>
      </c>
      <c r="E141">
        <v>30689.94</v>
      </c>
      <c r="F141">
        <v>1607</v>
      </c>
      <c r="G141">
        <v>19.09766024</v>
      </c>
    </row>
    <row r="142" spans="2:7" hidden="1" x14ac:dyDescent="0.2">
      <c r="B142">
        <v>2016</v>
      </c>
      <c r="C142" t="s">
        <v>21</v>
      </c>
      <c r="D142" t="s">
        <v>7</v>
      </c>
      <c r="E142">
        <v>38946.160000000003</v>
      </c>
      <c r="F142">
        <v>2866</v>
      </c>
      <c r="G142">
        <v>13.58903001</v>
      </c>
    </row>
    <row r="143" spans="2:7" hidden="1" x14ac:dyDescent="0.2">
      <c r="B143">
        <v>2016</v>
      </c>
      <c r="C143" t="s">
        <v>21</v>
      </c>
      <c r="D143" t="s">
        <v>9</v>
      </c>
      <c r="E143">
        <v>25082.38</v>
      </c>
      <c r="F143">
        <v>495</v>
      </c>
      <c r="G143">
        <v>50.671474750000002</v>
      </c>
    </row>
    <row r="144" spans="2:7" hidden="1" x14ac:dyDescent="0.2">
      <c r="B144">
        <v>2016</v>
      </c>
      <c r="C144" t="s">
        <v>21</v>
      </c>
      <c r="D144" t="s">
        <v>10</v>
      </c>
      <c r="E144">
        <v>107810.12</v>
      </c>
      <c r="F144">
        <v>12918</v>
      </c>
      <c r="G144">
        <v>8.3457284400000002</v>
      </c>
    </row>
    <row r="145" spans="2:7" hidden="1" x14ac:dyDescent="0.2">
      <c r="B145">
        <v>2016</v>
      </c>
      <c r="C145" t="s">
        <v>21</v>
      </c>
      <c r="D145" t="s">
        <v>8</v>
      </c>
      <c r="E145">
        <v>18540.12</v>
      </c>
      <c r="F145">
        <v>1493</v>
      </c>
      <c r="G145">
        <v>12.418030809999999</v>
      </c>
    </row>
    <row r="146" spans="2:7" hidden="1" x14ac:dyDescent="0.2">
      <c r="B146">
        <v>2016</v>
      </c>
      <c r="C146" t="s">
        <v>19</v>
      </c>
      <c r="D146" t="s">
        <v>10</v>
      </c>
      <c r="E146">
        <v>109978.4</v>
      </c>
      <c r="F146">
        <v>13521</v>
      </c>
      <c r="G146">
        <v>8.13389542</v>
      </c>
    </row>
    <row r="147" spans="2:7" hidden="1" x14ac:dyDescent="0.2">
      <c r="B147">
        <v>2016</v>
      </c>
      <c r="C147" t="s">
        <v>19</v>
      </c>
      <c r="D147" t="s">
        <v>11</v>
      </c>
      <c r="E147">
        <v>31314.26</v>
      </c>
      <c r="F147">
        <v>1411</v>
      </c>
      <c r="G147">
        <v>22.192955349999998</v>
      </c>
    </row>
    <row r="148" spans="2:7" hidden="1" x14ac:dyDescent="0.2">
      <c r="B148">
        <v>2016</v>
      </c>
      <c r="C148" t="s">
        <v>19</v>
      </c>
      <c r="D148" t="s">
        <v>8</v>
      </c>
      <c r="E148">
        <v>17304.18</v>
      </c>
      <c r="F148">
        <v>1445</v>
      </c>
      <c r="G148">
        <v>11.97521107</v>
      </c>
    </row>
    <row r="149" spans="2:7" hidden="1" x14ac:dyDescent="0.2">
      <c r="B149">
        <v>2016</v>
      </c>
      <c r="C149" t="s">
        <v>19</v>
      </c>
      <c r="D149" t="s">
        <v>7</v>
      </c>
      <c r="E149">
        <v>36113.550000000003</v>
      </c>
      <c r="F149">
        <v>2681</v>
      </c>
      <c r="G149">
        <v>13.47017904</v>
      </c>
    </row>
    <row r="150" spans="2:7" hidden="1" x14ac:dyDescent="0.2">
      <c r="B150">
        <v>2016</v>
      </c>
      <c r="C150" t="s">
        <v>19</v>
      </c>
      <c r="D150" t="s">
        <v>12</v>
      </c>
      <c r="E150">
        <v>79481.97</v>
      </c>
      <c r="F150">
        <v>1929</v>
      </c>
      <c r="G150">
        <v>41.20371695</v>
      </c>
    </row>
    <row r="151" spans="2:7" hidden="1" x14ac:dyDescent="0.2">
      <c r="B151">
        <v>2016</v>
      </c>
      <c r="C151" t="s">
        <v>19</v>
      </c>
      <c r="D151" t="s">
        <v>9</v>
      </c>
      <c r="E151">
        <v>23188.59</v>
      </c>
      <c r="F151">
        <v>445</v>
      </c>
      <c r="G151">
        <v>52.109191010000004</v>
      </c>
    </row>
  </sheetData>
  <mergeCells count="4">
    <mergeCell ref="O29:AC29"/>
    <mergeCell ref="O51:AC51"/>
    <mergeCell ref="B7:L7"/>
    <mergeCell ref="O7:AC7"/>
  </mergeCells>
  <pageMargins left="0.7" right="0.7" top="0.75" bottom="0.75" header="0.3" footer="0.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8"/>
  <sheetViews>
    <sheetView tabSelected="1" topLeftCell="H1" workbookViewId="0">
      <selection activeCell="J21" sqref="J21"/>
    </sheetView>
  </sheetViews>
  <sheetFormatPr baseColWidth="10" defaultRowHeight="16" x14ac:dyDescent="0.2"/>
  <cols>
    <col min="2" max="2" width="9.1640625" customWidth="1"/>
    <col min="3" max="3" width="9.33203125" customWidth="1"/>
    <col min="4" max="4" width="12.5" bestFit="1" customWidth="1"/>
    <col min="5" max="5" width="18.1640625" customWidth="1"/>
    <col min="6" max="6" width="13.5" customWidth="1"/>
    <col min="7" max="7" width="16.33203125" customWidth="1"/>
    <col min="8" max="8" width="14.5" customWidth="1"/>
    <col min="12" max="12" width="22.6640625" bestFit="1" customWidth="1"/>
    <col min="13" max="13" width="16.5" customWidth="1"/>
    <col min="14" max="14" width="29.5" customWidth="1"/>
    <col min="15" max="15" width="12.83203125" customWidth="1"/>
    <col min="16" max="16" width="12.1640625" customWidth="1"/>
    <col min="17" max="17" width="18.5" customWidth="1"/>
    <col min="18" max="18" width="12.1640625" customWidth="1"/>
    <col min="19" max="19" width="17.6640625" customWidth="1"/>
    <col min="20" max="20" width="18.1640625" customWidth="1"/>
    <col min="21" max="21" width="14.33203125" customWidth="1"/>
    <col min="22" max="22" width="18.1640625" customWidth="1"/>
    <col min="23" max="23" width="26.1640625" customWidth="1"/>
    <col min="24" max="24" width="24" customWidth="1"/>
    <col min="25" max="25" width="22.1640625" customWidth="1"/>
    <col min="26" max="26" width="23.1640625" customWidth="1"/>
    <col min="27" max="27" width="12.1640625" customWidth="1"/>
  </cols>
  <sheetData>
    <row r="1" spans="1:26" ht="24" x14ac:dyDescent="0.3">
      <c r="A1" s="2" t="s">
        <v>55</v>
      </c>
    </row>
    <row r="4" spans="1:26" ht="24" x14ac:dyDescent="0.2">
      <c r="B4" s="54" t="s">
        <v>83</v>
      </c>
      <c r="C4" s="55"/>
      <c r="D4" s="55"/>
      <c r="E4" s="55"/>
      <c r="F4" s="55"/>
      <c r="G4" s="55"/>
      <c r="H4" s="56"/>
      <c r="L4" s="54" t="s">
        <v>81</v>
      </c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6"/>
    </row>
    <row r="6" spans="1:26" x14ac:dyDescent="0.2">
      <c r="B6" s="39" t="s">
        <v>3</v>
      </c>
      <c r="C6" s="40" t="s">
        <v>56</v>
      </c>
      <c r="D6" s="40" t="s">
        <v>57</v>
      </c>
      <c r="E6" s="40" t="s">
        <v>58</v>
      </c>
      <c r="F6" s="40" t="s">
        <v>59</v>
      </c>
      <c r="G6" s="40" t="s">
        <v>60</v>
      </c>
      <c r="H6" s="41" t="s">
        <v>61</v>
      </c>
      <c r="L6" s="15" t="s">
        <v>78</v>
      </c>
      <c r="M6" s="15" t="s">
        <v>25</v>
      </c>
    </row>
    <row r="7" spans="1:26" x14ac:dyDescent="0.2">
      <c r="B7" t="s">
        <v>19</v>
      </c>
      <c r="C7" s="21">
        <v>60761</v>
      </c>
      <c r="D7" s="12">
        <v>634693.71956062305</v>
      </c>
      <c r="E7" s="12">
        <v>363471.24071030598</v>
      </c>
      <c r="F7" s="12">
        <v>299729.71994146501</v>
      </c>
      <c r="G7" s="21">
        <v>29682</v>
      </c>
      <c r="H7" s="21">
        <v>53352</v>
      </c>
      <c r="L7" s="15" t="s">
        <v>79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71</v>
      </c>
      <c r="T7" t="s">
        <v>72</v>
      </c>
      <c r="U7" t="s">
        <v>73</v>
      </c>
      <c r="V7" t="s">
        <v>74</v>
      </c>
      <c r="W7" t="s">
        <v>75</v>
      </c>
      <c r="X7" t="s">
        <v>76</v>
      </c>
      <c r="Y7" t="s">
        <v>77</v>
      </c>
      <c r="Z7" t="s">
        <v>69</v>
      </c>
    </row>
    <row r="8" spans="1:26" x14ac:dyDescent="0.2">
      <c r="B8" s="16" t="s">
        <v>21</v>
      </c>
      <c r="C8" s="21">
        <v>62129</v>
      </c>
      <c r="D8" s="12">
        <v>652402.89956807997</v>
      </c>
      <c r="E8" s="12">
        <v>370938.68078085402</v>
      </c>
      <c r="F8" s="12">
        <v>308273.22972657101</v>
      </c>
      <c r="G8" s="21">
        <v>31381</v>
      </c>
      <c r="H8" s="21">
        <v>55773</v>
      </c>
      <c r="L8" s="16">
        <v>2015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">
      <c r="B9" s="16" t="s">
        <v>62</v>
      </c>
      <c r="C9" s="23">
        <f>(C7-C8)/C8</f>
        <v>-2.201870302113345E-2</v>
      </c>
      <c r="D9" s="23">
        <f t="shared" ref="D9:H9" si="0">(D7-D8)/D8</f>
        <v>-2.7144545217657971E-2</v>
      </c>
      <c r="E9" s="23">
        <f t="shared" si="0"/>
        <v>-2.0131198112929367E-2</v>
      </c>
      <c r="F9" s="23">
        <f t="shared" si="0"/>
        <v>-2.7714082707356171E-2</v>
      </c>
      <c r="G9" s="23">
        <f t="shared" si="0"/>
        <v>-5.4141040757146042E-2</v>
      </c>
      <c r="H9" s="23">
        <f t="shared" si="0"/>
        <v>-4.3408100693884136E-2</v>
      </c>
      <c r="L9" s="17" t="s">
        <v>19</v>
      </c>
      <c r="M9" s="20">
        <v>44</v>
      </c>
      <c r="N9" s="20">
        <v>2178</v>
      </c>
      <c r="O9" s="20">
        <v>18116</v>
      </c>
      <c r="P9" s="20">
        <v>41</v>
      </c>
      <c r="Q9" s="20">
        <v>10606</v>
      </c>
      <c r="R9" s="20">
        <v>12</v>
      </c>
      <c r="S9" s="20">
        <v>3150</v>
      </c>
      <c r="T9" s="20">
        <v>1815</v>
      </c>
      <c r="U9" s="20">
        <v>9187</v>
      </c>
      <c r="V9" s="20">
        <v>1523</v>
      </c>
      <c r="W9" s="20">
        <v>1341</v>
      </c>
      <c r="X9" s="20">
        <v>369</v>
      </c>
      <c r="Y9" s="20">
        <v>745</v>
      </c>
      <c r="Z9" s="20">
        <v>1387</v>
      </c>
    </row>
    <row r="10" spans="1:26" x14ac:dyDescent="0.2">
      <c r="B10" s="16"/>
      <c r="L10" s="17" t="s">
        <v>18</v>
      </c>
      <c r="M10" s="20">
        <v>27</v>
      </c>
      <c r="N10" s="20">
        <v>1882</v>
      </c>
      <c r="O10" s="20">
        <v>15353</v>
      </c>
      <c r="P10" s="20">
        <v>37</v>
      </c>
      <c r="Q10" s="20">
        <v>8786</v>
      </c>
      <c r="R10" s="20">
        <v>8</v>
      </c>
      <c r="S10" s="20">
        <v>2729</v>
      </c>
      <c r="T10" s="20">
        <v>1444</v>
      </c>
      <c r="U10" s="20">
        <v>7745</v>
      </c>
      <c r="V10" s="20">
        <v>1162</v>
      </c>
      <c r="W10" s="20">
        <v>1217</v>
      </c>
      <c r="X10" s="20">
        <v>378</v>
      </c>
      <c r="Y10" s="20">
        <v>678</v>
      </c>
      <c r="Z10" s="20">
        <v>1054</v>
      </c>
    </row>
    <row r="11" spans="1:26" x14ac:dyDescent="0.2">
      <c r="B11" s="16"/>
      <c r="L11" s="17" t="s">
        <v>14</v>
      </c>
      <c r="M11" s="20">
        <v>49</v>
      </c>
      <c r="N11" s="20">
        <v>2081</v>
      </c>
      <c r="O11" s="20">
        <v>16973</v>
      </c>
      <c r="P11" s="20">
        <v>29</v>
      </c>
      <c r="Q11" s="20">
        <v>10160</v>
      </c>
      <c r="R11" s="20">
        <v>3</v>
      </c>
      <c r="S11" s="20">
        <v>3238</v>
      </c>
      <c r="T11" s="20">
        <v>1590</v>
      </c>
      <c r="U11" s="20">
        <v>8506</v>
      </c>
      <c r="V11" s="20">
        <v>1503</v>
      </c>
      <c r="W11" s="20">
        <v>1201</v>
      </c>
      <c r="X11" s="20">
        <v>323</v>
      </c>
      <c r="Y11" s="20">
        <v>631</v>
      </c>
      <c r="Z11" s="20">
        <v>1959</v>
      </c>
    </row>
    <row r="12" spans="1:26" x14ac:dyDescent="0.2">
      <c r="B12" s="16"/>
      <c r="L12" s="17" t="s">
        <v>24</v>
      </c>
      <c r="M12" s="20">
        <v>46</v>
      </c>
      <c r="N12" s="20">
        <v>2236</v>
      </c>
      <c r="O12" s="20">
        <v>18168</v>
      </c>
      <c r="P12" s="20">
        <v>34</v>
      </c>
      <c r="Q12" s="20">
        <v>10770</v>
      </c>
      <c r="R12" s="20">
        <v>11</v>
      </c>
      <c r="S12" s="20">
        <v>3183</v>
      </c>
      <c r="T12" s="20">
        <v>1733</v>
      </c>
      <c r="U12" s="20">
        <v>9251</v>
      </c>
      <c r="V12" s="20">
        <v>1603</v>
      </c>
      <c r="W12" s="20">
        <v>1330</v>
      </c>
      <c r="X12" s="20">
        <v>348</v>
      </c>
      <c r="Y12" s="20">
        <v>729</v>
      </c>
      <c r="Z12" s="20">
        <v>1953</v>
      </c>
    </row>
    <row r="13" spans="1:26" x14ac:dyDescent="0.2">
      <c r="B13" s="16"/>
      <c r="L13" s="17" t="s">
        <v>23</v>
      </c>
      <c r="M13" s="20">
        <v>58</v>
      </c>
      <c r="N13" s="20">
        <v>2574</v>
      </c>
      <c r="O13" s="20">
        <v>21921</v>
      </c>
      <c r="P13" s="20">
        <v>42</v>
      </c>
      <c r="Q13" s="20">
        <v>12990</v>
      </c>
      <c r="R13" s="20">
        <v>14</v>
      </c>
      <c r="S13" s="20">
        <v>3917</v>
      </c>
      <c r="T13" s="20">
        <v>1972</v>
      </c>
      <c r="U13" s="20">
        <v>11378</v>
      </c>
      <c r="V13" s="20">
        <v>1859</v>
      </c>
      <c r="W13" s="20">
        <v>1682</v>
      </c>
      <c r="X13" s="20">
        <v>371</v>
      </c>
      <c r="Y13" s="20">
        <v>756</v>
      </c>
      <c r="Z13" s="20">
        <v>2166</v>
      </c>
    </row>
    <row r="14" spans="1:26" x14ac:dyDescent="0.2">
      <c r="B14" s="16"/>
      <c r="L14" s="17" t="s">
        <v>22</v>
      </c>
      <c r="M14" s="20">
        <v>51</v>
      </c>
      <c r="N14" s="20">
        <v>2890</v>
      </c>
      <c r="O14" s="20">
        <v>25761</v>
      </c>
      <c r="P14" s="20">
        <v>40</v>
      </c>
      <c r="Q14" s="20">
        <v>16636</v>
      </c>
      <c r="R14" s="20">
        <v>3</v>
      </c>
      <c r="S14" s="20">
        <v>3794</v>
      </c>
      <c r="T14" s="20">
        <v>2265</v>
      </c>
      <c r="U14" s="20">
        <v>14585</v>
      </c>
      <c r="V14" s="20">
        <v>1912</v>
      </c>
      <c r="W14" s="20">
        <v>1931</v>
      </c>
      <c r="X14" s="20">
        <v>412</v>
      </c>
      <c r="Y14" s="20">
        <v>897</v>
      </c>
      <c r="Z14" s="20">
        <v>2134</v>
      </c>
    </row>
    <row r="15" spans="1:26" x14ac:dyDescent="0.2">
      <c r="B15" s="16"/>
      <c r="L15" s="17" t="s">
        <v>15</v>
      </c>
      <c r="M15" s="20">
        <v>74</v>
      </c>
      <c r="N15" s="20">
        <v>3365</v>
      </c>
      <c r="O15" s="20">
        <v>26755</v>
      </c>
      <c r="P15" s="20">
        <v>66</v>
      </c>
      <c r="Q15" s="20">
        <v>18414</v>
      </c>
      <c r="R15" s="20">
        <v>1</v>
      </c>
      <c r="S15" s="20">
        <v>4149</v>
      </c>
      <c r="T15" s="20">
        <v>2949</v>
      </c>
      <c r="U15" s="20">
        <v>14561</v>
      </c>
      <c r="V15" s="20">
        <v>1923</v>
      </c>
      <c r="W15" s="20">
        <v>1985</v>
      </c>
      <c r="X15" s="20">
        <v>391</v>
      </c>
      <c r="Y15" s="20">
        <v>828</v>
      </c>
      <c r="Z15" s="20">
        <v>2696</v>
      </c>
    </row>
    <row r="16" spans="1:26" x14ac:dyDescent="0.2">
      <c r="B16" s="16"/>
      <c r="L16" s="16">
        <v>2016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2:26" x14ac:dyDescent="0.2">
      <c r="B17" s="16"/>
      <c r="L17" s="17" t="s">
        <v>17</v>
      </c>
      <c r="M17" s="20">
        <v>44</v>
      </c>
      <c r="N17" s="20">
        <v>2642</v>
      </c>
      <c r="O17" s="20">
        <v>22851</v>
      </c>
      <c r="P17" s="20">
        <v>46</v>
      </c>
      <c r="Q17" s="20">
        <v>14425</v>
      </c>
      <c r="R17" s="20">
        <v>3</v>
      </c>
      <c r="S17" s="20">
        <v>2945</v>
      </c>
      <c r="T17" s="20">
        <v>1769</v>
      </c>
      <c r="U17" s="20">
        <v>13987</v>
      </c>
      <c r="V17" s="20">
        <v>1400</v>
      </c>
      <c r="W17" s="20">
        <v>1968</v>
      </c>
      <c r="X17" s="20">
        <v>337</v>
      </c>
      <c r="Y17" s="20">
        <v>478</v>
      </c>
      <c r="Z17" s="20">
        <v>1837</v>
      </c>
    </row>
    <row r="18" spans="2:26" x14ac:dyDescent="0.2">
      <c r="L18" s="17" t="s">
        <v>16</v>
      </c>
      <c r="M18" s="20">
        <v>50</v>
      </c>
      <c r="N18" s="20">
        <v>2771</v>
      </c>
      <c r="O18" s="20">
        <v>24103</v>
      </c>
      <c r="P18" s="20">
        <v>33</v>
      </c>
      <c r="Q18" s="20">
        <v>14667</v>
      </c>
      <c r="R18" s="20">
        <v>2</v>
      </c>
      <c r="S18" s="20">
        <v>3390</v>
      </c>
      <c r="T18" s="20">
        <v>1839</v>
      </c>
      <c r="U18" s="20">
        <v>14627</v>
      </c>
      <c r="V18" s="20">
        <v>1639</v>
      </c>
      <c r="W18" s="20">
        <v>1797</v>
      </c>
      <c r="X18" s="20">
        <v>345</v>
      </c>
      <c r="Y18" s="20">
        <v>480</v>
      </c>
      <c r="Z18" s="20">
        <v>2273</v>
      </c>
    </row>
    <row r="19" spans="2:26" x14ac:dyDescent="0.2">
      <c r="L19" s="17" t="s">
        <v>20</v>
      </c>
      <c r="M19" s="20">
        <v>54</v>
      </c>
      <c r="N19" s="20">
        <v>3109</v>
      </c>
      <c r="O19" s="20">
        <v>27823</v>
      </c>
      <c r="P19" s="20">
        <v>34</v>
      </c>
      <c r="Q19" s="20">
        <v>17434</v>
      </c>
      <c r="R19" s="20">
        <v>2</v>
      </c>
      <c r="S19" s="20">
        <v>3815</v>
      </c>
      <c r="T19" s="20">
        <v>2051</v>
      </c>
      <c r="U19" s="20">
        <v>17334</v>
      </c>
      <c r="V19" s="20">
        <v>1792</v>
      </c>
      <c r="W19" s="20">
        <v>2027</v>
      </c>
      <c r="X19" s="20">
        <v>324</v>
      </c>
      <c r="Y19" s="20">
        <v>505</v>
      </c>
      <c r="Z19" s="20">
        <v>1930</v>
      </c>
    </row>
    <row r="20" spans="2:26" x14ac:dyDescent="0.2">
      <c r="L20" s="17" t="s">
        <v>13</v>
      </c>
      <c r="M20" s="20">
        <v>56</v>
      </c>
      <c r="N20" s="20">
        <v>2696</v>
      </c>
      <c r="O20" s="20">
        <v>23906</v>
      </c>
      <c r="P20" s="20">
        <v>38</v>
      </c>
      <c r="Q20" s="20">
        <v>14294</v>
      </c>
      <c r="R20" s="20">
        <v>2</v>
      </c>
      <c r="S20" s="20">
        <v>3428</v>
      </c>
      <c r="T20" s="20">
        <v>1940</v>
      </c>
      <c r="U20" s="20">
        <v>13970</v>
      </c>
      <c r="V20" s="20">
        <v>1977</v>
      </c>
      <c r="W20" s="20">
        <v>1815</v>
      </c>
      <c r="X20" s="20">
        <v>314</v>
      </c>
      <c r="Y20" s="20">
        <v>483</v>
      </c>
      <c r="Z20" s="20">
        <v>1846</v>
      </c>
    </row>
    <row r="21" spans="2:26" x14ac:dyDescent="0.2">
      <c r="L21" s="17" t="s">
        <v>21</v>
      </c>
      <c r="M21" s="20">
        <v>53</v>
      </c>
      <c r="N21" s="20">
        <v>2653</v>
      </c>
      <c r="O21" s="20">
        <v>21833</v>
      </c>
      <c r="P21" s="20">
        <v>49</v>
      </c>
      <c r="Q21" s="20">
        <v>13480</v>
      </c>
      <c r="R21" s="20"/>
      <c r="S21" s="20">
        <v>2847</v>
      </c>
      <c r="T21" s="20">
        <v>1515</v>
      </c>
      <c r="U21" s="20">
        <v>13341</v>
      </c>
      <c r="V21" s="20">
        <v>1583</v>
      </c>
      <c r="W21" s="20">
        <v>1721</v>
      </c>
      <c r="X21" s="20">
        <v>353</v>
      </c>
      <c r="Y21" s="20">
        <v>492</v>
      </c>
      <c r="Z21" s="20">
        <v>2209</v>
      </c>
    </row>
    <row r="22" spans="2:26" x14ac:dyDescent="0.2">
      <c r="L22" s="17" t="s">
        <v>19</v>
      </c>
      <c r="M22" s="20">
        <v>60</v>
      </c>
      <c r="N22" s="20">
        <v>2604</v>
      </c>
      <c r="O22" s="20">
        <v>21557</v>
      </c>
      <c r="P22" s="20">
        <v>40</v>
      </c>
      <c r="Q22" s="20">
        <v>12869</v>
      </c>
      <c r="R22" s="20">
        <v>1</v>
      </c>
      <c r="S22" s="20">
        <v>2709</v>
      </c>
      <c r="T22" s="20">
        <v>1454</v>
      </c>
      <c r="U22" s="20">
        <v>13497</v>
      </c>
      <c r="V22" s="20">
        <v>1444</v>
      </c>
      <c r="W22" s="20">
        <v>1682</v>
      </c>
      <c r="X22" s="20">
        <v>322</v>
      </c>
      <c r="Y22" s="20">
        <v>472</v>
      </c>
      <c r="Z22" s="20">
        <v>2050</v>
      </c>
    </row>
    <row r="24" spans="2:26" x14ac:dyDescent="0.2">
      <c r="L24" s="50" t="s">
        <v>48</v>
      </c>
      <c r="M24" s="34">
        <f>IFERROR((M22-M21)/M21,"")</f>
        <v>0.13207547169811321</v>
      </c>
      <c r="N24" s="34">
        <f t="shared" ref="N24:Z24" si="1">IFERROR((N22-N21)/N21,"")</f>
        <v>-1.8469656992084433E-2</v>
      </c>
      <c r="O24" s="34">
        <f t="shared" si="1"/>
        <v>-1.2641414372738516E-2</v>
      </c>
      <c r="P24" s="34">
        <f t="shared" si="1"/>
        <v>-0.18367346938775511</v>
      </c>
      <c r="Q24" s="34">
        <f t="shared" si="1"/>
        <v>-4.5326409495548961E-2</v>
      </c>
      <c r="R24" s="34" t="str">
        <f t="shared" si="1"/>
        <v/>
      </c>
      <c r="S24" s="34">
        <f t="shared" si="1"/>
        <v>-4.8472075869336141E-2</v>
      </c>
      <c r="T24" s="34">
        <f t="shared" si="1"/>
        <v>-4.0264026402640263E-2</v>
      </c>
      <c r="U24" s="34">
        <f t="shared" si="1"/>
        <v>1.1693276366089498E-2</v>
      </c>
      <c r="V24" s="34">
        <f t="shared" si="1"/>
        <v>-8.7807959570435884E-2</v>
      </c>
      <c r="W24" s="34">
        <f t="shared" si="1"/>
        <v>-2.2661243463102849E-2</v>
      </c>
      <c r="X24" s="34">
        <f t="shared" si="1"/>
        <v>-8.7818696883852687E-2</v>
      </c>
      <c r="Y24" s="34">
        <f t="shared" si="1"/>
        <v>-4.065040650406504E-2</v>
      </c>
      <c r="Z24" s="35">
        <f t="shared" si="1"/>
        <v>-7.1978270710728834E-2</v>
      </c>
    </row>
    <row r="25" spans="2:26" x14ac:dyDescent="0.2">
      <c r="L25" s="50" t="s">
        <v>41</v>
      </c>
      <c r="M25" s="34">
        <f>(M22-M9)/M9</f>
        <v>0.36363636363636365</v>
      </c>
      <c r="N25" s="34">
        <f t="shared" ref="N25:Z25" si="2">(N22-N9)/N9</f>
        <v>0.19559228650137742</v>
      </c>
      <c r="O25" s="34">
        <f t="shared" si="2"/>
        <v>0.18994259218370502</v>
      </c>
      <c r="P25" s="34">
        <f t="shared" si="2"/>
        <v>-2.4390243902439025E-2</v>
      </c>
      <c r="Q25" s="34">
        <f t="shared" si="2"/>
        <v>0.2133697906845182</v>
      </c>
      <c r="R25" s="34">
        <f t="shared" si="2"/>
        <v>-0.91666666666666663</v>
      </c>
      <c r="S25" s="34">
        <f t="shared" si="2"/>
        <v>-0.14000000000000001</v>
      </c>
      <c r="T25" s="34">
        <f t="shared" si="2"/>
        <v>-0.19889807162534434</v>
      </c>
      <c r="U25" s="34">
        <f t="shared" si="2"/>
        <v>0.46914117775117015</v>
      </c>
      <c r="V25" s="34">
        <f t="shared" si="2"/>
        <v>-5.1871306631648066E-2</v>
      </c>
      <c r="W25" s="34">
        <f t="shared" si="2"/>
        <v>0.25428784489187173</v>
      </c>
      <c r="X25" s="34">
        <f t="shared" si="2"/>
        <v>-0.12737127371273713</v>
      </c>
      <c r="Y25" s="34">
        <f t="shared" si="2"/>
        <v>-0.36644295302013424</v>
      </c>
      <c r="Z25" s="35">
        <f t="shared" si="2"/>
        <v>0.47801009372746933</v>
      </c>
    </row>
    <row r="29" spans="2:26" ht="24" x14ac:dyDescent="0.2">
      <c r="L29" s="54" t="s">
        <v>82</v>
      </c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6"/>
    </row>
    <row r="31" spans="2:26" x14ac:dyDescent="0.2">
      <c r="L31" s="15" t="s">
        <v>80</v>
      </c>
      <c r="M31" s="15" t="s">
        <v>25</v>
      </c>
    </row>
    <row r="32" spans="2:26" x14ac:dyDescent="0.2">
      <c r="L32" s="15" t="s">
        <v>79</v>
      </c>
      <c r="M32" t="s">
        <v>63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71</v>
      </c>
      <c r="T32" t="s">
        <v>72</v>
      </c>
      <c r="U32" t="s">
        <v>73</v>
      </c>
      <c r="V32" t="s">
        <v>74</v>
      </c>
      <c r="W32" t="s">
        <v>75</v>
      </c>
      <c r="X32" t="s">
        <v>76</v>
      </c>
      <c r="Y32" t="s">
        <v>77</v>
      </c>
      <c r="Z32" t="s">
        <v>69</v>
      </c>
    </row>
    <row r="33" spans="12:26" x14ac:dyDescent="0.2">
      <c r="L33" s="16">
        <v>2015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2:26" x14ac:dyDescent="0.2">
      <c r="L34" s="17" t="s">
        <v>19</v>
      </c>
      <c r="M34" s="19">
        <v>550</v>
      </c>
      <c r="N34" s="19">
        <v>8397.8599967956507</v>
      </c>
      <c r="O34" s="19">
        <v>11406.1999494433</v>
      </c>
      <c r="P34" s="19">
        <v>436.86000061035099</v>
      </c>
      <c r="Q34" s="19">
        <v>23936.7894484996</v>
      </c>
      <c r="R34" s="19">
        <v>85.210001468658405</v>
      </c>
      <c r="S34" s="19">
        <v>28577.029830932599</v>
      </c>
      <c r="T34" s="19">
        <v>14442.269838333101</v>
      </c>
      <c r="U34" s="19">
        <v>61584.391115188599</v>
      </c>
      <c r="V34" s="19">
        <v>22228.139685630798</v>
      </c>
      <c r="W34" s="19">
        <v>43405.400306701602</v>
      </c>
      <c r="X34" s="19">
        <v>13438.6300106048</v>
      </c>
      <c r="Y34" s="19">
        <v>26033.3298568725</v>
      </c>
      <c r="Z34" s="19">
        <v>1590.97999929822</v>
      </c>
    </row>
    <row r="35" spans="12:26" x14ac:dyDescent="0.2">
      <c r="L35" s="17" t="s">
        <v>18</v>
      </c>
      <c r="M35" s="19">
        <v>337.5</v>
      </c>
      <c r="N35" s="19">
        <v>7267.4499917030298</v>
      </c>
      <c r="O35" s="19">
        <v>10732.129971951201</v>
      </c>
      <c r="P35" s="19">
        <v>362.16000002622599</v>
      </c>
      <c r="Q35" s="19">
        <v>19795.4695489406</v>
      </c>
      <c r="R35" s="19">
        <v>56.840000152587798</v>
      </c>
      <c r="S35" s="19">
        <v>24741.939844131401</v>
      </c>
      <c r="T35" s="19">
        <v>11367.479867935101</v>
      </c>
      <c r="U35" s="19">
        <v>52102.840924739801</v>
      </c>
      <c r="V35" s="19">
        <v>17022.889728546099</v>
      </c>
      <c r="W35" s="19">
        <v>38462.200263977</v>
      </c>
      <c r="X35" s="19">
        <v>13584.739995956401</v>
      </c>
      <c r="Y35" s="19">
        <v>23712.559892654401</v>
      </c>
      <c r="Z35" s="19">
        <v>1391.8300034869401</v>
      </c>
    </row>
    <row r="36" spans="12:26" x14ac:dyDescent="0.2">
      <c r="L36" s="17" t="s">
        <v>14</v>
      </c>
      <c r="M36" s="19">
        <v>612.5</v>
      </c>
      <c r="N36" s="19">
        <v>8310.6599946021997</v>
      </c>
      <c r="O36" s="19">
        <v>11092.8399385213</v>
      </c>
      <c r="P36" s="19">
        <v>292.5</v>
      </c>
      <c r="Q36" s="19">
        <v>23005.559458732601</v>
      </c>
      <c r="R36" s="19">
        <v>20.820000171661299</v>
      </c>
      <c r="S36" s="19">
        <v>29595.509808540301</v>
      </c>
      <c r="T36" s="19">
        <v>12423.839852809901</v>
      </c>
      <c r="U36" s="19">
        <v>57277.611017704003</v>
      </c>
      <c r="V36" s="19">
        <v>22674.479669570901</v>
      </c>
      <c r="W36" s="19">
        <v>38859.750238418499</v>
      </c>
      <c r="X36" s="19">
        <v>12169.859998702999</v>
      </c>
      <c r="Y36" s="19">
        <v>22790.349870681701</v>
      </c>
      <c r="Z36" s="19">
        <v>2407.3199928198001</v>
      </c>
    </row>
    <row r="37" spans="12:26" x14ac:dyDescent="0.2">
      <c r="L37" s="17" t="s">
        <v>24</v>
      </c>
      <c r="M37" s="19">
        <v>575</v>
      </c>
      <c r="N37" s="19">
        <v>8861.3699953556006</v>
      </c>
      <c r="O37" s="19">
        <v>10470.889924466601</v>
      </c>
      <c r="P37" s="19">
        <v>325.13999998569398</v>
      </c>
      <c r="Q37" s="19">
        <v>24317.669438123699</v>
      </c>
      <c r="R37" s="19">
        <v>79.460000514984102</v>
      </c>
      <c r="S37" s="19">
        <v>29036.239823341301</v>
      </c>
      <c r="T37" s="19">
        <v>13673.119843006099</v>
      </c>
      <c r="U37" s="19">
        <v>62197.3211121559</v>
      </c>
      <c r="V37" s="19">
        <v>23577.489664077701</v>
      </c>
      <c r="W37" s="19">
        <v>41902.470325469898</v>
      </c>
      <c r="X37" s="19">
        <v>12952.059974670399</v>
      </c>
      <c r="Y37" s="19">
        <v>25156.729799270601</v>
      </c>
      <c r="Z37" s="19">
        <v>2249.6399926487302</v>
      </c>
    </row>
    <row r="38" spans="12:26" x14ac:dyDescent="0.2">
      <c r="L38" s="17" t="s">
        <v>23</v>
      </c>
      <c r="M38" s="19">
        <v>725</v>
      </c>
      <c r="N38" s="19">
        <v>9832.1199941635095</v>
      </c>
      <c r="O38" s="19">
        <v>10387.3399737775</v>
      </c>
      <c r="P38" s="19">
        <v>433</v>
      </c>
      <c r="Q38" s="19">
        <v>29375.2293145656</v>
      </c>
      <c r="R38" s="19">
        <v>115.590001583099</v>
      </c>
      <c r="S38" s="19">
        <v>35385.489771842898</v>
      </c>
      <c r="T38" s="19">
        <v>15482.8798127174</v>
      </c>
      <c r="U38" s="19">
        <v>76543.571385860399</v>
      </c>
      <c r="V38" s="19">
        <v>26631.849652290301</v>
      </c>
      <c r="W38" s="19">
        <v>52646.570425033497</v>
      </c>
      <c r="X38" s="19">
        <v>14157.8199787139</v>
      </c>
      <c r="Y38" s="19">
        <v>26400.549829482999</v>
      </c>
      <c r="Z38" s="19">
        <v>2017.3799958433899</v>
      </c>
    </row>
    <row r="39" spans="12:26" x14ac:dyDescent="0.2">
      <c r="L39" s="17" t="s">
        <v>22</v>
      </c>
      <c r="M39" s="19">
        <v>637.5</v>
      </c>
      <c r="N39" s="19">
        <v>10988.9899778366</v>
      </c>
      <c r="O39" s="19">
        <v>15747.839906007001</v>
      </c>
      <c r="P39" s="19">
        <v>397.22000002861</v>
      </c>
      <c r="Q39" s="19">
        <v>36917.799242973299</v>
      </c>
      <c r="R39" s="19">
        <v>19.830000400543199</v>
      </c>
      <c r="S39" s="19">
        <v>34143.129801750103</v>
      </c>
      <c r="T39" s="19">
        <v>17730.9497795104</v>
      </c>
      <c r="U39" s="19">
        <v>97491.631799220995</v>
      </c>
      <c r="V39" s="19">
        <v>27428.979645728999</v>
      </c>
      <c r="W39" s="19">
        <v>60378.120477676297</v>
      </c>
      <c r="X39" s="19">
        <v>15104.329975128099</v>
      </c>
      <c r="Y39" s="19">
        <v>30805.169759750301</v>
      </c>
      <c r="Z39" s="19">
        <v>2206.9899943321898</v>
      </c>
    </row>
    <row r="40" spans="12:26" x14ac:dyDescent="0.2">
      <c r="L40" s="17" t="s">
        <v>15</v>
      </c>
      <c r="M40" s="19">
        <v>926</v>
      </c>
      <c r="N40" s="19">
        <v>13299.619981288901</v>
      </c>
      <c r="O40" s="19">
        <v>16480.7999264299</v>
      </c>
      <c r="P40" s="19">
        <v>582.859997272491</v>
      </c>
      <c r="Q40" s="19">
        <v>41638.478995084697</v>
      </c>
      <c r="R40" s="19">
        <v>6.9400000572204501</v>
      </c>
      <c r="S40" s="19">
        <v>38181.039825439402</v>
      </c>
      <c r="T40" s="19">
        <v>23456.4797539711</v>
      </c>
      <c r="U40" s="19">
        <v>98064.73163414</v>
      </c>
      <c r="V40" s="19">
        <v>27614.299715995701</v>
      </c>
      <c r="W40" s="19">
        <v>61735.370447158799</v>
      </c>
      <c r="X40" s="19">
        <v>13919.5199565887</v>
      </c>
      <c r="Y40" s="19">
        <v>29141.349845886201</v>
      </c>
      <c r="Z40" s="19">
        <v>2733.7599968556301</v>
      </c>
    </row>
    <row r="41" spans="12:26" x14ac:dyDescent="0.2">
      <c r="L41" s="16">
        <v>2016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2:26" x14ac:dyDescent="0.2">
      <c r="L42" s="17" t="s">
        <v>17</v>
      </c>
      <c r="M42" s="19">
        <v>571</v>
      </c>
      <c r="N42" s="19">
        <v>10133.2300248146</v>
      </c>
      <c r="O42" s="19">
        <v>14248.299931436701</v>
      </c>
      <c r="P42" s="19">
        <v>463.11999940872101</v>
      </c>
      <c r="Q42" s="19">
        <v>33099.128970384598</v>
      </c>
      <c r="R42" s="19">
        <v>26.779999732971099</v>
      </c>
      <c r="S42" s="19">
        <v>29436.590118408199</v>
      </c>
      <c r="T42" s="19">
        <v>15076.229964256199</v>
      </c>
      <c r="U42" s="19">
        <v>98206.630738735199</v>
      </c>
      <c r="V42" s="19">
        <v>21786.339978217999</v>
      </c>
      <c r="W42" s="19">
        <v>65996.480207443194</v>
      </c>
      <c r="X42" s="19">
        <v>12776.0797920227</v>
      </c>
      <c r="Y42" s="19">
        <v>20387.3900203704</v>
      </c>
      <c r="Z42" s="19">
        <v>1758.9699955768799</v>
      </c>
    </row>
    <row r="43" spans="12:26" x14ac:dyDescent="0.2">
      <c r="L43" s="17" t="s">
        <v>16</v>
      </c>
      <c r="M43" s="19">
        <v>650</v>
      </c>
      <c r="N43" s="19">
        <v>10237.400021314599</v>
      </c>
      <c r="O43" s="19">
        <v>12015.419907093001</v>
      </c>
      <c r="P43" s="19">
        <v>310.75999951362598</v>
      </c>
      <c r="Q43" s="19">
        <v>33863.008991003</v>
      </c>
      <c r="R43" s="19">
        <v>13.8800001144409</v>
      </c>
      <c r="S43" s="19">
        <v>33986.630146980198</v>
      </c>
      <c r="T43" s="19">
        <v>15628.099962234401</v>
      </c>
      <c r="U43" s="19">
        <v>102642.460764884</v>
      </c>
      <c r="V43" s="19">
        <v>25474.349943161</v>
      </c>
      <c r="W43" s="19">
        <v>58948.0100536346</v>
      </c>
      <c r="X43" s="19">
        <v>14227.989845275801</v>
      </c>
      <c r="Y43" s="19">
        <v>20900.410047531099</v>
      </c>
      <c r="Z43" s="19">
        <v>2269.77999626472</v>
      </c>
    </row>
    <row r="44" spans="12:26" x14ac:dyDescent="0.2">
      <c r="L44" s="17" t="s">
        <v>20</v>
      </c>
      <c r="M44" s="19">
        <v>702</v>
      </c>
      <c r="N44" s="19">
        <v>11557.950027704201</v>
      </c>
      <c r="O44" s="19">
        <v>11836.9899490028</v>
      </c>
      <c r="P44" s="19">
        <v>342.89999961852999</v>
      </c>
      <c r="Q44" s="19">
        <v>40006.298756122502</v>
      </c>
      <c r="R44" s="19">
        <v>19.8399996757507</v>
      </c>
      <c r="S44" s="19">
        <v>38144.610194206201</v>
      </c>
      <c r="T44" s="19">
        <v>17397.4699697494</v>
      </c>
      <c r="U44" s="19">
        <v>121306.760912418</v>
      </c>
      <c r="V44" s="19">
        <v>27470.619976043701</v>
      </c>
      <c r="W44" s="19">
        <v>66128.8501853942</v>
      </c>
      <c r="X44" s="19">
        <v>12632.699798583901</v>
      </c>
      <c r="Y44" s="19">
        <v>21287.7800178527</v>
      </c>
      <c r="Z44" s="19">
        <v>2059.0200000423902</v>
      </c>
    </row>
    <row r="45" spans="12:26" x14ac:dyDescent="0.2">
      <c r="L45" s="17" t="s">
        <v>13</v>
      </c>
      <c r="M45" s="19">
        <v>728</v>
      </c>
      <c r="N45" s="19">
        <v>10088.0500144958</v>
      </c>
      <c r="O45" s="19">
        <v>9550.2499283403104</v>
      </c>
      <c r="P45" s="19">
        <v>380</v>
      </c>
      <c r="Q45" s="19">
        <v>33120.0790381431</v>
      </c>
      <c r="R45" s="19">
        <v>13.8800001144409</v>
      </c>
      <c r="S45" s="19">
        <v>34610.6101255416</v>
      </c>
      <c r="T45" s="19">
        <v>16514.979958534201</v>
      </c>
      <c r="U45" s="19">
        <v>98079.000725269303</v>
      </c>
      <c r="V45" s="19">
        <v>30017.159916877699</v>
      </c>
      <c r="W45" s="19">
        <v>59917.460086822502</v>
      </c>
      <c r="X45" s="19">
        <v>12279.679788589399</v>
      </c>
      <c r="Y45" s="19">
        <v>20483.700037002502</v>
      </c>
      <c r="Z45" s="19">
        <v>2325.8600004427099</v>
      </c>
    </row>
    <row r="46" spans="12:26" x14ac:dyDescent="0.2">
      <c r="L46" s="17" t="s">
        <v>21</v>
      </c>
      <c r="M46" s="19">
        <v>689</v>
      </c>
      <c r="N46" s="19">
        <v>10074.6800069808</v>
      </c>
      <c r="O46" s="19">
        <v>10159.369983181299</v>
      </c>
      <c r="P46" s="19">
        <v>533.10999894142105</v>
      </c>
      <c r="Q46" s="19">
        <v>30913.029034614501</v>
      </c>
      <c r="R46" s="19"/>
      <c r="S46" s="19">
        <v>28826.760154724099</v>
      </c>
      <c r="T46" s="19">
        <v>13203.6499605178</v>
      </c>
      <c r="U46" s="19">
        <v>94078.220681190403</v>
      </c>
      <c r="V46" s="19">
        <v>24414.839992523099</v>
      </c>
      <c r="W46" s="19">
        <v>57312.660051345803</v>
      </c>
      <c r="X46" s="19">
        <v>14520.719829559301</v>
      </c>
      <c r="Y46" s="19">
        <v>21265.3100337982</v>
      </c>
      <c r="Z46" s="19">
        <v>2281.8799991942901</v>
      </c>
    </row>
    <row r="47" spans="12:26" x14ac:dyDescent="0.2">
      <c r="L47" s="17" t="s">
        <v>19</v>
      </c>
      <c r="M47" s="19">
        <v>780</v>
      </c>
      <c r="N47" s="19">
        <v>9510.2000014781897</v>
      </c>
      <c r="O47" s="19">
        <v>10572.860001683201</v>
      </c>
      <c r="P47" s="19">
        <v>375.05999965965702</v>
      </c>
      <c r="Q47" s="19">
        <v>28747.0291790962</v>
      </c>
      <c r="R47" s="19">
        <v>6.3400001525878897</v>
      </c>
      <c r="S47" s="19">
        <v>27538.620074272101</v>
      </c>
      <c r="T47" s="19">
        <v>12537.589976310701</v>
      </c>
      <c r="U47" s="19">
        <v>93318.660941123904</v>
      </c>
      <c r="V47" s="19">
        <v>23565.7199096679</v>
      </c>
      <c r="W47" s="19">
        <v>56752.380002975398</v>
      </c>
      <c r="X47" s="19">
        <v>12915.629812240601</v>
      </c>
      <c r="Y47" s="19">
        <v>20842.4500446319</v>
      </c>
      <c r="Z47" s="19">
        <v>2267.1799981724398</v>
      </c>
    </row>
    <row r="49" spans="12:26" x14ac:dyDescent="0.2">
      <c r="L49" s="50" t="s">
        <v>48</v>
      </c>
      <c r="M49" s="34">
        <f>IFERROR((M47-M46)/M46,"")</f>
        <v>0.13207547169811321</v>
      </c>
      <c r="N49" s="34">
        <f t="shared" ref="N49:Z49" si="3">IFERROR((N47-N46)/N46,"")</f>
        <v>-5.6029571669916928E-2</v>
      </c>
      <c r="O49" s="34">
        <f t="shared" si="3"/>
        <v>4.070036027690975E-2</v>
      </c>
      <c r="P49" s="34">
        <f t="shared" si="3"/>
        <v>-0.29646789517285121</v>
      </c>
      <c r="Q49" s="34">
        <f t="shared" si="3"/>
        <v>-7.0067538612697836E-2</v>
      </c>
      <c r="R49" s="34" t="str">
        <f t="shared" si="3"/>
        <v/>
      </c>
      <c r="S49" s="34">
        <f t="shared" si="3"/>
        <v>-4.4685565548749293E-2</v>
      </c>
      <c r="T49" s="34">
        <f t="shared" si="3"/>
        <v>-5.0445141017732516E-2</v>
      </c>
      <c r="U49" s="34">
        <f t="shared" si="3"/>
        <v>-8.0737043554477261E-3</v>
      </c>
      <c r="V49" s="34">
        <f t="shared" si="3"/>
        <v>-3.4778851023198887E-2</v>
      </c>
      <c r="W49" s="34">
        <f t="shared" si="3"/>
        <v>-9.7758514064511404E-3</v>
      </c>
      <c r="X49" s="34">
        <f t="shared" si="3"/>
        <v>-0.11053790970136872</v>
      </c>
      <c r="Y49" s="34">
        <f t="shared" si="3"/>
        <v>-1.988496704229676E-2</v>
      </c>
      <c r="Z49" s="35">
        <f t="shared" si="3"/>
        <v>-6.4420569999477364E-3</v>
      </c>
    </row>
    <row r="50" spans="12:26" x14ac:dyDescent="0.2">
      <c r="L50" s="50" t="s">
        <v>41</v>
      </c>
      <c r="M50" s="34">
        <f>(M47-M34)/M34</f>
        <v>0.41818181818181815</v>
      </c>
      <c r="N50" s="34">
        <f t="shared" ref="N50:Z50" si="4">(N47-N34)/N34</f>
        <v>0.13245517371175178</v>
      </c>
      <c r="O50" s="34">
        <f t="shared" si="4"/>
        <v>-7.3060261213531708E-2</v>
      </c>
      <c r="P50" s="34">
        <f t="shared" si="4"/>
        <v>-0.14146408658231752</v>
      </c>
      <c r="Q50" s="34">
        <f t="shared" si="4"/>
        <v>0.20095592773399754</v>
      </c>
      <c r="R50" s="34">
        <f t="shared" si="4"/>
        <v>-0.92559558686406262</v>
      </c>
      <c r="S50" s="34">
        <f t="shared" si="4"/>
        <v>-3.6337217786590728E-2</v>
      </c>
      <c r="T50" s="34">
        <f t="shared" si="4"/>
        <v>-0.13188230682180874</v>
      </c>
      <c r="U50" s="34">
        <f t="shared" si="4"/>
        <v>0.51529728964241817</v>
      </c>
      <c r="V50" s="34">
        <f t="shared" si="4"/>
        <v>6.0175086307459602E-2</v>
      </c>
      <c r="W50" s="34">
        <f t="shared" si="4"/>
        <v>0.30749583236105027</v>
      </c>
      <c r="X50" s="34">
        <f t="shared" si="4"/>
        <v>-3.8917672259113127E-2</v>
      </c>
      <c r="Y50" s="34">
        <f t="shared" si="4"/>
        <v>-0.19939361736586561</v>
      </c>
      <c r="Z50" s="35">
        <f t="shared" si="4"/>
        <v>0.42502105568422671</v>
      </c>
    </row>
    <row r="107" spans="2:18" x14ac:dyDescent="0.2">
      <c r="K107" t="s">
        <v>36</v>
      </c>
      <c r="L107" s="46" t="s">
        <v>3</v>
      </c>
      <c r="M107" s="47" t="s">
        <v>70</v>
      </c>
      <c r="N107" s="47" t="s">
        <v>56</v>
      </c>
      <c r="O107" s="47" t="s">
        <v>58</v>
      </c>
      <c r="P107" s="47" t="s">
        <v>59</v>
      </c>
      <c r="Q107" s="47" t="s">
        <v>60</v>
      </c>
      <c r="R107" s="48" t="s">
        <v>61</v>
      </c>
    </row>
    <row r="108" spans="2:18" x14ac:dyDescent="0.2">
      <c r="B108" t="s">
        <v>3</v>
      </c>
      <c r="C108" t="s">
        <v>70</v>
      </c>
      <c r="D108" t="s">
        <v>56</v>
      </c>
      <c r="E108" t="s">
        <v>58</v>
      </c>
      <c r="F108" t="s">
        <v>59</v>
      </c>
      <c r="G108" t="s">
        <v>60</v>
      </c>
      <c r="H108" t="s">
        <v>61</v>
      </c>
      <c r="K108">
        <v>2015</v>
      </c>
      <c r="L108" t="s">
        <v>19</v>
      </c>
      <c r="M108" t="s">
        <v>69</v>
      </c>
      <c r="N108">
        <v>1387</v>
      </c>
      <c r="O108">
        <v>137.839999975636</v>
      </c>
      <c r="P108">
        <v>1590.97999929822</v>
      </c>
      <c r="Q108">
        <v>3723</v>
      </c>
      <c r="R108">
        <v>5862</v>
      </c>
    </row>
    <row r="109" spans="2:18" x14ac:dyDescent="0.2">
      <c r="B109" t="s">
        <v>19</v>
      </c>
      <c r="C109" t="s">
        <v>71</v>
      </c>
      <c r="D109">
        <v>2709</v>
      </c>
      <c r="E109">
        <v>35151.020438194202</v>
      </c>
      <c r="F109">
        <v>27538.620074272101</v>
      </c>
      <c r="G109">
        <v>1667</v>
      </c>
      <c r="H109">
        <v>4309</v>
      </c>
      <c r="K109">
        <v>2015</v>
      </c>
      <c r="L109" t="s">
        <v>19</v>
      </c>
      <c r="M109" t="s">
        <v>75</v>
      </c>
      <c r="N109">
        <v>1341</v>
      </c>
      <c r="O109">
        <v>108792.049682617</v>
      </c>
      <c r="P109">
        <v>43405.400306701602</v>
      </c>
      <c r="Q109">
        <v>3695</v>
      </c>
      <c r="R109">
        <v>4914</v>
      </c>
    </row>
    <row r="110" spans="2:18" x14ac:dyDescent="0.2">
      <c r="B110" t="s">
        <v>19</v>
      </c>
      <c r="C110" t="s">
        <v>72</v>
      </c>
      <c r="D110">
        <v>1454</v>
      </c>
      <c r="E110">
        <v>11697.010026097199</v>
      </c>
      <c r="F110">
        <v>12537.589976310701</v>
      </c>
      <c r="G110">
        <v>978</v>
      </c>
      <c r="H110">
        <v>2379</v>
      </c>
      <c r="K110">
        <v>2015</v>
      </c>
      <c r="L110" t="s">
        <v>19</v>
      </c>
      <c r="M110" t="s">
        <v>68</v>
      </c>
      <c r="N110">
        <v>12</v>
      </c>
      <c r="O110">
        <v>22.189999699592502</v>
      </c>
      <c r="P110">
        <v>85.210001468658405</v>
      </c>
      <c r="Q110">
        <v>0</v>
      </c>
      <c r="R110">
        <v>20</v>
      </c>
    </row>
    <row r="111" spans="2:18" x14ac:dyDescent="0.2">
      <c r="B111" t="s">
        <v>19</v>
      </c>
      <c r="C111" t="s">
        <v>63</v>
      </c>
      <c r="D111">
        <v>60</v>
      </c>
      <c r="E111">
        <v>0</v>
      </c>
      <c r="F111">
        <v>780</v>
      </c>
      <c r="G111">
        <v>0</v>
      </c>
      <c r="H111">
        <v>0</v>
      </c>
      <c r="K111">
        <v>2015</v>
      </c>
      <c r="L111" t="s">
        <v>19</v>
      </c>
      <c r="M111" t="s">
        <v>72</v>
      </c>
      <c r="N111">
        <v>1815</v>
      </c>
      <c r="O111">
        <v>13229.4799932241</v>
      </c>
      <c r="P111">
        <v>14442.269838333101</v>
      </c>
      <c r="Q111">
        <v>1132</v>
      </c>
      <c r="R111">
        <v>2885</v>
      </c>
    </row>
    <row r="112" spans="2:18" x14ac:dyDescent="0.2">
      <c r="B112" t="s">
        <v>19</v>
      </c>
      <c r="C112" t="s">
        <v>64</v>
      </c>
      <c r="D112">
        <v>2604</v>
      </c>
      <c r="E112">
        <v>795.19998645782402</v>
      </c>
      <c r="F112">
        <v>9510.2000014781897</v>
      </c>
      <c r="G112">
        <v>0</v>
      </c>
      <c r="H112">
        <v>0</v>
      </c>
      <c r="K112">
        <v>2015</v>
      </c>
      <c r="L112" t="s">
        <v>19</v>
      </c>
      <c r="M112" t="s">
        <v>76</v>
      </c>
      <c r="N112">
        <v>369</v>
      </c>
      <c r="O112">
        <v>31554.869731903</v>
      </c>
      <c r="P112">
        <v>13438.6300106048</v>
      </c>
      <c r="Q112">
        <v>1197</v>
      </c>
      <c r="R112">
        <v>1532</v>
      </c>
    </row>
    <row r="113" spans="2:18" x14ac:dyDescent="0.2">
      <c r="B113" t="s">
        <v>19</v>
      </c>
      <c r="C113" t="s">
        <v>65</v>
      </c>
      <c r="D113">
        <v>21557</v>
      </c>
      <c r="E113">
        <v>11547.659984681701</v>
      </c>
      <c r="F113">
        <v>10572.860001683201</v>
      </c>
      <c r="G113">
        <v>0</v>
      </c>
      <c r="H113">
        <v>0</v>
      </c>
      <c r="K113">
        <v>2015</v>
      </c>
      <c r="L113" t="s">
        <v>19</v>
      </c>
      <c r="M113" t="s">
        <v>66</v>
      </c>
      <c r="N113">
        <v>41</v>
      </c>
      <c r="O113">
        <v>0</v>
      </c>
      <c r="P113">
        <v>436.86000061035099</v>
      </c>
      <c r="Q113">
        <v>0</v>
      </c>
      <c r="R113">
        <v>0</v>
      </c>
    </row>
    <row r="114" spans="2:18" x14ac:dyDescent="0.2">
      <c r="B114" t="s">
        <v>19</v>
      </c>
      <c r="C114" t="s">
        <v>73</v>
      </c>
      <c r="D114">
        <v>13497</v>
      </c>
      <c r="E114">
        <v>22893.760172188198</v>
      </c>
      <c r="F114">
        <v>93318.660941123904</v>
      </c>
      <c r="G114">
        <v>12759</v>
      </c>
      <c r="H114">
        <v>25752</v>
      </c>
      <c r="K114">
        <v>2015</v>
      </c>
      <c r="L114" t="s">
        <v>19</v>
      </c>
      <c r="M114" t="s">
        <v>64</v>
      </c>
      <c r="N114">
        <v>2178</v>
      </c>
      <c r="O114">
        <v>616.44002449512402</v>
      </c>
      <c r="P114">
        <v>8397.8599967956507</v>
      </c>
      <c r="Q114">
        <v>0</v>
      </c>
      <c r="R114">
        <v>0</v>
      </c>
    </row>
    <row r="115" spans="2:18" x14ac:dyDescent="0.2">
      <c r="B115" t="s">
        <v>19</v>
      </c>
      <c r="C115" t="s">
        <v>66</v>
      </c>
      <c r="D115">
        <v>40</v>
      </c>
      <c r="E115">
        <v>101.779999375343</v>
      </c>
      <c r="F115">
        <v>375.05999965965702</v>
      </c>
      <c r="G115">
        <v>0</v>
      </c>
      <c r="H115">
        <v>0</v>
      </c>
      <c r="K115">
        <v>2015</v>
      </c>
      <c r="L115" t="s">
        <v>19</v>
      </c>
      <c r="M115" t="s">
        <v>77</v>
      </c>
      <c r="N115">
        <v>745</v>
      </c>
      <c r="O115">
        <v>68049.069923400806</v>
      </c>
      <c r="P115">
        <v>26033.3298568725</v>
      </c>
      <c r="Q115">
        <v>2266</v>
      </c>
      <c r="R115">
        <v>3185</v>
      </c>
    </row>
    <row r="116" spans="2:18" x14ac:dyDescent="0.2">
      <c r="B116" t="s">
        <v>19</v>
      </c>
      <c r="C116" t="s">
        <v>74</v>
      </c>
      <c r="D116">
        <v>1444</v>
      </c>
      <c r="E116">
        <v>51052.820522308299</v>
      </c>
      <c r="F116">
        <v>23565.7199096679</v>
      </c>
      <c r="G116">
        <v>1503</v>
      </c>
      <c r="H116">
        <v>2891</v>
      </c>
      <c r="K116">
        <v>2015</v>
      </c>
      <c r="L116" t="s">
        <v>19</v>
      </c>
      <c r="M116" t="s">
        <v>71</v>
      </c>
      <c r="N116">
        <v>3150</v>
      </c>
      <c r="O116">
        <v>36488.119924545201</v>
      </c>
      <c r="P116">
        <v>28577.029830932599</v>
      </c>
      <c r="Q116">
        <v>1637</v>
      </c>
      <c r="R116">
        <v>4700</v>
      </c>
    </row>
    <row r="117" spans="2:18" x14ac:dyDescent="0.2">
      <c r="B117" t="s">
        <v>19</v>
      </c>
      <c r="C117" t="s">
        <v>67</v>
      </c>
      <c r="D117">
        <v>12869</v>
      </c>
      <c r="E117">
        <v>14478.820058584201</v>
      </c>
      <c r="F117">
        <v>28747.0291790962</v>
      </c>
      <c r="G117">
        <v>0</v>
      </c>
      <c r="H117">
        <v>0</v>
      </c>
      <c r="K117">
        <v>2015</v>
      </c>
      <c r="L117" t="s">
        <v>19</v>
      </c>
      <c r="M117" t="s">
        <v>63</v>
      </c>
      <c r="N117">
        <v>44</v>
      </c>
      <c r="O117">
        <v>0</v>
      </c>
      <c r="P117">
        <v>550</v>
      </c>
      <c r="Q117">
        <v>0</v>
      </c>
      <c r="R117">
        <v>0</v>
      </c>
    </row>
    <row r="118" spans="2:18" x14ac:dyDescent="0.2">
      <c r="B118" t="s">
        <v>19</v>
      </c>
      <c r="C118" t="s">
        <v>68</v>
      </c>
      <c r="D118">
        <v>1</v>
      </c>
      <c r="E118">
        <v>2.0799999237060498</v>
      </c>
      <c r="F118">
        <v>6.3400001525878897</v>
      </c>
      <c r="G118">
        <v>0</v>
      </c>
      <c r="H118">
        <v>1</v>
      </c>
      <c r="K118">
        <v>2015</v>
      </c>
      <c r="L118" t="s">
        <v>19</v>
      </c>
      <c r="M118" t="s">
        <v>65</v>
      </c>
      <c r="N118">
        <v>18116</v>
      </c>
      <c r="O118">
        <v>15058.569962494001</v>
      </c>
      <c r="P118">
        <v>11406.1999494433</v>
      </c>
      <c r="Q118">
        <v>0</v>
      </c>
      <c r="R118">
        <v>0</v>
      </c>
    </row>
    <row r="119" spans="2:18" x14ac:dyDescent="0.2">
      <c r="B119" t="s">
        <v>19</v>
      </c>
      <c r="C119" t="s">
        <v>69</v>
      </c>
      <c r="D119">
        <v>2050</v>
      </c>
      <c r="E119">
        <v>136.69999994337499</v>
      </c>
      <c r="F119">
        <v>2267.1799981724398</v>
      </c>
      <c r="G119">
        <v>5464</v>
      </c>
      <c r="H119">
        <v>8360</v>
      </c>
      <c r="K119">
        <v>2015</v>
      </c>
      <c r="L119" t="s">
        <v>19</v>
      </c>
      <c r="M119" t="s">
        <v>74</v>
      </c>
      <c r="N119">
        <v>1523</v>
      </c>
      <c r="O119">
        <v>48401.160306930498</v>
      </c>
      <c r="P119">
        <v>22228.139685630798</v>
      </c>
      <c r="Q119">
        <v>1169</v>
      </c>
      <c r="R119">
        <v>2646</v>
      </c>
    </row>
    <row r="120" spans="2:18" x14ac:dyDescent="0.2">
      <c r="B120" t="s">
        <v>19</v>
      </c>
      <c r="C120" t="s">
        <v>75</v>
      </c>
      <c r="D120">
        <v>1682</v>
      </c>
      <c r="E120">
        <v>130270.179904937</v>
      </c>
      <c r="F120">
        <v>56752.380002975398</v>
      </c>
      <c r="G120">
        <v>4161</v>
      </c>
      <c r="H120">
        <v>5471</v>
      </c>
      <c r="K120">
        <v>2015</v>
      </c>
      <c r="L120" t="s">
        <v>19</v>
      </c>
      <c r="M120" t="s">
        <v>67</v>
      </c>
      <c r="N120">
        <v>10606</v>
      </c>
      <c r="O120">
        <v>10659.0101902484</v>
      </c>
      <c r="P120">
        <v>23936.7894484996</v>
      </c>
      <c r="Q120">
        <v>0</v>
      </c>
      <c r="R120">
        <v>0</v>
      </c>
    </row>
    <row r="121" spans="2:18" x14ac:dyDescent="0.2">
      <c r="B121" t="s">
        <v>19</v>
      </c>
      <c r="C121" t="s">
        <v>76</v>
      </c>
      <c r="D121">
        <v>322</v>
      </c>
      <c r="E121">
        <v>30668.229766845699</v>
      </c>
      <c r="F121">
        <v>12915.629812240601</v>
      </c>
      <c r="G121">
        <v>1136</v>
      </c>
      <c r="H121">
        <v>1512</v>
      </c>
      <c r="K121">
        <v>2015</v>
      </c>
      <c r="L121" t="s">
        <v>19</v>
      </c>
      <c r="M121" t="s">
        <v>73</v>
      </c>
      <c r="N121">
        <v>9187</v>
      </c>
      <c r="O121">
        <v>13861.5299010872</v>
      </c>
      <c r="P121">
        <v>61584.391115188599</v>
      </c>
      <c r="Q121">
        <v>10368</v>
      </c>
      <c r="R121">
        <v>19165</v>
      </c>
    </row>
    <row r="122" spans="2:18" x14ac:dyDescent="0.2">
      <c r="B122" t="s">
        <v>19</v>
      </c>
      <c r="C122" t="s">
        <v>77</v>
      </c>
      <c r="D122">
        <v>472</v>
      </c>
      <c r="E122">
        <v>54675.979850768999</v>
      </c>
      <c r="F122">
        <v>20842.4500446319</v>
      </c>
      <c r="G122">
        <v>2014</v>
      </c>
      <c r="H122">
        <v>2677</v>
      </c>
      <c r="K122">
        <v>2015</v>
      </c>
      <c r="L122" t="s">
        <v>18</v>
      </c>
      <c r="M122" t="s">
        <v>65</v>
      </c>
      <c r="N122">
        <v>15353</v>
      </c>
      <c r="O122">
        <v>15036.269991124</v>
      </c>
      <c r="P122">
        <v>10732.129971951201</v>
      </c>
      <c r="Q122">
        <v>0</v>
      </c>
      <c r="R122">
        <v>0</v>
      </c>
    </row>
    <row r="123" spans="2:18" x14ac:dyDescent="0.2">
      <c r="B123" t="s">
        <v>21</v>
      </c>
      <c r="C123" t="s">
        <v>71</v>
      </c>
      <c r="D123">
        <v>2847</v>
      </c>
      <c r="E123">
        <v>36822.020541191101</v>
      </c>
      <c r="F123">
        <v>28826.760154724099</v>
      </c>
      <c r="G123">
        <v>1502</v>
      </c>
      <c r="H123">
        <v>4272</v>
      </c>
      <c r="K123">
        <v>2015</v>
      </c>
      <c r="L123" t="s">
        <v>18</v>
      </c>
      <c r="M123" t="s">
        <v>76</v>
      </c>
      <c r="N123">
        <v>378</v>
      </c>
      <c r="O123">
        <v>32219.1597175598</v>
      </c>
      <c r="P123">
        <v>13584.739995956401</v>
      </c>
      <c r="Q123">
        <v>1166</v>
      </c>
      <c r="R123">
        <v>1474</v>
      </c>
    </row>
    <row r="124" spans="2:18" x14ac:dyDescent="0.2">
      <c r="B124" t="s">
        <v>21</v>
      </c>
      <c r="C124" t="s">
        <v>72</v>
      </c>
      <c r="D124">
        <v>1515</v>
      </c>
      <c r="E124">
        <v>12830.7500177621</v>
      </c>
      <c r="F124">
        <v>13203.6499605178</v>
      </c>
      <c r="G124">
        <v>1080</v>
      </c>
      <c r="H124">
        <v>2539</v>
      </c>
      <c r="K124">
        <v>2015</v>
      </c>
      <c r="L124" t="s">
        <v>18</v>
      </c>
      <c r="M124" t="s">
        <v>67</v>
      </c>
      <c r="N124">
        <v>8786</v>
      </c>
      <c r="O124">
        <v>8841.5301597118305</v>
      </c>
      <c r="P124">
        <v>19795.4695489406</v>
      </c>
      <c r="Q124">
        <v>0</v>
      </c>
      <c r="R124">
        <v>0</v>
      </c>
    </row>
    <row r="125" spans="2:18" x14ac:dyDescent="0.2">
      <c r="B125" t="s">
        <v>21</v>
      </c>
      <c r="C125" t="s">
        <v>63</v>
      </c>
      <c r="D125">
        <v>53</v>
      </c>
      <c r="E125">
        <v>0</v>
      </c>
      <c r="F125">
        <v>689</v>
      </c>
      <c r="G125">
        <v>0</v>
      </c>
      <c r="H125">
        <v>0</v>
      </c>
      <c r="K125">
        <v>2015</v>
      </c>
      <c r="L125" t="s">
        <v>18</v>
      </c>
      <c r="M125" t="s">
        <v>72</v>
      </c>
      <c r="N125">
        <v>1444</v>
      </c>
      <c r="O125">
        <v>10452.7200073003</v>
      </c>
      <c r="P125">
        <v>11367.479867935101</v>
      </c>
      <c r="Q125">
        <v>740</v>
      </c>
      <c r="R125">
        <v>2146</v>
      </c>
    </row>
    <row r="126" spans="2:18" x14ac:dyDescent="0.2">
      <c r="B126" t="s">
        <v>21</v>
      </c>
      <c r="C126" t="s">
        <v>64</v>
      </c>
      <c r="D126">
        <v>2653</v>
      </c>
      <c r="E126">
        <v>785.98998761176995</v>
      </c>
      <c r="F126">
        <v>10074.6800069808</v>
      </c>
      <c r="G126">
        <v>0</v>
      </c>
      <c r="H126">
        <v>2</v>
      </c>
      <c r="K126">
        <v>2015</v>
      </c>
      <c r="L126" t="s">
        <v>18</v>
      </c>
      <c r="M126" t="s">
        <v>77</v>
      </c>
      <c r="N126">
        <v>678</v>
      </c>
      <c r="O126">
        <v>62370.640052795403</v>
      </c>
      <c r="P126">
        <v>23712.559892654401</v>
      </c>
      <c r="Q126">
        <v>1990</v>
      </c>
      <c r="R126">
        <v>2706</v>
      </c>
    </row>
    <row r="127" spans="2:18" x14ac:dyDescent="0.2">
      <c r="B127" t="s">
        <v>21</v>
      </c>
      <c r="C127" t="s">
        <v>65</v>
      </c>
      <c r="D127">
        <v>21833</v>
      </c>
      <c r="E127">
        <v>10457.579991016501</v>
      </c>
      <c r="F127">
        <v>10159.369983181299</v>
      </c>
      <c r="G127">
        <v>0</v>
      </c>
      <c r="H127">
        <v>0</v>
      </c>
      <c r="K127">
        <v>2015</v>
      </c>
      <c r="L127" t="s">
        <v>18</v>
      </c>
      <c r="M127" t="s">
        <v>69</v>
      </c>
      <c r="N127">
        <v>1054</v>
      </c>
      <c r="O127">
        <v>139.93000063858901</v>
      </c>
      <c r="P127">
        <v>1391.8300034869401</v>
      </c>
      <c r="Q127">
        <v>2550</v>
      </c>
      <c r="R127">
        <v>4293</v>
      </c>
    </row>
    <row r="128" spans="2:18" x14ac:dyDescent="0.2">
      <c r="B128" t="s">
        <v>21</v>
      </c>
      <c r="C128" t="s">
        <v>73</v>
      </c>
      <c r="D128">
        <v>13341</v>
      </c>
      <c r="E128">
        <v>21727.2002477645</v>
      </c>
      <c r="F128">
        <v>94078.220681190403</v>
      </c>
      <c r="G128">
        <v>14737</v>
      </c>
      <c r="H128">
        <v>27552</v>
      </c>
      <c r="K128">
        <v>2015</v>
      </c>
      <c r="L128" t="s">
        <v>18</v>
      </c>
      <c r="M128" t="s">
        <v>64</v>
      </c>
      <c r="N128">
        <v>1882</v>
      </c>
      <c r="O128">
        <v>488.56001925468399</v>
      </c>
      <c r="P128">
        <v>7267.4499917030298</v>
      </c>
      <c r="Q128">
        <v>0</v>
      </c>
      <c r="R128">
        <v>2</v>
      </c>
    </row>
    <row r="129" spans="2:18" x14ac:dyDescent="0.2">
      <c r="B129" t="s">
        <v>21</v>
      </c>
      <c r="C129" t="s">
        <v>66</v>
      </c>
      <c r="D129">
        <v>49</v>
      </c>
      <c r="E129">
        <v>0</v>
      </c>
      <c r="F129">
        <v>533.10999894142105</v>
      </c>
      <c r="G129">
        <v>0</v>
      </c>
      <c r="H129">
        <v>2</v>
      </c>
      <c r="K129">
        <v>2015</v>
      </c>
      <c r="L129" t="s">
        <v>18</v>
      </c>
      <c r="M129" t="s">
        <v>66</v>
      </c>
      <c r="N129">
        <v>37</v>
      </c>
      <c r="O129">
        <v>3.6500000953674299</v>
      </c>
      <c r="P129">
        <v>362.16000002622599</v>
      </c>
      <c r="Q129">
        <v>0</v>
      </c>
      <c r="R129">
        <v>0</v>
      </c>
    </row>
    <row r="130" spans="2:18" x14ac:dyDescent="0.2">
      <c r="B130" t="s">
        <v>21</v>
      </c>
      <c r="C130" t="s">
        <v>74</v>
      </c>
      <c r="D130">
        <v>1583</v>
      </c>
      <c r="E130">
        <v>52119.450475692698</v>
      </c>
      <c r="F130">
        <v>24414.839992523099</v>
      </c>
      <c r="G130">
        <v>1070</v>
      </c>
      <c r="H130">
        <v>2595</v>
      </c>
      <c r="K130">
        <v>2015</v>
      </c>
      <c r="L130" t="s">
        <v>18</v>
      </c>
      <c r="M130" t="s">
        <v>63</v>
      </c>
      <c r="N130">
        <v>27</v>
      </c>
      <c r="O130">
        <v>0</v>
      </c>
      <c r="P130">
        <v>337.5</v>
      </c>
      <c r="Q130">
        <v>0</v>
      </c>
      <c r="R130">
        <v>0</v>
      </c>
    </row>
    <row r="131" spans="2:18" x14ac:dyDescent="0.2">
      <c r="B131" t="s">
        <v>21</v>
      </c>
      <c r="C131" t="s">
        <v>67</v>
      </c>
      <c r="D131">
        <v>13480</v>
      </c>
      <c r="E131">
        <v>14465.3699660897</v>
      </c>
      <c r="F131">
        <v>30913.029034614501</v>
      </c>
      <c r="G131">
        <v>0</v>
      </c>
      <c r="H131">
        <v>0</v>
      </c>
      <c r="K131">
        <v>2015</v>
      </c>
      <c r="L131" t="s">
        <v>18</v>
      </c>
      <c r="M131" t="s">
        <v>74</v>
      </c>
      <c r="N131">
        <v>1162</v>
      </c>
      <c r="O131">
        <v>37178.910217285098</v>
      </c>
      <c r="P131">
        <v>17022.889728546099</v>
      </c>
      <c r="Q131">
        <v>827</v>
      </c>
      <c r="R131">
        <v>1961</v>
      </c>
    </row>
    <row r="132" spans="2:18" x14ac:dyDescent="0.2">
      <c r="B132" t="s">
        <v>21</v>
      </c>
      <c r="C132" t="s">
        <v>69</v>
      </c>
      <c r="D132">
        <v>2209</v>
      </c>
      <c r="E132">
        <v>124.570000045001</v>
      </c>
      <c r="F132">
        <v>2281.8799991942901</v>
      </c>
      <c r="G132">
        <v>5563</v>
      </c>
      <c r="H132">
        <v>8773</v>
      </c>
      <c r="K132">
        <v>2015</v>
      </c>
      <c r="L132" t="s">
        <v>18</v>
      </c>
      <c r="M132" t="s">
        <v>71</v>
      </c>
      <c r="N132">
        <v>2729</v>
      </c>
      <c r="O132">
        <v>31800.409920215599</v>
      </c>
      <c r="P132">
        <v>24741.939844131401</v>
      </c>
      <c r="Q132">
        <v>1375</v>
      </c>
      <c r="R132">
        <v>4023</v>
      </c>
    </row>
    <row r="133" spans="2:18" x14ac:dyDescent="0.2">
      <c r="B133" t="s">
        <v>21</v>
      </c>
      <c r="C133" t="s">
        <v>75</v>
      </c>
      <c r="D133">
        <v>1721</v>
      </c>
      <c r="E133">
        <v>132204.58981323201</v>
      </c>
      <c r="F133">
        <v>57312.660051345803</v>
      </c>
      <c r="G133">
        <v>4072</v>
      </c>
      <c r="H133">
        <v>5554</v>
      </c>
      <c r="K133">
        <v>2015</v>
      </c>
      <c r="L133" t="s">
        <v>18</v>
      </c>
      <c r="M133" t="s">
        <v>68</v>
      </c>
      <c r="N133">
        <v>8</v>
      </c>
      <c r="O133">
        <v>33.329999685287397</v>
      </c>
      <c r="P133">
        <v>56.840000152587798</v>
      </c>
      <c r="Q133">
        <v>0</v>
      </c>
      <c r="R133">
        <v>11</v>
      </c>
    </row>
    <row r="134" spans="2:18" x14ac:dyDescent="0.2">
      <c r="B134" t="s">
        <v>21</v>
      </c>
      <c r="C134" t="s">
        <v>76</v>
      </c>
      <c r="D134">
        <v>353</v>
      </c>
      <c r="E134">
        <v>33803.959949493401</v>
      </c>
      <c r="F134">
        <v>14520.719829559301</v>
      </c>
      <c r="G134">
        <v>1289</v>
      </c>
      <c r="H134">
        <v>1681</v>
      </c>
      <c r="K134">
        <v>2015</v>
      </c>
      <c r="L134" t="s">
        <v>18</v>
      </c>
      <c r="M134" t="s">
        <v>73</v>
      </c>
      <c r="N134">
        <v>7745</v>
      </c>
      <c r="O134">
        <v>12241.8999156355</v>
      </c>
      <c r="P134">
        <v>52102.840924739801</v>
      </c>
      <c r="Q134">
        <v>8979</v>
      </c>
      <c r="R134">
        <v>16396</v>
      </c>
    </row>
    <row r="135" spans="2:18" x14ac:dyDescent="0.2">
      <c r="B135" t="s">
        <v>21</v>
      </c>
      <c r="C135" t="s">
        <v>77</v>
      </c>
      <c r="D135">
        <v>492</v>
      </c>
      <c r="E135">
        <v>55597.199790954503</v>
      </c>
      <c r="F135">
        <v>21265.3100337982</v>
      </c>
      <c r="G135">
        <v>2068</v>
      </c>
      <c r="H135">
        <v>2803</v>
      </c>
      <c r="K135">
        <v>2015</v>
      </c>
      <c r="L135" t="s">
        <v>18</v>
      </c>
      <c r="M135" t="s">
        <v>75</v>
      </c>
      <c r="N135">
        <v>1217</v>
      </c>
      <c r="O135">
        <v>96083.649700164795</v>
      </c>
      <c r="P135">
        <v>38462.200263977</v>
      </c>
      <c r="Q135">
        <v>3112</v>
      </c>
      <c r="R135">
        <v>4192</v>
      </c>
    </row>
    <row r="136" spans="2:18" x14ac:dyDescent="0.2">
      <c r="K136">
        <v>2015</v>
      </c>
      <c r="L136" t="s">
        <v>14</v>
      </c>
      <c r="M136" t="s">
        <v>74</v>
      </c>
      <c r="N136">
        <v>1503</v>
      </c>
      <c r="O136">
        <v>49458.920251846299</v>
      </c>
      <c r="P136">
        <v>22674.479669570901</v>
      </c>
      <c r="Q136">
        <v>1260</v>
      </c>
      <c r="R136">
        <v>2706</v>
      </c>
    </row>
    <row r="137" spans="2:18" x14ac:dyDescent="0.2">
      <c r="K137">
        <v>2015</v>
      </c>
      <c r="L137" t="s">
        <v>14</v>
      </c>
      <c r="M137" t="s">
        <v>66</v>
      </c>
      <c r="N137">
        <v>29</v>
      </c>
      <c r="O137">
        <v>0</v>
      </c>
      <c r="P137">
        <v>292.5</v>
      </c>
      <c r="Q137">
        <v>0</v>
      </c>
      <c r="R137">
        <v>0</v>
      </c>
    </row>
    <row r="138" spans="2:18" x14ac:dyDescent="0.2">
      <c r="K138">
        <v>2015</v>
      </c>
      <c r="L138" t="s">
        <v>14</v>
      </c>
      <c r="M138" t="s">
        <v>68</v>
      </c>
      <c r="N138">
        <v>3</v>
      </c>
      <c r="O138">
        <v>11.6900000572204</v>
      </c>
      <c r="P138">
        <v>20.820000171661299</v>
      </c>
      <c r="Q138">
        <v>0</v>
      </c>
      <c r="R138">
        <v>4</v>
      </c>
    </row>
    <row r="139" spans="2:18" x14ac:dyDescent="0.2">
      <c r="K139">
        <v>2015</v>
      </c>
      <c r="L139" t="s">
        <v>14</v>
      </c>
      <c r="M139" t="s">
        <v>73</v>
      </c>
      <c r="N139">
        <v>8506</v>
      </c>
      <c r="O139">
        <v>13332.609906435</v>
      </c>
      <c r="P139">
        <v>57277.611017704003</v>
      </c>
      <c r="Q139">
        <v>11742</v>
      </c>
      <c r="R139">
        <v>19764</v>
      </c>
    </row>
    <row r="140" spans="2:18" x14ac:dyDescent="0.2">
      <c r="K140">
        <v>2015</v>
      </c>
      <c r="L140" t="s">
        <v>14</v>
      </c>
      <c r="M140" t="s">
        <v>75</v>
      </c>
      <c r="N140">
        <v>1201</v>
      </c>
      <c r="O140">
        <v>97443.249553680405</v>
      </c>
      <c r="P140">
        <v>38859.750238418499</v>
      </c>
      <c r="Q140">
        <v>3324</v>
      </c>
      <c r="R140">
        <v>4284</v>
      </c>
    </row>
    <row r="141" spans="2:18" x14ac:dyDescent="0.2">
      <c r="K141">
        <v>2015</v>
      </c>
      <c r="L141" t="s">
        <v>14</v>
      </c>
      <c r="M141" t="s">
        <v>65</v>
      </c>
      <c r="N141">
        <v>16973</v>
      </c>
      <c r="O141">
        <v>14848.1000066008</v>
      </c>
      <c r="P141">
        <v>11092.8399385213</v>
      </c>
      <c r="Q141">
        <v>0</v>
      </c>
      <c r="R141">
        <v>0</v>
      </c>
    </row>
    <row r="142" spans="2:18" x14ac:dyDescent="0.2">
      <c r="K142">
        <v>2015</v>
      </c>
      <c r="L142" t="s">
        <v>14</v>
      </c>
      <c r="M142" t="s">
        <v>77</v>
      </c>
      <c r="N142">
        <v>631</v>
      </c>
      <c r="O142">
        <v>60687.549922943101</v>
      </c>
      <c r="P142">
        <v>22790.349870681701</v>
      </c>
      <c r="Q142">
        <v>2056</v>
      </c>
      <c r="R142">
        <v>2922</v>
      </c>
    </row>
    <row r="143" spans="2:18" x14ac:dyDescent="0.2">
      <c r="K143">
        <v>2015</v>
      </c>
      <c r="L143" t="s">
        <v>14</v>
      </c>
      <c r="M143" t="s">
        <v>72</v>
      </c>
      <c r="N143">
        <v>1590</v>
      </c>
      <c r="O143">
        <v>11328.110004067399</v>
      </c>
      <c r="P143">
        <v>12423.839852809901</v>
      </c>
      <c r="Q143">
        <v>742</v>
      </c>
      <c r="R143">
        <v>2276</v>
      </c>
    </row>
    <row r="144" spans="2:18" x14ac:dyDescent="0.2">
      <c r="K144">
        <v>2015</v>
      </c>
      <c r="L144" t="s">
        <v>14</v>
      </c>
      <c r="M144" t="s">
        <v>76</v>
      </c>
      <c r="N144">
        <v>323</v>
      </c>
      <c r="O144">
        <v>28993.289676666202</v>
      </c>
      <c r="P144">
        <v>12169.859998702999</v>
      </c>
      <c r="Q144">
        <v>1131</v>
      </c>
      <c r="R144">
        <v>1454</v>
      </c>
    </row>
    <row r="145" spans="11:18" x14ac:dyDescent="0.2">
      <c r="K145">
        <v>2015</v>
      </c>
      <c r="L145" t="s">
        <v>14</v>
      </c>
      <c r="M145" t="s">
        <v>63</v>
      </c>
      <c r="N145">
        <v>49</v>
      </c>
      <c r="O145">
        <v>0</v>
      </c>
      <c r="P145">
        <v>612.5</v>
      </c>
      <c r="Q145">
        <v>0</v>
      </c>
      <c r="R145">
        <v>0</v>
      </c>
    </row>
    <row r="146" spans="11:18" x14ac:dyDescent="0.2">
      <c r="K146">
        <v>2015</v>
      </c>
      <c r="L146" t="s">
        <v>14</v>
      </c>
      <c r="M146" t="s">
        <v>64</v>
      </c>
      <c r="N146">
        <v>2081</v>
      </c>
      <c r="O146">
        <v>623.04002475738503</v>
      </c>
      <c r="P146">
        <v>8310.6599946021997</v>
      </c>
      <c r="Q146">
        <v>0</v>
      </c>
      <c r="R146">
        <v>0</v>
      </c>
    </row>
    <row r="147" spans="11:18" x14ac:dyDescent="0.2">
      <c r="K147">
        <v>2015</v>
      </c>
      <c r="L147" t="s">
        <v>14</v>
      </c>
      <c r="M147" t="s">
        <v>71</v>
      </c>
      <c r="N147">
        <v>3238</v>
      </c>
      <c r="O147">
        <v>38567.039895534501</v>
      </c>
      <c r="P147">
        <v>29595.509808540301</v>
      </c>
      <c r="Q147">
        <v>1730</v>
      </c>
      <c r="R147">
        <v>4868</v>
      </c>
    </row>
    <row r="148" spans="11:18" x14ac:dyDescent="0.2">
      <c r="K148">
        <v>2015</v>
      </c>
      <c r="L148" t="s">
        <v>14</v>
      </c>
      <c r="M148" t="s">
        <v>67</v>
      </c>
      <c r="N148">
        <v>10160</v>
      </c>
      <c r="O148">
        <v>10184.840177536</v>
      </c>
      <c r="P148">
        <v>23005.559458732601</v>
      </c>
      <c r="Q148">
        <v>0</v>
      </c>
      <c r="R148">
        <v>0</v>
      </c>
    </row>
    <row r="149" spans="11:18" x14ac:dyDescent="0.2">
      <c r="K149">
        <v>2015</v>
      </c>
      <c r="L149" t="s">
        <v>14</v>
      </c>
      <c r="M149" t="s">
        <v>69</v>
      </c>
      <c r="N149">
        <v>1959</v>
      </c>
      <c r="O149">
        <v>235.66999838873701</v>
      </c>
      <c r="P149">
        <v>2407.3199928198001</v>
      </c>
      <c r="Q149">
        <v>5402</v>
      </c>
      <c r="R149">
        <v>8449</v>
      </c>
    </row>
    <row r="150" spans="11:18" x14ac:dyDescent="0.2">
      <c r="K150">
        <v>2015</v>
      </c>
      <c r="L150" t="s">
        <v>24</v>
      </c>
      <c r="M150" t="s">
        <v>68</v>
      </c>
      <c r="N150">
        <v>11</v>
      </c>
      <c r="O150">
        <v>22.9100000858306</v>
      </c>
      <c r="P150">
        <v>79.460000514984102</v>
      </c>
      <c r="Q150">
        <v>0</v>
      </c>
      <c r="R150">
        <v>11</v>
      </c>
    </row>
    <row r="151" spans="11:18" x14ac:dyDescent="0.2">
      <c r="K151">
        <v>2015</v>
      </c>
      <c r="L151" t="s">
        <v>24</v>
      </c>
      <c r="M151" t="s">
        <v>64</v>
      </c>
      <c r="N151">
        <v>2236</v>
      </c>
      <c r="O151">
        <v>638.26002526283196</v>
      </c>
      <c r="P151">
        <v>8861.3699953556006</v>
      </c>
      <c r="Q151">
        <v>0</v>
      </c>
      <c r="R151">
        <v>6</v>
      </c>
    </row>
    <row r="152" spans="11:18" x14ac:dyDescent="0.2">
      <c r="K152">
        <v>2015</v>
      </c>
      <c r="L152" t="s">
        <v>24</v>
      </c>
      <c r="M152" t="s">
        <v>71</v>
      </c>
      <c r="N152">
        <v>3183</v>
      </c>
      <c r="O152">
        <v>37560.359871864297</v>
      </c>
      <c r="P152">
        <v>29036.239823341301</v>
      </c>
      <c r="Q152">
        <v>1671</v>
      </c>
      <c r="R152">
        <v>4749</v>
      </c>
    </row>
    <row r="153" spans="11:18" x14ac:dyDescent="0.2">
      <c r="K153">
        <v>2015</v>
      </c>
      <c r="L153" t="s">
        <v>24</v>
      </c>
      <c r="M153" t="s">
        <v>75</v>
      </c>
      <c r="N153">
        <v>1330</v>
      </c>
      <c r="O153">
        <v>104138.62955093299</v>
      </c>
      <c r="P153">
        <v>41902.470325469898</v>
      </c>
      <c r="Q153">
        <v>3393</v>
      </c>
      <c r="R153">
        <v>4408</v>
      </c>
    </row>
    <row r="154" spans="11:18" x14ac:dyDescent="0.2">
      <c r="K154">
        <v>2015</v>
      </c>
      <c r="L154" t="s">
        <v>24</v>
      </c>
      <c r="M154" t="s">
        <v>65</v>
      </c>
      <c r="N154">
        <v>18168</v>
      </c>
      <c r="O154">
        <v>13163.6200011316</v>
      </c>
      <c r="P154">
        <v>10470.889924466601</v>
      </c>
      <c r="Q154">
        <v>0</v>
      </c>
      <c r="R154">
        <v>0</v>
      </c>
    </row>
    <row r="155" spans="11:18" x14ac:dyDescent="0.2">
      <c r="K155">
        <v>2015</v>
      </c>
      <c r="L155" t="s">
        <v>24</v>
      </c>
      <c r="M155" t="s">
        <v>67</v>
      </c>
      <c r="N155">
        <v>10770</v>
      </c>
      <c r="O155">
        <v>10820.1301925182</v>
      </c>
      <c r="P155">
        <v>24317.669438123699</v>
      </c>
      <c r="Q155">
        <v>0</v>
      </c>
      <c r="R155">
        <v>0</v>
      </c>
    </row>
    <row r="156" spans="11:18" x14ac:dyDescent="0.2">
      <c r="K156">
        <v>2015</v>
      </c>
      <c r="L156" t="s">
        <v>24</v>
      </c>
      <c r="M156" t="s">
        <v>66</v>
      </c>
      <c r="N156">
        <v>34</v>
      </c>
      <c r="O156">
        <v>12.760000199079499</v>
      </c>
      <c r="P156">
        <v>325.13999998569398</v>
      </c>
      <c r="Q156">
        <v>2</v>
      </c>
      <c r="R156">
        <v>2</v>
      </c>
    </row>
    <row r="157" spans="11:18" x14ac:dyDescent="0.2">
      <c r="K157">
        <v>2015</v>
      </c>
      <c r="L157" t="s">
        <v>24</v>
      </c>
      <c r="M157" t="s">
        <v>72</v>
      </c>
      <c r="N157">
        <v>1733</v>
      </c>
      <c r="O157">
        <v>12405.179998159399</v>
      </c>
      <c r="P157">
        <v>13673.119843006099</v>
      </c>
      <c r="Q157">
        <v>1149</v>
      </c>
      <c r="R157">
        <v>2812</v>
      </c>
    </row>
    <row r="158" spans="11:18" x14ac:dyDescent="0.2">
      <c r="K158">
        <v>2015</v>
      </c>
      <c r="L158" t="s">
        <v>24</v>
      </c>
      <c r="M158" t="s">
        <v>63</v>
      </c>
      <c r="N158">
        <v>46</v>
      </c>
      <c r="O158">
        <v>0</v>
      </c>
      <c r="P158">
        <v>575</v>
      </c>
      <c r="Q158">
        <v>0</v>
      </c>
      <c r="R158">
        <v>0</v>
      </c>
    </row>
    <row r="159" spans="11:18" x14ac:dyDescent="0.2">
      <c r="K159">
        <v>2015</v>
      </c>
      <c r="L159" t="s">
        <v>24</v>
      </c>
      <c r="M159" t="s">
        <v>69</v>
      </c>
      <c r="N159">
        <v>1953</v>
      </c>
      <c r="O159">
        <v>167.97999924980101</v>
      </c>
      <c r="P159">
        <v>2249.6399926487302</v>
      </c>
      <c r="Q159">
        <v>5394</v>
      </c>
      <c r="R159">
        <v>8330</v>
      </c>
    </row>
    <row r="160" spans="11:18" x14ac:dyDescent="0.2">
      <c r="K160">
        <v>2015</v>
      </c>
      <c r="L160" t="s">
        <v>24</v>
      </c>
      <c r="M160" t="s">
        <v>74</v>
      </c>
      <c r="N160">
        <v>1603</v>
      </c>
      <c r="O160">
        <v>51213.560289382898</v>
      </c>
      <c r="P160">
        <v>23577.489664077701</v>
      </c>
      <c r="Q160">
        <v>1319</v>
      </c>
      <c r="R160">
        <v>2851</v>
      </c>
    </row>
    <row r="161" spans="11:18" x14ac:dyDescent="0.2">
      <c r="K161">
        <v>2015</v>
      </c>
      <c r="L161" t="s">
        <v>24</v>
      </c>
      <c r="M161" t="s">
        <v>73</v>
      </c>
      <c r="N161">
        <v>9251</v>
      </c>
      <c r="O161">
        <v>14390.3298991918</v>
      </c>
      <c r="P161">
        <v>62197.3211121559</v>
      </c>
      <c r="Q161">
        <v>10956</v>
      </c>
      <c r="R161">
        <v>19753</v>
      </c>
    </row>
    <row r="162" spans="11:18" x14ac:dyDescent="0.2">
      <c r="K162">
        <v>2015</v>
      </c>
      <c r="L162" t="s">
        <v>24</v>
      </c>
      <c r="M162" t="s">
        <v>77</v>
      </c>
      <c r="N162">
        <v>729</v>
      </c>
      <c r="O162">
        <v>66108.2698478698</v>
      </c>
      <c r="P162">
        <v>25156.729799270601</v>
      </c>
      <c r="Q162">
        <v>2177</v>
      </c>
      <c r="R162">
        <v>2954</v>
      </c>
    </row>
    <row r="163" spans="11:18" x14ac:dyDescent="0.2">
      <c r="K163">
        <v>2015</v>
      </c>
      <c r="L163" t="s">
        <v>24</v>
      </c>
      <c r="M163" t="s">
        <v>76</v>
      </c>
      <c r="N163">
        <v>348</v>
      </c>
      <c r="O163">
        <v>30857.339786529501</v>
      </c>
      <c r="P163">
        <v>12952.059974670399</v>
      </c>
      <c r="Q163">
        <v>1168</v>
      </c>
      <c r="R163">
        <v>1531</v>
      </c>
    </row>
    <row r="164" spans="11:18" x14ac:dyDescent="0.2">
      <c r="K164">
        <v>2015</v>
      </c>
      <c r="L164" t="s">
        <v>23</v>
      </c>
      <c r="M164" t="s">
        <v>74</v>
      </c>
      <c r="N164">
        <v>1859</v>
      </c>
      <c r="O164">
        <v>57440.6003055572</v>
      </c>
      <c r="P164">
        <v>26631.849652290301</v>
      </c>
      <c r="Q164">
        <v>1284</v>
      </c>
      <c r="R164">
        <v>3085</v>
      </c>
    </row>
    <row r="165" spans="11:18" x14ac:dyDescent="0.2">
      <c r="K165">
        <v>2015</v>
      </c>
      <c r="L165" t="s">
        <v>23</v>
      </c>
      <c r="M165" t="s">
        <v>69</v>
      </c>
      <c r="N165">
        <v>2166</v>
      </c>
      <c r="O165">
        <v>135.05999962612901</v>
      </c>
      <c r="P165">
        <v>2017.3799958433899</v>
      </c>
      <c r="Q165">
        <v>5274</v>
      </c>
      <c r="R165">
        <v>8001</v>
      </c>
    </row>
    <row r="166" spans="11:18" x14ac:dyDescent="0.2">
      <c r="K166">
        <v>2015</v>
      </c>
      <c r="L166" t="s">
        <v>23</v>
      </c>
      <c r="M166" t="s">
        <v>75</v>
      </c>
      <c r="N166">
        <v>1682</v>
      </c>
      <c r="O166">
        <v>130070.629497528</v>
      </c>
      <c r="P166">
        <v>52646.570425033497</v>
      </c>
      <c r="Q166">
        <v>4122</v>
      </c>
      <c r="R166">
        <v>5353</v>
      </c>
    </row>
    <row r="167" spans="11:18" x14ac:dyDescent="0.2">
      <c r="K167">
        <v>2015</v>
      </c>
      <c r="L167" t="s">
        <v>23</v>
      </c>
      <c r="M167" t="s">
        <v>73</v>
      </c>
      <c r="N167">
        <v>11378</v>
      </c>
      <c r="O167">
        <v>17231.6898704171</v>
      </c>
      <c r="P167">
        <v>76543.571385860399</v>
      </c>
      <c r="Q167">
        <v>12763</v>
      </c>
      <c r="R167">
        <v>23634</v>
      </c>
    </row>
    <row r="168" spans="11:18" x14ac:dyDescent="0.2">
      <c r="K168">
        <v>2015</v>
      </c>
      <c r="L168" t="s">
        <v>23</v>
      </c>
      <c r="M168" t="s">
        <v>76</v>
      </c>
      <c r="N168">
        <v>371</v>
      </c>
      <c r="O168">
        <v>34471.779724120999</v>
      </c>
      <c r="P168">
        <v>14157.8199787139</v>
      </c>
      <c r="Q168">
        <v>1427</v>
      </c>
      <c r="R168">
        <v>1793</v>
      </c>
    </row>
    <row r="169" spans="11:18" x14ac:dyDescent="0.2">
      <c r="K169">
        <v>2015</v>
      </c>
      <c r="L169" t="s">
        <v>23</v>
      </c>
      <c r="M169" t="s">
        <v>65</v>
      </c>
      <c r="N169">
        <v>21921</v>
      </c>
      <c r="O169">
        <v>12150.4599737059</v>
      </c>
      <c r="P169">
        <v>10387.3399737775</v>
      </c>
      <c r="Q169">
        <v>0</v>
      </c>
      <c r="R169">
        <v>0</v>
      </c>
    </row>
    <row r="170" spans="11:18" x14ac:dyDescent="0.2">
      <c r="K170">
        <v>2015</v>
      </c>
      <c r="L170" t="s">
        <v>23</v>
      </c>
      <c r="M170" t="s">
        <v>72</v>
      </c>
      <c r="N170">
        <v>1972</v>
      </c>
      <c r="O170">
        <v>14302.670002221999</v>
      </c>
      <c r="P170">
        <v>15482.8798127174</v>
      </c>
      <c r="Q170">
        <v>927</v>
      </c>
      <c r="R170">
        <v>2845</v>
      </c>
    </row>
    <row r="171" spans="11:18" x14ac:dyDescent="0.2">
      <c r="K171">
        <v>2015</v>
      </c>
      <c r="L171" t="s">
        <v>23</v>
      </c>
      <c r="M171" t="s">
        <v>68</v>
      </c>
      <c r="N171">
        <v>14</v>
      </c>
      <c r="O171">
        <v>29.169999718665999</v>
      </c>
      <c r="P171">
        <v>115.590001583099</v>
      </c>
      <c r="Q171">
        <v>0</v>
      </c>
      <c r="R171">
        <v>58</v>
      </c>
    </row>
    <row r="172" spans="11:18" x14ac:dyDescent="0.2">
      <c r="K172">
        <v>2015</v>
      </c>
      <c r="L172" t="s">
        <v>23</v>
      </c>
      <c r="M172" t="s">
        <v>66</v>
      </c>
      <c r="N172">
        <v>42</v>
      </c>
      <c r="O172">
        <v>0</v>
      </c>
      <c r="P172">
        <v>433</v>
      </c>
      <c r="Q172">
        <v>0</v>
      </c>
      <c r="R172">
        <v>0</v>
      </c>
    </row>
    <row r="173" spans="11:18" x14ac:dyDescent="0.2">
      <c r="K173">
        <v>2015</v>
      </c>
      <c r="L173" t="s">
        <v>23</v>
      </c>
      <c r="M173" t="s">
        <v>63</v>
      </c>
      <c r="N173">
        <v>58</v>
      </c>
      <c r="O173">
        <v>0</v>
      </c>
      <c r="P173">
        <v>725</v>
      </c>
      <c r="Q173">
        <v>0</v>
      </c>
      <c r="R173">
        <v>0</v>
      </c>
    </row>
    <row r="174" spans="11:18" x14ac:dyDescent="0.2">
      <c r="K174">
        <v>2015</v>
      </c>
      <c r="L174" t="s">
        <v>23</v>
      </c>
      <c r="M174" t="s">
        <v>67</v>
      </c>
      <c r="N174">
        <v>12990</v>
      </c>
      <c r="O174">
        <v>13034.9702293872</v>
      </c>
      <c r="P174">
        <v>29375.2293145656</v>
      </c>
      <c r="Q174">
        <v>0</v>
      </c>
      <c r="R174">
        <v>0</v>
      </c>
    </row>
    <row r="175" spans="11:18" x14ac:dyDescent="0.2">
      <c r="K175">
        <v>2015</v>
      </c>
      <c r="L175" t="s">
        <v>23</v>
      </c>
      <c r="M175" t="s">
        <v>64</v>
      </c>
      <c r="N175">
        <v>2574</v>
      </c>
      <c r="O175">
        <v>718.08002853393498</v>
      </c>
      <c r="P175">
        <v>9832.1199941635095</v>
      </c>
      <c r="Q175">
        <v>0</v>
      </c>
      <c r="R175">
        <v>0</v>
      </c>
    </row>
    <row r="176" spans="11:18" x14ac:dyDescent="0.2">
      <c r="K176">
        <v>2015</v>
      </c>
      <c r="L176" t="s">
        <v>23</v>
      </c>
      <c r="M176" t="s">
        <v>71</v>
      </c>
      <c r="N176">
        <v>3917</v>
      </c>
      <c r="O176">
        <v>45962.459918022098</v>
      </c>
      <c r="P176">
        <v>35385.489771842898</v>
      </c>
      <c r="Q176">
        <v>1801</v>
      </c>
      <c r="R176">
        <v>5612</v>
      </c>
    </row>
    <row r="177" spans="11:18" x14ac:dyDescent="0.2">
      <c r="K177">
        <v>2015</v>
      </c>
      <c r="L177" t="s">
        <v>23</v>
      </c>
      <c r="M177" t="s">
        <v>77</v>
      </c>
      <c r="N177">
        <v>756</v>
      </c>
      <c r="O177">
        <v>70064.850078582705</v>
      </c>
      <c r="P177">
        <v>26400.549829482999</v>
      </c>
      <c r="Q177">
        <v>2461</v>
      </c>
      <c r="R177">
        <v>3256</v>
      </c>
    </row>
    <row r="178" spans="11:18" x14ac:dyDescent="0.2">
      <c r="K178">
        <v>2015</v>
      </c>
      <c r="L178" t="s">
        <v>22</v>
      </c>
      <c r="M178" t="s">
        <v>76</v>
      </c>
      <c r="N178">
        <v>412</v>
      </c>
      <c r="O178">
        <v>36301.519783019998</v>
      </c>
      <c r="P178">
        <v>15104.329975128099</v>
      </c>
      <c r="Q178">
        <v>1222</v>
      </c>
      <c r="R178">
        <v>1622</v>
      </c>
    </row>
    <row r="179" spans="11:18" x14ac:dyDescent="0.2">
      <c r="K179">
        <v>2015</v>
      </c>
      <c r="L179" t="s">
        <v>22</v>
      </c>
      <c r="M179" t="s">
        <v>68</v>
      </c>
      <c r="N179">
        <v>3</v>
      </c>
      <c r="O179">
        <v>3.91999983787536</v>
      </c>
      <c r="P179">
        <v>19.830000400543199</v>
      </c>
      <c r="Q179">
        <v>0</v>
      </c>
      <c r="R179">
        <v>4</v>
      </c>
    </row>
    <row r="180" spans="11:18" x14ac:dyDescent="0.2">
      <c r="K180">
        <v>2015</v>
      </c>
      <c r="L180" t="s">
        <v>22</v>
      </c>
      <c r="M180" t="s">
        <v>72</v>
      </c>
      <c r="N180">
        <v>2265</v>
      </c>
      <c r="O180">
        <v>15682.250020027101</v>
      </c>
      <c r="P180">
        <v>17730.9497795104</v>
      </c>
      <c r="Q180">
        <v>1070</v>
      </c>
      <c r="R180">
        <v>3263</v>
      </c>
    </row>
    <row r="181" spans="11:18" x14ac:dyDescent="0.2">
      <c r="K181">
        <v>2015</v>
      </c>
      <c r="L181" t="s">
        <v>22</v>
      </c>
      <c r="M181" t="s">
        <v>77</v>
      </c>
      <c r="N181">
        <v>897</v>
      </c>
      <c r="O181">
        <v>81920.430213928194</v>
      </c>
      <c r="P181">
        <v>30805.169759750301</v>
      </c>
      <c r="Q181">
        <v>2815</v>
      </c>
      <c r="R181">
        <v>3845</v>
      </c>
    </row>
    <row r="182" spans="11:18" x14ac:dyDescent="0.2">
      <c r="K182">
        <v>2015</v>
      </c>
      <c r="L182" t="s">
        <v>22</v>
      </c>
      <c r="M182" t="s">
        <v>64</v>
      </c>
      <c r="N182">
        <v>2890</v>
      </c>
      <c r="O182">
        <v>595.86002367734898</v>
      </c>
      <c r="P182">
        <v>10988.9899778366</v>
      </c>
      <c r="Q182">
        <v>0</v>
      </c>
      <c r="R182">
        <v>1</v>
      </c>
    </row>
    <row r="183" spans="11:18" x14ac:dyDescent="0.2">
      <c r="K183">
        <v>2015</v>
      </c>
      <c r="L183" t="s">
        <v>22</v>
      </c>
      <c r="M183" t="s">
        <v>66</v>
      </c>
      <c r="N183">
        <v>40</v>
      </c>
      <c r="O183">
        <v>0</v>
      </c>
      <c r="P183">
        <v>397.22000002861</v>
      </c>
      <c r="Q183">
        <v>0</v>
      </c>
      <c r="R183">
        <v>0</v>
      </c>
    </row>
    <row r="184" spans="11:18" x14ac:dyDescent="0.2">
      <c r="K184">
        <v>2015</v>
      </c>
      <c r="L184" t="s">
        <v>22</v>
      </c>
      <c r="M184" t="s">
        <v>69</v>
      </c>
      <c r="N184">
        <v>2134</v>
      </c>
      <c r="O184">
        <v>193.63000020198501</v>
      </c>
      <c r="P184">
        <v>2206.9899943321898</v>
      </c>
      <c r="Q184">
        <v>5181</v>
      </c>
      <c r="R184">
        <v>8076</v>
      </c>
    </row>
    <row r="185" spans="11:18" x14ac:dyDescent="0.2">
      <c r="K185">
        <v>2015</v>
      </c>
      <c r="L185" t="s">
        <v>22</v>
      </c>
      <c r="M185" t="s">
        <v>74</v>
      </c>
      <c r="N185">
        <v>1912</v>
      </c>
      <c r="O185">
        <v>59147.7703475952</v>
      </c>
      <c r="P185">
        <v>27428.979645728999</v>
      </c>
      <c r="Q185">
        <v>1490</v>
      </c>
      <c r="R185">
        <v>3355</v>
      </c>
    </row>
    <row r="186" spans="11:18" x14ac:dyDescent="0.2">
      <c r="K186">
        <v>2015</v>
      </c>
      <c r="L186" t="s">
        <v>22</v>
      </c>
      <c r="M186" t="s">
        <v>67</v>
      </c>
      <c r="N186">
        <v>16636</v>
      </c>
      <c r="O186">
        <v>16935.400337695999</v>
      </c>
      <c r="P186">
        <v>36917.799242973299</v>
      </c>
      <c r="Q186">
        <v>0</v>
      </c>
      <c r="R186">
        <v>0</v>
      </c>
    </row>
    <row r="187" spans="11:18" x14ac:dyDescent="0.2">
      <c r="K187">
        <v>2015</v>
      </c>
      <c r="L187" t="s">
        <v>22</v>
      </c>
      <c r="M187" t="s">
        <v>71</v>
      </c>
      <c r="N187">
        <v>3794</v>
      </c>
      <c r="O187">
        <v>43093.2698640823</v>
      </c>
      <c r="P187">
        <v>34143.129801750103</v>
      </c>
      <c r="Q187">
        <v>1694</v>
      </c>
      <c r="R187">
        <v>5373</v>
      </c>
    </row>
    <row r="188" spans="11:18" x14ac:dyDescent="0.2">
      <c r="K188">
        <v>2015</v>
      </c>
      <c r="L188" t="s">
        <v>22</v>
      </c>
      <c r="M188" t="s">
        <v>75</v>
      </c>
      <c r="N188">
        <v>1931</v>
      </c>
      <c r="O188">
        <v>152990.32958221401</v>
      </c>
      <c r="P188">
        <v>60378.120477676297</v>
      </c>
      <c r="Q188">
        <v>4921</v>
      </c>
      <c r="R188">
        <v>6647</v>
      </c>
    </row>
    <row r="189" spans="11:18" x14ac:dyDescent="0.2">
      <c r="K189">
        <v>2015</v>
      </c>
      <c r="L189" t="s">
        <v>22</v>
      </c>
      <c r="M189" t="s">
        <v>73</v>
      </c>
      <c r="N189">
        <v>14585</v>
      </c>
      <c r="O189">
        <v>21129.349825739799</v>
      </c>
      <c r="P189">
        <v>97491.631799220995</v>
      </c>
      <c r="Q189">
        <v>12869</v>
      </c>
      <c r="R189">
        <v>26902</v>
      </c>
    </row>
    <row r="190" spans="11:18" x14ac:dyDescent="0.2">
      <c r="K190">
        <v>2015</v>
      </c>
      <c r="L190" t="s">
        <v>22</v>
      </c>
      <c r="M190" t="s">
        <v>65</v>
      </c>
      <c r="N190">
        <v>25761</v>
      </c>
      <c r="O190">
        <v>19482.939971093001</v>
      </c>
      <c r="P190">
        <v>15747.839906007001</v>
      </c>
      <c r="Q190">
        <v>0</v>
      </c>
      <c r="R190">
        <v>0</v>
      </c>
    </row>
    <row r="191" spans="11:18" x14ac:dyDescent="0.2">
      <c r="K191">
        <v>2015</v>
      </c>
      <c r="L191" t="s">
        <v>22</v>
      </c>
      <c r="M191" t="s">
        <v>63</v>
      </c>
      <c r="N191">
        <v>51</v>
      </c>
      <c r="O191">
        <v>0</v>
      </c>
      <c r="P191">
        <v>637.5</v>
      </c>
      <c r="Q191">
        <v>0</v>
      </c>
      <c r="R191">
        <v>0</v>
      </c>
    </row>
    <row r="192" spans="11:18" x14ac:dyDescent="0.2">
      <c r="K192">
        <v>2015</v>
      </c>
      <c r="L192" t="s">
        <v>15</v>
      </c>
      <c r="M192" t="s">
        <v>66</v>
      </c>
      <c r="N192">
        <v>66</v>
      </c>
      <c r="O192">
        <v>7.5</v>
      </c>
      <c r="P192">
        <v>582.859997272491</v>
      </c>
      <c r="Q192">
        <v>0</v>
      </c>
      <c r="R192">
        <v>0</v>
      </c>
    </row>
    <row r="193" spans="11:18" x14ac:dyDescent="0.2">
      <c r="K193">
        <v>2015</v>
      </c>
      <c r="L193" t="s">
        <v>15</v>
      </c>
      <c r="M193" t="s">
        <v>71</v>
      </c>
      <c r="N193">
        <v>4149</v>
      </c>
      <c r="O193">
        <v>48455.710016727397</v>
      </c>
      <c r="P193">
        <v>38181.039825439402</v>
      </c>
      <c r="Q193">
        <v>2221</v>
      </c>
      <c r="R193">
        <v>6240</v>
      </c>
    </row>
    <row r="194" spans="11:18" x14ac:dyDescent="0.2">
      <c r="K194">
        <v>2015</v>
      </c>
      <c r="L194" t="s">
        <v>15</v>
      </c>
      <c r="M194" t="s">
        <v>68</v>
      </c>
      <c r="N194">
        <v>1</v>
      </c>
      <c r="O194">
        <v>1.4800000190734801</v>
      </c>
      <c r="P194">
        <v>6.9400000572204501</v>
      </c>
      <c r="Q194">
        <v>0</v>
      </c>
      <c r="R194">
        <v>1</v>
      </c>
    </row>
    <row r="195" spans="11:18" x14ac:dyDescent="0.2">
      <c r="K195">
        <v>2015</v>
      </c>
      <c r="L195" t="s">
        <v>15</v>
      </c>
      <c r="M195" t="s">
        <v>63</v>
      </c>
      <c r="N195">
        <v>74</v>
      </c>
      <c r="O195">
        <v>0</v>
      </c>
      <c r="P195">
        <v>926</v>
      </c>
      <c r="Q195">
        <v>0</v>
      </c>
      <c r="R195">
        <v>0</v>
      </c>
    </row>
    <row r="196" spans="11:18" x14ac:dyDescent="0.2">
      <c r="K196">
        <v>2015</v>
      </c>
      <c r="L196" t="s">
        <v>15</v>
      </c>
      <c r="M196" t="s">
        <v>64</v>
      </c>
      <c r="N196">
        <v>3365</v>
      </c>
      <c r="O196">
        <v>577.39001893997101</v>
      </c>
      <c r="P196">
        <v>13299.619981288901</v>
      </c>
      <c r="Q196">
        <v>0</v>
      </c>
      <c r="R196">
        <v>2</v>
      </c>
    </row>
    <row r="197" spans="11:18" x14ac:dyDescent="0.2">
      <c r="K197">
        <v>2015</v>
      </c>
      <c r="L197" t="s">
        <v>15</v>
      </c>
      <c r="M197" t="s">
        <v>77</v>
      </c>
      <c r="N197">
        <v>828</v>
      </c>
      <c r="O197">
        <v>76380.7499389648</v>
      </c>
      <c r="P197">
        <v>29141.349845886201</v>
      </c>
      <c r="Q197">
        <v>2609</v>
      </c>
      <c r="R197">
        <v>3542</v>
      </c>
    </row>
    <row r="198" spans="11:18" x14ac:dyDescent="0.2">
      <c r="K198">
        <v>2015</v>
      </c>
      <c r="L198" t="s">
        <v>15</v>
      </c>
      <c r="M198" t="s">
        <v>75</v>
      </c>
      <c r="N198">
        <v>1985</v>
      </c>
      <c r="O198">
        <v>154361.05957794099</v>
      </c>
      <c r="P198">
        <v>61735.370447158799</v>
      </c>
      <c r="Q198">
        <v>5000</v>
      </c>
      <c r="R198">
        <v>6679</v>
      </c>
    </row>
    <row r="199" spans="11:18" x14ac:dyDescent="0.2">
      <c r="K199">
        <v>2015</v>
      </c>
      <c r="L199" t="s">
        <v>15</v>
      </c>
      <c r="M199" t="s">
        <v>72</v>
      </c>
      <c r="N199">
        <v>2949</v>
      </c>
      <c r="O199">
        <v>20771.469996571501</v>
      </c>
      <c r="P199">
        <v>23456.4797539711</v>
      </c>
      <c r="Q199">
        <v>1808</v>
      </c>
      <c r="R199">
        <v>4663</v>
      </c>
    </row>
    <row r="200" spans="11:18" x14ac:dyDescent="0.2">
      <c r="K200">
        <v>2015</v>
      </c>
      <c r="L200" t="s">
        <v>15</v>
      </c>
      <c r="M200" t="s">
        <v>69</v>
      </c>
      <c r="N200">
        <v>2696</v>
      </c>
      <c r="O200">
        <v>220.87999940849801</v>
      </c>
      <c r="P200">
        <v>2733.7599968556301</v>
      </c>
      <c r="Q200">
        <v>6264</v>
      </c>
      <c r="R200">
        <v>10167</v>
      </c>
    </row>
    <row r="201" spans="11:18" x14ac:dyDescent="0.2">
      <c r="K201">
        <v>2015</v>
      </c>
      <c r="L201" t="s">
        <v>15</v>
      </c>
      <c r="M201" t="s">
        <v>74</v>
      </c>
      <c r="N201">
        <v>1923</v>
      </c>
      <c r="O201">
        <v>59227.700313568101</v>
      </c>
      <c r="P201">
        <v>27614.299715995701</v>
      </c>
      <c r="Q201">
        <v>1467</v>
      </c>
      <c r="R201">
        <v>3322</v>
      </c>
    </row>
    <row r="202" spans="11:18" x14ac:dyDescent="0.2">
      <c r="K202">
        <v>2015</v>
      </c>
      <c r="L202" t="s">
        <v>15</v>
      </c>
      <c r="M202" t="s">
        <v>73</v>
      </c>
      <c r="N202">
        <v>14561</v>
      </c>
      <c r="O202">
        <v>21109.539909720399</v>
      </c>
      <c r="P202">
        <v>98064.73163414</v>
      </c>
      <c r="Q202">
        <v>13278</v>
      </c>
      <c r="R202">
        <v>27264</v>
      </c>
    </row>
    <row r="203" spans="11:18" x14ac:dyDescent="0.2">
      <c r="K203">
        <v>2015</v>
      </c>
      <c r="L203" t="s">
        <v>15</v>
      </c>
      <c r="M203" t="s">
        <v>76</v>
      </c>
      <c r="N203">
        <v>391</v>
      </c>
      <c r="O203">
        <v>33486.509708404497</v>
      </c>
      <c r="P203">
        <v>13919.5199565887</v>
      </c>
      <c r="Q203">
        <v>1194</v>
      </c>
      <c r="R203">
        <v>1540</v>
      </c>
    </row>
    <row r="204" spans="11:18" x14ac:dyDescent="0.2">
      <c r="K204">
        <v>2015</v>
      </c>
      <c r="L204" t="s">
        <v>15</v>
      </c>
      <c r="M204" t="s">
        <v>65</v>
      </c>
      <c r="N204">
        <v>26755</v>
      </c>
      <c r="O204">
        <v>19709.999963084199</v>
      </c>
      <c r="P204">
        <v>16480.7999264299</v>
      </c>
      <c r="Q204">
        <v>0</v>
      </c>
      <c r="R204">
        <v>0</v>
      </c>
    </row>
    <row r="205" spans="11:18" x14ac:dyDescent="0.2">
      <c r="K205">
        <v>2015</v>
      </c>
      <c r="L205" t="s">
        <v>15</v>
      </c>
      <c r="M205" t="s">
        <v>67</v>
      </c>
      <c r="N205">
        <v>18414</v>
      </c>
      <c r="O205">
        <v>18712.220274388699</v>
      </c>
      <c r="P205">
        <v>41638.478995084697</v>
      </c>
      <c r="Q205">
        <v>0</v>
      </c>
      <c r="R205">
        <v>0</v>
      </c>
    </row>
    <row r="206" spans="11:18" x14ac:dyDescent="0.2">
      <c r="K206">
        <v>2016</v>
      </c>
      <c r="L206" t="s">
        <v>17</v>
      </c>
      <c r="M206" t="s">
        <v>76</v>
      </c>
      <c r="N206">
        <v>337</v>
      </c>
      <c r="O206">
        <v>29225.7798042297</v>
      </c>
      <c r="P206">
        <v>12776.0797920227</v>
      </c>
      <c r="Q206">
        <v>982</v>
      </c>
      <c r="R206">
        <v>1300</v>
      </c>
    </row>
    <row r="207" spans="11:18" x14ac:dyDescent="0.2">
      <c r="K207">
        <v>2016</v>
      </c>
      <c r="L207" t="s">
        <v>17</v>
      </c>
      <c r="M207" t="s">
        <v>64</v>
      </c>
      <c r="N207">
        <v>2642</v>
      </c>
      <c r="O207">
        <v>684.09999060630798</v>
      </c>
      <c r="P207">
        <v>10133.2300248146</v>
      </c>
      <c r="Q207">
        <v>0</v>
      </c>
      <c r="R207">
        <v>1</v>
      </c>
    </row>
    <row r="208" spans="11:18" x14ac:dyDescent="0.2">
      <c r="K208">
        <v>2016</v>
      </c>
      <c r="L208" t="s">
        <v>17</v>
      </c>
      <c r="M208" t="s">
        <v>67</v>
      </c>
      <c r="N208">
        <v>14425</v>
      </c>
      <c r="O208">
        <v>15472.519964933301</v>
      </c>
      <c r="P208">
        <v>33099.128970384598</v>
      </c>
      <c r="Q208">
        <v>0</v>
      </c>
      <c r="R208">
        <v>0</v>
      </c>
    </row>
    <row r="209" spans="11:18" x14ac:dyDescent="0.2">
      <c r="K209">
        <v>2016</v>
      </c>
      <c r="L209" t="s">
        <v>17</v>
      </c>
      <c r="M209" t="s">
        <v>69</v>
      </c>
      <c r="N209">
        <v>1837</v>
      </c>
      <c r="O209">
        <v>137.859999619424</v>
      </c>
      <c r="P209">
        <v>1758.9699955768799</v>
      </c>
      <c r="Q209">
        <v>4955</v>
      </c>
      <c r="R209">
        <v>7487</v>
      </c>
    </row>
    <row r="210" spans="11:18" x14ac:dyDescent="0.2">
      <c r="K210">
        <v>2016</v>
      </c>
      <c r="L210" t="s">
        <v>17</v>
      </c>
      <c r="M210" t="s">
        <v>71</v>
      </c>
      <c r="N210">
        <v>2945</v>
      </c>
      <c r="O210">
        <v>36746.750557899402</v>
      </c>
      <c r="P210">
        <v>29436.590118408199</v>
      </c>
      <c r="Q210">
        <v>1337</v>
      </c>
      <c r="R210">
        <v>4215</v>
      </c>
    </row>
    <row r="211" spans="11:18" x14ac:dyDescent="0.2">
      <c r="K211">
        <v>2016</v>
      </c>
      <c r="L211" t="s">
        <v>17</v>
      </c>
      <c r="M211" t="s">
        <v>63</v>
      </c>
      <c r="N211">
        <v>44</v>
      </c>
      <c r="O211">
        <v>0</v>
      </c>
      <c r="P211">
        <v>571</v>
      </c>
      <c r="Q211">
        <v>0</v>
      </c>
      <c r="R211">
        <v>0</v>
      </c>
    </row>
    <row r="212" spans="11:18" x14ac:dyDescent="0.2">
      <c r="K212">
        <v>2016</v>
      </c>
      <c r="L212" t="s">
        <v>17</v>
      </c>
      <c r="M212" t="s">
        <v>68</v>
      </c>
      <c r="N212">
        <v>3</v>
      </c>
      <c r="O212">
        <v>6.2000000476837096</v>
      </c>
      <c r="P212">
        <v>26.779999732971099</v>
      </c>
      <c r="Q212">
        <v>0</v>
      </c>
      <c r="R212">
        <v>6</v>
      </c>
    </row>
    <row r="213" spans="11:18" x14ac:dyDescent="0.2">
      <c r="K213">
        <v>2016</v>
      </c>
      <c r="L213" t="s">
        <v>17</v>
      </c>
      <c r="M213" t="s">
        <v>77</v>
      </c>
      <c r="N213">
        <v>478</v>
      </c>
      <c r="O213">
        <v>52935.949905395501</v>
      </c>
      <c r="P213">
        <v>20387.3900203704</v>
      </c>
      <c r="Q213">
        <v>1896</v>
      </c>
      <c r="R213">
        <v>2586</v>
      </c>
    </row>
    <row r="214" spans="11:18" x14ac:dyDescent="0.2">
      <c r="K214">
        <v>2016</v>
      </c>
      <c r="L214" t="s">
        <v>17</v>
      </c>
      <c r="M214" t="s">
        <v>73</v>
      </c>
      <c r="N214">
        <v>13987</v>
      </c>
      <c r="O214">
        <v>21604.6002664566</v>
      </c>
      <c r="P214">
        <v>98206.630738735199</v>
      </c>
      <c r="Q214">
        <v>12196</v>
      </c>
      <c r="R214">
        <v>25600</v>
      </c>
    </row>
    <row r="215" spans="11:18" x14ac:dyDescent="0.2">
      <c r="K215">
        <v>2016</v>
      </c>
      <c r="L215" t="s">
        <v>17</v>
      </c>
      <c r="M215" t="s">
        <v>66</v>
      </c>
      <c r="N215">
        <v>46</v>
      </c>
      <c r="O215">
        <v>0</v>
      </c>
      <c r="P215">
        <v>463.11999940872101</v>
      </c>
      <c r="Q215">
        <v>0</v>
      </c>
      <c r="R215">
        <v>2</v>
      </c>
    </row>
    <row r="216" spans="11:18" x14ac:dyDescent="0.2">
      <c r="K216">
        <v>2016</v>
      </c>
      <c r="L216" t="s">
        <v>17</v>
      </c>
      <c r="M216" t="s">
        <v>65</v>
      </c>
      <c r="N216">
        <v>22851</v>
      </c>
      <c r="O216">
        <v>16063.000017778901</v>
      </c>
      <c r="P216">
        <v>14248.299931436701</v>
      </c>
      <c r="Q216">
        <v>0</v>
      </c>
      <c r="R216">
        <v>0</v>
      </c>
    </row>
    <row r="217" spans="11:18" x14ac:dyDescent="0.2">
      <c r="K217">
        <v>2016</v>
      </c>
      <c r="L217" t="s">
        <v>17</v>
      </c>
      <c r="M217" t="s">
        <v>74</v>
      </c>
      <c r="N217">
        <v>1400</v>
      </c>
      <c r="O217">
        <v>46790.300415038997</v>
      </c>
      <c r="P217">
        <v>21786.339978217999</v>
      </c>
      <c r="Q217">
        <v>1112</v>
      </c>
      <c r="R217">
        <v>2462</v>
      </c>
    </row>
    <row r="218" spans="11:18" x14ac:dyDescent="0.2">
      <c r="K218">
        <v>2016</v>
      </c>
      <c r="L218" t="s">
        <v>17</v>
      </c>
      <c r="M218" t="s">
        <v>75</v>
      </c>
      <c r="N218">
        <v>1968</v>
      </c>
      <c r="O218">
        <v>153609.00960159299</v>
      </c>
      <c r="P218">
        <v>65996.480207443194</v>
      </c>
      <c r="Q218">
        <v>5085</v>
      </c>
      <c r="R218">
        <v>6501</v>
      </c>
    </row>
    <row r="219" spans="11:18" x14ac:dyDescent="0.2">
      <c r="K219">
        <v>2016</v>
      </c>
      <c r="L219" t="s">
        <v>17</v>
      </c>
      <c r="M219" t="s">
        <v>72</v>
      </c>
      <c r="N219">
        <v>1769</v>
      </c>
      <c r="O219">
        <v>13531.620025873101</v>
      </c>
      <c r="P219">
        <v>15076.229964256199</v>
      </c>
      <c r="Q219">
        <v>915</v>
      </c>
      <c r="R219">
        <v>2630</v>
      </c>
    </row>
    <row r="220" spans="11:18" x14ac:dyDescent="0.2">
      <c r="K220">
        <v>2016</v>
      </c>
      <c r="L220" t="s">
        <v>16</v>
      </c>
      <c r="M220" t="s">
        <v>75</v>
      </c>
      <c r="N220">
        <v>1797</v>
      </c>
      <c r="O220">
        <v>137796.58969497599</v>
      </c>
      <c r="P220">
        <v>58948.0100536346</v>
      </c>
      <c r="Q220">
        <v>3986</v>
      </c>
      <c r="R220">
        <v>5350</v>
      </c>
    </row>
    <row r="221" spans="11:18" x14ac:dyDescent="0.2">
      <c r="K221">
        <v>2016</v>
      </c>
      <c r="L221" t="s">
        <v>16</v>
      </c>
      <c r="M221" t="s">
        <v>66</v>
      </c>
      <c r="N221">
        <v>33</v>
      </c>
      <c r="O221">
        <v>0</v>
      </c>
      <c r="P221">
        <v>310.75999951362598</v>
      </c>
      <c r="Q221">
        <v>0</v>
      </c>
      <c r="R221">
        <v>3</v>
      </c>
    </row>
    <row r="222" spans="11:18" x14ac:dyDescent="0.2">
      <c r="K222">
        <v>2016</v>
      </c>
      <c r="L222" t="s">
        <v>16</v>
      </c>
      <c r="M222" t="s">
        <v>73</v>
      </c>
      <c r="N222">
        <v>14627</v>
      </c>
      <c r="O222">
        <v>22345.2202680706</v>
      </c>
      <c r="P222">
        <v>102642.460764884</v>
      </c>
      <c r="Q222">
        <v>12902</v>
      </c>
      <c r="R222">
        <v>26968</v>
      </c>
    </row>
    <row r="223" spans="11:18" x14ac:dyDescent="0.2">
      <c r="K223">
        <v>2016</v>
      </c>
      <c r="L223" t="s">
        <v>16</v>
      </c>
      <c r="M223" t="s">
        <v>74</v>
      </c>
      <c r="N223">
        <v>1639</v>
      </c>
      <c r="O223">
        <v>54282.060415267901</v>
      </c>
      <c r="P223">
        <v>25474.349943161</v>
      </c>
      <c r="Q223">
        <v>1314</v>
      </c>
      <c r="R223">
        <v>2892</v>
      </c>
    </row>
    <row r="224" spans="11:18" x14ac:dyDescent="0.2">
      <c r="K224">
        <v>2016</v>
      </c>
      <c r="L224" t="s">
        <v>16</v>
      </c>
      <c r="M224" t="s">
        <v>77</v>
      </c>
      <c r="N224">
        <v>480</v>
      </c>
      <c r="O224">
        <v>54687.409988403298</v>
      </c>
      <c r="P224">
        <v>20900.410047531099</v>
      </c>
      <c r="Q224">
        <v>1928</v>
      </c>
      <c r="R224">
        <v>2712</v>
      </c>
    </row>
    <row r="225" spans="11:18" x14ac:dyDescent="0.2">
      <c r="K225">
        <v>2016</v>
      </c>
      <c r="L225" t="s">
        <v>16</v>
      </c>
      <c r="M225" t="s">
        <v>72</v>
      </c>
      <c r="N225">
        <v>1839</v>
      </c>
      <c r="O225">
        <v>13976.600036382601</v>
      </c>
      <c r="P225">
        <v>15628.099962234401</v>
      </c>
      <c r="Q225">
        <v>867</v>
      </c>
      <c r="R225">
        <v>2652</v>
      </c>
    </row>
    <row r="226" spans="11:18" x14ac:dyDescent="0.2">
      <c r="K226">
        <v>2016</v>
      </c>
      <c r="L226" t="s">
        <v>16</v>
      </c>
      <c r="M226" t="s">
        <v>76</v>
      </c>
      <c r="N226">
        <v>345</v>
      </c>
      <c r="O226">
        <v>33285.499927520701</v>
      </c>
      <c r="P226">
        <v>14227.989845275801</v>
      </c>
      <c r="Q226">
        <v>1211</v>
      </c>
      <c r="R226">
        <v>1617</v>
      </c>
    </row>
    <row r="227" spans="11:18" x14ac:dyDescent="0.2">
      <c r="K227">
        <v>2016</v>
      </c>
      <c r="L227" t="s">
        <v>16</v>
      </c>
      <c r="M227" t="s">
        <v>65</v>
      </c>
      <c r="N227">
        <v>24103</v>
      </c>
      <c r="O227">
        <v>11917.110009128201</v>
      </c>
      <c r="P227">
        <v>12015.419907093001</v>
      </c>
      <c r="Q227">
        <v>0</v>
      </c>
      <c r="R227">
        <v>0</v>
      </c>
    </row>
    <row r="228" spans="11:18" x14ac:dyDescent="0.2">
      <c r="K228">
        <v>2016</v>
      </c>
      <c r="L228" t="s">
        <v>16</v>
      </c>
      <c r="M228" t="s">
        <v>67</v>
      </c>
      <c r="N228">
        <v>14667</v>
      </c>
      <c r="O228">
        <v>15655.939977765</v>
      </c>
      <c r="P228">
        <v>33863.008991003</v>
      </c>
      <c r="Q228">
        <v>0</v>
      </c>
      <c r="R228">
        <v>0</v>
      </c>
    </row>
    <row r="229" spans="11:18" x14ac:dyDescent="0.2">
      <c r="K229">
        <v>2016</v>
      </c>
      <c r="L229" t="s">
        <v>16</v>
      </c>
      <c r="M229" t="s">
        <v>64</v>
      </c>
      <c r="N229">
        <v>2771</v>
      </c>
      <c r="O229">
        <v>673.399988532066</v>
      </c>
      <c r="P229">
        <v>10237.400021314599</v>
      </c>
      <c r="Q229">
        <v>0</v>
      </c>
      <c r="R229">
        <v>0</v>
      </c>
    </row>
    <row r="230" spans="11:18" x14ac:dyDescent="0.2">
      <c r="K230">
        <v>2016</v>
      </c>
      <c r="L230" t="s">
        <v>16</v>
      </c>
      <c r="M230" t="s">
        <v>71</v>
      </c>
      <c r="N230">
        <v>3390</v>
      </c>
      <c r="O230">
        <v>42380.430623054497</v>
      </c>
      <c r="P230">
        <v>33986.630146980198</v>
      </c>
      <c r="Q230">
        <v>1681</v>
      </c>
      <c r="R230">
        <v>4964</v>
      </c>
    </row>
    <row r="231" spans="11:18" x14ac:dyDescent="0.2">
      <c r="K231">
        <v>2016</v>
      </c>
      <c r="L231" t="s">
        <v>16</v>
      </c>
      <c r="M231" t="s">
        <v>69</v>
      </c>
      <c r="N231">
        <v>2273</v>
      </c>
      <c r="O231">
        <v>133.439999992027</v>
      </c>
      <c r="P231">
        <v>2269.77999626472</v>
      </c>
      <c r="Q231">
        <v>5092</v>
      </c>
      <c r="R231">
        <v>8238</v>
      </c>
    </row>
    <row r="232" spans="11:18" x14ac:dyDescent="0.2">
      <c r="K232">
        <v>2016</v>
      </c>
      <c r="L232" t="s">
        <v>16</v>
      </c>
      <c r="M232" t="s">
        <v>68</v>
      </c>
      <c r="N232">
        <v>2</v>
      </c>
      <c r="O232">
        <v>1.7200000286102199</v>
      </c>
      <c r="P232">
        <v>13.8800001144409</v>
      </c>
      <c r="Q232">
        <v>0</v>
      </c>
      <c r="R232">
        <v>2</v>
      </c>
    </row>
    <row r="233" spans="11:18" x14ac:dyDescent="0.2">
      <c r="K233">
        <v>2016</v>
      </c>
      <c r="L233" t="s">
        <v>16</v>
      </c>
      <c r="M233" t="s">
        <v>63</v>
      </c>
      <c r="N233">
        <v>50</v>
      </c>
      <c r="O233">
        <v>0</v>
      </c>
      <c r="P233">
        <v>650</v>
      </c>
      <c r="Q233">
        <v>0</v>
      </c>
      <c r="R233">
        <v>0</v>
      </c>
    </row>
    <row r="234" spans="11:18" x14ac:dyDescent="0.2">
      <c r="K234">
        <v>2016</v>
      </c>
      <c r="L234" t="s">
        <v>20</v>
      </c>
      <c r="M234" t="s">
        <v>69</v>
      </c>
      <c r="N234">
        <v>1930</v>
      </c>
      <c r="O234">
        <v>100.490000044927</v>
      </c>
      <c r="P234">
        <v>2059.0200000423902</v>
      </c>
      <c r="Q234">
        <v>4461</v>
      </c>
      <c r="R234">
        <v>7376</v>
      </c>
    </row>
    <row r="235" spans="11:18" x14ac:dyDescent="0.2">
      <c r="K235">
        <v>2016</v>
      </c>
      <c r="L235" t="s">
        <v>20</v>
      </c>
      <c r="M235" t="s">
        <v>76</v>
      </c>
      <c r="N235">
        <v>324</v>
      </c>
      <c r="O235">
        <v>28552.279792785601</v>
      </c>
      <c r="P235">
        <v>12632.699798583901</v>
      </c>
      <c r="Q235">
        <v>1025</v>
      </c>
      <c r="R235">
        <v>1337</v>
      </c>
    </row>
    <row r="236" spans="11:18" x14ac:dyDescent="0.2">
      <c r="K236">
        <v>2016</v>
      </c>
      <c r="L236" t="s">
        <v>20</v>
      </c>
      <c r="M236" t="s">
        <v>71</v>
      </c>
      <c r="N236">
        <v>3815</v>
      </c>
      <c r="O236">
        <v>47503.590713024103</v>
      </c>
      <c r="P236">
        <v>38144.610194206201</v>
      </c>
      <c r="Q236">
        <v>1669</v>
      </c>
      <c r="R236">
        <v>5401</v>
      </c>
    </row>
    <row r="237" spans="11:18" x14ac:dyDescent="0.2">
      <c r="K237">
        <v>2016</v>
      </c>
      <c r="L237" t="s">
        <v>20</v>
      </c>
      <c r="M237" t="s">
        <v>64</v>
      </c>
      <c r="N237">
        <v>3109</v>
      </c>
      <c r="O237">
        <v>706.99998795986096</v>
      </c>
      <c r="P237">
        <v>11557.950027704201</v>
      </c>
      <c r="Q237">
        <v>0</v>
      </c>
      <c r="R237">
        <v>0</v>
      </c>
    </row>
    <row r="238" spans="11:18" x14ac:dyDescent="0.2">
      <c r="K238">
        <v>2016</v>
      </c>
      <c r="L238" t="s">
        <v>20</v>
      </c>
      <c r="M238" t="s">
        <v>63</v>
      </c>
      <c r="N238">
        <v>54</v>
      </c>
      <c r="O238">
        <v>0</v>
      </c>
      <c r="P238">
        <v>702</v>
      </c>
      <c r="Q238">
        <v>0</v>
      </c>
      <c r="R238">
        <v>0</v>
      </c>
    </row>
    <row r="239" spans="11:18" x14ac:dyDescent="0.2">
      <c r="K239">
        <v>2016</v>
      </c>
      <c r="L239" t="s">
        <v>20</v>
      </c>
      <c r="M239" t="s">
        <v>75</v>
      </c>
      <c r="N239">
        <v>2027</v>
      </c>
      <c r="O239">
        <v>149705.90969467099</v>
      </c>
      <c r="P239">
        <v>66128.8501853942</v>
      </c>
      <c r="Q239">
        <v>4569</v>
      </c>
      <c r="R239">
        <v>5933</v>
      </c>
    </row>
    <row r="240" spans="11:18" x14ac:dyDescent="0.2">
      <c r="K240">
        <v>2016</v>
      </c>
      <c r="L240" t="s">
        <v>20</v>
      </c>
      <c r="M240" t="s">
        <v>73</v>
      </c>
      <c r="N240">
        <v>17334</v>
      </c>
      <c r="O240">
        <v>25442.790345072699</v>
      </c>
      <c r="P240">
        <v>121306.760912418</v>
      </c>
      <c r="Q240">
        <v>12227</v>
      </c>
      <c r="R240">
        <v>28967</v>
      </c>
    </row>
    <row r="241" spans="11:18" x14ac:dyDescent="0.2">
      <c r="K241">
        <v>2016</v>
      </c>
      <c r="L241" t="s">
        <v>20</v>
      </c>
      <c r="M241" t="s">
        <v>66</v>
      </c>
      <c r="N241">
        <v>34</v>
      </c>
      <c r="O241">
        <v>0</v>
      </c>
      <c r="P241">
        <v>342.89999961852999</v>
      </c>
      <c r="Q241">
        <v>0</v>
      </c>
      <c r="R241">
        <v>0</v>
      </c>
    </row>
    <row r="242" spans="11:18" x14ac:dyDescent="0.2">
      <c r="K242">
        <v>2016</v>
      </c>
      <c r="L242" t="s">
        <v>20</v>
      </c>
      <c r="M242" t="s">
        <v>68</v>
      </c>
      <c r="N242">
        <v>2</v>
      </c>
      <c r="O242">
        <v>1.1900000572204501</v>
      </c>
      <c r="P242">
        <v>19.8399996757507</v>
      </c>
      <c r="Q242">
        <v>0</v>
      </c>
      <c r="R242">
        <v>1</v>
      </c>
    </row>
    <row r="243" spans="11:18" x14ac:dyDescent="0.2">
      <c r="K243">
        <v>2016</v>
      </c>
      <c r="L243" t="s">
        <v>20</v>
      </c>
      <c r="M243" t="s">
        <v>67</v>
      </c>
      <c r="N243">
        <v>17434</v>
      </c>
      <c r="O243">
        <v>18698.999957799901</v>
      </c>
      <c r="P243">
        <v>40006.298756122502</v>
      </c>
      <c r="Q243">
        <v>0</v>
      </c>
      <c r="R243">
        <v>0</v>
      </c>
    </row>
    <row r="244" spans="11:18" x14ac:dyDescent="0.2">
      <c r="K244">
        <v>2016</v>
      </c>
      <c r="L244" t="s">
        <v>20</v>
      </c>
      <c r="M244" t="s">
        <v>74</v>
      </c>
      <c r="N244">
        <v>1792</v>
      </c>
      <c r="O244">
        <v>58545.820507049502</v>
      </c>
      <c r="P244">
        <v>27470.619976043701</v>
      </c>
      <c r="Q244">
        <v>1278</v>
      </c>
      <c r="R244">
        <v>3015</v>
      </c>
    </row>
    <row r="245" spans="11:18" x14ac:dyDescent="0.2">
      <c r="K245">
        <v>2016</v>
      </c>
      <c r="L245" t="s">
        <v>20</v>
      </c>
      <c r="M245" t="s">
        <v>72</v>
      </c>
      <c r="N245">
        <v>2051</v>
      </c>
      <c r="O245">
        <v>15716.9800442457</v>
      </c>
      <c r="P245">
        <v>17397.4699697494</v>
      </c>
      <c r="Q245">
        <v>894</v>
      </c>
      <c r="R245">
        <v>2890</v>
      </c>
    </row>
    <row r="246" spans="11:18" x14ac:dyDescent="0.2">
      <c r="K246">
        <v>2016</v>
      </c>
      <c r="L246" t="s">
        <v>20</v>
      </c>
      <c r="M246" t="s">
        <v>65</v>
      </c>
      <c r="N246">
        <v>27823</v>
      </c>
      <c r="O246">
        <v>10370.519990671401</v>
      </c>
      <c r="P246">
        <v>11836.9899490028</v>
      </c>
      <c r="Q246">
        <v>0</v>
      </c>
      <c r="R246">
        <v>0</v>
      </c>
    </row>
    <row r="247" spans="11:18" x14ac:dyDescent="0.2">
      <c r="K247">
        <v>2016</v>
      </c>
      <c r="L247" t="s">
        <v>20</v>
      </c>
      <c r="M247" t="s">
        <v>77</v>
      </c>
      <c r="N247">
        <v>505</v>
      </c>
      <c r="O247">
        <v>54793.069858551004</v>
      </c>
      <c r="P247">
        <v>21287.7800178527</v>
      </c>
      <c r="Q247">
        <v>1883</v>
      </c>
      <c r="R247">
        <v>2676</v>
      </c>
    </row>
    <row r="248" spans="11:18" x14ac:dyDescent="0.2">
      <c r="K248">
        <v>2016</v>
      </c>
      <c r="L248" t="s">
        <v>13</v>
      </c>
      <c r="M248" t="s">
        <v>73</v>
      </c>
      <c r="N248">
        <v>13970</v>
      </c>
      <c r="O248">
        <v>21522.6102656722</v>
      </c>
      <c r="P248">
        <v>98079.000725269303</v>
      </c>
      <c r="Q248">
        <v>12127</v>
      </c>
      <c r="R248">
        <v>25637</v>
      </c>
    </row>
    <row r="249" spans="11:18" x14ac:dyDescent="0.2">
      <c r="K249">
        <v>2016</v>
      </c>
      <c r="L249" t="s">
        <v>13</v>
      </c>
      <c r="M249" t="s">
        <v>77</v>
      </c>
      <c r="N249">
        <v>483</v>
      </c>
      <c r="O249">
        <v>53537.459907531702</v>
      </c>
      <c r="P249">
        <v>20483.700037002502</v>
      </c>
      <c r="Q249">
        <v>1923</v>
      </c>
      <c r="R249">
        <v>2590</v>
      </c>
    </row>
    <row r="250" spans="11:18" x14ac:dyDescent="0.2">
      <c r="K250">
        <v>2016</v>
      </c>
      <c r="L250" t="s">
        <v>13</v>
      </c>
      <c r="M250" t="s">
        <v>65</v>
      </c>
      <c r="N250">
        <v>23906</v>
      </c>
      <c r="O250">
        <v>9138.6199877671897</v>
      </c>
      <c r="P250">
        <v>9550.2499283403104</v>
      </c>
      <c r="Q250">
        <v>0</v>
      </c>
      <c r="R250">
        <v>0</v>
      </c>
    </row>
    <row r="251" spans="11:18" x14ac:dyDescent="0.2">
      <c r="K251">
        <v>2016</v>
      </c>
      <c r="L251" t="s">
        <v>13</v>
      </c>
      <c r="M251" t="s">
        <v>63</v>
      </c>
      <c r="N251">
        <v>56</v>
      </c>
      <c r="O251">
        <v>0</v>
      </c>
      <c r="P251">
        <v>728</v>
      </c>
      <c r="Q251">
        <v>0</v>
      </c>
      <c r="R251">
        <v>0</v>
      </c>
    </row>
    <row r="252" spans="11:18" x14ac:dyDescent="0.2">
      <c r="K252">
        <v>2016</v>
      </c>
      <c r="L252" t="s">
        <v>13</v>
      </c>
      <c r="M252" t="s">
        <v>71</v>
      </c>
      <c r="N252">
        <v>3428</v>
      </c>
      <c r="O252">
        <v>43030.180641174302</v>
      </c>
      <c r="P252">
        <v>34610.6101255416</v>
      </c>
      <c r="Q252">
        <v>1716</v>
      </c>
      <c r="R252">
        <v>5055</v>
      </c>
    </row>
    <row r="253" spans="11:18" x14ac:dyDescent="0.2">
      <c r="K253">
        <v>2016</v>
      </c>
      <c r="L253" t="s">
        <v>13</v>
      </c>
      <c r="M253" t="s">
        <v>72</v>
      </c>
      <c r="N253">
        <v>1940</v>
      </c>
      <c r="O253">
        <v>14800.820036888101</v>
      </c>
      <c r="P253">
        <v>16514.979958534201</v>
      </c>
      <c r="Q253">
        <v>910</v>
      </c>
      <c r="R253">
        <v>2797</v>
      </c>
    </row>
    <row r="254" spans="11:18" x14ac:dyDescent="0.2">
      <c r="K254">
        <v>2016</v>
      </c>
      <c r="L254" t="s">
        <v>13</v>
      </c>
      <c r="M254" t="s">
        <v>75</v>
      </c>
      <c r="N254">
        <v>1815</v>
      </c>
      <c r="O254">
        <v>137303.80974578799</v>
      </c>
      <c r="P254">
        <v>59917.460086822502</v>
      </c>
      <c r="Q254">
        <v>4285</v>
      </c>
      <c r="R254">
        <v>5562</v>
      </c>
    </row>
    <row r="255" spans="11:18" x14ac:dyDescent="0.2">
      <c r="K255">
        <v>2016</v>
      </c>
      <c r="L255" t="s">
        <v>13</v>
      </c>
      <c r="M255" t="s">
        <v>68</v>
      </c>
      <c r="N255">
        <v>2</v>
      </c>
      <c r="O255">
        <v>1.1900000572204501</v>
      </c>
      <c r="P255">
        <v>13.8800001144409</v>
      </c>
      <c r="Q255">
        <v>0</v>
      </c>
      <c r="R255">
        <v>2</v>
      </c>
    </row>
    <row r="256" spans="11:18" x14ac:dyDescent="0.2">
      <c r="K256">
        <v>2016</v>
      </c>
      <c r="L256" t="s">
        <v>13</v>
      </c>
      <c r="M256" t="s">
        <v>64</v>
      </c>
      <c r="N256">
        <v>2696</v>
      </c>
      <c r="O256">
        <v>715.39998781681004</v>
      </c>
      <c r="P256">
        <v>10088.0500144958</v>
      </c>
      <c r="Q256">
        <v>0</v>
      </c>
      <c r="R256">
        <v>0</v>
      </c>
    </row>
    <row r="257" spans="11:18" x14ac:dyDescent="0.2">
      <c r="K257">
        <v>2016</v>
      </c>
      <c r="L257" t="s">
        <v>13</v>
      </c>
      <c r="M257" t="s">
        <v>74</v>
      </c>
      <c r="N257">
        <v>1977</v>
      </c>
      <c r="O257">
        <v>63753.330461502002</v>
      </c>
      <c r="P257">
        <v>30017.159916877699</v>
      </c>
      <c r="Q257">
        <v>1280</v>
      </c>
      <c r="R257">
        <v>3192</v>
      </c>
    </row>
    <row r="258" spans="11:18" x14ac:dyDescent="0.2">
      <c r="K258">
        <v>2016</v>
      </c>
      <c r="L258" t="s">
        <v>13</v>
      </c>
      <c r="M258" t="s">
        <v>69</v>
      </c>
      <c r="N258">
        <v>1846</v>
      </c>
      <c r="O258">
        <v>96.859999913722206</v>
      </c>
      <c r="P258">
        <v>2325.8600004427099</v>
      </c>
      <c r="Q258">
        <v>4890</v>
      </c>
      <c r="R258">
        <v>8025</v>
      </c>
    </row>
    <row r="259" spans="11:18" x14ac:dyDescent="0.2">
      <c r="K259">
        <v>2016</v>
      </c>
      <c r="L259" t="s">
        <v>13</v>
      </c>
      <c r="M259" t="s">
        <v>76</v>
      </c>
      <c r="N259">
        <v>314</v>
      </c>
      <c r="O259">
        <v>28046.209823608398</v>
      </c>
      <c r="P259">
        <v>12279.679788589399</v>
      </c>
      <c r="Q259">
        <v>931</v>
      </c>
      <c r="R259">
        <v>1214</v>
      </c>
    </row>
    <row r="260" spans="11:18" x14ac:dyDescent="0.2">
      <c r="K260">
        <v>2016</v>
      </c>
      <c r="L260" t="s">
        <v>13</v>
      </c>
      <c r="M260" t="s">
        <v>67</v>
      </c>
      <c r="N260">
        <v>14294</v>
      </c>
      <c r="O260">
        <v>15214.619985937999</v>
      </c>
      <c r="P260">
        <v>33120.0790381431</v>
      </c>
      <c r="Q260">
        <v>0</v>
      </c>
      <c r="R260">
        <v>0</v>
      </c>
    </row>
    <row r="261" spans="11:18" x14ac:dyDescent="0.2">
      <c r="K261">
        <v>2016</v>
      </c>
      <c r="L261" t="s">
        <v>13</v>
      </c>
      <c r="M261" t="s">
        <v>66</v>
      </c>
      <c r="N261">
        <v>38</v>
      </c>
      <c r="O261">
        <v>0</v>
      </c>
      <c r="P261">
        <v>380</v>
      </c>
      <c r="Q261">
        <v>0</v>
      </c>
      <c r="R261">
        <v>0</v>
      </c>
    </row>
    <row r="262" spans="11:18" x14ac:dyDescent="0.2">
      <c r="K262">
        <v>2016</v>
      </c>
      <c r="L262" t="s">
        <v>21</v>
      </c>
      <c r="M262" t="s">
        <v>77</v>
      </c>
      <c r="N262">
        <v>492</v>
      </c>
      <c r="O262">
        <v>55597.199790954503</v>
      </c>
      <c r="P262">
        <v>21265.3100337982</v>
      </c>
      <c r="Q262">
        <v>2068</v>
      </c>
      <c r="R262">
        <v>2803</v>
      </c>
    </row>
    <row r="263" spans="11:18" x14ac:dyDescent="0.2">
      <c r="K263">
        <v>2016</v>
      </c>
      <c r="L263" t="s">
        <v>21</v>
      </c>
      <c r="M263" t="s">
        <v>69</v>
      </c>
      <c r="N263">
        <v>2209</v>
      </c>
      <c r="O263">
        <v>124.570000045001</v>
      </c>
      <c r="P263">
        <v>2281.8799991942901</v>
      </c>
      <c r="Q263">
        <v>5563</v>
      </c>
      <c r="R263">
        <v>8773</v>
      </c>
    </row>
    <row r="264" spans="11:18" x14ac:dyDescent="0.2">
      <c r="K264">
        <v>2016</v>
      </c>
      <c r="L264" t="s">
        <v>21</v>
      </c>
      <c r="M264" t="s">
        <v>66</v>
      </c>
      <c r="N264">
        <v>49</v>
      </c>
      <c r="O264">
        <v>0</v>
      </c>
      <c r="P264">
        <v>533.10999894142105</v>
      </c>
      <c r="Q264">
        <v>0</v>
      </c>
      <c r="R264">
        <v>2</v>
      </c>
    </row>
    <row r="265" spans="11:18" x14ac:dyDescent="0.2">
      <c r="K265">
        <v>2016</v>
      </c>
      <c r="L265" t="s">
        <v>21</v>
      </c>
      <c r="M265" t="s">
        <v>74</v>
      </c>
      <c r="N265">
        <v>1583</v>
      </c>
      <c r="O265">
        <v>52119.450475692698</v>
      </c>
      <c r="P265">
        <v>24414.839992523099</v>
      </c>
      <c r="Q265">
        <v>1070</v>
      </c>
      <c r="R265">
        <v>2595</v>
      </c>
    </row>
    <row r="266" spans="11:18" x14ac:dyDescent="0.2">
      <c r="K266">
        <v>2016</v>
      </c>
      <c r="L266" t="s">
        <v>21</v>
      </c>
      <c r="M266" t="s">
        <v>63</v>
      </c>
      <c r="N266">
        <v>53</v>
      </c>
      <c r="O266">
        <v>0</v>
      </c>
      <c r="P266">
        <v>689</v>
      </c>
      <c r="Q266">
        <v>0</v>
      </c>
      <c r="R266">
        <v>0</v>
      </c>
    </row>
    <row r="267" spans="11:18" x14ac:dyDescent="0.2">
      <c r="K267">
        <v>2016</v>
      </c>
      <c r="L267" t="s">
        <v>21</v>
      </c>
      <c r="M267" t="s">
        <v>73</v>
      </c>
      <c r="N267">
        <v>13341</v>
      </c>
      <c r="O267">
        <v>21727.2002477645</v>
      </c>
      <c r="P267">
        <v>94078.220681190403</v>
      </c>
      <c r="Q267">
        <v>14737</v>
      </c>
      <c r="R267">
        <v>27552</v>
      </c>
    </row>
    <row r="268" spans="11:18" x14ac:dyDescent="0.2">
      <c r="K268">
        <v>2016</v>
      </c>
      <c r="L268" t="s">
        <v>21</v>
      </c>
      <c r="M268" t="s">
        <v>67</v>
      </c>
      <c r="N268">
        <v>13480</v>
      </c>
      <c r="O268">
        <v>14465.3699660897</v>
      </c>
      <c r="P268">
        <v>30913.029034614501</v>
      </c>
      <c r="Q268">
        <v>0</v>
      </c>
      <c r="R268">
        <v>0</v>
      </c>
    </row>
    <row r="269" spans="11:18" x14ac:dyDescent="0.2">
      <c r="K269">
        <v>2016</v>
      </c>
      <c r="L269" t="s">
        <v>21</v>
      </c>
      <c r="M269" t="s">
        <v>65</v>
      </c>
      <c r="N269">
        <v>21833</v>
      </c>
      <c r="O269">
        <v>10457.579991016501</v>
      </c>
      <c r="P269">
        <v>10159.369983181299</v>
      </c>
      <c r="Q269">
        <v>0</v>
      </c>
      <c r="R269">
        <v>0</v>
      </c>
    </row>
    <row r="270" spans="11:18" x14ac:dyDescent="0.2">
      <c r="K270">
        <v>2016</v>
      </c>
      <c r="L270" t="s">
        <v>21</v>
      </c>
      <c r="M270" t="s">
        <v>71</v>
      </c>
      <c r="N270">
        <v>2847</v>
      </c>
      <c r="O270">
        <v>36822.020541191101</v>
      </c>
      <c r="P270">
        <v>28826.760154724099</v>
      </c>
      <c r="Q270">
        <v>1502</v>
      </c>
      <c r="R270">
        <v>4272</v>
      </c>
    </row>
    <row r="271" spans="11:18" x14ac:dyDescent="0.2">
      <c r="K271">
        <v>2016</v>
      </c>
      <c r="L271" t="s">
        <v>21</v>
      </c>
      <c r="M271" t="s">
        <v>75</v>
      </c>
      <c r="N271">
        <v>1721</v>
      </c>
      <c r="O271">
        <v>132204.58981323201</v>
      </c>
      <c r="P271">
        <v>57312.660051345803</v>
      </c>
      <c r="Q271">
        <v>4072</v>
      </c>
      <c r="R271">
        <v>5554</v>
      </c>
    </row>
    <row r="272" spans="11:18" x14ac:dyDescent="0.2">
      <c r="K272">
        <v>2016</v>
      </c>
      <c r="L272" t="s">
        <v>21</v>
      </c>
      <c r="M272" t="s">
        <v>76</v>
      </c>
      <c r="N272">
        <v>353</v>
      </c>
      <c r="O272">
        <v>33803.959949493401</v>
      </c>
      <c r="P272">
        <v>14520.719829559301</v>
      </c>
      <c r="Q272">
        <v>1289</v>
      </c>
      <c r="R272">
        <v>1681</v>
      </c>
    </row>
    <row r="273" spans="11:18" x14ac:dyDescent="0.2">
      <c r="K273">
        <v>2016</v>
      </c>
      <c r="L273" t="s">
        <v>21</v>
      </c>
      <c r="M273" t="s">
        <v>72</v>
      </c>
      <c r="N273">
        <v>1515</v>
      </c>
      <c r="O273">
        <v>12830.7500177621</v>
      </c>
      <c r="P273">
        <v>13203.6499605178</v>
      </c>
      <c r="Q273">
        <v>1080</v>
      </c>
      <c r="R273">
        <v>2539</v>
      </c>
    </row>
    <row r="274" spans="11:18" x14ac:dyDescent="0.2">
      <c r="K274">
        <v>2016</v>
      </c>
      <c r="L274" t="s">
        <v>21</v>
      </c>
      <c r="M274" t="s">
        <v>64</v>
      </c>
      <c r="N274">
        <v>2653</v>
      </c>
      <c r="O274">
        <v>785.98998761176995</v>
      </c>
      <c r="P274">
        <v>10074.6800069808</v>
      </c>
      <c r="Q274">
        <v>0</v>
      </c>
      <c r="R274">
        <v>2</v>
      </c>
    </row>
    <row r="275" spans="11:18" x14ac:dyDescent="0.2">
      <c r="K275">
        <v>2016</v>
      </c>
      <c r="L275" t="s">
        <v>19</v>
      </c>
      <c r="M275" t="s">
        <v>64</v>
      </c>
      <c r="N275">
        <v>2604</v>
      </c>
      <c r="O275">
        <v>795.19998645782402</v>
      </c>
      <c r="P275">
        <v>9510.2000014781897</v>
      </c>
      <c r="Q275">
        <v>0</v>
      </c>
      <c r="R275">
        <v>0</v>
      </c>
    </row>
    <row r="276" spans="11:18" x14ac:dyDescent="0.2">
      <c r="K276">
        <v>2016</v>
      </c>
      <c r="L276" t="s">
        <v>19</v>
      </c>
      <c r="M276" t="s">
        <v>72</v>
      </c>
      <c r="N276">
        <v>1454</v>
      </c>
      <c r="O276">
        <v>11697.010026097199</v>
      </c>
      <c r="P276">
        <v>12537.589976310701</v>
      </c>
      <c r="Q276">
        <v>978</v>
      </c>
      <c r="R276">
        <v>2379</v>
      </c>
    </row>
    <row r="277" spans="11:18" x14ac:dyDescent="0.2">
      <c r="K277">
        <v>2016</v>
      </c>
      <c r="L277" t="s">
        <v>19</v>
      </c>
      <c r="M277" t="s">
        <v>63</v>
      </c>
      <c r="N277">
        <v>60</v>
      </c>
      <c r="O277">
        <v>0</v>
      </c>
      <c r="P277">
        <v>780</v>
      </c>
      <c r="Q277">
        <v>0</v>
      </c>
      <c r="R277">
        <v>0</v>
      </c>
    </row>
    <row r="278" spans="11:18" x14ac:dyDescent="0.2">
      <c r="K278">
        <v>2016</v>
      </c>
      <c r="L278" t="s">
        <v>19</v>
      </c>
      <c r="M278" t="s">
        <v>77</v>
      </c>
      <c r="N278">
        <v>472</v>
      </c>
      <c r="O278">
        <v>54675.979850768999</v>
      </c>
      <c r="P278">
        <v>20842.4500446319</v>
      </c>
      <c r="Q278">
        <v>2014</v>
      </c>
      <c r="R278">
        <v>2677</v>
      </c>
    </row>
    <row r="279" spans="11:18" x14ac:dyDescent="0.2">
      <c r="K279">
        <v>2016</v>
      </c>
      <c r="L279" t="s">
        <v>19</v>
      </c>
      <c r="M279" t="s">
        <v>65</v>
      </c>
      <c r="N279">
        <v>21557</v>
      </c>
      <c r="O279">
        <v>11547.659984681701</v>
      </c>
      <c r="P279">
        <v>10572.860001683201</v>
      </c>
      <c r="Q279">
        <v>0</v>
      </c>
      <c r="R279">
        <v>0</v>
      </c>
    </row>
    <row r="280" spans="11:18" x14ac:dyDescent="0.2">
      <c r="K280">
        <v>2016</v>
      </c>
      <c r="L280" t="s">
        <v>19</v>
      </c>
      <c r="M280" t="s">
        <v>67</v>
      </c>
      <c r="N280">
        <v>12869</v>
      </c>
      <c r="O280">
        <v>14478.820058584201</v>
      </c>
      <c r="P280">
        <v>28747.0291790962</v>
      </c>
      <c r="Q280">
        <v>0</v>
      </c>
      <c r="R280">
        <v>0</v>
      </c>
    </row>
    <row r="281" spans="11:18" x14ac:dyDescent="0.2">
      <c r="K281">
        <v>2016</v>
      </c>
      <c r="L281" t="s">
        <v>19</v>
      </c>
      <c r="M281" t="s">
        <v>68</v>
      </c>
      <c r="N281">
        <v>1</v>
      </c>
      <c r="O281">
        <v>2.0799999237060498</v>
      </c>
      <c r="P281">
        <v>6.3400001525878897</v>
      </c>
      <c r="Q281">
        <v>0</v>
      </c>
      <c r="R281">
        <v>1</v>
      </c>
    </row>
    <row r="282" spans="11:18" x14ac:dyDescent="0.2">
      <c r="K282">
        <v>2016</v>
      </c>
      <c r="L282" t="s">
        <v>19</v>
      </c>
      <c r="M282" t="s">
        <v>75</v>
      </c>
      <c r="N282">
        <v>1682</v>
      </c>
      <c r="O282">
        <v>130270.179904937</v>
      </c>
      <c r="P282">
        <v>56752.380002975398</v>
      </c>
      <c r="Q282">
        <v>4161</v>
      </c>
      <c r="R282">
        <v>5471</v>
      </c>
    </row>
    <row r="283" spans="11:18" x14ac:dyDescent="0.2">
      <c r="K283">
        <v>2016</v>
      </c>
      <c r="L283" t="s">
        <v>19</v>
      </c>
      <c r="M283" t="s">
        <v>74</v>
      </c>
      <c r="N283">
        <v>1444</v>
      </c>
      <c r="O283">
        <v>51052.820522308299</v>
      </c>
      <c r="P283">
        <v>23565.7199096679</v>
      </c>
      <c r="Q283">
        <v>1503</v>
      </c>
      <c r="R283">
        <v>2891</v>
      </c>
    </row>
    <row r="284" spans="11:18" x14ac:dyDescent="0.2">
      <c r="K284">
        <v>2016</v>
      </c>
      <c r="L284" t="s">
        <v>19</v>
      </c>
      <c r="M284" t="s">
        <v>66</v>
      </c>
      <c r="N284">
        <v>40</v>
      </c>
      <c r="O284">
        <v>101.779999375343</v>
      </c>
      <c r="P284">
        <v>375.05999965965702</v>
      </c>
      <c r="Q284">
        <v>0</v>
      </c>
      <c r="R284">
        <v>0</v>
      </c>
    </row>
    <row r="285" spans="11:18" x14ac:dyDescent="0.2">
      <c r="K285">
        <v>2016</v>
      </c>
      <c r="L285" t="s">
        <v>19</v>
      </c>
      <c r="M285" t="s">
        <v>73</v>
      </c>
      <c r="N285">
        <v>13497</v>
      </c>
      <c r="O285">
        <v>22893.760172188198</v>
      </c>
      <c r="P285">
        <v>93318.660941123904</v>
      </c>
      <c r="Q285">
        <v>12759</v>
      </c>
      <c r="R285">
        <v>25752</v>
      </c>
    </row>
    <row r="286" spans="11:18" x14ac:dyDescent="0.2">
      <c r="K286">
        <v>2016</v>
      </c>
      <c r="L286" t="s">
        <v>19</v>
      </c>
      <c r="M286" t="s">
        <v>76</v>
      </c>
      <c r="N286">
        <v>322</v>
      </c>
      <c r="O286">
        <v>30668.229766845699</v>
      </c>
      <c r="P286">
        <v>12915.629812240601</v>
      </c>
      <c r="Q286">
        <v>1136</v>
      </c>
      <c r="R286">
        <v>1512</v>
      </c>
    </row>
    <row r="287" spans="11:18" x14ac:dyDescent="0.2">
      <c r="K287">
        <v>2016</v>
      </c>
      <c r="L287" t="s">
        <v>19</v>
      </c>
      <c r="M287" t="s">
        <v>69</v>
      </c>
      <c r="N287">
        <v>2050</v>
      </c>
      <c r="O287">
        <v>136.69999994337499</v>
      </c>
      <c r="P287">
        <v>2267.1799981724398</v>
      </c>
      <c r="Q287">
        <v>5464</v>
      </c>
      <c r="R287">
        <v>8360</v>
      </c>
    </row>
    <row r="288" spans="11:18" x14ac:dyDescent="0.2">
      <c r="K288">
        <v>2016</v>
      </c>
      <c r="L288" t="s">
        <v>19</v>
      </c>
      <c r="M288" t="s">
        <v>71</v>
      </c>
      <c r="N288">
        <v>2709</v>
      </c>
      <c r="O288">
        <v>35151.020438194202</v>
      </c>
      <c r="P288">
        <v>27538.620074272101</v>
      </c>
      <c r="Q288">
        <v>1667</v>
      </c>
      <c r="R288">
        <v>4309</v>
      </c>
    </row>
  </sheetData>
  <mergeCells count="3">
    <mergeCell ref="B4:H4"/>
    <mergeCell ref="L4:Z4"/>
    <mergeCell ref="L29:Z29"/>
  </mergeCells>
  <pageMargins left="0.7" right="0.7" top="0.75" bottom="0.75" header="0.3" footer="0.3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"/>
  <sheetViews>
    <sheetView workbookViewId="0">
      <selection activeCell="E53" sqref="E53"/>
    </sheetView>
  </sheetViews>
  <sheetFormatPr baseColWidth="10" defaultRowHeight="16" x14ac:dyDescent="0.2"/>
  <cols>
    <col min="1" max="1" width="18.33203125" bestFit="1" customWidth="1"/>
    <col min="2" max="2" width="5.1640625" bestFit="1" customWidth="1"/>
    <col min="3" max="3" width="10" customWidth="1"/>
    <col min="4" max="4" width="12.1640625" bestFit="1" customWidth="1"/>
    <col min="5" max="5" width="11.1640625" bestFit="1" customWidth="1"/>
    <col min="6" max="6" width="8.33203125" bestFit="1" customWidth="1"/>
    <col min="7" max="7" width="11.1640625" bestFit="1" customWidth="1"/>
    <col min="8" max="8" width="11.83203125" bestFit="1" customWidth="1"/>
    <col min="9" max="9" width="11.33203125" bestFit="1" customWidth="1"/>
    <col min="11" max="11" width="5.1640625" bestFit="1" customWidth="1"/>
    <col min="12" max="12" width="10" bestFit="1" customWidth="1"/>
    <col min="13" max="13" width="12.5" bestFit="1" customWidth="1"/>
    <col min="14" max="14" width="11.33203125" bestFit="1" customWidth="1"/>
    <col min="15" max="15" width="12.5" bestFit="1" customWidth="1"/>
    <col min="16" max="16" width="12.1640625" bestFit="1" customWidth="1"/>
    <col min="17" max="17" width="8.83203125" bestFit="1" customWidth="1"/>
    <col min="18" max="18" width="11.33203125" bestFit="1" customWidth="1"/>
    <col min="20" max="20" width="12.5" bestFit="1" customWidth="1"/>
    <col min="21" max="21" width="12.1640625" bestFit="1" customWidth="1"/>
    <col min="22" max="22" width="12.5" bestFit="1" customWidth="1"/>
    <col min="28" max="29" width="12.5" bestFit="1" customWidth="1"/>
    <col min="30" max="30" width="22" bestFit="1" customWidth="1"/>
  </cols>
  <sheetData>
    <row r="1" spans="1:31" ht="24" x14ac:dyDescent="0.3">
      <c r="A1" s="2" t="s">
        <v>34</v>
      </c>
    </row>
    <row r="2" spans="1:31" ht="24" x14ac:dyDescent="0.3">
      <c r="A2" s="2"/>
    </row>
    <row r="3" spans="1:31" ht="24" x14ac:dyDescent="0.3">
      <c r="A3" s="2"/>
    </row>
    <row r="4" spans="1:31" ht="24" x14ac:dyDescent="0.3">
      <c r="A4" s="2"/>
      <c r="Z4" s="2" t="s">
        <v>53</v>
      </c>
    </row>
    <row r="5" spans="1:31" ht="24" x14ac:dyDescent="0.3">
      <c r="B5" s="57" t="s">
        <v>42</v>
      </c>
      <c r="C5" s="58"/>
      <c r="D5" s="58"/>
      <c r="E5" s="58"/>
      <c r="F5" s="58"/>
      <c r="G5" s="58"/>
      <c r="H5" s="59"/>
      <c r="K5" s="57" t="s">
        <v>46</v>
      </c>
      <c r="L5" s="58"/>
      <c r="M5" s="58"/>
      <c r="N5" s="58"/>
      <c r="O5" s="58"/>
      <c r="P5" s="58"/>
      <c r="Q5" s="58"/>
      <c r="R5" s="58"/>
      <c r="S5" s="58"/>
      <c r="T5" s="58"/>
      <c r="U5" s="58"/>
      <c r="V5" s="59"/>
      <c r="Z5" s="57" t="s">
        <v>52</v>
      </c>
      <c r="AA5" s="58"/>
      <c r="AB5" s="58"/>
      <c r="AC5" s="58"/>
      <c r="AD5" s="58"/>
      <c r="AE5" s="59"/>
    </row>
    <row r="6" spans="1:31" ht="24" x14ac:dyDescent="0.3">
      <c r="B6" s="42"/>
      <c r="C6" s="43"/>
      <c r="D6" s="43"/>
      <c r="E6" s="43"/>
      <c r="F6" s="43"/>
      <c r="G6" s="43"/>
      <c r="H6" s="44"/>
      <c r="M6" s="64" t="s">
        <v>43</v>
      </c>
      <c r="N6" s="64"/>
      <c r="O6" s="64"/>
      <c r="P6" s="64" t="s">
        <v>45</v>
      </c>
      <c r="Q6" s="64"/>
      <c r="R6" s="64"/>
      <c r="T6" s="65" t="s">
        <v>47</v>
      </c>
      <c r="U6" s="66"/>
      <c r="V6" s="67"/>
    </row>
    <row r="7" spans="1:31" x14ac:dyDescent="0.2">
      <c r="B7" s="36" t="s">
        <v>36</v>
      </c>
      <c r="C7" s="37" t="s">
        <v>3</v>
      </c>
      <c r="D7" s="37" t="s">
        <v>37</v>
      </c>
      <c r="E7" s="37" t="s">
        <v>39</v>
      </c>
      <c r="F7" s="37" t="s">
        <v>38</v>
      </c>
      <c r="G7" s="37" t="s">
        <v>39</v>
      </c>
      <c r="H7" s="38" t="s">
        <v>40</v>
      </c>
      <c r="K7" s="9" t="s">
        <v>36</v>
      </c>
      <c r="L7" s="10" t="s">
        <v>3</v>
      </c>
      <c r="M7" s="10" t="s">
        <v>37</v>
      </c>
      <c r="N7" s="10" t="s">
        <v>38</v>
      </c>
      <c r="O7" s="10" t="s">
        <v>44</v>
      </c>
      <c r="P7" s="10" t="s">
        <v>37</v>
      </c>
      <c r="Q7" s="10" t="s">
        <v>38</v>
      </c>
      <c r="R7" s="33" t="s">
        <v>44</v>
      </c>
      <c r="T7" s="39" t="s">
        <v>38</v>
      </c>
      <c r="U7" s="40" t="s">
        <v>37</v>
      </c>
      <c r="V7" s="41" t="s">
        <v>44</v>
      </c>
      <c r="AB7" s="60" t="s">
        <v>51</v>
      </c>
      <c r="AC7" s="61"/>
    </row>
    <row r="8" spans="1:31" x14ac:dyDescent="0.2">
      <c r="B8">
        <v>2015</v>
      </c>
      <c r="C8" t="s">
        <v>19</v>
      </c>
      <c r="D8" s="21">
        <v>689</v>
      </c>
      <c r="E8" s="23">
        <v>0.1142</v>
      </c>
      <c r="F8">
        <v>40</v>
      </c>
      <c r="G8" s="23">
        <v>6.6E-3</v>
      </c>
      <c r="H8" s="21">
        <v>6032</v>
      </c>
      <c r="K8">
        <v>2015</v>
      </c>
      <c r="L8" t="s">
        <v>19</v>
      </c>
      <c r="M8" s="12">
        <v>212348.41</v>
      </c>
      <c r="N8" s="12">
        <v>35743.794999999998</v>
      </c>
      <c r="O8" s="12">
        <v>537219.48499999999</v>
      </c>
      <c r="P8" s="12">
        <v>4843.8400564193698</v>
      </c>
      <c r="Q8" s="12">
        <v>281.900002479553</v>
      </c>
      <c r="R8" s="12">
        <v>40247.860739231102</v>
      </c>
      <c r="T8" s="19">
        <f t="shared" ref="T8:T20" si="0">M8-P8</f>
        <v>207504.56994358063</v>
      </c>
      <c r="U8" s="19">
        <f t="shared" ref="U8:U20" si="1">N8-Q8</f>
        <v>35461.894997520445</v>
      </c>
      <c r="V8" s="19">
        <f t="shared" ref="V8:V20" si="2">O8-R8</f>
        <v>496971.62426076888</v>
      </c>
      <c r="Z8" s="39" t="s">
        <v>36</v>
      </c>
      <c r="AA8" s="40" t="s">
        <v>3</v>
      </c>
      <c r="AB8" s="40" t="s">
        <v>49</v>
      </c>
      <c r="AC8" s="40" t="s">
        <v>50</v>
      </c>
      <c r="AD8" s="40" t="s">
        <v>54</v>
      </c>
      <c r="AE8" s="41"/>
    </row>
    <row r="9" spans="1:31" x14ac:dyDescent="0.2">
      <c r="B9">
        <v>2015</v>
      </c>
      <c r="C9" t="s">
        <v>18</v>
      </c>
      <c r="D9" s="21">
        <v>541</v>
      </c>
      <c r="E9" s="23">
        <v>0.10299999999999999</v>
      </c>
      <c r="F9">
        <v>27</v>
      </c>
      <c r="G9" s="23">
        <v>5.1000000000000004E-3</v>
      </c>
      <c r="H9" s="21">
        <v>5253</v>
      </c>
      <c r="K9">
        <v>2015</v>
      </c>
      <c r="L9" t="s">
        <v>18</v>
      </c>
      <c r="M9" s="12">
        <v>169846.3</v>
      </c>
      <c r="N9" s="12">
        <v>29758.764999999999</v>
      </c>
      <c r="O9" s="12">
        <v>452834.685</v>
      </c>
      <c r="P9" s="12">
        <v>3857.9100341796802</v>
      </c>
      <c r="Q9" s="12">
        <v>208.17000007629301</v>
      </c>
      <c r="R9" s="12">
        <v>35098.850626945401</v>
      </c>
      <c r="T9" s="19">
        <f t="shared" si="0"/>
        <v>165988.3899658203</v>
      </c>
      <c r="U9" s="19">
        <f t="shared" si="1"/>
        <v>29550.594999923705</v>
      </c>
      <c r="V9" s="19">
        <f t="shared" si="2"/>
        <v>417735.83437305462</v>
      </c>
      <c r="Z9">
        <v>2015</v>
      </c>
      <c r="AA9" t="s">
        <v>19</v>
      </c>
      <c r="AB9" s="12">
        <v>192472.78</v>
      </c>
      <c r="AC9" s="12">
        <v>189195.339890923</v>
      </c>
      <c r="AD9" s="45" t="str">
        <f t="shared" ref="AD9:AD21" si="3">IF(AB9-AC9&lt;0,"yes","no")</f>
        <v>no</v>
      </c>
    </row>
    <row r="10" spans="1:31" x14ac:dyDescent="0.2">
      <c r="B10">
        <v>2015</v>
      </c>
      <c r="C10" t="s">
        <v>14</v>
      </c>
      <c r="D10" s="21">
        <v>586</v>
      </c>
      <c r="E10" s="23">
        <v>9.7600000000000006E-2</v>
      </c>
      <c r="F10">
        <v>34</v>
      </c>
      <c r="G10" s="23">
        <v>5.7000000000000002E-3</v>
      </c>
      <c r="H10" s="21">
        <v>6004</v>
      </c>
      <c r="K10">
        <v>2015</v>
      </c>
      <c r="L10" t="s">
        <v>14</v>
      </c>
      <c r="M10" s="12">
        <v>188949.35</v>
      </c>
      <c r="N10" s="12">
        <v>39590.65</v>
      </c>
      <c r="O10" s="12">
        <v>525184.62</v>
      </c>
      <c r="P10" s="12">
        <v>4090.6300420761099</v>
      </c>
      <c r="Q10" s="12">
        <v>272.59000110626198</v>
      </c>
      <c r="R10" s="12">
        <v>40025.0507321357</v>
      </c>
      <c r="T10" s="19">
        <f t="shared" si="0"/>
        <v>184858.71995792389</v>
      </c>
      <c r="U10" s="19">
        <f t="shared" si="1"/>
        <v>39318.059998893739</v>
      </c>
      <c r="V10" s="19">
        <f t="shared" si="2"/>
        <v>485159.56926786428</v>
      </c>
      <c r="Z10">
        <v>2015</v>
      </c>
      <c r="AA10" t="s">
        <v>18</v>
      </c>
      <c r="AB10" s="12">
        <v>170119</v>
      </c>
      <c r="AC10" s="12">
        <v>166260.61997433699</v>
      </c>
      <c r="AD10" s="45" t="str">
        <f t="shared" si="3"/>
        <v>no</v>
      </c>
    </row>
    <row r="11" spans="1:31" x14ac:dyDescent="0.2">
      <c r="B11">
        <v>2015</v>
      </c>
      <c r="C11" t="s">
        <v>24</v>
      </c>
      <c r="D11" s="21">
        <v>606</v>
      </c>
      <c r="E11" s="23">
        <v>9.4500000000000001E-2</v>
      </c>
      <c r="F11">
        <v>23</v>
      </c>
      <c r="G11" s="23">
        <v>3.5999999999999999E-3</v>
      </c>
      <c r="H11" s="21">
        <v>6411</v>
      </c>
      <c r="K11">
        <v>2015</v>
      </c>
      <c r="L11" t="s">
        <v>24</v>
      </c>
      <c r="M11" s="12">
        <v>206176.69</v>
      </c>
      <c r="N11" s="12">
        <v>28913.435000000001</v>
      </c>
      <c r="O11" s="12">
        <v>561681.60499999998</v>
      </c>
      <c r="P11" s="12">
        <v>4307.5100488662702</v>
      </c>
      <c r="Q11" s="12">
        <v>195.23000097274701</v>
      </c>
      <c r="R11" s="12">
        <v>42834.7307853698</v>
      </c>
      <c r="T11" s="19">
        <f t="shared" si="0"/>
        <v>201869.17995113373</v>
      </c>
      <c r="U11" s="19">
        <f t="shared" si="1"/>
        <v>28718.204999027254</v>
      </c>
      <c r="V11" s="19">
        <f t="shared" si="2"/>
        <v>518846.87421463017</v>
      </c>
      <c r="Z11">
        <v>2015</v>
      </c>
      <c r="AA11" t="s">
        <v>14</v>
      </c>
      <c r="AB11" s="12">
        <v>188561.59</v>
      </c>
      <c r="AC11" s="12">
        <v>184648.06980776601</v>
      </c>
      <c r="AD11" s="45" t="str">
        <f t="shared" si="3"/>
        <v>no</v>
      </c>
    </row>
    <row r="12" spans="1:31" x14ac:dyDescent="0.2">
      <c r="B12">
        <v>2015</v>
      </c>
      <c r="C12" t="s">
        <v>23</v>
      </c>
      <c r="D12" s="21">
        <v>637</v>
      </c>
      <c r="E12" s="23">
        <v>8.3900000000000002E-2</v>
      </c>
      <c r="F12">
        <v>14</v>
      </c>
      <c r="G12" s="23">
        <v>1.8E-3</v>
      </c>
      <c r="H12" s="21">
        <v>7594</v>
      </c>
      <c r="K12">
        <v>2015</v>
      </c>
      <c r="L12" t="s">
        <v>23</v>
      </c>
      <c r="M12" s="12">
        <v>220794.94</v>
      </c>
      <c r="N12" s="12">
        <v>17105.244999999999</v>
      </c>
      <c r="O12" s="12">
        <v>620942.505</v>
      </c>
      <c r="P12" s="12">
        <v>4545.0300521850504</v>
      </c>
      <c r="Q12" s="12">
        <v>122.250000953674</v>
      </c>
      <c r="R12" s="12">
        <v>50705.780939579003</v>
      </c>
      <c r="T12" s="19">
        <f t="shared" si="0"/>
        <v>216249.90994781494</v>
      </c>
      <c r="U12" s="19">
        <f t="shared" si="1"/>
        <v>16982.994999046325</v>
      </c>
      <c r="V12" s="19">
        <f t="shared" si="2"/>
        <v>570236.72406042099</v>
      </c>
      <c r="Z12">
        <v>2015</v>
      </c>
      <c r="AA12" t="s">
        <v>24</v>
      </c>
      <c r="AB12" s="12">
        <v>200881.82</v>
      </c>
      <c r="AC12" s="12">
        <v>196788.509871277</v>
      </c>
      <c r="AD12" s="45" t="str">
        <f t="shared" si="3"/>
        <v>no</v>
      </c>
    </row>
    <row r="13" spans="1:31" x14ac:dyDescent="0.2">
      <c r="B13">
        <v>2015</v>
      </c>
      <c r="C13" t="s">
        <v>22</v>
      </c>
      <c r="D13" s="21">
        <v>1008</v>
      </c>
      <c r="E13" s="23">
        <v>8.5699999999999998E-2</v>
      </c>
      <c r="F13">
        <v>35</v>
      </c>
      <c r="G13" s="23">
        <v>3.0000000000000001E-3</v>
      </c>
      <c r="H13" s="21">
        <v>11761</v>
      </c>
      <c r="K13">
        <v>2015</v>
      </c>
      <c r="L13" t="s">
        <v>22</v>
      </c>
      <c r="M13" s="12">
        <v>336213.43</v>
      </c>
      <c r="N13" s="12">
        <v>39422.36</v>
      </c>
      <c r="O13" s="12">
        <v>997790.68</v>
      </c>
      <c r="P13" s="12">
        <v>7073.7100777626001</v>
      </c>
      <c r="Q13" s="12">
        <v>266.32000303268399</v>
      </c>
      <c r="R13" s="12">
        <v>78331.501452922806</v>
      </c>
      <c r="T13" s="19">
        <f t="shared" si="0"/>
        <v>329139.71992223739</v>
      </c>
      <c r="U13" s="19">
        <f t="shared" si="1"/>
        <v>39156.039996967316</v>
      </c>
      <c r="V13" s="19">
        <f t="shared" si="2"/>
        <v>919459.17854707723</v>
      </c>
      <c r="Z13">
        <v>2015</v>
      </c>
      <c r="AA13" t="s">
        <v>23</v>
      </c>
      <c r="AB13" s="12">
        <v>241192.93</v>
      </c>
      <c r="AC13" s="12">
        <v>235296.52004546099</v>
      </c>
      <c r="AD13" s="45" t="str">
        <f t="shared" si="3"/>
        <v>no</v>
      </c>
    </row>
    <row r="14" spans="1:31" x14ac:dyDescent="0.2">
      <c r="B14">
        <v>2015</v>
      </c>
      <c r="C14" t="s">
        <v>15</v>
      </c>
      <c r="D14" s="21">
        <v>804</v>
      </c>
      <c r="E14" s="23">
        <v>7.4999999999999997E-2</v>
      </c>
      <c r="F14">
        <v>42</v>
      </c>
      <c r="G14" s="23">
        <v>3.8999999999999998E-3</v>
      </c>
      <c r="H14" s="21">
        <v>10727</v>
      </c>
      <c r="K14">
        <v>2015</v>
      </c>
      <c r="L14" t="s">
        <v>15</v>
      </c>
      <c r="M14" s="12">
        <v>256023.94</v>
      </c>
      <c r="N14" s="12">
        <v>74376.070000000007</v>
      </c>
      <c r="O14" s="12">
        <v>870667.87</v>
      </c>
      <c r="P14" s="12">
        <v>5624.7100539207404</v>
      </c>
      <c r="Q14" s="12">
        <v>366.00000476837101</v>
      </c>
      <c r="R14" s="12">
        <v>72145.291168212803</v>
      </c>
      <c r="T14" s="19">
        <f t="shared" si="0"/>
        <v>250399.22994607926</v>
      </c>
      <c r="U14" s="19">
        <f t="shared" si="1"/>
        <v>74010.069995231635</v>
      </c>
      <c r="V14" s="19">
        <f t="shared" si="2"/>
        <v>798522.57883178722</v>
      </c>
      <c r="Z14">
        <v>2015</v>
      </c>
      <c r="AA14" t="s">
        <v>22</v>
      </c>
      <c r="AB14" s="12">
        <v>307676.40000000002</v>
      </c>
      <c r="AC14" s="12">
        <v>298447.29030810599</v>
      </c>
      <c r="AD14" s="45" t="str">
        <f t="shared" si="3"/>
        <v>no</v>
      </c>
    </row>
    <row r="15" spans="1:31" x14ac:dyDescent="0.2">
      <c r="B15">
        <v>2016</v>
      </c>
      <c r="C15" t="s">
        <v>17</v>
      </c>
      <c r="D15" s="21">
        <v>667</v>
      </c>
      <c r="E15" s="23">
        <v>6.3700000000000007E-2</v>
      </c>
      <c r="F15">
        <v>43</v>
      </c>
      <c r="G15" s="23">
        <v>4.1000000000000003E-3</v>
      </c>
      <c r="H15" s="21">
        <v>10478</v>
      </c>
      <c r="K15">
        <v>2016</v>
      </c>
      <c r="L15" t="s">
        <v>17</v>
      </c>
      <c r="M15" s="12">
        <v>215340.81</v>
      </c>
      <c r="N15" s="12">
        <v>74245.75</v>
      </c>
      <c r="O15" s="12">
        <v>810845.82</v>
      </c>
      <c r="P15" s="12">
        <v>4975.8500175476001</v>
      </c>
      <c r="Q15" s="12">
        <v>481.32000303268399</v>
      </c>
      <c r="R15" s="12">
        <v>73354.820560455293</v>
      </c>
      <c r="T15" s="19">
        <f t="shared" si="0"/>
        <v>210364.95998245239</v>
      </c>
      <c r="U15" s="19">
        <f t="shared" si="1"/>
        <v>73764.429996967316</v>
      </c>
      <c r="V15" s="19">
        <f t="shared" si="2"/>
        <v>737490.99943954463</v>
      </c>
      <c r="Z15">
        <v>2015</v>
      </c>
      <c r="AA15" t="s">
        <v>15</v>
      </c>
      <c r="AB15" s="12">
        <v>288446.67</v>
      </c>
      <c r="AC15" s="12">
        <v>281996.94988007599</v>
      </c>
      <c r="AD15" s="45" t="str">
        <f t="shared" si="3"/>
        <v>no</v>
      </c>
    </row>
    <row r="16" spans="1:31" x14ac:dyDescent="0.2">
      <c r="B16">
        <v>2016</v>
      </c>
      <c r="C16" t="s">
        <v>16</v>
      </c>
      <c r="D16" s="21">
        <v>682</v>
      </c>
      <c r="E16" s="23">
        <v>6.9000000000000006E-2</v>
      </c>
      <c r="F16">
        <v>53</v>
      </c>
      <c r="G16" s="23">
        <v>5.4000000000000003E-3</v>
      </c>
      <c r="H16" s="21">
        <v>9877</v>
      </c>
      <c r="K16">
        <v>2016</v>
      </c>
      <c r="L16" t="s">
        <v>16</v>
      </c>
      <c r="M16" s="12">
        <v>215697.08</v>
      </c>
      <c r="N16" s="12">
        <v>92535.43</v>
      </c>
      <c r="O16" s="12">
        <v>789128.67</v>
      </c>
      <c r="P16" s="12">
        <v>4945.4300165176301</v>
      </c>
      <c r="Q16" s="12">
        <v>457.18000173568697</v>
      </c>
      <c r="R16" s="12">
        <v>68958.710521697998</v>
      </c>
      <c r="T16" s="19">
        <f t="shared" si="0"/>
        <v>210751.64998348235</v>
      </c>
      <c r="U16" s="19">
        <f t="shared" si="1"/>
        <v>92078.249998264306</v>
      </c>
      <c r="V16" s="19">
        <f t="shared" si="2"/>
        <v>720169.95947830204</v>
      </c>
      <c r="Z16">
        <v>2016</v>
      </c>
      <c r="AA16" t="s">
        <v>17</v>
      </c>
      <c r="AB16" s="12">
        <v>273806.12</v>
      </c>
      <c r="AC16" s="12">
        <v>266317.74981319899</v>
      </c>
      <c r="AD16" s="45" t="str">
        <f t="shared" si="3"/>
        <v>no</v>
      </c>
    </row>
    <row r="17" spans="2:30" x14ac:dyDescent="0.2">
      <c r="B17">
        <v>2016</v>
      </c>
      <c r="C17" t="s">
        <v>20</v>
      </c>
      <c r="D17" s="21">
        <v>744</v>
      </c>
      <c r="E17" s="23">
        <v>6.1100000000000002E-2</v>
      </c>
      <c r="F17">
        <v>65</v>
      </c>
      <c r="G17" s="23">
        <v>5.3E-3</v>
      </c>
      <c r="H17" s="21">
        <v>12181</v>
      </c>
      <c r="K17">
        <v>2016</v>
      </c>
      <c r="L17" t="s">
        <v>20</v>
      </c>
      <c r="M17" s="12">
        <v>222159.75</v>
      </c>
      <c r="N17" s="12">
        <v>95104.76</v>
      </c>
      <c r="O17" s="12">
        <v>882585.37</v>
      </c>
      <c r="P17" s="12">
        <v>5393.7500162124597</v>
      </c>
      <c r="Q17" s="12">
        <v>524.26000452041603</v>
      </c>
      <c r="R17" s="12">
        <v>84923.200655460299</v>
      </c>
      <c r="T17" s="19">
        <f t="shared" si="0"/>
        <v>216765.99998378754</v>
      </c>
      <c r="U17" s="19">
        <f t="shared" si="1"/>
        <v>94580.499995479579</v>
      </c>
      <c r="V17" s="19">
        <f t="shared" si="2"/>
        <v>797662.16934453975</v>
      </c>
      <c r="Z17">
        <v>2016</v>
      </c>
      <c r="AA17" t="s">
        <v>16</v>
      </c>
      <c r="AB17" s="12">
        <v>272187.40000000002</v>
      </c>
      <c r="AC17" s="12">
        <v>264670.93979440199</v>
      </c>
      <c r="AD17" s="45" t="str">
        <f t="shared" si="3"/>
        <v>no</v>
      </c>
    </row>
    <row r="18" spans="2:30" x14ac:dyDescent="0.2">
      <c r="B18">
        <v>2016</v>
      </c>
      <c r="C18" t="s">
        <v>13</v>
      </c>
      <c r="D18" s="21">
        <v>691</v>
      </c>
      <c r="E18" s="23">
        <v>7.0400000000000004E-2</v>
      </c>
      <c r="F18">
        <v>61</v>
      </c>
      <c r="G18" s="23">
        <v>6.1999999999999998E-3</v>
      </c>
      <c r="H18" s="21">
        <v>9809</v>
      </c>
      <c r="K18">
        <v>2016</v>
      </c>
      <c r="L18" t="s">
        <v>13</v>
      </c>
      <c r="M18" s="12">
        <v>218840.88</v>
      </c>
      <c r="N18" s="12">
        <v>94504.47</v>
      </c>
      <c r="O18" s="12">
        <v>780117.24</v>
      </c>
      <c r="P18" s="12">
        <v>5011.6900177001899</v>
      </c>
      <c r="Q18" s="12">
        <v>506.90000057220402</v>
      </c>
      <c r="R18" s="12">
        <v>68476.430517673405</v>
      </c>
      <c r="T18" s="19">
        <f t="shared" si="0"/>
        <v>213829.18998229981</v>
      </c>
      <c r="U18" s="19">
        <f t="shared" si="1"/>
        <v>93997.569999427797</v>
      </c>
      <c r="V18" s="19">
        <f t="shared" si="2"/>
        <v>711640.80948232661</v>
      </c>
      <c r="Z18">
        <v>2016</v>
      </c>
      <c r="AA18" t="s">
        <v>20</v>
      </c>
      <c r="AB18" s="12">
        <v>309463.90999999997</v>
      </c>
      <c r="AC18" s="12">
        <v>301212.17988844198</v>
      </c>
      <c r="AD18" s="45" t="str">
        <f t="shared" si="3"/>
        <v>no</v>
      </c>
    </row>
    <row r="19" spans="2:30" x14ac:dyDescent="0.2">
      <c r="B19">
        <v>2016</v>
      </c>
      <c r="C19" t="s">
        <v>21</v>
      </c>
      <c r="D19" s="21">
        <v>708</v>
      </c>
      <c r="E19" s="23">
        <v>7.6999999999999999E-2</v>
      </c>
      <c r="F19">
        <v>49</v>
      </c>
      <c r="G19" s="23">
        <v>5.3E-3</v>
      </c>
      <c r="H19" s="21">
        <v>9189</v>
      </c>
      <c r="K19">
        <v>2016</v>
      </c>
      <c r="L19" t="s">
        <v>21</v>
      </c>
      <c r="M19" s="12">
        <v>234585.73</v>
      </c>
      <c r="N19" s="12">
        <v>69186.59</v>
      </c>
      <c r="O19" s="12">
        <v>740101.52</v>
      </c>
      <c r="P19" s="12">
        <v>5245.4700155258097</v>
      </c>
      <c r="Q19" s="12">
        <v>432.04999876022299</v>
      </c>
      <c r="R19" s="12">
        <v>64285.3304796218</v>
      </c>
      <c r="T19" s="19">
        <f t="shared" si="0"/>
        <v>229340.25998447419</v>
      </c>
      <c r="U19" s="19">
        <f t="shared" si="1"/>
        <v>68754.540001239773</v>
      </c>
      <c r="V19" s="19">
        <f t="shared" si="2"/>
        <v>675816.18952037825</v>
      </c>
      <c r="Z19">
        <v>2016</v>
      </c>
      <c r="AA19" t="s">
        <v>13</v>
      </c>
      <c r="AB19" s="12">
        <v>271657.23</v>
      </c>
      <c r="AC19" s="12">
        <v>264204.92982683098</v>
      </c>
      <c r="AD19" s="45" t="str">
        <f t="shared" si="3"/>
        <v>no</v>
      </c>
    </row>
    <row r="20" spans="2:30" x14ac:dyDescent="0.2">
      <c r="B20">
        <v>2016</v>
      </c>
      <c r="C20" t="s">
        <v>19</v>
      </c>
      <c r="D20" s="21">
        <v>616</v>
      </c>
      <c r="E20" s="23">
        <v>6.6199999999999995E-2</v>
      </c>
      <c r="F20">
        <v>46</v>
      </c>
      <c r="G20" s="23">
        <v>4.8999999999999998E-3</v>
      </c>
      <c r="H20" s="21">
        <v>9308</v>
      </c>
      <c r="K20">
        <v>2016</v>
      </c>
      <c r="L20" t="s">
        <v>19</v>
      </c>
      <c r="M20" s="12">
        <v>204538.35</v>
      </c>
      <c r="N20" s="12">
        <v>58687.03</v>
      </c>
      <c r="O20" s="12">
        <v>680862.99</v>
      </c>
      <c r="P20" s="12">
        <v>4496.4600286483701</v>
      </c>
      <c r="Q20" s="12">
        <v>383.580002784729</v>
      </c>
      <c r="R20" s="12">
        <v>63826.570687293999</v>
      </c>
      <c r="T20" s="19">
        <f t="shared" si="0"/>
        <v>200041.88997135163</v>
      </c>
      <c r="U20" s="19">
        <f t="shared" si="1"/>
        <v>58303.44999721527</v>
      </c>
      <c r="V20" s="19">
        <f t="shared" si="2"/>
        <v>617036.41931270598</v>
      </c>
      <c r="Z20">
        <v>2016</v>
      </c>
      <c r="AA20" t="s">
        <v>21</v>
      </c>
      <c r="AB20" s="12">
        <v>246386.96</v>
      </c>
      <c r="AC20" s="12">
        <v>239732.219952046</v>
      </c>
      <c r="AD20" s="45" t="str">
        <f t="shared" si="3"/>
        <v>no</v>
      </c>
    </row>
    <row r="21" spans="2:30" x14ac:dyDescent="0.2">
      <c r="B21" s="62" t="s">
        <v>48</v>
      </c>
      <c r="C21" s="63"/>
      <c r="D21" s="34">
        <f>(D20-D19)/D19</f>
        <v>-0.12994350282485875</v>
      </c>
      <c r="E21" s="34">
        <f t="shared" ref="E21:H21" si="4">(E20-E19)/E19</f>
        <v>-0.14025974025974031</v>
      </c>
      <c r="F21" s="34">
        <f t="shared" si="4"/>
        <v>-6.1224489795918366E-2</v>
      </c>
      <c r="G21" s="34">
        <f t="shared" si="4"/>
        <v>-7.5471698113207586E-2</v>
      </c>
      <c r="H21" s="35">
        <f t="shared" si="4"/>
        <v>1.2950266623136359E-2</v>
      </c>
      <c r="K21" s="68" t="s">
        <v>48</v>
      </c>
      <c r="L21" s="69"/>
      <c r="M21" s="34">
        <f>(M20-M19)/M19</f>
        <v>-0.1280869897755503</v>
      </c>
      <c r="N21" s="34">
        <f t="shared" ref="N21:V21" si="5">(N20-N19)/N19</f>
        <v>-0.1517571540959021</v>
      </c>
      <c r="O21" s="34">
        <f t="shared" si="5"/>
        <v>-8.0041086795768268E-2</v>
      </c>
      <c r="P21" s="34">
        <f t="shared" si="5"/>
        <v>-0.14279177741183949</v>
      </c>
      <c r="Q21" s="34">
        <f t="shared" si="5"/>
        <v>-0.1121860805799785</v>
      </c>
      <c r="R21" s="34">
        <f t="shared" si="5"/>
        <v>-7.1363060422194747E-3</v>
      </c>
      <c r="S21" s="34"/>
      <c r="T21" s="34">
        <f t="shared" si="5"/>
        <v>-0.12775066189907519</v>
      </c>
      <c r="U21" s="34">
        <f t="shared" si="5"/>
        <v>-0.15200581668986587</v>
      </c>
      <c r="V21" s="35">
        <f t="shared" si="5"/>
        <v>-8.6975972341514676E-2</v>
      </c>
      <c r="Z21">
        <v>2016</v>
      </c>
      <c r="AA21" t="s">
        <v>19</v>
      </c>
      <c r="AB21" s="12">
        <v>233141.09</v>
      </c>
      <c r="AC21" s="12">
        <v>227748.30021484301</v>
      </c>
      <c r="AD21" s="45" t="str">
        <f t="shared" si="3"/>
        <v>no</v>
      </c>
    </row>
    <row r="22" spans="2:30" x14ac:dyDescent="0.2">
      <c r="B22" s="62" t="s">
        <v>41</v>
      </c>
      <c r="C22" s="63"/>
      <c r="D22" s="34">
        <f>(D20-D8)/D8</f>
        <v>-0.10595065312046444</v>
      </c>
      <c r="E22" s="34">
        <f>(E20-E8)/E8</f>
        <v>-0.42031523642732049</v>
      </c>
      <c r="F22" s="34">
        <f>(F20-F8)/F8</f>
        <v>0.15</v>
      </c>
      <c r="G22" s="34">
        <f>(G20-G8)/G8</f>
        <v>-0.25757575757575757</v>
      </c>
      <c r="H22" s="35">
        <f>(H20-H8)/H8</f>
        <v>0.5431034482758621</v>
      </c>
      <c r="K22" s="68" t="s">
        <v>41</v>
      </c>
      <c r="L22" s="69"/>
      <c r="M22" s="34">
        <f t="shared" ref="M22:R22" si="6">(M20-M8)/M8</f>
        <v>-3.6779460698575503E-2</v>
      </c>
      <c r="N22" s="34">
        <f t="shared" si="6"/>
        <v>0.64188022004938206</v>
      </c>
      <c r="O22" s="34">
        <f t="shared" si="6"/>
        <v>0.26738327445438803</v>
      </c>
      <c r="P22" s="34">
        <f t="shared" si="6"/>
        <v>-7.171583366189585E-2</v>
      </c>
      <c r="Q22" s="34">
        <f t="shared" si="6"/>
        <v>0.36069527992484196</v>
      </c>
      <c r="R22" s="34">
        <f t="shared" si="6"/>
        <v>0.5858375952160817</v>
      </c>
      <c r="S22" s="34"/>
      <c r="T22" s="34">
        <f>(T20-T8)/T8</f>
        <v>-3.5963930694432725E-2</v>
      </c>
      <c r="U22" s="34">
        <f>(U20-U8)/U8</f>
        <v>0.64411546538310893</v>
      </c>
      <c r="V22" s="35">
        <f>(V20-V8)/V8</f>
        <v>0.2415928580037745</v>
      </c>
    </row>
  </sheetData>
  <mergeCells count="11">
    <mergeCell ref="AB7:AC7"/>
    <mergeCell ref="Z5:AE5"/>
    <mergeCell ref="B22:C22"/>
    <mergeCell ref="B5:H5"/>
    <mergeCell ref="M6:O6"/>
    <mergeCell ref="P6:R6"/>
    <mergeCell ref="T6:V6"/>
    <mergeCell ref="K5:V5"/>
    <mergeCell ref="K22:L22"/>
    <mergeCell ref="B21:C21"/>
    <mergeCell ref="K21:L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Types of Charges</vt:lpstr>
      <vt:lpstr>Free Shipping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2016-07-13T13:11:06Z</dcterms:created>
  <dcterms:modified xsi:type="dcterms:W3CDTF">2016-07-28T22:02:37Z</dcterms:modified>
</cp:coreProperties>
</file>