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Users/jarad/Desktop/March UPS audit/"/>
    </mc:Choice>
  </mc:AlternateContent>
  <bookViews>
    <workbookView xWindow="1200" yWindow="460" windowWidth="33460" windowHeight="25980" tabRatio="500"/>
  </bookViews>
  <sheets>
    <sheet name="PT" sheetId="2" r:id="rId1"/>
    <sheet name="ada vs ups" sheetId="1" r:id="rId2"/>
  </sheets>
  <calcPr calcId="150001" concurrentCalc="0"/>
  <pivotCaches>
    <pivotCache cacheId="36" r:id="rId3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" i="1" l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G1097" i="1"/>
  <c r="H1097" i="1"/>
  <c r="I1097" i="1"/>
  <c r="G1098" i="1"/>
  <c r="H1098" i="1"/>
  <c r="I1098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H1253" i="1"/>
  <c r="I1253" i="1"/>
  <c r="G1254" i="1"/>
  <c r="H1254" i="1"/>
  <c r="I1254" i="1"/>
  <c r="G1255" i="1"/>
  <c r="H1255" i="1"/>
  <c r="I1255" i="1"/>
  <c r="G1256" i="1"/>
  <c r="H1256" i="1"/>
  <c r="I1256" i="1"/>
  <c r="G1257" i="1"/>
  <c r="H1257" i="1"/>
  <c r="I1257" i="1"/>
  <c r="G1258" i="1"/>
  <c r="H1258" i="1"/>
  <c r="I1258" i="1"/>
  <c r="G1259" i="1"/>
  <c r="H1259" i="1"/>
  <c r="I1259" i="1"/>
  <c r="G1260" i="1"/>
  <c r="H1260" i="1"/>
  <c r="I1260" i="1"/>
  <c r="G1261" i="1"/>
  <c r="H1261" i="1"/>
  <c r="I1261" i="1"/>
  <c r="G1262" i="1"/>
  <c r="H1262" i="1"/>
  <c r="I1262" i="1"/>
  <c r="G1263" i="1"/>
  <c r="H1263" i="1"/>
  <c r="I1263" i="1"/>
  <c r="G1264" i="1"/>
  <c r="H1264" i="1"/>
  <c r="I1264" i="1"/>
  <c r="G1265" i="1"/>
  <c r="H1265" i="1"/>
  <c r="I1265" i="1"/>
  <c r="G1266" i="1"/>
  <c r="H1266" i="1"/>
  <c r="I1266" i="1"/>
  <c r="G1267" i="1"/>
  <c r="H1267" i="1"/>
  <c r="I1267" i="1"/>
  <c r="G1268" i="1"/>
  <c r="H1268" i="1"/>
  <c r="I1268" i="1"/>
  <c r="G1269" i="1"/>
  <c r="H1269" i="1"/>
  <c r="I1269" i="1"/>
  <c r="G1270" i="1"/>
  <c r="H1270" i="1"/>
  <c r="I1270" i="1"/>
  <c r="G1271" i="1"/>
  <c r="H1271" i="1"/>
  <c r="I1271" i="1"/>
  <c r="G1272" i="1"/>
  <c r="H1272" i="1"/>
  <c r="I1272" i="1"/>
  <c r="G1273" i="1"/>
  <c r="H1273" i="1"/>
  <c r="I1273" i="1"/>
  <c r="G1274" i="1"/>
  <c r="H1274" i="1"/>
  <c r="I1274" i="1"/>
  <c r="G1275" i="1"/>
  <c r="H1275" i="1"/>
  <c r="I1275" i="1"/>
  <c r="G1276" i="1"/>
  <c r="H1276" i="1"/>
  <c r="I1276" i="1"/>
  <c r="G1277" i="1"/>
  <c r="H1277" i="1"/>
  <c r="I1277" i="1"/>
  <c r="G1278" i="1"/>
  <c r="H1278" i="1"/>
  <c r="I1278" i="1"/>
  <c r="G1279" i="1"/>
  <c r="H1279" i="1"/>
  <c r="I1279" i="1"/>
  <c r="G1280" i="1"/>
  <c r="H1280" i="1"/>
  <c r="I1280" i="1"/>
  <c r="G1281" i="1"/>
  <c r="H1281" i="1"/>
  <c r="I1281" i="1"/>
  <c r="G1282" i="1"/>
  <c r="H1282" i="1"/>
  <c r="I1282" i="1"/>
  <c r="G1283" i="1"/>
  <c r="H1283" i="1"/>
  <c r="I1283" i="1"/>
  <c r="G1284" i="1"/>
  <c r="H1284" i="1"/>
  <c r="I1284" i="1"/>
  <c r="G1285" i="1"/>
  <c r="H1285" i="1"/>
  <c r="I1285" i="1"/>
  <c r="G1286" i="1"/>
  <c r="H1286" i="1"/>
  <c r="I1286" i="1"/>
  <c r="G1287" i="1"/>
  <c r="H1287" i="1"/>
  <c r="I1287" i="1"/>
  <c r="G1288" i="1"/>
  <c r="H1288" i="1"/>
  <c r="I1288" i="1"/>
  <c r="G1289" i="1"/>
  <c r="H1289" i="1"/>
  <c r="I1289" i="1"/>
  <c r="G1290" i="1"/>
  <c r="H1290" i="1"/>
  <c r="I1290" i="1"/>
  <c r="G1291" i="1"/>
  <c r="H1291" i="1"/>
  <c r="I1291" i="1"/>
  <c r="G1292" i="1"/>
  <c r="H1292" i="1"/>
  <c r="I1292" i="1"/>
  <c r="G1293" i="1"/>
  <c r="H1293" i="1"/>
  <c r="I1293" i="1"/>
  <c r="G1294" i="1"/>
  <c r="H1294" i="1"/>
  <c r="I1294" i="1"/>
  <c r="G1295" i="1"/>
  <c r="H1295" i="1"/>
  <c r="I1295" i="1"/>
  <c r="G1296" i="1"/>
  <c r="H1296" i="1"/>
  <c r="I1296" i="1"/>
  <c r="G1297" i="1"/>
  <c r="H1297" i="1"/>
  <c r="I1297" i="1"/>
  <c r="G1298" i="1"/>
  <c r="H1298" i="1"/>
  <c r="I1298" i="1"/>
  <c r="G1299" i="1"/>
  <c r="H1299" i="1"/>
  <c r="I1299" i="1"/>
  <c r="G1300" i="1"/>
  <c r="H1300" i="1"/>
  <c r="I1300" i="1"/>
  <c r="G1301" i="1"/>
  <c r="H1301" i="1"/>
  <c r="I1301" i="1"/>
  <c r="G1302" i="1"/>
  <c r="H1302" i="1"/>
  <c r="I1302" i="1"/>
  <c r="G1303" i="1"/>
  <c r="H1303" i="1"/>
  <c r="I1303" i="1"/>
  <c r="G1304" i="1"/>
  <c r="H1304" i="1"/>
  <c r="I1304" i="1"/>
  <c r="G1305" i="1"/>
  <c r="H1305" i="1"/>
  <c r="I1305" i="1"/>
  <c r="G1306" i="1"/>
  <c r="H1306" i="1"/>
  <c r="I1306" i="1"/>
  <c r="G1307" i="1"/>
  <c r="H1307" i="1"/>
  <c r="I1307" i="1"/>
  <c r="G1308" i="1"/>
  <c r="H1308" i="1"/>
  <c r="I1308" i="1"/>
  <c r="G1309" i="1"/>
  <c r="H1309" i="1"/>
  <c r="I1309" i="1"/>
  <c r="G1310" i="1"/>
  <c r="H1310" i="1"/>
  <c r="I1310" i="1"/>
  <c r="G1311" i="1"/>
  <c r="H1311" i="1"/>
  <c r="I1311" i="1"/>
  <c r="G1312" i="1"/>
  <c r="H1312" i="1"/>
  <c r="I1312" i="1"/>
  <c r="G1313" i="1"/>
  <c r="H1313" i="1"/>
  <c r="I1313" i="1"/>
  <c r="G1314" i="1"/>
  <c r="H1314" i="1"/>
  <c r="I1314" i="1"/>
  <c r="G1315" i="1"/>
  <c r="H1315" i="1"/>
  <c r="I1315" i="1"/>
  <c r="G1316" i="1"/>
  <c r="H1316" i="1"/>
  <c r="I1316" i="1"/>
  <c r="G1317" i="1"/>
  <c r="H1317" i="1"/>
  <c r="I1317" i="1"/>
  <c r="G1318" i="1"/>
  <c r="H1318" i="1"/>
  <c r="I1318" i="1"/>
  <c r="G1319" i="1"/>
  <c r="H1319" i="1"/>
  <c r="I1319" i="1"/>
  <c r="G1320" i="1"/>
  <c r="H1320" i="1"/>
  <c r="I1320" i="1"/>
  <c r="G1321" i="1"/>
  <c r="H1321" i="1"/>
  <c r="I1321" i="1"/>
  <c r="G1322" i="1"/>
  <c r="H1322" i="1"/>
  <c r="I1322" i="1"/>
  <c r="G1323" i="1"/>
  <c r="H1323" i="1"/>
  <c r="I1323" i="1"/>
  <c r="G1324" i="1"/>
  <c r="H1324" i="1"/>
  <c r="I1324" i="1"/>
  <c r="G1325" i="1"/>
  <c r="H1325" i="1"/>
  <c r="I1325" i="1"/>
  <c r="G1326" i="1"/>
  <c r="H1326" i="1"/>
  <c r="I1326" i="1"/>
  <c r="G1327" i="1"/>
  <c r="H1327" i="1"/>
  <c r="I1327" i="1"/>
  <c r="G1328" i="1"/>
  <c r="H1328" i="1"/>
  <c r="I1328" i="1"/>
  <c r="G1329" i="1"/>
  <c r="H1329" i="1"/>
  <c r="I1329" i="1"/>
  <c r="G1330" i="1"/>
  <c r="H1330" i="1"/>
  <c r="I1330" i="1"/>
  <c r="G1331" i="1"/>
  <c r="H1331" i="1"/>
  <c r="I1331" i="1"/>
  <c r="G1332" i="1"/>
  <c r="H1332" i="1"/>
  <c r="I1332" i="1"/>
  <c r="G1333" i="1"/>
  <c r="H1333" i="1"/>
  <c r="I1333" i="1"/>
  <c r="G1334" i="1"/>
  <c r="H1334" i="1"/>
  <c r="I1334" i="1"/>
  <c r="G1335" i="1"/>
  <c r="H1335" i="1"/>
  <c r="I1335" i="1"/>
  <c r="G1336" i="1"/>
  <c r="H1336" i="1"/>
  <c r="I1336" i="1"/>
  <c r="G1337" i="1"/>
  <c r="H1337" i="1"/>
  <c r="I1337" i="1"/>
  <c r="G1338" i="1"/>
  <c r="H1338" i="1"/>
  <c r="I1338" i="1"/>
  <c r="G1339" i="1"/>
  <c r="H1339" i="1"/>
  <c r="I1339" i="1"/>
  <c r="G1340" i="1"/>
  <c r="H1340" i="1"/>
  <c r="I1340" i="1"/>
  <c r="G1341" i="1"/>
  <c r="H1341" i="1"/>
  <c r="I1341" i="1"/>
  <c r="G1342" i="1"/>
  <c r="H1342" i="1"/>
  <c r="I1342" i="1"/>
  <c r="G1343" i="1"/>
  <c r="H1343" i="1"/>
  <c r="I1343" i="1"/>
  <c r="G1344" i="1"/>
  <c r="H1344" i="1"/>
  <c r="I1344" i="1"/>
  <c r="G1345" i="1"/>
  <c r="H1345" i="1"/>
  <c r="I1345" i="1"/>
  <c r="G1346" i="1"/>
  <c r="H1346" i="1"/>
  <c r="I1346" i="1"/>
  <c r="G1347" i="1"/>
  <c r="H1347" i="1"/>
  <c r="I1347" i="1"/>
  <c r="G1348" i="1"/>
  <c r="H1348" i="1"/>
  <c r="I1348" i="1"/>
  <c r="G1349" i="1"/>
  <c r="H1349" i="1"/>
  <c r="I1349" i="1"/>
  <c r="G1350" i="1"/>
  <c r="H1350" i="1"/>
  <c r="I1350" i="1"/>
  <c r="G1351" i="1"/>
  <c r="H1351" i="1"/>
  <c r="I1351" i="1"/>
  <c r="G1352" i="1"/>
  <c r="H1352" i="1"/>
  <c r="I1352" i="1"/>
  <c r="G1353" i="1"/>
  <c r="H1353" i="1"/>
  <c r="I1353" i="1"/>
  <c r="G1354" i="1"/>
  <c r="H1354" i="1"/>
  <c r="I1354" i="1"/>
  <c r="G1355" i="1"/>
  <c r="H1355" i="1"/>
  <c r="I1355" i="1"/>
  <c r="G1356" i="1"/>
  <c r="H1356" i="1"/>
  <c r="I1356" i="1"/>
  <c r="G1357" i="1"/>
  <c r="H1357" i="1"/>
  <c r="I1357" i="1"/>
  <c r="G1358" i="1"/>
  <c r="H1358" i="1"/>
  <c r="I1358" i="1"/>
  <c r="G1359" i="1"/>
  <c r="H1359" i="1"/>
  <c r="I1359" i="1"/>
  <c r="G1360" i="1"/>
  <c r="H1360" i="1"/>
  <c r="I1360" i="1"/>
  <c r="G1361" i="1"/>
  <c r="H1361" i="1"/>
  <c r="I1361" i="1"/>
  <c r="G1362" i="1"/>
  <c r="H1362" i="1"/>
  <c r="I1362" i="1"/>
  <c r="G1363" i="1"/>
  <c r="H1363" i="1"/>
  <c r="I1363" i="1"/>
  <c r="G1364" i="1"/>
  <c r="H1364" i="1"/>
  <c r="I1364" i="1"/>
  <c r="G1365" i="1"/>
  <c r="H1365" i="1"/>
  <c r="I1365" i="1"/>
  <c r="G1366" i="1"/>
  <c r="H1366" i="1"/>
  <c r="I1366" i="1"/>
  <c r="G1367" i="1"/>
  <c r="H1367" i="1"/>
  <c r="I1367" i="1"/>
  <c r="G1368" i="1"/>
  <c r="H1368" i="1"/>
  <c r="I1368" i="1"/>
  <c r="G1369" i="1"/>
  <c r="H1369" i="1"/>
  <c r="I1369" i="1"/>
  <c r="G1370" i="1"/>
  <c r="H1370" i="1"/>
  <c r="I1370" i="1"/>
  <c r="G1371" i="1"/>
  <c r="H1371" i="1"/>
  <c r="I1371" i="1"/>
  <c r="G1372" i="1"/>
  <c r="H1372" i="1"/>
  <c r="I1372" i="1"/>
  <c r="G1373" i="1"/>
  <c r="H1373" i="1"/>
  <c r="I1373" i="1"/>
  <c r="G1374" i="1"/>
  <c r="H1374" i="1"/>
  <c r="I1374" i="1"/>
  <c r="G1375" i="1"/>
  <c r="H1375" i="1"/>
  <c r="I1375" i="1"/>
  <c r="G1376" i="1"/>
  <c r="H1376" i="1"/>
  <c r="I1376" i="1"/>
  <c r="G1377" i="1"/>
  <c r="H1377" i="1"/>
  <c r="I1377" i="1"/>
  <c r="G1378" i="1"/>
  <c r="H1378" i="1"/>
  <c r="I1378" i="1"/>
  <c r="G1379" i="1"/>
  <c r="H1379" i="1"/>
  <c r="I1379" i="1"/>
  <c r="G1380" i="1"/>
  <c r="H1380" i="1"/>
  <c r="I1380" i="1"/>
  <c r="G1381" i="1"/>
  <c r="H1381" i="1"/>
  <c r="I1381" i="1"/>
  <c r="G1382" i="1"/>
  <c r="H1382" i="1"/>
  <c r="I1382" i="1"/>
  <c r="G1383" i="1"/>
  <c r="H1383" i="1"/>
  <c r="I1383" i="1"/>
  <c r="G1384" i="1"/>
  <c r="H1384" i="1"/>
  <c r="I1384" i="1"/>
  <c r="G1385" i="1"/>
  <c r="H1385" i="1"/>
  <c r="I1385" i="1"/>
  <c r="G1386" i="1"/>
  <c r="H1386" i="1"/>
  <c r="I1386" i="1"/>
  <c r="G1387" i="1"/>
  <c r="H1387" i="1"/>
  <c r="I1387" i="1"/>
  <c r="G1388" i="1"/>
  <c r="H1388" i="1"/>
  <c r="I1388" i="1"/>
  <c r="G1389" i="1"/>
  <c r="H1389" i="1"/>
  <c r="I1389" i="1"/>
  <c r="G1390" i="1"/>
  <c r="H1390" i="1"/>
  <c r="I1390" i="1"/>
  <c r="G1391" i="1"/>
  <c r="H1391" i="1"/>
  <c r="I1391" i="1"/>
  <c r="G1392" i="1"/>
  <c r="H1392" i="1"/>
  <c r="I1392" i="1"/>
  <c r="G1393" i="1"/>
  <c r="H1393" i="1"/>
  <c r="I1393" i="1"/>
  <c r="G1394" i="1"/>
  <c r="H1394" i="1"/>
  <c r="I1394" i="1"/>
  <c r="G1395" i="1"/>
  <c r="H1395" i="1"/>
  <c r="I1395" i="1"/>
  <c r="G1396" i="1"/>
  <c r="H1396" i="1"/>
  <c r="I1396" i="1"/>
  <c r="G1397" i="1"/>
  <c r="H1397" i="1"/>
  <c r="I1397" i="1"/>
  <c r="G1398" i="1"/>
  <c r="H1398" i="1"/>
  <c r="I1398" i="1"/>
  <c r="G1399" i="1"/>
  <c r="H1399" i="1"/>
  <c r="I1399" i="1"/>
  <c r="G1400" i="1"/>
  <c r="H1400" i="1"/>
  <c r="I1400" i="1"/>
  <c r="G1401" i="1"/>
  <c r="H1401" i="1"/>
  <c r="I1401" i="1"/>
  <c r="G1402" i="1"/>
  <c r="H1402" i="1"/>
  <c r="I1402" i="1"/>
  <c r="G1403" i="1"/>
  <c r="H1403" i="1"/>
  <c r="I1403" i="1"/>
  <c r="G1404" i="1"/>
  <c r="H1404" i="1"/>
  <c r="I1404" i="1"/>
  <c r="G1405" i="1"/>
  <c r="H1405" i="1"/>
  <c r="I1405" i="1"/>
  <c r="G1406" i="1"/>
  <c r="H1406" i="1"/>
  <c r="I1406" i="1"/>
  <c r="G1407" i="1"/>
  <c r="H1407" i="1"/>
  <c r="I1407" i="1"/>
  <c r="G1408" i="1"/>
  <c r="H1408" i="1"/>
  <c r="I1408" i="1"/>
  <c r="G1409" i="1"/>
  <c r="H1409" i="1"/>
  <c r="I1409" i="1"/>
  <c r="G1410" i="1"/>
  <c r="H1410" i="1"/>
  <c r="I1410" i="1"/>
  <c r="G1411" i="1"/>
  <c r="H1411" i="1"/>
  <c r="I1411" i="1"/>
  <c r="G1412" i="1"/>
  <c r="H1412" i="1"/>
  <c r="I1412" i="1"/>
  <c r="G1413" i="1"/>
  <c r="H1413" i="1"/>
  <c r="I1413" i="1"/>
  <c r="G1414" i="1"/>
  <c r="H1414" i="1"/>
  <c r="I1414" i="1"/>
  <c r="G1415" i="1"/>
  <c r="H1415" i="1"/>
  <c r="I1415" i="1"/>
  <c r="G1416" i="1"/>
  <c r="H1416" i="1"/>
  <c r="I1416" i="1"/>
  <c r="G1417" i="1"/>
  <c r="H1417" i="1"/>
  <c r="I1417" i="1"/>
  <c r="G1418" i="1"/>
  <c r="H1418" i="1"/>
  <c r="I1418" i="1"/>
  <c r="G1419" i="1"/>
  <c r="H1419" i="1"/>
  <c r="I1419" i="1"/>
  <c r="G1420" i="1"/>
  <c r="H1420" i="1"/>
  <c r="I1420" i="1"/>
  <c r="G1421" i="1"/>
  <c r="H1421" i="1"/>
  <c r="I1421" i="1"/>
  <c r="G1422" i="1"/>
  <c r="H1422" i="1"/>
  <c r="I1422" i="1"/>
  <c r="G1423" i="1"/>
  <c r="H1423" i="1"/>
  <c r="I1423" i="1"/>
  <c r="G1424" i="1"/>
  <c r="H1424" i="1"/>
  <c r="I1424" i="1"/>
  <c r="G1425" i="1"/>
  <c r="H1425" i="1"/>
  <c r="I1425" i="1"/>
  <c r="G1426" i="1"/>
  <c r="H1426" i="1"/>
  <c r="I1426" i="1"/>
  <c r="G1427" i="1"/>
  <c r="H1427" i="1"/>
  <c r="I1427" i="1"/>
  <c r="G1428" i="1"/>
  <c r="H1428" i="1"/>
  <c r="I1428" i="1"/>
  <c r="G1429" i="1"/>
  <c r="H1429" i="1"/>
  <c r="I1429" i="1"/>
  <c r="G1430" i="1"/>
  <c r="H1430" i="1"/>
  <c r="I1430" i="1"/>
  <c r="G1431" i="1"/>
  <c r="H1431" i="1"/>
  <c r="I1431" i="1"/>
  <c r="G1432" i="1"/>
  <c r="H1432" i="1"/>
  <c r="I1432" i="1"/>
  <c r="G1433" i="1"/>
  <c r="H1433" i="1"/>
  <c r="I1433" i="1"/>
  <c r="G1434" i="1"/>
  <c r="H1434" i="1"/>
  <c r="I1434" i="1"/>
  <c r="G1435" i="1"/>
  <c r="H1435" i="1"/>
  <c r="I1435" i="1"/>
  <c r="G1436" i="1"/>
  <c r="H1436" i="1"/>
  <c r="I1436" i="1"/>
  <c r="G1437" i="1"/>
  <c r="H1437" i="1"/>
  <c r="I1437" i="1"/>
  <c r="G1438" i="1"/>
  <c r="H1438" i="1"/>
  <c r="I1438" i="1"/>
  <c r="G1439" i="1"/>
  <c r="H1439" i="1"/>
  <c r="I1439" i="1"/>
  <c r="G1440" i="1"/>
  <c r="H1440" i="1"/>
  <c r="I1440" i="1"/>
  <c r="G1441" i="1"/>
  <c r="H1441" i="1"/>
  <c r="I1441" i="1"/>
  <c r="G1442" i="1"/>
  <c r="H1442" i="1"/>
  <c r="I1442" i="1"/>
  <c r="G1443" i="1"/>
  <c r="H1443" i="1"/>
  <c r="I1443" i="1"/>
  <c r="G1444" i="1"/>
  <c r="H1444" i="1"/>
  <c r="I1444" i="1"/>
  <c r="G1445" i="1"/>
  <c r="H1445" i="1"/>
  <c r="I1445" i="1"/>
  <c r="G1446" i="1"/>
  <c r="H1446" i="1"/>
  <c r="I1446" i="1"/>
  <c r="G1447" i="1"/>
  <c r="H1447" i="1"/>
  <c r="I1447" i="1"/>
  <c r="G1448" i="1"/>
  <c r="H1448" i="1"/>
  <c r="I1448" i="1"/>
  <c r="G1449" i="1"/>
  <c r="H1449" i="1"/>
  <c r="I1449" i="1"/>
  <c r="G1450" i="1"/>
  <c r="H1450" i="1"/>
  <c r="I1450" i="1"/>
  <c r="G1451" i="1"/>
  <c r="H1451" i="1"/>
  <c r="I1451" i="1"/>
  <c r="G1452" i="1"/>
  <c r="H1452" i="1"/>
  <c r="I1452" i="1"/>
  <c r="G1453" i="1"/>
  <c r="H1453" i="1"/>
  <c r="I1453" i="1"/>
  <c r="G1454" i="1"/>
  <c r="H1454" i="1"/>
  <c r="I1454" i="1"/>
  <c r="G1455" i="1"/>
  <c r="H1455" i="1"/>
  <c r="I1455" i="1"/>
  <c r="G1456" i="1"/>
  <c r="H1456" i="1"/>
  <c r="I1456" i="1"/>
  <c r="G1457" i="1"/>
  <c r="H1457" i="1"/>
  <c r="I1457" i="1"/>
  <c r="G1458" i="1"/>
  <c r="H1458" i="1"/>
  <c r="I1458" i="1"/>
  <c r="G1459" i="1"/>
  <c r="H1459" i="1"/>
  <c r="I1459" i="1"/>
  <c r="G1460" i="1"/>
  <c r="H1460" i="1"/>
  <c r="I1460" i="1"/>
  <c r="G1461" i="1"/>
  <c r="H1461" i="1"/>
  <c r="I1461" i="1"/>
  <c r="G1462" i="1"/>
  <c r="H1462" i="1"/>
  <c r="I1462" i="1"/>
  <c r="G1463" i="1"/>
  <c r="H1463" i="1"/>
  <c r="I1463" i="1"/>
  <c r="G1464" i="1"/>
  <c r="H1464" i="1"/>
  <c r="I1464" i="1"/>
  <c r="G1465" i="1"/>
  <c r="H1465" i="1"/>
  <c r="I1465" i="1"/>
  <c r="G1466" i="1"/>
  <c r="H1466" i="1"/>
  <c r="I1466" i="1"/>
  <c r="G1467" i="1"/>
  <c r="H1467" i="1"/>
  <c r="I1467" i="1"/>
  <c r="G1468" i="1"/>
  <c r="H1468" i="1"/>
  <c r="I1468" i="1"/>
  <c r="G1469" i="1"/>
  <c r="H1469" i="1"/>
  <c r="I1469" i="1"/>
  <c r="G1470" i="1"/>
  <c r="H1470" i="1"/>
  <c r="I1470" i="1"/>
  <c r="G1471" i="1"/>
  <c r="H1471" i="1"/>
  <c r="I1471" i="1"/>
  <c r="G1472" i="1"/>
  <c r="H1472" i="1"/>
  <c r="I1472" i="1"/>
  <c r="G1473" i="1"/>
  <c r="H1473" i="1"/>
  <c r="I1473" i="1"/>
  <c r="G1474" i="1"/>
  <c r="H1474" i="1"/>
  <c r="I1474" i="1"/>
  <c r="G1475" i="1"/>
  <c r="H1475" i="1"/>
  <c r="I1475" i="1"/>
  <c r="G1476" i="1"/>
  <c r="H1476" i="1"/>
  <c r="I1476" i="1"/>
  <c r="G1477" i="1"/>
  <c r="H1477" i="1"/>
  <c r="I1477" i="1"/>
  <c r="G1478" i="1"/>
  <c r="H1478" i="1"/>
  <c r="I1478" i="1"/>
  <c r="G1479" i="1"/>
  <c r="H1479" i="1"/>
  <c r="I1479" i="1"/>
  <c r="G1480" i="1"/>
  <c r="H1480" i="1"/>
  <c r="I1480" i="1"/>
  <c r="G1481" i="1"/>
  <c r="H1481" i="1"/>
  <c r="I1481" i="1"/>
  <c r="G1482" i="1"/>
  <c r="H1482" i="1"/>
  <c r="I1482" i="1"/>
  <c r="G1483" i="1"/>
  <c r="H1483" i="1"/>
  <c r="I1483" i="1"/>
  <c r="G1484" i="1"/>
  <c r="H1484" i="1"/>
  <c r="I1484" i="1"/>
  <c r="G1485" i="1"/>
  <c r="H1485" i="1"/>
  <c r="I1485" i="1"/>
  <c r="G1486" i="1"/>
  <c r="H1486" i="1"/>
  <c r="I1486" i="1"/>
  <c r="G1487" i="1"/>
  <c r="H1487" i="1"/>
  <c r="I1487" i="1"/>
  <c r="G1488" i="1"/>
  <c r="H1488" i="1"/>
  <c r="I1488" i="1"/>
  <c r="G1489" i="1"/>
  <c r="H1489" i="1"/>
  <c r="I1489" i="1"/>
  <c r="G1490" i="1"/>
  <c r="H1490" i="1"/>
  <c r="I1490" i="1"/>
  <c r="G1491" i="1"/>
  <c r="H1491" i="1"/>
  <c r="I1491" i="1"/>
  <c r="G1492" i="1"/>
  <c r="H1492" i="1"/>
  <c r="I1492" i="1"/>
  <c r="G1493" i="1"/>
  <c r="H1493" i="1"/>
  <c r="I1493" i="1"/>
  <c r="G1494" i="1"/>
  <c r="H1494" i="1"/>
  <c r="I1494" i="1"/>
  <c r="G1495" i="1"/>
  <c r="H1495" i="1"/>
  <c r="I1495" i="1"/>
  <c r="G1496" i="1"/>
  <c r="H1496" i="1"/>
  <c r="I1496" i="1"/>
  <c r="G1497" i="1"/>
  <c r="H1497" i="1"/>
  <c r="I1497" i="1"/>
  <c r="G1498" i="1"/>
  <c r="H1498" i="1"/>
  <c r="I1498" i="1"/>
  <c r="G1499" i="1"/>
  <c r="H1499" i="1"/>
  <c r="I1499" i="1"/>
  <c r="G1500" i="1"/>
  <c r="H1500" i="1"/>
  <c r="I1500" i="1"/>
  <c r="G1501" i="1"/>
  <c r="H1501" i="1"/>
  <c r="I1501" i="1"/>
  <c r="G1502" i="1"/>
  <c r="H1502" i="1"/>
  <c r="I1502" i="1"/>
  <c r="G1503" i="1"/>
  <c r="H1503" i="1"/>
  <c r="I1503" i="1"/>
  <c r="G1504" i="1"/>
  <c r="H1504" i="1"/>
  <c r="I1504" i="1"/>
  <c r="G1505" i="1"/>
  <c r="H1505" i="1"/>
  <c r="I1505" i="1"/>
  <c r="G1506" i="1"/>
  <c r="H1506" i="1"/>
  <c r="I1506" i="1"/>
  <c r="G1507" i="1"/>
  <c r="H1507" i="1"/>
  <c r="I1507" i="1"/>
  <c r="G1508" i="1"/>
  <c r="H1508" i="1"/>
  <c r="I1508" i="1"/>
  <c r="G1509" i="1"/>
  <c r="H1509" i="1"/>
  <c r="I1509" i="1"/>
  <c r="G1510" i="1"/>
  <c r="H1510" i="1"/>
  <c r="I1510" i="1"/>
  <c r="G1511" i="1"/>
  <c r="H1511" i="1"/>
  <c r="I1511" i="1"/>
  <c r="G1512" i="1"/>
  <c r="H1512" i="1"/>
  <c r="I1512" i="1"/>
  <c r="G1513" i="1"/>
  <c r="H1513" i="1"/>
  <c r="I1513" i="1"/>
  <c r="G1514" i="1"/>
  <c r="H1514" i="1"/>
  <c r="I1514" i="1"/>
  <c r="G1515" i="1"/>
  <c r="H1515" i="1"/>
  <c r="I1515" i="1"/>
  <c r="G1516" i="1"/>
  <c r="H1516" i="1"/>
  <c r="I1516" i="1"/>
  <c r="G1517" i="1"/>
  <c r="H1517" i="1"/>
  <c r="I1517" i="1"/>
  <c r="G1518" i="1"/>
  <c r="H1518" i="1"/>
  <c r="I1518" i="1"/>
  <c r="G1519" i="1"/>
  <c r="H1519" i="1"/>
  <c r="I1519" i="1"/>
  <c r="G1520" i="1"/>
  <c r="H1520" i="1"/>
  <c r="I1520" i="1"/>
  <c r="G1521" i="1"/>
  <c r="H1521" i="1"/>
  <c r="I1521" i="1"/>
  <c r="G1522" i="1"/>
  <c r="H1522" i="1"/>
  <c r="I1522" i="1"/>
  <c r="G1523" i="1"/>
  <c r="H1523" i="1"/>
  <c r="I1523" i="1"/>
  <c r="G1524" i="1"/>
  <c r="H1524" i="1"/>
  <c r="I1524" i="1"/>
  <c r="G1525" i="1"/>
  <c r="H1525" i="1"/>
  <c r="I1525" i="1"/>
  <c r="G1526" i="1"/>
  <c r="H1526" i="1"/>
  <c r="I1526" i="1"/>
  <c r="G1527" i="1"/>
  <c r="H1527" i="1"/>
  <c r="I1527" i="1"/>
  <c r="G1528" i="1"/>
  <c r="H1528" i="1"/>
  <c r="I1528" i="1"/>
  <c r="G1529" i="1"/>
  <c r="H1529" i="1"/>
  <c r="I1529" i="1"/>
  <c r="G1530" i="1"/>
  <c r="H1530" i="1"/>
  <c r="I1530" i="1"/>
  <c r="G1531" i="1"/>
  <c r="H1531" i="1"/>
  <c r="I1531" i="1"/>
  <c r="G1532" i="1"/>
  <c r="H1532" i="1"/>
  <c r="I1532" i="1"/>
  <c r="G1533" i="1"/>
  <c r="H1533" i="1"/>
  <c r="I1533" i="1"/>
  <c r="G1534" i="1"/>
  <c r="H1534" i="1"/>
  <c r="I1534" i="1"/>
  <c r="G1535" i="1"/>
  <c r="H1535" i="1"/>
  <c r="I1535" i="1"/>
  <c r="G1536" i="1"/>
  <c r="H1536" i="1"/>
  <c r="I1536" i="1"/>
  <c r="G1537" i="1"/>
  <c r="H1537" i="1"/>
  <c r="I1537" i="1"/>
  <c r="G1538" i="1"/>
  <c r="H1538" i="1"/>
  <c r="I1538" i="1"/>
  <c r="G1539" i="1"/>
  <c r="H1539" i="1"/>
  <c r="I1539" i="1"/>
  <c r="G1540" i="1"/>
  <c r="H1540" i="1"/>
  <c r="I1540" i="1"/>
  <c r="G1541" i="1"/>
  <c r="H1541" i="1"/>
  <c r="I1541" i="1"/>
  <c r="G1542" i="1"/>
  <c r="H1542" i="1"/>
  <c r="I1542" i="1"/>
  <c r="G1543" i="1"/>
  <c r="H1543" i="1"/>
  <c r="I1543" i="1"/>
  <c r="G1544" i="1"/>
  <c r="H1544" i="1"/>
  <c r="I1544" i="1"/>
  <c r="G1545" i="1"/>
  <c r="H1545" i="1"/>
  <c r="I1545" i="1"/>
  <c r="G1546" i="1"/>
  <c r="H1546" i="1"/>
  <c r="I1546" i="1"/>
  <c r="G1547" i="1"/>
  <c r="H1547" i="1"/>
  <c r="I1547" i="1"/>
  <c r="G1548" i="1"/>
  <c r="H1548" i="1"/>
  <c r="I1548" i="1"/>
  <c r="G1549" i="1"/>
  <c r="H1549" i="1"/>
  <c r="I1549" i="1"/>
  <c r="G1550" i="1"/>
  <c r="H1550" i="1"/>
  <c r="I1550" i="1"/>
  <c r="G1551" i="1"/>
  <c r="H1551" i="1"/>
  <c r="I1551" i="1"/>
  <c r="G1552" i="1"/>
  <c r="H1552" i="1"/>
  <c r="I1552" i="1"/>
  <c r="G1553" i="1"/>
  <c r="H1553" i="1"/>
  <c r="I1553" i="1"/>
  <c r="G1554" i="1"/>
  <c r="H1554" i="1"/>
  <c r="I1554" i="1"/>
  <c r="G1555" i="1"/>
  <c r="H1555" i="1"/>
  <c r="I1555" i="1"/>
  <c r="G1556" i="1"/>
  <c r="H1556" i="1"/>
  <c r="I1556" i="1"/>
  <c r="G1557" i="1"/>
  <c r="H1557" i="1"/>
  <c r="I1557" i="1"/>
  <c r="G1558" i="1"/>
  <c r="H1558" i="1"/>
  <c r="I1558" i="1"/>
  <c r="G1559" i="1"/>
  <c r="H1559" i="1"/>
  <c r="I1559" i="1"/>
  <c r="G1560" i="1"/>
  <c r="H1560" i="1"/>
  <c r="I1560" i="1"/>
  <c r="G1561" i="1"/>
  <c r="H1561" i="1"/>
  <c r="I1561" i="1"/>
  <c r="G1562" i="1"/>
  <c r="H1562" i="1"/>
  <c r="I1562" i="1"/>
  <c r="G1563" i="1"/>
  <c r="H1563" i="1"/>
  <c r="I1563" i="1"/>
  <c r="G1564" i="1"/>
  <c r="H1564" i="1"/>
  <c r="I1564" i="1"/>
  <c r="G1565" i="1"/>
  <c r="H1565" i="1"/>
  <c r="I1565" i="1"/>
  <c r="G1566" i="1"/>
  <c r="H1566" i="1"/>
  <c r="I1566" i="1"/>
  <c r="G1567" i="1"/>
  <c r="H1567" i="1"/>
  <c r="I1567" i="1"/>
  <c r="G1568" i="1"/>
  <c r="H1568" i="1"/>
  <c r="I1568" i="1"/>
  <c r="G1569" i="1"/>
  <c r="H1569" i="1"/>
  <c r="I1569" i="1"/>
  <c r="G1570" i="1"/>
  <c r="H1570" i="1"/>
  <c r="I1570" i="1"/>
  <c r="G1571" i="1"/>
  <c r="H1571" i="1"/>
  <c r="I1571" i="1"/>
  <c r="G1572" i="1"/>
  <c r="H1572" i="1"/>
  <c r="I1572" i="1"/>
  <c r="G1573" i="1"/>
  <c r="H1573" i="1"/>
  <c r="I1573" i="1"/>
  <c r="G1574" i="1"/>
  <c r="H1574" i="1"/>
  <c r="I1574" i="1"/>
  <c r="G1575" i="1"/>
  <c r="H1575" i="1"/>
  <c r="I1575" i="1"/>
  <c r="G1576" i="1"/>
  <c r="H1576" i="1"/>
  <c r="I1576" i="1"/>
  <c r="G1577" i="1"/>
  <c r="H1577" i="1"/>
  <c r="I1577" i="1"/>
  <c r="G1578" i="1"/>
  <c r="H1578" i="1"/>
  <c r="I1578" i="1"/>
  <c r="G1579" i="1"/>
  <c r="H1579" i="1"/>
  <c r="I1579" i="1"/>
  <c r="G1580" i="1"/>
  <c r="H1580" i="1"/>
  <c r="I1580" i="1"/>
  <c r="G1581" i="1"/>
  <c r="H1581" i="1"/>
  <c r="I1581" i="1"/>
  <c r="G1582" i="1"/>
  <c r="H1582" i="1"/>
  <c r="I1582" i="1"/>
  <c r="G1583" i="1"/>
  <c r="H1583" i="1"/>
  <c r="I1583" i="1"/>
  <c r="G1584" i="1"/>
  <c r="H1584" i="1"/>
  <c r="I1584" i="1"/>
  <c r="G1585" i="1"/>
  <c r="H1585" i="1"/>
  <c r="I1585" i="1"/>
  <c r="G1586" i="1"/>
  <c r="H1586" i="1"/>
  <c r="I1586" i="1"/>
  <c r="G1587" i="1"/>
  <c r="H1587" i="1"/>
  <c r="I1587" i="1"/>
  <c r="G1588" i="1"/>
  <c r="H1588" i="1"/>
  <c r="I1588" i="1"/>
  <c r="G1589" i="1"/>
  <c r="H1589" i="1"/>
  <c r="I1589" i="1"/>
  <c r="G1590" i="1"/>
  <c r="H1590" i="1"/>
  <c r="I1590" i="1"/>
  <c r="G1591" i="1"/>
  <c r="H1591" i="1"/>
  <c r="I1591" i="1"/>
  <c r="G1592" i="1"/>
  <c r="H1592" i="1"/>
  <c r="I1592" i="1"/>
  <c r="G1593" i="1"/>
  <c r="H1593" i="1"/>
  <c r="I1593" i="1"/>
  <c r="G1594" i="1"/>
  <c r="H1594" i="1"/>
  <c r="I1594" i="1"/>
  <c r="G1595" i="1"/>
  <c r="H1595" i="1"/>
  <c r="I1595" i="1"/>
  <c r="G1596" i="1"/>
  <c r="H1596" i="1"/>
  <c r="I1596" i="1"/>
  <c r="G1597" i="1"/>
  <c r="H1597" i="1"/>
  <c r="I1597" i="1"/>
  <c r="G1598" i="1"/>
  <c r="H1598" i="1"/>
  <c r="I1598" i="1"/>
  <c r="G1599" i="1"/>
  <c r="H1599" i="1"/>
  <c r="I1599" i="1"/>
  <c r="G1600" i="1"/>
  <c r="H1600" i="1"/>
  <c r="I1600" i="1"/>
  <c r="G1601" i="1"/>
  <c r="H1601" i="1"/>
  <c r="I1601" i="1"/>
  <c r="G1602" i="1"/>
  <c r="H1602" i="1"/>
  <c r="I1602" i="1"/>
  <c r="G1603" i="1"/>
  <c r="H1603" i="1"/>
  <c r="I1603" i="1"/>
  <c r="G1604" i="1"/>
  <c r="H1604" i="1"/>
  <c r="I1604" i="1"/>
  <c r="G1605" i="1"/>
  <c r="H1605" i="1"/>
  <c r="I1605" i="1"/>
  <c r="G1606" i="1"/>
  <c r="H1606" i="1"/>
  <c r="I1606" i="1"/>
  <c r="G1607" i="1"/>
  <c r="H1607" i="1"/>
  <c r="I1607" i="1"/>
  <c r="G1608" i="1"/>
  <c r="H1608" i="1"/>
  <c r="I1608" i="1"/>
  <c r="G1609" i="1"/>
  <c r="H1609" i="1"/>
  <c r="I1609" i="1"/>
  <c r="G1610" i="1"/>
  <c r="H1610" i="1"/>
  <c r="I1610" i="1"/>
  <c r="G1611" i="1"/>
  <c r="H1611" i="1"/>
  <c r="I1611" i="1"/>
  <c r="G1612" i="1"/>
  <c r="H1612" i="1"/>
  <c r="I1612" i="1"/>
  <c r="G1613" i="1"/>
  <c r="H1613" i="1"/>
  <c r="I1613" i="1"/>
  <c r="G1614" i="1"/>
  <c r="H1614" i="1"/>
  <c r="I1614" i="1"/>
  <c r="G1615" i="1"/>
  <c r="H1615" i="1"/>
  <c r="I1615" i="1"/>
  <c r="G1616" i="1"/>
  <c r="H1616" i="1"/>
  <c r="I1616" i="1"/>
  <c r="G1617" i="1"/>
  <c r="H1617" i="1"/>
  <c r="I1617" i="1"/>
  <c r="G1618" i="1"/>
  <c r="H1618" i="1"/>
  <c r="I1618" i="1"/>
  <c r="G1619" i="1"/>
  <c r="H1619" i="1"/>
  <c r="I1619" i="1"/>
  <c r="G1620" i="1"/>
  <c r="H1620" i="1"/>
  <c r="I1620" i="1"/>
  <c r="G1621" i="1"/>
  <c r="H1621" i="1"/>
  <c r="I1621" i="1"/>
  <c r="G1622" i="1"/>
  <c r="H1622" i="1"/>
  <c r="I1622" i="1"/>
  <c r="G1623" i="1"/>
  <c r="H1623" i="1"/>
  <c r="I1623" i="1"/>
  <c r="G1624" i="1"/>
  <c r="H1624" i="1"/>
  <c r="I1624" i="1"/>
  <c r="G1625" i="1"/>
  <c r="H1625" i="1"/>
  <c r="I1625" i="1"/>
  <c r="G1626" i="1"/>
  <c r="H1626" i="1"/>
  <c r="I1626" i="1"/>
  <c r="G1627" i="1"/>
  <c r="H1627" i="1"/>
  <c r="I1627" i="1"/>
  <c r="G1628" i="1"/>
  <c r="H1628" i="1"/>
  <c r="I1628" i="1"/>
  <c r="G1629" i="1"/>
  <c r="H1629" i="1"/>
  <c r="I1629" i="1"/>
  <c r="G1630" i="1"/>
  <c r="H1630" i="1"/>
  <c r="I1630" i="1"/>
  <c r="G1631" i="1"/>
  <c r="H1631" i="1"/>
  <c r="I1631" i="1"/>
  <c r="G1632" i="1"/>
  <c r="H1632" i="1"/>
  <c r="I1632" i="1"/>
  <c r="G1633" i="1"/>
  <c r="H1633" i="1"/>
  <c r="I1633" i="1"/>
  <c r="G1634" i="1"/>
  <c r="H1634" i="1"/>
  <c r="I1634" i="1"/>
  <c r="G1635" i="1"/>
  <c r="H1635" i="1"/>
  <c r="I1635" i="1"/>
  <c r="G1636" i="1"/>
  <c r="H1636" i="1"/>
  <c r="I1636" i="1"/>
  <c r="G1637" i="1"/>
  <c r="H1637" i="1"/>
  <c r="I1637" i="1"/>
  <c r="G1638" i="1"/>
  <c r="H1638" i="1"/>
  <c r="I1638" i="1"/>
  <c r="G1639" i="1"/>
  <c r="H1639" i="1"/>
  <c r="I1639" i="1"/>
  <c r="G1640" i="1"/>
  <c r="H1640" i="1"/>
  <c r="I1640" i="1"/>
  <c r="G1641" i="1"/>
  <c r="H1641" i="1"/>
  <c r="I1641" i="1"/>
  <c r="G1642" i="1"/>
  <c r="H1642" i="1"/>
  <c r="I1642" i="1"/>
  <c r="G1643" i="1"/>
  <c r="H1643" i="1"/>
  <c r="I1643" i="1"/>
  <c r="G1644" i="1"/>
  <c r="H1644" i="1"/>
  <c r="I1644" i="1"/>
  <c r="G1645" i="1"/>
  <c r="H1645" i="1"/>
  <c r="I1645" i="1"/>
  <c r="G1646" i="1"/>
  <c r="H1646" i="1"/>
  <c r="I1646" i="1"/>
  <c r="G1647" i="1"/>
  <c r="H1647" i="1"/>
  <c r="I1647" i="1"/>
  <c r="G1648" i="1"/>
  <c r="H1648" i="1"/>
  <c r="I1648" i="1"/>
  <c r="G1649" i="1"/>
  <c r="H1649" i="1"/>
  <c r="I1649" i="1"/>
  <c r="G1650" i="1"/>
  <c r="H1650" i="1"/>
  <c r="I1650" i="1"/>
  <c r="G1651" i="1"/>
  <c r="H1651" i="1"/>
  <c r="I1651" i="1"/>
  <c r="G1652" i="1"/>
  <c r="H1652" i="1"/>
  <c r="I1652" i="1"/>
  <c r="G1653" i="1"/>
  <c r="H1653" i="1"/>
  <c r="I1653" i="1"/>
  <c r="G1654" i="1"/>
  <c r="H1654" i="1"/>
  <c r="I1654" i="1"/>
  <c r="G1655" i="1"/>
  <c r="H1655" i="1"/>
  <c r="I1655" i="1"/>
  <c r="G1656" i="1"/>
  <c r="H1656" i="1"/>
  <c r="I1656" i="1"/>
  <c r="G1657" i="1"/>
  <c r="H1657" i="1"/>
  <c r="I1657" i="1"/>
  <c r="G1658" i="1"/>
  <c r="H1658" i="1"/>
  <c r="I1658" i="1"/>
  <c r="G1659" i="1"/>
  <c r="H1659" i="1"/>
  <c r="I1659" i="1"/>
  <c r="G1660" i="1"/>
  <c r="H1660" i="1"/>
  <c r="I1660" i="1"/>
  <c r="G1661" i="1"/>
  <c r="H1661" i="1"/>
  <c r="I1661" i="1"/>
  <c r="G1662" i="1"/>
  <c r="H1662" i="1"/>
  <c r="I1662" i="1"/>
  <c r="G1663" i="1"/>
  <c r="H1663" i="1"/>
  <c r="I1663" i="1"/>
  <c r="G1664" i="1"/>
  <c r="H1664" i="1"/>
  <c r="I1664" i="1"/>
  <c r="G1665" i="1"/>
  <c r="H1665" i="1"/>
  <c r="I1665" i="1"/>
  <c r="G1666" i="1"/>
  <c r="H1666" i="1"/>
  <c r="I1666" i="1"/>
  <c r="G1667" i="1"/>
  <c r="H1667" i="1"/>
  <c r="I1667" i="1"/>
  <c r="G1668" i="1"/>
  <c r="H1668" i="1"/>
  <c r="I1668" i="1"/>
  <c r="G1669" i="1"/>
  <c r="H1669" i="1"/>
  <c r="I1669" i="1"/>
  <c r="G1670" i="1"/>
  <c r="H1670" i="1"/>
  <c r="I1670" i="1"/>
  <c r="G1671" i="1"/>
  <c r="H1671" i="1"/>
  <c r="I1671" i="1"/>
  <c r="G1672" i="1"/>
  <c r="H1672" i="1"/>
  <c r="I1672" i="1"/>
  <c r="G1673" i="1"/>
  <c r="H1673" i="1"/>
  <c r="I1673" i="1"/>
  <c r="G1674" i="1"/>
  <c r="H1674" i="1"/>
  <c r="I1674" i="1"/>
  <c r="G1675" i="1"/>
  <c r="H1675" i="1"/>
  <c r="I1675" i="1"/>
  <c r="G1676" i="1"/>
  <c r="H1676" i="1"/>
  <c r="I1676" i="1"/>
  <c r="G1677" i="1"/>
  <c r="H1677" i="1"/>
  <c r="I1677" i="1"/>
  <c r="G1678" i="1"/>
  <c r="H1678" i="1"/>
  <c r="I1678" i="1"/>
  <c r="G1679" i="1"/>
  <c r="H1679" i="1"/>
  <c r="I1679" i="1"/>
  <c r="G1680" i="1"/>
  <c r="H1680" i="1"/>
  <c r="I1680" i="1"/>
  <c r="G1681" i="1"/>
  <c r="H1681" i="1"/>
  <c r="I1681" i="1"/>
  <c r="G1682" i="1"/>
  <c r="H1682" i="1"/>
  <c r="I1682" i="1"/>
  <c r="G1683" i="1"/>
  <c r="H1683" i="1"/>
  <c r="I1683" i="1"/>
  <c r="G1684" i="1"/>
  <c r="H1684" i="1"/>
  <c r="I1684" i="1"/>
  <c r="G1685" i="1"/>
  <c r="H1685" i="1"/>
  <c r="I1685" i="1"/>
  <c r="G1686" i="1"/>
  <c r="H1686" i="1"/>
  <c r="I1686" i="1"/>
  <c r="G1687" i="1"/>
  <c r="H1687" i="1"/>
  <c r="I1687" i="1"/>
  <c r="G1688" i="1"/>
  <c r="H1688" i="1"/>
  <c r="I1688" i="1"/>
  <c r="G1689" i="1"/>
  <c r="H1689" i="1"/>
  <c r="I1689" i="1"/>
  <c r="G1690" i="1"/>
  <c r="H1690" i="1"/>
  <c r="I1690" i="1"/>
  <c r="G1691" i="1"/>
  <c r="H1691" i="1"/>
  <c r="I1691" i="1"/>
  <c r="G1692" i="1"/>
  <c r="H1692" i="1"/>
  <c r="I1692" i="1"/>
  <c r="G1693" i="1"/>
  <c r="H1693" i="1"/>
  <c r="I1693" i="1"/>
  <c r="G1694" i="1"/>
  <c r="H1694" i="1"/>
  <c r="I1694" i="1"/>
  <c r="G1695" i="1"/>
  <c r="H1695" i="1"/>
  <c r="I1695" i="1"/>
  <c r="G1696" i="1"/>
  <c r="H1696" i="1"/>
  <c r="I1696" i="1"/>
  <c r="G1697" i="1"/>
  <c r="H1697" i="1"/>
  <c r="I1697" i="1"/>
  <c r="G1698" i="1"/>
  <c r="H1698" i="1"/>
  <c r="I1698" i="1"/>
  <c r="G1699" i="1"/>
  <c r="H1699" i="1"/>
  <c r="I1699" i="1"/>
  <c r="G1700" i="1"/>
  <c r="H1700" i="1"/>
  <c r="I1700" i="1"/>
  <c r="G1701" i="1"/>
  <c r="H1701" i="1"/>
  <c r="I1701" i="1"/>
  <c r="G1702" i="1"/>
  <c r="H1702" i="1"/>
  <c r="I1702" i="1"/>
  <c r="G1703" i="1"/>
  <c r="H1703" i="1"/>
  <c r="I1703" i="1"/>
  <c r="G1704" i="1"/>
  <c r="H1704" i="1"/>
  <c r="I1704" i="1"/>
  <c r="G1705" i="1"/>
  <c r="H1705" i="1"/>
  <c r="I1705" i="1"/>
  <c r="G1706" i="1"/>
  <c r="H1706" i="1"/>
  <c r="I1706" i="1"/>
  <c r="G1707" i="1"/>
  <c r="H1707" i="1"/>
  <c r="I1707" i="1"/>
  <c r="G1708" i="1"/>
  <c r="H1708" i="1"/>
  <c r="I1708" i="1"/>
  <c r="G1709" i="1"/>
  <c r="H1709" i="1"/>
  <c r="I1709" i="1"/>
  <c r="G1710" i="1"/>
  <c r="H1710" i="1"/>
  <c r="I1710" i="1"/>
  <c r="G1711" i="1"/>
  <c r="H1711" i="1"/>
  <c r="I1711" i="1"/>
  <c r="G1712" i="1"/>
  <c r="H1712" i="1"/>
  <c r="I1712" i="1"/>
  <c r="G1713" i="1"/>
  <c r="H1713" i="1"/>
  <c r="I1713" i="1"/>
  <c r="G1714" i="1"/>
  <c r="H1714" i="1"/>
  <c r="I1714" i="1"/>
  <c r="G1715" i="1"/>
  <c r="H1715" i="1"/>
  <c r="I1715" i="1"/>
  <c r="G1716" i="1"/>
  <c r="H1716" i="1"/>
  <c r="I1716" i="1"/>
  <c r="G1717" i="1"/>
  <c r="H1717" i="1"/>
  <c r="I1717" i="1"/>
  <c r="G1718" i="1"/>
  <c r="H1718" i="1"/>
  <c r="I1718" i="1"/>
  <c r="G1719" i="1"/>
  <c r="H1719" i="1"/>
  <c r="I1719" i="1"/>
  <c r="G1720" i="1"/>
  <c r="H1720" i="1"/>
  <c r="I1720" i="1"/>
  <c r="G1721" i="1"/>
  <c r="H1721" i="1"/>
  <c r="I1721" i="1"/>
  <c r="G1722" i="1"/>
  <c r="H1722" i="1"/>
  <c r="I1722" i="1"/>
  <c r="G1723" i="1"/>
  <c r="H1723" i="1"/>
  <c r="I1723" i="1"/>
  <c r="G1724" i="1"/>
  <c r="H1724" i="1"/>
  <c r="I1724" i="1"/>
  <c r="G1725" i="1"/>
  <c r="H1725" i="1"/>
  <c r="I1725" i="1"/>
  <c r="G1726" i="1"/>
  <c r="H1726" i="1"/>
  <c r="I1726" i="1"/>
  <c r="G1727" i="1"/>
  <c r="H1727" i="1"/>
  <c r="I1727" i="1"/>
  <c r="G1728" i="1"/>
  <c r="H1728" i="1"/>
  <c r="I1728" i="1"/>
  <c r="G1729" i="1"/>
  <c r="H1729" i="1"/>
  <c r="I1729" i="1"/>
  <c r="G1730" i="1"/>
  <c r="H1730" i="1"/>
  <c r="I1730" i="1"/>
  <c r="G1731" i="1"/>
  <c r="H1731" i="1"/>
  <c r="I1731" i="1"/>
  <c r="G1732" i="1"/>
  <c r="H1732" i="1"/>
  <c r="I1732" i="1"/>
  <c r="G1733" i="1"/>
  <c r="H1733" i="1"/>
  <c r="I1733" i="1"/>
  <c r="G1734" i="1"/>
  <c r="H1734" i="1"/>
  <c r="I1734" i="1"/>
  <c r="G1735" i="1"/>
  <c r="H1735" i="1"/>
  <c r="I1735" i="1"/>
  <c r="G1736" i="1"/>
  <c r="H1736" i="1"/>
  <c r="I1736" i="1"/>
  <c r="G1737" i="1"/>
  <c r="H1737" i="1"/>
  <c r="I1737" i="1"/>
  <c r="G1738" i="1"/>
  <c r="H1738" i="1"/>
  <c r="I1738" i="1"/>
  <c r="G1739" i="1"/>
  <c r="H1739" i="1"/>
  <c r="I1739" i="1"/>
  <c r="G1740" i="1"/>
  <c r="H1740" i="1"/>
  <c r="I1740" i="1"/>
  <c r="G1741" i="1"/>
  <c r="H1741" i="1"/>
  <c r="I1741" i="1"/>
  <c r="G1742" i="1"/>
  <c r="H1742" i="1"/>
  <c r="I1742" i="1"/>
  <c r="G1743" i="1"/>
  <c r="H1743" i="1"/>
  <c r="I1743" i="1"/>
  <c r="G1744" i="1"/>
  <c r="H1744" i="1"/>
  <c r="I1744" i="1"/>
  <c r="G1745" i="1"/>
  <c r="H1745" i="1"/>
  <c r="I1745" i="1"/>
  <c r="G1746" i="1"/>
  <c r="H1746" i="1"/>
  <c r="I1746" i="1"/>
  <c r="G1747" i="1"/>
  <c r="H1747" i="1"/>
  <c r="I1747" i="1"/>
  <c r="G1748" i="1"/>
  <c r="H1748" i="1"/>
  <c r="I1748" i="1"/>
  <c r="G1749" i="1"/>
  <c r="H1749" i="1"/>
  <c r="I1749" i="1"/>
  <c r="G1750" i="1"/>
  <c r="H1750" i="1"/>
  <c r="I1750" i="1"/>
  <c r="G1751" i="1"/>
  <c r="H1751" i="1"/>
  <c r="I1751" i="1"/>
  <c r="G1752" i="1"/>
  <c r="H1752" i="1"/>
  <c r="I1752" i="1"/>
  <c r="G1753" i="1"/>
  <c r="H1753" i="1"/>
  <c r="I1753" i="1"/>
  <c r="G1754" i="1"/>
  <c r="H1754" i="1"/>
  <c r="I1754" i="1"/>
  <c r="G1755" i="1"/>
  <c r="H1755" i="1"/>
  <c r="I1755" i="1"/>
  <c r="G1756" i="1"/>
  <c r="H1756" i="1"/>
  <c r="I1756" i="1"/>
  <c r="G1757" i="1"/>
  <c r="H1757" i="1"/>
  <c r="I1757" i="1"/>
  <c r="G1758" i="1"/>
  <c r="H1758" i="1"/>
  <c r="I1758" i="1"/>
  <c r="G1759" i="1"/>
  <c r="H1759" i="1"/>
  <c r="I1759" i="1"/>
  <c r="G1760" i="1"/>
  <c r="H1760" i="1"/>
  <c r="I1760" i="1"/>
  <c r="G1761" i="1"/>
  <c r="H1761" i="1"/>
  <c r="I1761" i="1"/>
  <c r="G1762" i="1"/>
  <c r="H1762" i="1"/>
  <c r="I1762" i="1"/>
  <c r="G1763" i="1"/>
  <c r="H1763" i="1"/>
  <c r="I1763" i="1"/>
  <c r="G1764" i="1"/>
  <c r="H1764" i="1"/>
  <c r="I1764" i="1"/>
  <c r="G1765" i="1"/>
  <c r="H1765" i="1"/>
  <c r="I1765" i="1"/>
  <c r="G1766" i="1"/>
  <c r="H1766" i="1"/>
  <c r="I1766" i="1"/>
  <c r="G1767" i="1"/>
  <c r="H1767" i="1"/>
  <c r="I1767" i="1"/>
  <c r="G1768" i="1"/>
  <c r="H1768" i="1"/>
  <c r="I1768" i="1"/>
  <c r="G1769" i="1"/>
  <c r="H1769" i="1"/>
  <c r="I1769" i="1"/>
  <c r="G1770" i="1"/>
  <c r="H1770" i="1"/>
  <c r="I1770" i="1"/>
  <c r="G1771" i="1"/>
  <c r="H1771" i="1"/>
  <c r="I1771" i="1"/>
  <c r="G1772" i="1"/>
  <c r="H1772" i="1"/>
  <c r="I1772" i="1"/>
  <c r="G1773" i="1"/>
  <c r="H1773" i="1"/>
  <c r="I1773" i="1"/>
  <c r="G1774" i="1"/>
  <c r="H1774" i="1"/>
  <c r="I1774" i="1"/>
  <c r="G1775" i="1"/>
  <c r="H1775" i="1"/>
  <c r="I1775" i="1"/>
  <c r="G1776" i="1"/>
  <c r="H1776" i="1"/>
  <c r="I1776" i="1"/>
  <c r="G1777" i="1"/>
  <c r="H1777" i="1"/>
  <c r="I1777" i="1"/>
  <c r="G1778" i="1"/>
  <c r="H1778" i="1"/>
  <c r="I1778" i="1"/>
  <c r="G1779" i="1"/>
  <c r="H1779" i="1"/>
  <c r="I1779" i="1"/>
  <c r="G1780" i="1"/>
  <c r="H1780" i="1"/>
  <c r="I1780" i="1"/>
  <c r="G1781" i="1"/>
  <c r="H1781" i="1"/>
  <c r="I1781" i="1"/>
  <c r="G1782" i="1"/>
  <c r="H1782" i="1"/>
  <c r="I1782" i="1"/>
  <c r="G1783" i="1"/>
  <c r="H1783" i="1"/>
  <c r="I1783" i="1"/>
  <c r="G1784" i="1"/>
  <c r="H1784" i="1"/>
  <c r="I1784" i="1"/>
  <c r="G1785" i="1"/>
  <c r="H1785" i="1"/>
  <c r="I1785" i="1"/>
  <c r="G1786" i="1"/>
  <c r="H1786" i="1"/>
  <c r="I1786" i="1"/>
  <c r="G1787" i="1"/>
  <c r="H1787" i="1"/>
  <c r="I1787" i="1"/>
  <c r="G1788" i="1"/>
  <c r="H1788" i="1"/>
  <c r="I1788" i="1"/>
  <c r="G1789" i="1"/>
  <c r="H1789" i="1"/>
  <c r="I1789" i="1"/>
  <c r="G1790" i="1"/>
  <c r="H1790" i="1"/>
  <c r="I1790" i="1"/>
  <c r="G1791" i="1"/>
  <c r="H1791" i="1"/>
  <c r="I1791" i="1"/>
  <c r="G1792" i="1"/>
  <c r="H1792" i="1"/>
  <c r="I1792" i="1"/>
  <c r="G1793" i="1"/>
  <c r="H1793" i="1"/>
  <c r="I1793" i="1"/>
  <c r="G1794" i="1"/>
  <c r="H1794" i="1"/>
  <c r="I1794" i="1"/>
  <c r="G1795" i="1"/>
  <c r="H1795" i="1"/>
  <c r="I1795" i="1"/>
  <c r="G1796" i="1"/>
  <c r="H1796" i="1"/>
  <c r="I1796" i="1"/>
  <c r="G1797" i="1"/>
  <c r="H1797" i="1"/>
  <c r="I1797" i="1"/>
  <c r="G1798" i="1"/>
  <c r="H1798" i="1"/>
  <c r="I1798" i="1"/>
  <c r="G1799" i="1"/>
  <c r="H1799" i="1"/>
  <c r="I1799" i="1"/>
  <c r="G1800" i="1"/>
  <c r="H1800" i="1"/>
  <c r="I1800" i="1"/>
  <c r="G1801" i="1"/>
  <c r="H1801" i="1"/>
  <c r="I1801" i="1"/>
  <c r="G1802" i="1"/>
  <c r="H1802" i="1"/>
  <c r="I1802" i="1"/>
  <c r="G1803" i="1"/>
  <c r="H1803" i="1"/>
  <c r="I1803" i="1"/>
  <c r="G1804" i="1"/>
  <c r="H1804" i="1"/>
  <c r="I1804" i="1"/>
  <c r="G1805" i="1"/>
  <c r="H1805" i="1"/>
  <c r="I1805" i="1"/>
  <c r="G1806" i="1"/>
  <c r="H1806" i="1"/>
  <c r="I1806" i="1"/>
  <c r="G1807" i="1"/>
  <c r="H1807" i="1"/>
  <c r="I1807" i="1"/>
  <c r="G1808" i="1"/>
  <c r="H1808" i="1"/>
  <c r="I1808" i="1"/>
  <c r="G1809" i="1"/>
  <c r="H1809" i="1"/>
  <c r="I1809" i="1"/>
  <c r="G1810" i="1"/>
  <c r="H1810" i="1"/>
  <c r="I1810" i="1"/>
  <c r="G1811" i="1"/>
  <c r="H1811" i="1"/>
  <c r="I1811" i="1"/>
  <c r="G1812" i="1"/>
  <c r="H1812" i="1"/>
  <c r="I1812" i="1"/>
  <c r="G1813" i="1"/>
  <c r="H1813" i="1"/>
  <c r="I1813" i="1"/>
  <c r="G1814" i="1"/>
  <c r="H1814" i="1"/>
  <c r="I1814" i="1"/>
  <c r="G1815" i="1"/>
  <c r="H1815" i="1"/>
  <c r="I1815" i="1"/>
  <c r="G1816" i="1"/>
  <c r="H1816" i="1"/>
  <c r="I1816" i="1"/>
  <c r="G1817" i="1"/>
  <c r="H1817" i="1"/>
  <c r="I1817" i="1"/>
  <c r="G1818" i="1"/>
  <c r="H1818" i="1"/>
  <c r="I1818" i="1"/>
  <c r="G1819" i="1"/>
  <c r="H1819" i="1"/>
  <c r="I1819" i="1"/>
  <c r="G1820" i="1"/>
  <c r="H1820" i="1"/>
  <c r="I1820" i="1"/>
  <c r="G1821" i="1"/>
  <c r="H1821" i="1"/>
  <c r="I1821" i="1"/>
  <c r="G1822" i="1"/>
  <c r="H1822" i="1"/>
  <c r="I1822" i="1"/>
  <c r="G1823" i="1"/>
  <c r="H1823" i="1"/>
  <c r="I1823" i="1"/>
  <c r="G1824" i="1"/>
  <c r="H1824" i="1"/>
  <c r="I1824" i="1"/>
  <c r="G1825" i="1"/>
  <c r="H1825" i="1"/>
  <c r="I1825" i="1"/>
  <c r="G1826" i="1"/>
  <c r="H1826" i="1"/>
  <c r="I1826" i="1"/>
  <c r="G1827" i="1"/>
  <c r="H1827" i="1"/>
  <c r="I1827" i="1"/>
  <c r="G1828" i="1"/>
  <c r="H1828" i="1"/>
  <c r="I1828" i="1"/>
  <c r="G1829" i="1"/>
  <c r="H1829" i="1"/>
  <c r="I1829" i="1"/>
  <c r="G1830" i="1"/>
  <c r="H1830" i="1"/>
  <c r="I1830" i="1"/>
  <c r="G1831" i="1"/>
  <c r="H1831" i="1"/>
  <c r="I1831" i="1"/>
  <c r="G1832" i="1"/>
  <c r="H1832" i="1"/>
  <c r="I1832" i="1"/>
  <c r="G1833" i="1"/>
  <c r="H1833" i="1"/>
  <c r="I1833" i="1"/>
  <c r="G1834" i="1"/>
  <c r="H1834" i="1"/>
  <c r="I1834" i="1"/>
  <c r="G1835" i="1"/>
  <c r="H1835" i="1"/>
  <c r="I1835" i="1"/>
  <c r="G1836" i="1"/>
  <c r="H1836" i="1"/>
  <c r="I1836" i="1"/>
  <c r="G1837" i="1"/>
  <c r="H1837" i="1"/>
  <c r="I1837" i="1"/>
  <c r="G1838" i="1"/>
  <c r="H1838" i="1"/>
  <c r="I1838" i="1"/>
  <c r="G1839" i="1"/>
  <c r="H1839" i="1"/>
  <c r="I1839" i="1"/>
  <c r="G1840" i="1"/>
  <c r="H1840" i="1"/>
  <c r="I1840" i="1"/>
  <c r="G1841" i="1"/>
  <c r="H1841" i="1"/>
  <c r="I1841" i="1"/>
  <c r="G1842" i="1"/>
  <c r="H1842" i="1"/>
  <c r="I1842" i="1"/>
  <c r="G1843" i="1"/>
  <c r="H1843" i="1"/>
  <c r="I1843" i="1"/>
  <c r="G1844" i="1"/>
  <c r="H1844" i="1"/>
  <c r="I1844" i="1"/>
  <c r="G1845" i="1"/>
  <c r="H1845" i="1"/>
  <c r="I1845" i="1"/>
  <c r="G1846" i="1"/>
  <c r="H1846" i="1"/>
  <c r="I1846" i="1"/>
  <c r="G1847" i="1"/>
  <c r="H1847" i="1"/>
  <c r="I1847" i="1"/>
  <c r="G1848" i="1"/>
  <c r="H1848" i="1"/>
  <c r="I1848" i="1"/>
  <c r="G1849" i="1"/>
  <c r="H1849" i="1"/>
  <c r="I1849" i="1"/>
  <c r="G1850" i="1"/>
  <c r="H1850" i="1"/>
  <c r="I1850" i="1"/>
  <c r="G1851" i="1"/>
  <c r="H1851" i="1"/>
  <c r="I1851" i="1"/>
  <c r="G1852" i="1"/>
  <c r="H1852" i="1"/>
  <c r="I1852" i="1"/>
  <c r="G1853" i="1"/>
  <c r="H1853" i="1"/>
  <c r="I1853" i="1"/>
  <c r="G1854" i="1"/>
  <c r="H1854" i="1"/>
  <c r="I1854" i="1"/>
  <c r="G1855" i="1"/>
  <c r="H1855" i="1"/>
  <c r="I1855" i="1"/>
  <c r="G1856" i="1"/>
  <c r="H1856" i="1"/>
  <c r="I1856" i="1"/>
  <c r="G1857" i="1"/>
  <c r="H1857" i="1"/>
  <c r="I1857" i="1"/>
  <c r="G1858" i="1"/>
  <c r="H1858" i="1"/>
  <c r="I1858" i="1"/>
  <c r="G1859" i="1"/>
  <c r="H1859" i="1"/>
  <c r="I1859" i="1"/>
  <c r="G1860" i="1"/>
  <c r="H1860" i="1"/>
  <c r="I1860" i="1"/>
  <c r="G1861" i="1"/>
  <c r="H1861" i="1"/>
  <c r="I1861" i="1"/>
  <c r="G1862" i="1"/>
  <c r="H1862" i="1"/>
  <c r="I1862" i="1"/>
  <c r="G1863" i="1"/>
  <c r="H1863" i="1"/>
  <c r="I1863" i="1"/>
  <c r="G1864" i="1"/>
  <c r="H1864" i="1"/>
  <c r="I1864" i="1"/>
  <c r="G1865" i="1"/>
  <c r="H1865" i="1"/>
  <c r="I1865" i="1"/>
  <c r="G1866" i="1"/>
  <c r="H1866" i="1"/>
  <c r="I1866" i="1"/>
  <c r="G1867" i="1"/>
  <c r="H1867" i="1"/>
  <c r="I1867" i="1"/>
  <c r="G1868" i="1"/>
  <c r="H1868" i="1"/>
  <c r="I1868" i="1"/>
  <c r="G1869" i="1"/>
  <c r="H1869" i="1"/>
  <c r="I1869" i="1"/>
  <c r="G1870" i="1"/>
  <c r="H1870" i="1"/>
  <c r="I1870" i="1"/>
  <c r="G1871" i="1"/>
  <c r="H1871" i="1"/>
  <c r="I1871" i="1"/>
  <c r="G1872" i="1"/>
  <c r="H1872" i="1"/>
  <c r="I1872" i="1"/>
  <c r="G1873" i="1"/>
  <c r="H1873" i="1"/>
  <c r="I1873" i="1"/>
  <c r="G1874" i="1"/>
  <c r="H1874" i="1"/>
  <c r="I1874" i="1"/>
  <c r="G1875" i="1"/>
  <c r="H1875" i="1"/>
  <c r="I1875" i="1"/>
  <c r="G1876" i="1"/>
  <c r="H1876" i="1"/>
  <c r="I1876" i="1"/>
  <c r="G1877" i="1"/>
  <c r="H1877" i="1"/>
  <c r="I1877" i="1"/>
  <c r="G1878" i="1"/>
  <c r="H1878" i="1"/>
  <c r="I1878" i="1"/>
  <c r="G1879" i="1"/>
  <c r="H1879" i="1"/>
  <c r="I1879" i="1"/>
  <c r="G1880" i="1"/>
  <c r="H1880" i="1"/>
  <c r="I1880" i="1"/>
  <c r="G1881" i="1"/>
  <c r="H1881" i="1"/>
  <c r="I1881" i="1"/>
  <c r="G1882" i="1"/>
  <c r="H1882" i="1"/>
  <c r="I1882" i="1"/>
  <c r="G1883" i="1"/>
  <c r="H1883" i="1"/>
  <c r="I1883" i="1"/>
  <c r="G1884" i="1"/>
  <c r="H1884" i="1"/>
  <c r="I1884" i="1"/>
  <c r="G1885" i="1"/>
  <c r="H1885" i="1"/>
  <c r="I1885" i="1"/>
  <c r="G1886" i="1"/>
  <c r="H1886" i="1"/>
  <c r="I1886" i="1"/>
  <c r="G1887" i="1"/>
  <c r="H1887" i="1"/>
  <c r="I1887" i="1"/>
  <c r="G1888" i="1"/>
  <c r="H1888" i="1"/>
  <c r="I1888" i="1"/>
  <c r="G1889" i="1"/>
  <c r="H1889" i="1"/>
  <c r="I1889" i="1"/>
  <c r="G1890" i="1"/>
  <c r="H1890" i="1"/>
  <c r="I1890" i="1"/>
  <c r="G1891" i="1"/>
  <c r="H1891" i="1"/>
  <c r="I1891" i="1"/>
  <c r="G1892" i="1"/>
  <c r="H1892" i="1"/>
  <c r="I1892" i="1"/>
  <c r="G1893" i="1"/>
  <c r="H1893" i="1"/>
  <c r="I1893" i="1"/>
  <c r="G1894" i="1"/>
  <c r="H1894" i="1"/>
  <c r="I1894" i="1"/>
  <c r="G1895" i="1"/>
  <c r="H1895" i="1"/>
  <c r="I1895" i="1"/>
  <c r="G1896" i="1"/>
  <c r="H1896" i="1"/>
  <c r="I1896" i="1"/>
  <c r="G1897" i="1"/>
  <c r="H1897" i="1"/>
  <c r="I1897" i="1"/>
  <c r="G1898" i="1"/>
  <c r="H1898" i="1"/>
  <c r="I1898" i="1"/>
  <c r="G1899" i="1"/>
  <c r="H1899" i="1"/>
  <c r="I1899" i="1"/>
  <c r="G1900" i="1"/>
  <c r="H1900" i="1"/>
  <c r="I1900" i="1"/>
  <c r="G1901" i="1"/>
  <c r="H1901" i="1"/>
  <c r="I1901" i="1"/>
  <c r="G1902" i="1"/>
  <c r="H1902" i="1"/>
  <c r="I1902" i="1"/>
  <c r="G1903" i="1"/>
  <c r="H1903" i="1"/>
  <c r="I1903" i="1"/>
  <c r="G1904" i="1"/>
  <c r="H1904" i="1"/>
  <c r="I1904" i="1"/>
  <c r="G1905" i="1"/>
  <c r="H1905" i="1"/>
  <c r="I1905" i="1"/>
  <c r="G1906" i="1"/>
  <c r="H1906" i="1"/>
  <c r="I1906" i="1"/>
  <c r="G1907" i="1"/>
  <c r="H1907" i="1"/>
  <c r="I1907" i="1"/>
  <c r="G1908" i="1"/>
  <c r="H1908" i="1"/>
  <c r="I1908" i="1"/>
  <c r="G1909" i="1"/>
  <c r="H1909" i="1"/>
  <c r="I1909" i="1"/>
  <c r="G1910" i="1"/>
  <c r="H1910" i="1"/>
  <c r="I1910" i="1"/>
  <c r="G1911" i="1"/>
  <c r="H1911" i="1"/>
  <c r="I1911" i="1"/>
  <c r="G1912" i="1"/>
  <c r="H1912" i="1"/>
  <c r="I1912" i="1"/>
  <c r="G1913" i="1"/>
  <c r="H1913" i="1"/>
  <c r="I1913" i="1"/>
  <c r="G1914" i="1"/>
  <c r="H1914" i="1"/>
  <c r="I1914" i="1"/>
  <c r="G1915" i="1"/>
  <c r="H1915" i="1"/>
  <c r="I1915" i="1"/>
  <c r="G1916" i="1"/>
  <c r="H1916" i="1"/>
  <c r="I1916" i="1"/>
  <c r="G1917" i="1"/>
  <c r="H1917" i="1"/>
  <c r="I1917" i="1"/>
  <c r="G1918" i="1"/>
  <c r="H1918" i="1"/>
  <c r="I1918" i="1"/>
  <c r="G1919" i="1"/>
  <c r="H1919" i="1"/>
  <c r="I1919" i="1"/>
  <c r="G1920" i="1"/>
  <c r="H1920" i="1"/>
  <c r="I1920" i="1"/>
  <c r="G1921" i="1"/>
  <c r="H1921" i="1"/>
  <c r="I1921" i="1"/>
  <c r="G1922" i="1"/>
  <c r="H1922" i="1"/>
  <c r="I1922" i="1"/>
  <c r="G1923" i="1"/>
  <c r="H1923" i="1"/>
  <c r="I1923" i="1"/>
  <c r="G1924" i="1"/>
  <c r="H1924" i="1"/>
  <c r="I1924" i="1"/>
  <c r="G1925" i="1"/>
  <c r="H1925" i="1"/>
  <c r="I1925" i="1"/>
  <c r="G1926" i="1"/>
  <c r="H1926" i="1"/>
  <c r="I1926" i="1"/>
  <c r="G1927" i="1"/>
  <c r="H1927" i="1"/>
  <c r="I1927" i="1"/>
  <c r="G1928" i="1"/>
  <c r="H1928" i="1"/>
  <c r="I1928" i="1"/>
  <c r="G1929" i="1"/>
  <c r="H1929" i="1"/>
  <c r="I1929" i="1"/>
  <c r="G1930" i="1"/>
  <c r="H1930" i="1"/>
  <c r="I1930" i="1"/>
  <c r="G1931" i="1"/>
  <c r="H1931" i="1"/>
  <c r="I1931" i="1"/>
  <c r="G1932" i="1"/>
  <c r="H1932" i="1"/>
  <c r="I1932" i="1"/>
  <c r="G1933" i="1"/>
  <c r="H1933" i="1"/>
  <c r="I1933" i="1"/>
  <c r="G1934" i="1"/>
  <c r="H1934" i="1"/>
  <c r="I1934" i="1"/>
  <c r="G1935" i="1"/>
  <c r="H1935" i="1"/>
  <c r="I1935" i="1"/>
  <c r="G1936" i="1"/>
  <c r="H1936" i="1"/>
  <c r="I1936" i="1"/>
  <c r="G1937" i="1"/>
  <c r="H1937" i="1"/>
  <c r="I1937" i="1"/>
  <c r="G1938" i="1"/>
  <c r="H1938" i="1"/>
  <c r="I1938" i="1"/>
  <c r="G1939" i="1"/>
  <c r="H1939" i="1"/>
  <c r="I1939" i="1"/>
  <c r="G1940" i="1"/>
  <c r="H1940" i="1"/>
  <c r="I1940" i="1"/>
  <c r="G1941" i="1"/>
  <c r="H1941" i="1"/>
  <c r="I1941" i="1"/>
  <c r="G1942" i="1"/>
  <c r="H1942" i="1"/>
  <c r="I1942" i="1"/>
  <c r="G1943" i="1"/>
  <c r="H1943" i="1"/>
  <c r="I1943" i="1"/>
  <c r="G1944" i="1"/>
  <c r="H1944" i="1"/>
  <c r="I1944" i="1"/>
  <c r="G1945" i="1"/>
  <c r="H1945" i="1"/>
  <c r="I1945" i="1"/>
  <c r="G1946" i="1"/>
  <c r="H1946" i="1"/>
  <c r="I1946" i="1"/>
  <c r="G1947" i="1"/>
  <c r="H1947" i="1"/>
  <c r="I1947" i="1"/>
  <c r="G1948" i="1"/>
  <c r="H1948" i="1"/>
  <c r="I1948" i="1"/>
  <c r="G1949" i="1"/>
  <c r="H1949" i="1"/>
  <c r="I1949" i="1"/>
  <c r="G1950" i="1"/>
  <c r="H1950" i="1"/>
  <c r="I1950" i="1"/>
  <c r="G1951" i="1"/>
  <c r="H1951" i="1"/>
  <c r="I1951" i="1"/>
  <c r="G1952" i="1"/>
  <c r="H1952" i="1"/>
  <c r="I1952" i="1"/>
  <c r="G1953" i="1"/>
  <c r="H1953" i="1"/>
  <c r="I1953" i="1"/>
  <c r="G1954" i="1"/>
  <c r="H1954" i="1"/>
  <c r="I1954" i="1"/>
  <c r="G1955" i="1"/>
  <c r="H1955" i="1"/>
  <c r="I1955" i="1"/>
  <c r="G1956" i="1"/>
  <c r="H1956" i="1"/>
  <c r="I1956" i="1"/>
  <c r="G1957" i="1"/>
  <c r="H1957" i="1"/>
  <c r="I1957" i="1"/>
  <c r="G1958" i="1"/>
  <c r="H1958" i="1"/>
  <c r="I1958" i="1"/>
  <c r="G1959" i="1"/>
  <c r="H1959" i="1"/>
  <c r="I1959" i="1"/>
  <c r="G1960" i="1"/>
  <c r="H1960" i="1"/>
  <c r="I1960" i="1"/>
  <c r="G1961" i="1"/>
  <c r="H1961" i="1"/>
  <c r="I1961" i="1"/>
  <c r="G1962" i="1"/>
  <c r="H1962" i="1"/>
  <c r="I1962" i="1"/>
  <c r="G1963" i="1"/>
  <c r="H1963" i="1"/>
  <c r="I1963" i="1"/>
  <c r="G1964" i="1"/>
  <c r="H1964" i="1"/>
  <c r="I1964" i="1"/>
  <c r="G1965" i="1"/>
  <c r="H1965" i="1"/>
  <c r="I1965" i="1"/>
  <c r="G1966" i="1"/>
  <c r="H1966" i="1"/>
  <c r="I1966" i="1"/>
  <c r="G1967" i="1"/>
  <c r="H1967" i="1"/>
  <c r="I1967" i="1"/>
  <c r="G1968" i="1"/>
  <c r="H1968" i="1"/>
  <c r="I1968" i="1"/>
  <c r="G1969" i="1"/>
  <c r="H1969" i="1"/>
  <c r="I1969" i="1"/>
  <c r="G1970" i="1"/>
  <c r="H1970" i="1"/>
  <c r="I1970" i="1"/>
  <c r="G1971" i="1"/>
  <c r="H1971" i="1"/>
  <c r="I1971" i="1"/>
  <c r="G1972" i="1"/>
  <c r="H1972" i="1"/>
  <c r="I1972" i="1"/>
  <c r="G1973" i="1"/>
  <c r="H1973" i="1"/>
  <c r="I1973" i="1"/>
  <c r="G1974" i="1"/>
  <c r="H1974" i="1"/>
  <c r="I1974" i="1"/>
  <c r="G1975" i="1"/>
  <c r="H1975" i="1"/>
  <c r="I1975" i="1"/>
  <c r="G1976" i="1"/>
  <c r="H1976" i="1"/>
  <c r="I1976" i="1"/>
  <c r="G1977" i="1"/>
  <c r="H1977" i="1"/>
  <c r="I1977" i="1"/>
  <c r="G1978" i="1"/>
  <c r="H1978" i="1"/>
  <c r="I1978" i="1"/>
  <c r="G1979" i="1"/>
  <c r="H1979" i="1"/>
  <c r="I1979" i="1"/>
  <c r="G1980" i="1"/>
  <c r="H1980" i="1"/>
  <c r="I1980" i="1"/>
  <c r="G1981" i="1"/>
  <c r="H1981" i="1"/>
  <c r="I1981" i="1"/>
  <c r="G1982" i="1"/>
  <c r="H1982" i="1"/>
  <c r="I1982" i="1"/>
  <c r="G1983" i="1"/>
  <c r="H1983" i="1"/>
  <c r="I1983" i="1"/>
  <c r="G1984" i="1"/>
  <c r="H1984" i="1"/>
  <c r="I1984" i="1"/>
  <c r="G1985" i="1"/>
  <c r="H1985" i="1"/>
  <c r="I1985" i="1"/>
  <c r="G1986" i="1"/>
  <c r="H1986" i="1"/>
  <c r="I1986" i="1"/>
  <c r="G1987" i="1"/>
  <c r="H1987" i="1"/>
  <c r="I1987" i="1"/>
  <c r="G1988" i="1"/>
  <c r="H1988" i="1"/>
  <c r="I1988" i="1"/>
  <c r="G1989" i="1"/>
  <c r="H1989" i="1"/>
  <c r="I1989" i="1"/>
  <c r="G1990" i="1"/>
  <c r="H1990" i="1"/>
  <c r="I1990" i="1"/>
  <c r="G1991" i="1"/>
  <c r="H1991" i="1"/>
  <c r="I1991" i="1"/>
  <c r="G1992" i="1"/>
  <c r="H1992" i="1"/>
  <c r="I1992" i="1"/>
  <c r="G1993" i="1"/>
  <c r="H1993" i="1"/>
  <c r="I1993" i="1"/>
  <c r="G1994" i="1"/>
  <c r="H1994" i="1"/>
  <c r="I1994" i="1"/>
  <c r="G1995" i="1"/>
  <c r="H1995" i="1"/>
  <c r="I1995" i="1"/>
  <c r="G1996" i="1"/>
  <c r="H1996" i="1"/>
  <c r="I1996" i="1"/>
  <c r="G1997" i="1"/>
  <c r="H1997" i="1"/>
  <c r="I1997" i="1"/>
  <c r="G1998" i="1"/>
  <c r="H1998" i="1"/>
  <c r="I1998" i="1"/>
  <c r="G1999" i="1"/>
  <c r="H1999" i="1"/>
  <c r="I1999" i="1"/>
  <c r="G2000" i="1"/>
  <c r="H2000" i="1"/>
  <c r="I2000" i="1"/>
  <c r="G2001" i="1"/>
  <c r="H2001" i="1"/>
  <c r="I2001" i="1"/>
  <c r="G2002" i="1"/>
  <c r="H2002" i="1"/>
  <c r="I2002" i="1"/>
  <c r="G2003" i="1"/>
  <c r="H2003" i="1"/>
  <c r="I2003" i="1"/>
  <c r="G2004" i="1"/>
  <c r="H2004" i="1"/>
  <c r="I2004" i="1"/>
  <c r="G2005" i="1"/>
  <c r="H2005" i="1"/>
  <c r="I2005" i="1"/>
  <c r="G2006" i="1"/>
  <c r="H2006" i="1"/>
  <c r="I2006" i="1"/>
  <c r="G2007" i="1"/>
  <c r="H2007" i="1"/>
  <c r="I2007" i="1"/>
  <c r="G2008" i="1"/>
  <c r="H2008" i="1"/>
  <c r="I2008" i="1"/>
  <c r="G2009" i="1"/>
  <c r="H2009" i="1"/>
  <c r="I2009" i="1"/>
  <c r="G2010" i="1"/>
  <c r="H2010" i="1"/>
  <c r="I2010" i="1"/>
  <c r="G2011" i="1"/>
  <c r="H2011" i="1"/>
  <c r="I2011" i="1"/>
  <c r="G2012" i="1"/>
  <c r="H2012" i="1"/>
  <c r="I2012" i="1"/>
  <c r="G2013" i="1"/>
  <c r="H2013" i="1"/>
  <c r="I2013" i="1"/>
  <c r="G2014" i="1"/>
  <c r="H2014" i="1"/>
  <c r="I2014" i="1"/>
  <c r="G2015" i="1"/>
  <c r="H2015" i="1"/>
  <c r="I2015" i="1"/>
  <c r="G2016" i="1"/>
  <c r="H2016" i="1"/>
  <c r="I2016" i="1"/>
  <c r="G2017" i="1"/>
  <c r="H2017" i="1"/>
  <c r="I2017" i="1"/>
  <c r="G2018" i="1"/>
  <c r="H2018" i="1"/>
  <c r="I2018" i="1"/>
  <c r="G2019" i="1"/>
  <c r="H2019" i="1"/>
  <c r="I2019" i="1"/>
  <c r="G2020" i="1"/>
  <c r="H2020" i="1"/>
  <c r="I2020" i="1"/>
  <c r="G2021" i="1"/>
  <c r="H2021" i="1"/>
  <c r="I2021" i="1"/>
  <c r="G2022" i="1"/>
  <c r="H2022" i="1"/>
  <c r="I2022" i="1"/>
  <c r="G2023" i="1"/>
  <c r="H2023" i="1"/>
  <c r="I2023" i="1"/>
  <c r="G2024" i="1"/>
  <c r="H2024" i="1"/>
  <c r="I2024" i="1"/>
  <c r="G2025" i="1"/>
  <c r="H2025" i="1"/>
  <c r="I2025" i="1"/>
  <c r="G2026" i="1"/>
  <c r="H2026" i="1"/>
  <c r="I2026" i="1"/>
  <c r="G2027" i="1"/>
  <c r="H2027" i="1"/>
  <c r="I2027" i="1"/>
  <c r="G2028" i="1"/>
  <c r="H2028" i="1"/>
  <c r="I2028" i="1"/>
  <c r="G2029" i="1"/>
  <c r="H2029" i="1"/>
  <c r="I2029" i="1"/>
  <c r="G2030" i="1"/>
  <c r="H2030" i="1"/>
  <c r="I2030" i="1"/>
  <c r="G2031" i="1"/>
  <c r="H2031" i="1"/>
  <c r="I2031" i="1"/>
  <c r="G2032" i="1"/>
  <c r="H2032" i="1"/>
  <c r="I2032" i="1"/>
  <c r="G2033" i="1"/>
  <c r="H2033" i="1"/>
  <c r="I2033" i="1"/>
  <c r="G2034" i="1"/>
  <c r="H2034" i="1"/>
  <c r="I2034" i="1"/>
  <c r="G2035" i="1"/>
  <c r="H2035" i="1"/>
  <c r="I2035" i="1"/>
  <c r="G2036" i="1"/>
  <c r="H2036" i="1"/>
  <c r="I2036" i="1"/>
  <c r="G2037" i="1"/>
  <c r="H2037" i="1"/>
  <c r="I2037" i="1"/>
  <c r="G2038" i="1"/>
  <c r="H2038" i="1"/>
  <c r="I2038" i="1"/>
  <c r="G2039" i="1"/>
  <c r="H2039" i="1"/>
  <c r="I2039" i="1"/>
  <c r="G2040" i="1"/>
  <c r="H2040" i="1"/>
  <c r="I2040" i="1"/>
  <c r="G2041" i="1"/>
  <c r="H2041" i="1"/>
  <c r="I2041" i="1"/>
  <c r="G2042" i="1"/>
  <c r="H2042" i="1"/>
  <c r="I2042" i="1"/>
  <c r="G2043" i="1"/>
  <c r="H2043" i="1"/>
  <c r="I2043" i="1"/>
  <c r="G2044" i="1"/>
  <c r="H2044" i="1"/>
  <c r="I2044" i="1"/>
  <c r="G2045" i="1"/>
  <c r="H2045" i="1"/>
  <c r="I2045" i="1"/>
  <c r="G2046" i="1"/>
  <c r="H2046" i="1"/>
  <c r="I2046" i="1"/>
  <c r="G2047" i="1"/>
  <c r="H2047" i="1"/>
  <c r="I2047" i="1"/>
  <c r="G2048" i="1"/>
  <c r="H2048" i="1"/>
  <c r="I2048" i="1"/>
  <c r="G2049" i="1"/>
  <c r="H2049" i="1"/>
  <c r="I2049" i="1"/>
  <c r="G2050" i="1"/>
  <c r="H2050" i="1"/>
  <c r="I2050" i="1"/>
  <c r="G2051" i="1"/>
  <c r="H2051" i="1"/>
  <c r="I2051" i="1"/>
  <c r="G2052" i="1"/>
  <c r="H2052" i="1"/>
  <c r="I2052" i="1"/>
  <c r="G2053" i="1"/>
  <c r="H2053" i="1"/>
  <c r="I2053" i="1"/>
  <c r="G2054" i="1"/>
  <c r="H2054" i="1"/>
  <c r="I2054" i="1"/>
  <c r="G2055" i="1"/>
  <c r="H2055" i="1"/>
  <c r="I2055" i="1"/>
  <c r="G2056" i="1"/>
  <c r="H2056" i="1"/>
  <c r="I2056" i="1"/>
  <c r="G2057" i="1"/>
  <c r="H2057" i="1"/>
  <c r="I2057" i="1"/>
  <c r="G2058" i="1"/>
  <c r="H2058" i="1"/>
  <c r="I2058" i="1"/>
  <c r="G2059" i="1"/>
  <c r="H2059" i="1"/>
  <c r="I2059" i="1"/>
  <c r="G2060" i="1"/>
  <c r="H2060" i="1"/>
  <c r="I2060" i="1"/>
  <c r="G2061" i="1"/>
  <c r="H2061" i="1"/>
  <c r="I2061" i="1"/>
  <c r="G2062" i="1"/>
  <c r="H2062" i="1"/>
  <c r="I2062" i="1"/>
  <c r="G2063" i="1"/>
  <c r="H2063" i="1"/>
  <c r="I2063" i="1"/>
  <c r="G2064" i="1"/>
  <c r="H2064" i="1"/>
  <c r="I2064" i="1"/>
  <c r="G2065" i="1"/>
  <c r="H2065" i="1"/>
  <c r="I2065" i="1"/>
  <c r="G2066" i="1"/>
  <c r="H2066" i="1"/>
  <c r="I2066" i="1"/>
  <c r="G2067" i="1"/>
  <c r="H2067" i="1"/>
  <c r="I2067" i="1"/>
  <c r="G2068" i="1"/>
  <c r="H2068" i="1"/>
  <c r="I2068" i="1"/>
  <c r="G2069" i="1"/>
  <c r="H2069" i="1"/>
  <c r="I2069" i="1"/>
  <c r="G2070" i="1"/>
  <c r="H2070" i="1"/>
  <c r="I2070" i="1"/>
  <c r="G2071" i="1"/>
  <c r="H2071" i="1"/>
  <c r="I2071" i="1"/>
  <c r="G2072" i="1"/>
  <c r="H2072" i="1"/>
  <c r="I2072" i="1"/>
  <c r="G2073" i="1"/>
  <c r="H2073" i="1"/>
  <c r="I2073" i="1"/>
  <c r="G2074" i="1"/>
  <c r="H2074" i="1"/>
  <c r="I2074" i="1"/>
  <c r="G2075" i="1"/>
  <c r="H2075" i="1"/>
  <c r="I2075" i="1"/>
  <c r="G2076" i="1"/>
  <c r="H2076" i="1"/>
  <c r="I2076" i="1"/>
  <c r="G2077" i="1"/>
  <c r="H2077" i="1"/>
  <c r="I2077" i="1"/>
  <c r="G2078" i="1"/>
  <c r="H2078" i="1"/>
  <c r="I2078" i="1"/>
  <c r="G2079" i="1"/>
  <c r="H2079" i="1"/>
  <c r="I2079" i="1"/>
  <c r="G2080" i="1"/>
  <c r="H2080" i="1"/>
  <c r="I2080" i="1"/>
  <c r="G2081" i="1"/>
  <c r="H2081" i="1"/>
  <c r="I2081" i="1"/>
  <c r="G2082" i="1"/>
  <c r="H2082" i="1"/>
  <c r="I2082" i="1"/>
  <c r="G2083" i="1"/>
  <c r="H2083" i="1"/>
  <c r="I2083" i="1"/>
  <c r="G2084" i="1"/>
  <c r="H2084" i="1"/>
  <c r="I2084" i="1"/>
  <c r="G2085" i="1"/>
  <c r="H2085" i="1"/>
  <c r="I2085" i="1"/>
  <c r="G2086" i="1"/>
  <c r="H2086" i="1"/>
  <c r="I2086" i="1"/>
  <c r="G2087" i="1"/>
  <c r="H2087" i="1"/>
  <c r="I2087" i="1"/>
  <c r="G2088" i="1"/>
  <c r="H2088" i="1"/>
  <c r="I2088" i="1"/>
  <c r="G2089" i="1"/>
  <c r="H2089" i="1"/>
  <c r="I2089" i="1"/>
  <c r="G2090" i="1"/>
  <c r="H2090" i="1"/>
  <c r="I2090" i="1"/>
  <c r="G2091" i="1"/>
  <c r="H2091" i="1"/>
  <c r="I2091" i="1"/>
  <c r="G2092" i="1"/>
  <c r="H2092" i="1"/>
  <c r="I2092" i="1"/>
  <c r="G2093" i="1"/>
  <c r="H2093" i="1"/>
  <c r="I2093" i="1"/>
  <c r="G2094" i="1"/>
  <c r="H2094" i="1"/>
  <c r="I2094" i="1"/>
  <c r="G2095" i="1"/>
  <c r="H2095" i="1"/>
  <c r="I2095" i="1"/>
  <c r="G2096" i="1"/>
  <c r="H2096" i="1"/>
  <c r="I2096" i="1"/>
  <c r="G2097" i="1"/>
  <c r="H2097" i="1"/>
  <c r="I2097" i="1"/>
  <c r="G2098" i="1"/>
  <c r="H2098" i="1"/>
  <c r="I2098" i="1"/>
  <c r="G2099" i="1"/>
  <c r="H2099" i="1"/>
  <c r="I2099" i="1"/>
  <c r="G2100" i="1"/>
  <c r="H2100" i="1"/>
  <c r="I2100" i="1"/>
  <c r="G2101" i="1"/>
  <c r="H2101" i="1"/>
  <c r="I2101" i="1"/>
  <c r="G2102" i="1"/>
  <c r="H2102" i="1"/>
  <c r="I2102" i="1"/>
  <c r="G2103" i="1"/>
  <c r="H2103" i="1"/>
  <c r="I2103" i="1"/>
  <c r="G2104" i="1"/>
  <c r="H2104" i="1"/>
  <c r="I2104" i="1"/>
  <c r="G2105" i="1"/>
  <c r="H2105" i="1"/>
  <c r="I2105" i="1"/>
  <c r="G2106" i="1"/>
  <c r="H2106" i="1"/>
  <c r="I2106" i="1"/>
  <c r="G2107" i="1"/>
  <c r="H2107" i="1"/>
  <c r="I2107" i="1"/>
  <c r="G2108" i="1"/>
  <c r="H2108" i="1"/>
  <c r="I2108" i="1"/>
  <c r="G2109" i="1"/>
  <c r="H2109" i="1"/>
  <c r="I2109" i="1"/>
  <c r="G2110" i="1"/>
  <c r="H2110" i="1"/>
  <c r="I2110" i="1"/>
  <c r="G2111" i="1"/>
  <c r="H2111" i="1"/>
  <c r="I2111" i="1"/>
  <c r="G2112" i="1"/>
  <c r="H2112" i="1"/>
  <c r="I2112" i="1"/>
  <c r="G2113" i="1"/>
  <c r="H2113" i="1"/>
  <c r="I2113" i="1"/>
  <c r="G2114" i="1"/>
  <c r="H2114" i="1"/>
  <c r="I2114" i="1"/>
  <c r="G2115" i="1"/>
  <c r="H2115" i="1"/>
  <c r="I2115" i="1"/>
  <c r="G2116" i="1"/>
  <c r="H2116" i="1"/>
  <c r="I2116" i="1"/>
  <c r="G2117" i="1"/>
  <c r="H2117" i="1"/>
  <c r="I2117" i="1"/>
  <c r="G2118" i="1"/>
  <c r="H2118" i="1"/>
  <c r="I2118" i="1"/>
  <c r="G2119" i="1"/>
  <c r="H2119" i="1"/>
  <c r="I2119" i="1"/>
  <c r="G2120" i="1"/>
  <c r="H2120" i="1"/>
  <c r="I2120" i="1"/>
  <c r="G2121" i="1"/>
  <c r="H2121" i="1"/>
  <c r="I2121" i="1"/>
  <c r="G2122" i="1"/>
  <c r="H2122" i="1"/>
  <c r="I2122" i="1"/>
  <c r="G2123" i="1"/>
  <c r="H2123" i="1"/>
  <c r="I2123" i="1"/>
  <c r="G2124" i="1"/>
  <c r="H2124" i="1"/>
  <c r="I2124" i="1"/>
  <c r="G2125" i="1"/>
  <c r="H2125" i="1"/>
  <c r="I2125" i="1"/>
  <c r="G2126" i="1"/>
  <c r="H2126" i="1"/>
  <c r="I2126" i="1"/>
  <c r="G2127" i="1"/>
  <c r="H2127" i="1"/>
  <c r="I2127" i="1"/>
  <c r="G2128" i="1"/>
  <c r="H2128" i="1"/>
  <c r="I2128" i="1"/>
  <c r="G2129" i="1"/>
  <c r="H2129" i="1"/>
  <c r="I2129" i="1"/>
  <c r="G2130" i="1"/>
  <c r="H2130" i="1"/>
  <c r="I2130" i="1"/>
  <c r="G2131" i="1"/>
  <c r="H2131" i="1"/>
  <c r="I2131" i="1"/>
  <c r="G2132" i="1"/>
  <c r="H2132" i="1"/>
  <c r="I2132" i="1"/>
  <c r="G2133" i="1"/>
  <c r="H2133" i="1"/>
  <c r="I2133" i="1"/>
  <c r="G2134" i="1"/>
  <c r="H2134" i="1"/>
  <c r="I2134" i="1"/>
  <c r="G2135" i="1"/>
  <c r="H2135" i="1"/>
  <c r="I2135" i="1"/>
  <c r="G2136" i="1"/>
  <c r="H2136" i="1"/>
  <c r="I2136" i="1"/>
  <c r="G2137" i="1"/>
  <c r="H2137" i="1"/>
  <c r="I2137" i="1"/>
  <c r="G2138" i="1"/>
  <c r="H2138" i="1"/>
  <c r="I2138" i="1"/>
  <c r="G2139" i="1"/>
  <c r="H2139" i="1"/>
  <c r="I2139" i="1"/>
  <c r="G2140" i="1"/>
  <c r="H2140" i="1"/>
  <c r="I2140" i="1"/>
  <c r="G2141" i="1"/>
  <c r="H2141" i="1"/>
  <c r="I2141" i="1"/>
  <c r="G2142" i="1"/>
  <c r="H2142" i="1"/>
  <c r="I2142" i="1"/>
  <c r="G2143" i="1"/>
  <c r="H2143" i="1"/>
  <c r="I2143" i="1"/>
  <c r="G2144" i="1"/>
  <c r="H2144" i="1"/>
  <c r="I2144" i="1"/>
  <c r="G2145" i="1"/>
  <c r="H2145" i="1"/>
  <c r="I2145" i="1"/>
  <c r="G2146" i="1"/>
  <c r="H2146" i="1"/>
  <c r="I2146" i="1"/>
  <c r="G2147" i="1"/>
  <c r="H2147" i="1"/>
  <c r="I2147" i="1"/>
  <c r="G2148" i="1"/>
  <c r="H2148" i="1"/>
  <c r="I2148" i="1"/>
  <c r="G2149" i="1"/>
  <c r="H2149" i="1"/>
  <c r="I2149" i="1"/>
  <c r="G2150" i="1"/>
  <c r="H2150" i="1"/>
  <c r="I2150" i="1"/>
  <c r="G2151" i="1"/>
  <c r="H2151" i="1"/>
  <c r="I2151" i="1"/>
  <c r="G2152" i="1"/>
  <c r="H2152" i="1"/>
  <c r="I2152" i="1"/>
  <c r="G2153" i="1"/>
  <c r="H2153" i="1"/>
  <c r="I2153" i="1"/>
  <c r="G2154" i="1"/>
  <c r="H2154" i="1"/>
  <c r="I2154" i="1"/>
  <c r="G2155" i="1"/>
  <c r="H2155" i="1"/>
  <c r="I2155" i="1"/>
  <c r="G2156" i="1"/>
  <c r="H2156" i="1"/>
  <c r="I2156" i="1"/>
  <c r="G2157" i="1"/>
  <c r="H2157" i="1"/>
  <c r="I2157" i="1"/>
  <c r="G2158" i="1"/>
  <c r="H2158" i="1"/>
  <c r="I2158" i="1"/>
  <c r="G2159" i="1"/>
  <c r="H2159" i="1"/>
  <c r="I2159" i="1"/>
  <c r="G2160" i="1"/>
  <c r="H2160" i="1"/>
  <c r="I2160" i="1"/>
  <c r="G2161" i="1"/>
  <c r="H2161" i="1"/>
  <c r="I2161" i="1"/>
  <c r="G2162" i="1"/>
  <c r="H2162" i="1"/>
  <c r="I2162" i="1"/>
  <c r="G2163" i="1"/>
  <c r="H2163" i="1"/>
  <c r="I2163" i="1"/>
  <c r="G2164" i="1"/>
  <c r="H2164" i="1"/>
  <c r="I2164" i="1"/>
  <c r="G2165" i="1"/>
  <c r="H2165" i="1"/>
  <c r="I2165" i="1"/>
  <c r="G2166" i="1"/>
  <c r="H2166" i="1"/>
  <c r="I2166" i="1"/>
  <c r="G2167" i="1"/>
  <c r="H2167" i="1"/>
  <c r="I2167" i="1"/>
  <c r="G2168" i="1"/>
  <c r="H2168" i="1"/>
  <c r="I2168" i="1"/>
  <c r="G2169" i="1"/>
  <c r="H2169" i="1"/>
  <c r="I2169" i="1"/>
  <c r="G2170" i="1"/>
  <c r="H2170" i="1"/>
  <c r="I2170" i="1"/>
  <c r="G2171" i="1"/>
  <c r="H2171" i="1"/>
  <c r="I2171" i="1"/>
  <c r="G2172" i="1"/>
  <c r="H2172" i="1"/>
  <c r="I2172" i="1"/>
  <c r="G2173" i="1"/>
  <c r="H2173" i="1"/>
  <c r="I2173" i="1"/>
  <c r="G2174" i="1"/>
  <c r="H2174" i="1"/>
  <c r="I2174" i="1"/>
  <c r="G2175" i="1"/>
  <c r="H2175" i="1"/>
  <c r="I2175" i="1"/>
  <c r="G2176" i="1"/>
  <c r="H2176" i="1"/>
  <c r="I2176" i="1"/>
  <c r="G2177" i="1"/>
  <c r="H2177" i="1"/>
  <c r="I2177" i="1"/>
  <c r="G2178" i="1"/>
  <c r="H2178" i="1"/>
  <c r="I2178" i="1"/>
  <c r="G2179" i="1"/>
  <c r="H2179" i="1"/>
  <c r="I2179" i="1"/>
  <c r="G2180" i="1"/>
  <c r="H2180" i="1"/>
  <c r="I2180" i="1"/>
  <c r="G2181" i="1"/>
  <c r="H2181" i="1"/>
  <c r="I2181" i="1"/>
  <c r="G2182" i="1"/>
  <c r="H2182" i="1"/>
  <c r="I2182" i="1"/>
  <c r="G2183" i="1"/>
  <c r="H2183" i="1"/>
  <c r="I2183" i="1"/>
  <c r="G2184" i="1"/>
  <c r="H2184" i="1"/>
  <c r="I2184" i="1"/>
  <c r="G2185" i="1"/>
  <c r="H2185" i="1"/>
  <c r="I2185" i="1"/>
  <c r="G2186" i="1"/>
  <c r="H2186" i="1"/>
  <c r="I2186" i="1"/>
  <c r="G2187" i="1"/>
  <c r="H2187" i="1"/>
  <c r="I2187" i="1"/>
  <c r="G2188" i="1"/>
  <c r="H2188" i="1"/>
  <c r="I2188" i="1"/>
  <c r="G2189" i="1"/>
  <c r="H2189" i="1"/>
  <c r="I2189" i="1"/>
  <c r="G2190" i="1"/>
  <c r="H2190" i="1"/>
  <c r="I2190" i="1"/>
  <c r="G2191" i="1"/>
  <c r="H2191" i="1"/>
  <c r="I2191" i="1"/>
  <c r="G2192" i="1"/>
  <c r="H2192" i="1"/>
  <c r="I2192" i="1"/>
  <c r="G2193" i="1"/>
  <c r="H2193" i="1"/>
  <c r="I2193" i="1"/>
  <c r="G2194" i="1"/>
  <c r="H2194" i="1"/>
  <c r="I2194" i="1"/>
  <c r="G2195" i="1"/>
  <c r="H2195" i="1"/>
  <c r="I2195" i="1"/>
  <c r="G2196" i="1"/>
  <c r="H2196" i="1"/>
  <c r="I2196" i="1"/>
  <c r="G2197" i="1"/>
  <c r="H2197" i="1"/>
  <c r="I2197" i="1"/>
  <c r="G2198" i="1"/>
  <c r="H2198" i="1"/>
  <c r="I2198" i="1"/>
  <c r="G2199" i="1"/>
  <c r="H2199" i="1"/>
  <c r="I2199" i="1"/>
  <c r="G2200" i="1"/>
  <c r="H2200" i="1"/>
  <c r="I2200" i="1"/>
  <c r="G2201" i="1"/>
  <c r="H2201" i="1"/>
  <c r="I2201" i="1"/>
  <c r="G2202" i="1"/>
  <c r="H2202" i="1"/>
  <c r="I2202" i="1"/>
  <c r="G2203" i="1"/>
  <c r="H2203" i="1"/>
  <c r="I2203" i="1"/>
  <c r="G2204" i="1"/>
  <c r="H2204" i="1"/>
  <c r="I2204" i="1"/>
  <c r="G2205" i="1"/>
  <c r="H2205" i="1"/>
  <c r="I2205" i="1"/>
  <c r="G2206" i="1"/>
  <c r="H2206" i="1"/>
  <c r="I2206" i="1"/>
  <c r="G2207" i="1"/>
  <c r="H2207" i="1"/>
  <c r="I2207" i="1"/>
  <c r="G2208" i="1"/>
  <c r="H2208" i="1"/>
  <c r="I2208" i="1"/>
  <c r="G2209" i="1"/>
  <c r="H2209" i="1"/>
  <c r="I2209" i="1"/>
  <c r="G2210" i="1"/>
  <c r="H2210" i="1"/>
  <c r="I2210" i="1"/>
  <c r="G2211" i="1"/>
  <c r="H2211" i="1"/>
  <c r="I2211" i="1"/>
  <c r="G2212" i="1"/>
  <c r="H2212" i="1"/>
  <c r="I2212" i="1"/>
  <c r="G2213" i="1"/>
  <c r="H2213" i="1"/>
  <c r="I2213" i="1"/>
  <c r="G2214" i="1"/>
  <c r="H2214" i="1"/>
  <c r="I2214" i="1"/>
  <c r="G2215" i="1"/>
  <c r="H2215" i="1"/>
  <c r="I2215" i="1"/>
  <c r="G2216" i="1"/>
  <c r="H2216" i="1"/>
  <c r="I2216" i="1"/>
  <c r="G2217" i="1"/>
  <c r="H2217" i="1"/>
  <c r="I2217" i="1"/>
  <c r="G2218" i="1"/>
  <c r="H2218" i="1"/>
  <c r="I2218" i="1"/>
  <c r="G2219" i="1"/>
  <c r="H2219" i="1"/>
  <c r="I2219" i="1"/>
  <c r="G2220" i="1"/>
  <c r="H2220" i="1"/>
  <c r="I2220" i="1"/>
  <c r="G2221" i="1"/>
  <c r="H2221" i="1"/>
  <c r="I2221" i="1"/>
  <c r="G2222" i="1"/>
  <c r="H2222" i="1"/>
  <c r="I2222" i="1"/>
  <c r="G2223" i="1"/>
  <c r="H2223" i="1"/>
  <c r="I2223" i="1"/>
  <c r="G2224" i="1"/>
  <c r="H2224" i="1"/>
  <c r="I2224" i="1"/>
  <c r="G2225" i="1"/>
  <c r="H2225" i="1"/>
  <c r="I2225" i="1"/>
  <c r="G2226" i="1"/>
  <c r="H2226" i="1"/>
  <c r="I2226" i="1"/>
  <c r="G2227" i="1"/>
  <c r="H2227" i="1"/>
  <c r="I2227" i="1"/>
  <c r="G2228" i="1"/>
  <c r="H2228" i="1"/>
  <c r="I2228" i="1"/>
  <c r="G2229" i="1"/>
  <c r="H2229" i="1"/>
  <c r="I2229" i="1"/>
  <c r="G2230" i="1"/>
  <c r="H2230" i="1"/>
  <c r="I2230" i="1"/>
  <c r="G2231" i="1"/>
  <c r="H2231" i="1"/>
  <c r="I2231" i="1"/>
  <c r="G2232" i="1"/>
  <c r="H2232" i="1"/>
  <c r="I2232" i="1"/>
  <c r="G2233" i="1"/>
  <c r="H2233" i="1"/>
  <c r="I2233" i="1"/>
  <c r="G2234" i="1"/>
  <c r="H2234" i="1"/>
  <c r="I2234" i="1"/>
  <c r="G2235" i="1"/>
  <c r="H2235" i="1"/>
  <c r="I2235" i="1"/>
  <c r="G2236" i="1"/>
  <c r="H2236" i="1"/>
  <c r="I2236" i="1"/>
  <c r="G2237" i="1"/>
  <c r="H2237" i="1"/>
  <c r="I2237" i="1"/>
  <c r="G2238" i="1"/>
  <c r="H2238" i="1"/>
  <c r="I2238" i="1"/>
  <c r="G2239" i="1"/>
  <c r="H2239" i="1"/>
  <c r="I2239" i="1"/>
  <c r="G2240" i="1"/>
  <c r="H2240" i="1"/>
  <c r="I2240" i="1"/>
  <c r="G2241" i="1"/>
  <c r="H2241" i="1"/>
  <c r="I2241" i="1"/>
  <c r="G2242" i="1"/>
  <c r="H2242" i="1"/>
  <c r="I2242" i="1"/>
  <c r="G2243" i="1"/>
  <c r="H2243" i="1"/>
  <c r="I2243" i="1"/>
  <c r="G2244" i="1"/>
  <c r="H2244" i="1"/>
  <c r="I2244" i="1"/>
  <c r="G2245" i="1"/>
  <c r="H2245" i="1"/>
  <c r="I2245" i="1"/>
  <c r="G2246" i="1"/>
  <c r="H2246" i="1"/>
  <c r="I2246" i="1"/>
  <c r="G2247" i="1"/>
  <c r="H2247" i="1"/>
  <c r="I2247" i="1"/>
  <c r="G2248" i="1"/>
  <c r="H2248" i="1"/>
  <c r="I2248" i="1"/>
  <c r="G2249" i="1"/>
  <c r="H2249" i="1"/>
  <c r="I2249" i="1"/>
  <c r="G2250" i="1"/>
  <c r="H2250" i="1"/>
  <c r="I2250" i="1"/>
  <c r="G2251" i="1"/>
  <c r="H2251" i="1"/>
  <c r="I2251" i="1"/>
  <c r="G2252" i="1"/>
  <c r="H2252" i="1"/>
  <c r="I2252" i="1"/>
  <c r="G2253" i="1"/>
  <c r="H2253" i="1"/>
  <c r="I2253" i="1"/>
  <c r="G2254" i="1"/>
  <c r="H2254" i="1"/>
  <c r="I2254" i="1"/>
  <c r="G2255" i="1"/>
  <c r="H2255" i="1"/>
  <c r="I2255" i="1"/>
  <c r="G2256" i="1"/>
  <c r="H2256" i="1"/>
  <c r="I2256" i="1"/>
  <c r="G2257" i="1"/>
  <c r="H2257" i="1"/>
  <c r="I2257" i="1"/>
  <c r="G2258" i="1"/>
  <c r="H2258" i="1"/>
  <c r="I2258" i="1"/>
  <c r="G2259" i="1"/>
  <c r="H2259" i="1"/>
  <c r="I2259" i="1"/>
  <c r="G2260" i="1"/>
  <c r="H2260" i="1"/>
  <c r="I2260" i="1"/>
  <c r="G2261" i="1"/>
  <c r="H2261" i="1"/>
  <c r="I2261" i="1"/>
  <c r="G2262" i="1"/>
  <c r="H2262" i="1"/>
  <c r="I2262" i="1"/>
  <c r="G2263" i="1"/>
  <c r="H2263" i="1"/>
  <c r="I2263" i="1"/>
  <c r="G2264" i="1"/>
  <c r="H2264" i="1"/>
  <c r="I2264" i="1"/>
  <c r="G2265" i="1"/>
  <c r="H2265" i="1"/>
  <c r="I2265" i="1"/>
  <c r="G2266" i="1"/>
  <c r="H2266" i="1"/>
  <c r="I2266" i="1"/>
  <c r="G2267" i="1"/>
  <c r="H2267" i="1"/>
  <c r="I2267" i="1"/>
  <c r="G2268" i="1"/>
  <c r="H2268" i="1"/>
  <c r="I2268" i="1"/>
  <c r="G2269" i="1"/>
  <c r="H2269" i="1"/>
  <c r="I2269" i="1"/>
  <c r="G2270" i="1"/>
  <c r="H2270" i="1"/>
  <c r="I2270" i="1"/>
  <c r="G2271" i="1"/>
  <c r="H2271" i="1"/>
  <c r="I2271" i="1"/>
  <c r="G2272" i="1"/>
  <c r="H2272" i="1"/>
  <c r="I2272" i="1"/>
  <c r="G2273" i="1"/>
  <c r="H2273" i="1"/>
  <c r="I2273" i="1"/>
  <c r="G2274" i="1"/>
  <c r="H2274" i="1"/>
  <c r="I2274" i="1"/>
  <c r="G2275" i="1"/>
  <c r="H2275" i="1"/>
  <c r="I2275" i="1"/>
  <c r="G2276" i="1"/>
  <c r="H2276" i="1"/>
  <c r="I2276" i="1"/>
  <c r="G2277" i="1"/>
  <c r="H2277" i="1"/>
  <c r="I2277" i="1"/>
  <c r="G2278" i="1"/>
  <c r="H2278" i="1"/>
  <c r="I2278" i="1"/>
  <c r="G2279" i="1"/>
  <c r="H2279" i="1"/>
  <c r="I2279" i="1"/>
  <c r="G2280" i="1"/>
  <c r="H2280" i="1"/>
  <c r="I2280" i="1"/>
  <c r="G2281" i="1"/>
  <c r="H2281" i="1"/>
  <c r="I2281" i="1"/>
  <c r="G2282" i="1"/>
  <c r="H2282" i="1"/>
  <c r="I2282" i="1"/>
  <c r="G2283" i="1"/>
  <c r="H2283" i="1"/>
  <c r="I2283" i="1"/>
  <c r="G2284" i="1"/>
  <c r="H2284" i="1"/>
  <c r="I2284" i="1"/>
  <c r="G2285" i="1"/>
  <c r="H2285" i="1"/>
  <c r="I2285" i="1"/>
  <c r="G2286" i="1"/>
  <c r="H2286" i="1"/>
  <c r="I2286" i="1"/>
  <c r="G2287" i="1"/>
  <c r="H2287" i="1"/>
  <c r="I2287" i="1"/>
  <c r="G2288" i="1"/>
  <c r="H2288" i="1"/>
  <c r="I2288" i="1"/>
  <c r="G2289" i="1"/>
  <c r="H2289" i="1"/>
  <c r="I2289" i="1"/>
  <c r="G2290" i="1"/>
  <c r="H2290" i="1"/>
  <c r="I2290" i="1"/>
  <c r="G2291" i="1"/>
  <c r="H2291" i="1"/>
  <c r="I2291" i="1"/>
  <c r="G2292" i="1"/>
  <c r="H2292" i="1"/>
  <c r="I2292" i="1"/>
  <c r="G2293" i="1"/>
  <c r="H2293" i="1"/>
  <c r="I2293" i="1"/>
  <c r="G2294" i="1"/>
  <c r="H2294" i="1"/>
  <c r="I2294" i="1"/>
  <c r="G2295" i="1"/>
  <c r="H2295" i="1"/>
  <c r="I2295" i="1"/>
  <c r="G2296" i="1"/>
  <c r="H2296" i="1"/>
  <c r="I2296" i="1"/>
  <c r="G2297" i="1"/>
  <c r="H2297" i="1"/>
  <c r="I2297" i="1"/>
  <c r="G2298" i="1"/>
  <c r="H2298" i="1"/>
  <c r="I2298" i="1"/>
  <c r="G2299" i="1"/>
  <c r="H2299" i="1"/>
  <c r="I2299" i="1"/>
  <c r="G2300" i="1"/>
  <c r="H2300" i="1"/>
  <c r="I2300" i="1"/>
  <c r="G2301" i="1"/>
  <c r="H2301" i="1"/>
  <c r="I2301" i="1"/>
  <c r="G2302" i="1"/>
  <c r="H2302" i="1"/>
  <c r="I2302" i="1"/>
  <c r="G2303" i="1"/>
  <c r="H2303" i="1"/>
  <c r="I2303" i="1"/>
  <c r="G2304" i="1"/>
  <c r="H2304" i="1"/>
  <c r="I2304" i="1"/>
  <c r="G2305" i="1"/>
  <c r="H2305" i="1"/>
  <c r="I2305" i="1"/>
  <c r="G2306" i="1"/>
  <c r="H2306" i="1"/>
  <c r="I2306" i="1"/>
  <c r="G2307" i="1"/>
  <c r="H2307" i="1"/>
  <c r="I2307" i="1"/>
  <c r="G2308" i="1"/>
  <c r="H2308" i="1"/>
  <c r="I2308" i="1"/>
  <c r="G2309" i="1"/>
  <c r="H2309" i="1"/>
  <c r="I2309" i="1"/>
  <c r="G2310" i="1"/>
  <c r="H2310" i="1"/>
  <c r="I2310" i="1"/>
  <c r="G2311" i="1"/>
  <c r="H2311" i="1"/>
  <c r="I2311" i="1"/>
  <c r="G2312" i="1"/>
  <c r="H2312" i="1"/>
  <c r="I2312" i="1"/>
  <c r="G2313" i="1"/>
  <c r="H2313" i="1"/>
  <c r="I2313" i="1"/>
  <c r="G2314" i="1"/>
  <c r="H2314" i="1"/>
  <c r="I2314" i="1"/>
  <c r="G2315" i="1"/>
  <c r="H2315" i="1"/>
  <c r="I2315" i="1"/>
  <c r="G2316" i="1"/>
  <c r="H2316" i="1"/>
  <c r="I2316" i="1"/>
  <c r="G2317" i="1"/>
  <c r="H2317" i="1"/>
  <c r="I2317" i="1"/>
  <c r="G2318" i="1"/>
  <c r="H2318" i="1"/>
  <c r="I2318" i="1"/>
  <c r="G2319" i="1"/>
  <c r="H2319" i="1"/>
  <c r="I2319" i="1"/>
  <c r="G2320" i="1"/>
  <c r="H2320" i="1"/>
  <c r="I2320" i="1"/>
  <c r="G2321" i="1"/>
  <c r="H2321" i="1"/>
  <c r="I2321" i="1"/>
  <c r="G2322" i="1"/>
  <c r="H2322" i="1"/>
  <c r="I2322" i="1"/>
  <c r="G2323" i="1"/>
  <c r="H2323" i="1"/>
  <c r="I2323" i="1"/>
  <c r="G2324" i="1"/>
  <c r="H2324" i="1"/>
  <c r="I2324" i="1"/>
  <c r="G2325" i="1"/>
  <c r="H2325" i="1"/>
  <c r="I2325" i="1"/>
  <c r="G2326" i="1"/>
  <c r="H2326" i="1"/>
  <c r="I2326" i="1"/>
  <c r="G2327" i="1"/>
  <c r="H2327" i="1"/>
  <c r="I2327" i="1"/>
  <c r="G2328" i="1"/>
  <c r="H2328" i="1"/>
  <c r="I2328" i="1"/>
  <c r="G2329" i="1"/>
  <c r="H2329" i="1"/>
  <c r="I2329" i="1"/>
  <c r="G2330" i="1"/>
  <c r="H2330" i="1"/>
  <c r="I2330" i="1"/>
  <c r="G2331" i="1"/>
  <c r="H2331" i="1"/>
  <c r="I2331" i="1"/>
  <c r="G2332" i="1"/>
  <c r="H2332" i="1"/>
  <c r="I2332" i="1"/>
  <c r="G2333" i="1"/>
  <c r="H2333" i="1"/>
  <c r="I2333" i="1"/>
  <c r="G2334" i="1"/>
  <c r="H2334" i="1"/>
  <c r="I2334" i="1"/>
  <c r="G2335" i="1"/>
  <c r="H2335" i="1"/>
  <c r="I2335" i="1"/>
  <c r="G2336" i="1"/>
  <c r="H2336" i="1"/>
  <c r="I2336" i="1"/>
  <c r="G2337" i="1"/>
  <c r="H2337" i="1"/>
  <c r="I2337" i="1"/>
  <c r="G2338" i="1"/>
  <c r="H2338" i="1"/>
  <c r="I2338" i="1"/>
  <c r="G2339" i="1"/>
  <c r="H2339" i="1"/>
  <c r="I2339" i="1"/>
  <c r="G2340" i="1"/>
  <c r="H2340" i="1"/>
  <c r="I2340" i="1"/>
  <c r="G2341" i="1"/>
  <c r="H2341" i="1"/>
  <c r="I2341" i="1"/>
  <c r="G2342" i="1"/>
  <c r="H2342" i="1"/>
  <c r="I2342" i="1"/>
  <c r="G2343" i="1"/>
  <c r="H2343" i="1"/>
  <c r="I2343" i="1"/>
  <c r="G2344" i="1"/>
  <c r="H2344" i="1"/>
  <c r="I2344" i="1"/>
  <c r="G2345" i="1"/>
  <c r="H2345" i="1"/>
  <c r="I2345" i="1"/>
  <c r="G2346" i="1"/>
  <c r="H2346" i="1"/>
  <c r="I2346" i="1"/>
  <c r="G2347" i="1"/>
  <c r="H2347" i="1"/>
  <c r="I2347" i="1"/>
  <c r="G2348" i="1"/>
  <c r="H2348" i="1"/>
  <c r="I2348" i="1"/>
  <c r="G2349" i="1"/>
  <c r="H2349" i="1"/>
  <c r="I2349" i="1"/>
  <c r="G2350" i="1"/>
  <c r="H2350" i="1"/>
  <c r="I2350" i="1"/>
  <c r="G2351" i="1"/>
  <c r="H2351" i="1"/>
  <c r="I2351" i="1"/>
  <c r="G2352" i="1"/>
  <c r="H2352" i="1"/>
  <c r="I2352" i="1"/>
  <c r="G2353" i="1"/>
  <c r="H2353" i="1"/>
  <c r="I2353" i="1"/>
  <c r="G2354" i="1"/>
  <c r="H2354" i="1"/>
  <c r="I2354" i="1"/>
  <c r="G2355" i="1"/>
  <c r="H2355" i="1"/>
  <c r="I2355" i="1"/>
  <c r="G2356" i="1"/>
  <c r="H2356" i="1"/>
  <c r="I2356" i="1"/>
  <c r="G2357" i="1"/>
  <c r="H2357" i="1"/>
  <c r="I2357" i="1"/>
  <c r="G2358" i="1"/>
  <c r="H2358" i="1"/>
  <c r="I2358" i="1"/>
  <c r="G2359" i="1"/>
  <c r="H2359" i="1"/>
  <c r="I2359" i="1"/>
  <c r="G2360" i="1"/>
  <c r="H2360" i="1"/>
  <c r="I2360" i="1"/>
  <c r="G2361" i="1"/>
  <c r="H2361" i="1"/>
  <c r="I2361" i="1"/>
  <c r="G2362" i="1"/>
  <c r="H2362" i="1"/>
  <c r="I2362" i="1"/>
  <c r="G2363" i="1"/>
  <c r="H2363" i="1"/>
  <c r="I2363" i="1"/>
  <c r="G2364" i="1"/>
  <c r="H2364" i="1"/>
  <c r="I2364" i="1"/>
  <c r="G2365" i="1"/>
  <c r="H2365" i="1"/>
  <c r="I2365" i="1"/>
  <c r="G2366" i="1"/>
  <c r="H2366" i="1"/>
  <c r="I2366" i="1"/>
  <c r="G2367" i="1"/>
  <c r="H2367" i="1"/>
  <c r="I2367" i="1"/>
  <c r="G2368" i="1"/>
  <c r="H2368" i="1"/>
  <c r="I2368" i="1"/>
  <c r="G2369" i="1"/>
  <c r="H2369" i="1"/>
  <c r="I2369" i="1"/>
  <c r="G2370" i="1"/>
  <c r="H2370" i="1"/>
  <c r="I2370" i="1"/>
  <c r="G2371" i="1"/>
  <c r="H2371" i="1"/>
  <c r="I2371" i="1"/>
  <c r="G2372" i="1"/>
  <c r="H2372" i="1"/>
  <c r="I2372" i="1"/>
  <c r="G2373" i="1"/>
  <c r="H2373" i="1"/>
  <c r="I2373" i="1"/>
  <c r="G2374" i="1"/>
  <c r="H2374" i="1"/>
  <c r="I2374" i="1"/>
  <c r="G2375" i="1"/>
  <c r="H2375" i="1"/>
  <c r="I2375" i="1"/>
  <c r="G2376" i="1"/>
  <c r="H2376" i="1"/>
  <c r="I2376" i="1"/>
  <c r="G2377" i="1"/>
  <c r="H2377" i="1"/>
  <c r="I2377" i="1"/>
  <c r="G2378" i="1"/>
  <c r="H2378" i="1"/>
  <c r="I2378" i="1"/>
  <c r="G2379" i="1"/>
  <c r="H2379" i="1"/>
  <c r="I2379" i="1"/>
  <c r="G2380" i="1"/>
  <c r="H2380" i="1"/>
  <c r="I2380" i="1"/>
  <c r="G2381" i="1"/>
  <c r="H2381" i="1"/>
  <c r="I2381" i="1"/>
  <c r="G2382" i="1"/>
  <c r="H2382" i="1"/>
  <c r="I2382" i="1"/>
  <c r="G2383" i="1"/>
  <c r="H2383" i="1"/>
  <c r="I2383" i="1"/>
  <c r="G2384" i="1"/>
  <c r="H2384" i="1"/>
  <c r="I2384" i="1"/>
  <c r="G2385" i="1"/>
  <c r="H2385" i="1"/>
  <c r="I2385" i="1"/>
  <c r="G2386" i="1"/>
  <c r="H2386" i="1"/>
  <c r="I2386" i="1"/>
  <c r="G2387" i="1"/>
  <c r="H2387" i="1"/>
  <c r="I2387" i="1"/>
  <c r="G2388" i="1"/>
  <c r="H2388" i="1"/>
  <c r="I2388" i="1"/>
  <c r="G2389" i="1"/>
  <c r="H2389" i="1"/>
  <c r="I2389" i="1"/>
  <c r="G2390" i="1"/>
  <c r="H2390" i="1"/>
  <c r="I2390" i="1"/>
  <c r="G2391" i="1"/>
  <c r="H2391" i="1"/>
  <c r="I2391" i="1"/>
  <c r="G2392" i="1"/>
  <c r="H2392" i="1"/>
  <c r="I2392" i="1"/>
  <c r="G2393" i="1"/>
  <c r="H2393" i="1"/>
  <c r="I2393" i="1"/>
  <c r="G2394" i="1"/>
  <c r="H2394" i="1"/>
  <c r="I2394" i="1"/>
  <c r="G2395" i="1"/>
  <c r="H2395" i="1"/>
  <c r="I2395" i="1"/>
  <c r="G2396" i="1"/>
  <c r="H2396" i="1"/>
  <c r="I2396" i="1"/>
  <c r="G2397" i="1"/>
  <c r="H2397" i="1"/>
  <c r="I2397" i="1"/>
  <c r="G2398" i="1"/>
  <c r="H2398" i="1"/>
  <c r="I2398" i="1"/>
  <c r="G2399" i="1"/>
  <c r="H2399" i="1"/>
  <c r="I2399" i="1"/>
  <c r="G2400" i="1"/>
  <c r="H2400" i="1"/>
  <c r="I2400" i="1"/>
  <c r="G2401" i="1"/>
  <c r="H2401" i="1"/>
  <c r="I2401" i="1"/>
  <c r="G2402" i="1"/>
  <c r="H2402" i="1"/>
  <c r="I2402" i="1"/>
  <c r="G2403" i="1"/>
  <c r="H2403" i="1"/>
  <c r="I2403" i="1"/>
  <c r="G2404" i="1"/>
  <c r="H2404" i="1"/>
  <c r="I2404" i="1"/>
  <c r="G2405" i="1"/>
  <c r="H2405" i="1"/>
  <c r="I2405" i="1"/>
  <c r="G2406" i="1"/>
  <c r="H2406" i="1"/>
  <c r="I2406" i="1"/>
  <c r="G2407" i="1"/>
  <c r="H2407" i="1"/>
  <c r="I2407" i="1"/>
  <c r="G2408" i="1"/>
  <c r="H2408" i="1"/>
  <c r="I2408" i="1"/>
  <c r="G2409" i="1"/>
  <c r="H2409" i="1"/>
  <c r="I2409" i="1"/>
  <c r="G2410" i="1"/>
  <c r="H2410" i="1"/>
  <c r="I2410" i="1"/>
  <c r="G2411" i="1"/>
  <c r="H2411" i="1"/>
  <c r="I2411" i="1"/>
  <c r="G2412" i="1"/>
  <c r="H2412" i="1"/>
  <c r="I2412" i="1"/>
  <c r="G2413" i="1"/>
  <c r="H2413" i="1"/>
  <c r="I2413" i="1"/>
  <c r="G2414" i="1"/>
  <c r="H2414" i="1"/>
  <c r="I2414" i="1"/>
  <c r="G2415" i="1"/>
  <c r="H2415" i="1"/>
  <c r="I2415" i="1"/>
  <c r="G2416" i="1"/>
  <c r="H2416" i="1"/>
  <c r="I2416" i="1"/>
  <c r="G2417" i="1"/>
  <c r="H2417" i="1"/>
  <c r="I2417" i="1"/>
  <c r="G2418" i="1"/>
  <c r="H2418" i="1"/>
  <c r="I2418" i="1"/>
  <c r="G2419" i="1"/>
  <c r="H2419" i="1"/>
  <c r="I2419" i="1"/>
  <c r="G2420" i="1"/>
  <c r="H2420" i="1"/>
  <c r="I2420" i="1"/>
  <c r="G2421" i="1"/>
  <c r="H2421" i="1"/>
  <c r="I2421" i="1"/>
  <c r="G2422" i="1"/>
  <c r="H2422" i="1"/>
  <c r="I2422" i="1"/>
  <c r="G2423" i="1"/>
  <c r="H2423" i="1"/>
  <c r="I2423" i="1"/>
  <c r="G2424" i="1"/>
  <c r="H2424" i="1"/>
  <c r="I2424" i="1"/>
  <c r="G2425" i="1"/>
  <c r="H2425" i="1"/>
  <c r="I2425" i="1"/>
  <c r="G2426" i="1"/>
  <c r="H2426" i="1"/>
  <c r="I2426" i="1"/>
  <c r="G2427" i="1"/>
  <c r="H2427" i="1"/>
  <c r="I2427" i="1"/>
  <c r="G2428" i="1"/>
  <c r="H2428" i="1"/>
  <c r="I2428" i="1"/>
  <c r="G2429" i="1"/>
  <c r="H2429" i="1"/>
  <c r="I2429" i="1"/>
  <c r="G2430" i="1"/>
  <c r="H2430" i="1"/>
  <c r="I2430" i="1"/>
  <c r="G2431" i="1"/>
  <c r="H2431" i="1"/>
  <c r="I2431" i="1"/>
  <c r="G2432" i="1"/>
  <c r="H2432" i="1"/>
  <c r="I2432" i="1"/>
  <c r="G2433" i="1"/>
  <c r="H2433" i="1"/>
  <c r="I2433" i="1"/>
  <c r="G2434" i="1"/>
  <c r="H2434" i="1"/>
  <c r="I2434" i="1"/>
  <c r="G2435" i="1"/>
  <c r="H2435" i="1"/>
  <c r="I2435" i="1"/>
  <c r="G2436" i="1"/>
  <c r="H2436" i="1"/>
  <c r="I2436" i="1"/>
  <c r="G2437" i="1"/>
  <c r="H2437" i="1"/>
  <c r="I2437" i="1"/>
  <c r="G2438" i="1"/>
  <c r="H2438" i="1"/>
  <c r="I2438" i="1"/>
  <c r="G2439" i="1"/>
  <c r="H2439" i="1"/>
  <c r="I2439" i="1"/>
  <c r="G2440" i="1"/>
  <c r="H2440" i="1"/>
  <c r="I2440" i="1"/>
  <c r="G2441" i="1"/>
  <c r="H2441" i="1"/>
  <c r="I2441" i="1"/>
  <c r="G2442" i="1"/>
  <c r="H2442" i="1"/>
  <c r="I2442" i="1"/>
  <c r="G2443" i="1"/>
  <c r="H2443" i="1"/>
  <c r="I2443" i="1"/>
  <c r="G2444" i="1"/>
  <c r="H2444" i="1"/>
  <c r="I2444" i="1"/>
  <c r="G2445" i="1"/>
  <c r="H2445" i="1"/>
  <c r="I2445" i="1"/>
  <c r="G2446" i="1"/>
  <c r="H2446" i="1"/>
  <c r="I2446" i="1"/>
  <c r="G2447" i="1"/>
  <c r="H2447" i="1"/>
  <c r="I2447" i="1"/>
  <c r="G2448" i="1"/>
  <c r="H2448" i="1"/>
  <c r="I2448" i="1"/>
  <c r="G2449" i="1"/>
  <c r="H2449" i="1"/>
  <c r="I2449" i="1"/>
  <c r="G2450" i="1"/>
  <c r="H2450" i="1"/>
  <c r="I2450" i="1"/>
  <c r="G2451" i="1"/>
  <c r="H2451" i="1"/>
  <c r="I2451" i="1"/>
  <c r="G2452" i="1"/>
  <c r="H2452" i="1"/>
  <c r="I2452" i="1"/>
  <c r="G2453" i="1"/>
  <c r="H2453" i="1"/>
  <c r="I2453" i="1"/>
  <c r="G2454" i="1"/>
  <c r="H2454" i="1"/>
  <c r="I2454" i="1"/>
  <c r="G2455" i="1"/>
  <c r="H2455" i="1"/>
  <c r="I2455" i="1"/>
  <c r="G2456" i="1"/>
  <c r="H2456" i="1"/>
  <c r="I2456" i="1"/>
  <c r="G2457" i="1"/>
  <c r="H2457" i="1"/>
  <c r="I2457" i="1"/>
  <c r="G2458" i="1"/>
  <c r="H2458" i="1"/>
  <c r="I2458" i="1"/>
  <c r="G2459" i="1"/>
  <c r="H2459" i="1"/>
  <c r="I2459" i="1"/>
  <c r="G2460" i="1"/>
  <c r="H2460" i="1"/>
  <c r="I2460" i="1"/>
  <c r="G2461" i="1"/>
  <c r="H2461" i="1"/>
  <c r="I2461" i="1"/>
  <c r="G2462" i="1"/>
  <c r="H2462" i="1"/>
  <c r="I2462" i="1"/>
  <c r="G2463" i="1"/>
  <c r="H2463" i="1"/>
  <c r="I2463" i="1"/>
  <c r="G2464" i="1"/>
  <c r="H2464" i="1"/>
  <c r="I2464" i="1"/>
  <c r="G2465" i="1"/>
  <c r="H2465" i="1"/>
  <c r="I2465" i="1"/>
  <c r="G2466" i="1"/>
  <c r="H2466" i="1"/>
  <c r="I2466" i="1"/>
  <c r="G2467" i="1"/>
  <c r="H2467" i="1"/>
  <c r="I2467" i="1"/>
  <c r="G2468" i="1"/>
  <c r="H2468" i="1"/>
  <c r="I2468" i="1"/>
  <c r="G2469" i="1"/>
  <c r="H2469" i="1"/>
  <c r="I2469" i="1"/>
  <c r="G2470" i="1"/>
  <c r="H2470" i="1"/>
  <c r="I2470" i="1"/>
  <c r="G2471" i="1"/>
  <c r="H2471" i="1"/>
  <c r="I2471" i="1"/>
  <c r="G2472" i="1"/>
  <c r="H2472" i="1"/>
  <c r="I2472" i="1"/>
  <c r="G2473" i="1"/>
  <c r="H2473" i="1"/>
  <c r="I2473" i="1"/>
  <c r="G2474" i="1"/>
  <c r="H2474" i="1"/>
  <c r="I2474" i="1"/>
  <c r="G2475" i="1"/>
  <c r="H2475" i="1"/>
  <c r="I2475" i="1"/>
  <c r="G2476" i="1"/>
  <c r="H2476" i="1"/>
  <c r="I2476" i="1"/>
  <c r="G2477" i="1"/>
  <c r="H2477" i="1"/>
  <c r="I2477" i="1"/>
  <c r="G2478" i="1"/>
  <c r="H2478" i="1"/>
  <c r="I2478" i="1"/>
  <c r="G2479" i="1"/>
  <c r="H2479" i="1"/>
  <c r="I2479" i="1"/>
  <c r="G2480" i="1"/>
  <c r="H2480" i="1"/>
  <c r="I2480" i="1"/>
  <c r="G2481" i="1"/>
  <c r="H2481" i="1"/>
  <c r="I2481" i="1"/>
  <c r="G2482" i="1"/>
  <c r="H2482" i="1"/>
  <c r="I2482" i="1"/>
  <c r="G2483" i="1"/>
  <c r="H2483" i="1"/>
  <c r="I2483" i="1"/>
  <c r="G2484" i="1"/>
  <c r="H2484" i="1"/>
  <c r="I2484" i="1"/>
  <c r="G2485" i="1"/>
  <c r="H2485" i="1"/>
  <c r="I2485" i="1"/>
  <c r="G2486" i="1"/>
  <c r="H2486" i="1"/>
  <c r="I2486" i="1"/>
  <c r="G2487" i="1"/>
  <c r="H2487" i="1"/>
  <c r="I2487" i="1"/>
  <c r="G2488" i="1"/>
  <c r="H2488" i="1"/>
  <c r="I2488" i="1"/>
  <c r="G2489" i="1"/>
  <c r="H2489" i="1"/>
  <c r="I2489" i="1"/>
  <c r="G2490" i="1"/>
  <c r="H2490" i="1"/>
  <c r="I2490" i="1"/>
  <c r="G2491" i="1"/>
  <c r="H2491" i="1"/>
  <c r="I2491" i="1"/>
  <c r="G2492" i="1"/>
  <c r="H2492" i="1"/>
  <c r="I2492" i="1"/>
  <c r="G2493" i="1"/>
  <c r="H2493" i="1"/>
  <c r="I2493" i="1"/>
  <c r="G2494" i="1"/>
  <c r="H2494" i="1"/>
  <c r="I2494" i="1"/>
  <c r="G2495" i="1"/>
  <c r="H2495" i="1"/>
  <c r="I2495" i="1"/>
  <c r="G2496" i="1"/>
  <c r="H2496" i="1"/>
  <c r="I2496" i="1"/>
  <c r="G2497" i="1"/>
  <c r="H2497" i="1"/>
  <c r="I2497" i="1"/>
  <c r="G2498" i="1"/>
  <c r="H2498" i="1"/>
  <c r="I2498" i="1"/>
  <c r="G2499" i="1"/>
  <c r="H2499" i="1"/>
  <c r="I2499" i="1"/>
  <c r="G2500" i="1"/>
  <c r="H2500" i="1"/>
  <c r="I2500" i="1"/>
  <c r="G2501" i="1"/>
  <c r="H2501" i="1"/>
  <c r="I2501" i="1"/>
  <c r="G2502" i="1"/>
  <c r="H2502" i="1"/>
  <c r="I2502" i="1"/>
  <c r="G2503" i="1"/>
  <c r="H2503" i="1"/>
  <c r="I2503" i="1"/>
  <c r="G2504" i="1"/>
  <c r="H2504" i="1"/>
  <c r="I2504" i="1"/>
  <c r="G2505" i="1"/>
  <c r="H2505" i="1"/>
  <c r="I2505" i="1"/>
  <c r="G2506" i="1"/>
  <c r="H2506" i="1"/>
  <c r="I2506" i="1"/>
  <c r="G2507" i="1"/>
  <c r="H2507" i="1"/>
  <c r="I2507" i="1"/>
  <c r="G2508" i="1"/>
  <c r="H2508" i="1"/>
  <c r="I2508" i="1"/>
  <c r="G2509" i="1"/>
  <c r="H2509" i="1"/>
  <c r="I2509" i="1"/>
  <c r="G2510" i="1"/>
  <c r="H2510" i="1"/>
  <c r="I2510" i="1"/>
  <c r="G2511" i="1"/>
  <c r="H2511" i="1"/>
  <c r="I2511" i="1"/>
  <c r="G2512" i="1"/>
  <c r="H2512" i="1"/>
  <c r="I2512" i="1"/>
  <c r="G2513" i="1"/>
  <c r="H2513" i="1"/>
  <c r="I2513" i="1"/>
  <c r="G2514" i="1"/>
  <c r="H2514" i="1"/>
  <c r="I2514" i="1"/>
  <c r="G2515" i="1"/>
  <c r="H2515" i="1"/>
  <c r="I2515" i="1"/>
  <c r="G2516" i="1"/>
  <c r="H2516" i="1"/>
  <c r="I2516" i="1"/>
  <c r="G2517" i="1"/>
  <c r="H2517" i="1"/>
  <c r="I2517" i="1"/>
  <c r="G2518" i="1"/>
  <c r="H2518" i="1"/>
  <c r="I2518" i="1"/>
  <c r="G2519" i="1"/>
  <c r="H2519" i="1"/>
  <c r="I2519" i="1"/>
  <c r="G2520" i="1"/>
  <c r="H2520" i="1"/>
  <c r="I2520" i="1"/>
  <c r="G2521" i="1"/>
  <c r="H2521" i="1"/>
  <c r="I2521" i="1"/>
  <c r="G2522" i="1"/>
  <c r="H2522" i="1"/>
  <c r="I2522" i="1"/>
  <c r="G2523" i="1"/>
  <c r="H2523" i="1"/>
  <c r="I2523" i="1"/>
  <c r="G2524" i="1"/>
  <c r="H2524" i="1"/>
  <c r="I2524" i="1"/>
  <c r="G2525" i="1"/>
  <c r="H2525" i="1"/>
  <c r="I2525" i="1"/>
  <c r="G2526" i="1"/>
  <c r="H2526" i="1"/>
  <c r="I2526" i="1"/>
  <c r="G2527" i="1"/>
  <c r="H2527" i="1"/>
  <c r="I2527" i="1"/>
  <c r="G2528" i="1"/>
  <c r="H2528" i="1"/>
  <c r="I2528" i="1"/>
  <c r="G2529" i="1"/>
  <c r="H2529" i="1"/>
  <c r="I2529" i="1"/>
  <c r="G2530" i="1"/>
  <c r="H2530" i="1"/>
  <c r="I2530" i="1"/>
  <c r="G2531" i="1"/>
  <c r="H2531" i="1"/>
  <c r="I2531" i="1"/>
  <c r="G2532" i="1"/>
  <c r="H2532" i="1"/>
  <c r="I2532" i="1"/>
  <c r="G2533" i="1"/>
  <c r="H2533" i="1"/>
  <c r="I2533" i="1"/>
  <c r="G2534" i="1"/>
  <c r="H2534" i="1"/>
  <c r="I2534" i="1"/>
  <c r="G2535" i="1"/>
  <c r="H2535" i="1"/>
  <c r="I2535" i="1"/>
  <c r="G2536" i="1"/>
  <c r="H2536" i="1"/>
  <c r="I2536" i="1"/>
  <c r="G2537" i="1"/>
  <c r="H2537" i="1"/>
  <c r="I2537" i="1"/>
  <c r="G2538" i="1"/>
  <c r="H2538" i="1"/>
  <c r="I2538" i="1"/>
  <c r="G2539" i="1"/>
  <c r="H2539" i="1"/>
  <c r="I2539" i="1"/>
  <c r="G2540" i="1"/>
  <c r="H2540" i="1"/>
  <c r="I2540" i="1"/>
  <c r="G2541" i="1"/>
  <c r="H2541" i="1"/>
  <c r="I2541" i="1"/>
  <c r="G2542" i="1"/>
  <c r="H2542" i="1"/>
  <c r="I2542" i="1"/>
  <c r="G2543" i="1"/>
  <c r="H2543" i="1"/>
  <c r="I2543" i="1"/>
  <c r="G2544" i="1"/>
  <c r="H2544" i="1"/>
  <c r="I2544" i="1"/>
  <c r="G2545" i="1"/>
  <c r="H2545" i="1"/>
  <c r="I2545" i="1"/>
  <c r="G2546" i="1"/>
  <c r="H2546" i="1"/>
  <c r="I2546" i="1"/>
  <c r="G2547" i="1"/>
  <c r="H2547" i="1"/>
  <c r="I2547" i="1"/>
  <c r="G2548" i="1"/>
  <c r="H2548" i="1"/>
  <c r="I2548" i="1"/>
  <c r="G2549" i="1"/>
  <c r="H2549" i="1"/>
  <c r="I2549" i="1"/>
  <c r="G2550" i="1"/>
  <c r="H2550" i="1"/>
  <c r="I2550" i="1"/>
  <c r="G2551" i="1"/>
  <c r="H2551" i="1"/>
  <c r="I2551" i="1"/>
  <c r="G2552" i="1"/>
  <c r="H2552" i="1"/>
  <c r="I2552" i="1"/>
  <c r="G2553" i="1"/>
  <c r="H2553" i="1"/>
  <c r="I2553" i="1"/>
  <c r="G2554" i="1"/>
  <c r="H2554" i="1"/>
  <c r="I2554" i="1"/>
  <c r="G2555" i="1"/>
  <c r="H2555" i="1"/>
  <c r="I2555" i="1"/>
  <c r="G2556" i="1"/>
  <c r="H2556" i="1"/>
  <c r="I2556" i="1"/>
  <c r="G2557" i="1"/>
  <c r="H2557" i="1"/>
  <c r="I2557" i="1"/>
  <c r="G2558" i="1"/>
  <c r="H2558" i="1"/>
  <c r="I2558" i="1"/>
  <c r="G2559" i="1"/>
  <c r="H2559" i="1"/>
  <c r="I2559" i="1"/>
  <c r="G2560" i="1"/>
  <c r="H2560" i="1"/>
  <c r="I2560" i="1"/>
  <c r="G2561" i="1"/>
  <c r="H2561" i="1"/>
  <c r="I2561" i="1"/>
  <c r="G2562" i="1"/>
  <c r="H2562" i="1"/>
  <c r="I2562" i="1"/>
  <c r="G2563" i="1"/>
  <c r="H2563" i="1"/>
  <c r="I2563" i="1"/>
  <c r="G2564" i="1"/>
  <c r="H2564" i="1"/>
  <c r="I2564" i="1"/>
  <c r="G2565" i="1"/>
  <c r="H2565" i="1"/>
  <c r="I2565" i="1"/>
  <c r="G2566" i="1"/>
  <c r="H2566" i="1"/>
  <c r="I2566" i="1"/>
  <c r="G2567" i="1"/>
  <c r="H2567" i="1"/>
  <c r="I2567" i="1"/>
  <c r="G2568" i="1"/>
  <c r="H2568" i="1"/>
  <c r="I2568" i="1"/>
  <c r="G2569" i="1"/>
  <c r="H2569" i="1"/>
  <c r="I2569" i="1"/>
  <c r="G2570" i="1"/>
  <c r="H2570" i="1"/>
  <c r="I2570" i="1"/>
  <c r="G2571" i="1"/>
  <c r="H2571" i="1"/>
  <c r="I2571" i="1"/>
  <c r="G2572" i="1"/>
  <c r="H2572" i="1"/>
  <c r="I2572" i="1"/>
  <c r="G2573" i="1"/>
  <c r="H2573" i="1"/>
  <c r="I2573" i="1"/>
  <c r="G2574" i="1"/>
  <c r="H2574" i="1"/>
  <c r="I2574" i="1"/>
  <c r="G2575" i="1"/>
  <c r="H2575" i="1"/>
  <c r="I2575" i="1"/>
  <c r="G2576" i="1"/>
  <c r="H2576" i="1"/>
  <c r="I2576" i="1"/>
  <c r="G2577" i="1"/>
  <c r="H2577" i="1"/>
  <c r="I2577" i="1"/>
  <c r="G2578" i="1"/>
  <c r="H2578" i="1"/>
  <c r="I2578" i="1"/>
  <c r="G2579" i="1"/>
  <c r="H2579" i="1"/>
  <c r="I2579" i="1"/>
  <c r="G2580" i="1"/>
  <c r="H2580" i="1"/>
  <c r="I2580" i="1"/>
  <c r="G2581" i="1"/>
  <c r="H2581" i="1"/>
  <c r="I2581" i="1"/>
  <c r="G2582" i="1"/>
  <c r="H2582" i="1"/>
  <c r="I2582" i="1"/>
  <c r="G2583" i="1"/>
  <c r="H2583" i="1"/>
  <c r="I2583" i="1"/>
  <c r="G2584" i="1"/>
  <c r="H2584" i="1"/>
  <c r="I2584" i="1"/>
  <c r="G2585" i="1"/>
  <c r="H2585" i="1"/>
  <c r="I2585" i="1"/>
  <c r="G2586" i="1"/>
  <c r="H2586" i="1"/>
  <c r="I2586" i="1"/>
  <c r="G2587" i="1"/>
  <c r="H2587" i="1"/>
  <c r="I2587" i="1"/>
  <c r="G2588" i="1"/>
  <c r="H2588" i="1"/>
  <c r="I2588" i="1"/>
  <c r="G2589" i="1"/>
  <c r="H2589" i="1"/>
  <c r="I2589" i="1"/>
  <c r="G2590" i="1"/>
  <c r="H2590" i="1"/>
  <c r="I2590" i="1"/>
  <c r="G2591" i="1"/>
  <c r="H2591" i="1"/>
  <c r="I2591" i="1"/>
  <c r="G2592" i="1"/>
  <c r="H2592" i="1"/>
  <c r="I2592" i="1"/>
  <c r="G2593" i="1"/>
  <c r="H2593" i="1"/>
  <c r="I2593" i="1"/>
  <c r="G2594" i="1"/>
  <c r="H2594" i="1"/>
  <c r="I2594" i="1"/>
  <c r="G2595" i="1"/>
  <c r="H2595" i="1"/>
  <c r="I2595" i="1"/>
  <c r="G2596" i="1"/>
  <c r="H2596" i="1"/>
  <c r="I2596" i="1"/>
  <c r="G2597" i="1"/>
  <c r="H2597" i="1"/>
  <c r="I2597" i="1"/>
  <c r="G2598" i="1"/>
  <c r="H2598" i="1"/>
  <c r="I2598" i="1"/>
  <c r="G2599" i="1"/>
  <c r="H2599" i="1"/>
  <c r="I2599" i="1"/>
  <c r="G2600" i="1"/>
  <c r="H2600" i="1"/>
  <c r="I2600" i="1"/>
  <c r="G2601" i="1"/>
  <c r="H2601" i="1"/>
  <c r="I2601" i="1"/>
  <c r="G2602" i="1"/>
  <c r="H2602" i="1"/>
  <c r="I2602" i="1"/>
  <c r="G2603" i="1"/>
  <c r="H2603" i="1"/>
  <c r="I2603" i="1"/>
  <c r="G2604" i="1"/>
  <c r="H2604" i="1"/>
  <c r="I2604" i="1"/>
  <c r="G2605" i="1"/>
  <c r="H2605" i="1"/>
  <c r="I2605" i="1"/>
  <c r="G2606" i="1"/>
  <c r="H2606" i="1"/>
  <c r="I2606" i="1"/>
  <c r="G2607" i="1"/>
  <c r="H2607" i="1"/>
  <c r="I2607" i="1"/>
  <c r="G2608" i="1"/>
  <c r="H2608" i="1"/>
  <c r="I2608" i="1"/>
  <c r="G2609" i="1"/>
  <c r="H2609" i="1"/>
  <c r="I2609" i="1"/>
  <c r="G2610" i="1"/>
  <c r="H2610" i="1"/>
  <c r="I2610" i="1"/>
  <c r="G2611" i="1"/>
  <c r="H2611" i="1"/>
  <c r="I2611" i="1"/>
  <c r="G2612" i="1"/>
  <c r="H2612" i="1"/>
  <c r="I2612" i="1"/>
  <c r="G2613" i="1"/>
  <c r="H2613" i="1"/>
  <c r="I2613" i="1"/>
  <c r="G2614" i="1"/>
  <c r="H2614" i="1"/>
  <c r="I2614" i="1"/>
  <c r="G2615" i="1"/>
  <c r="H2615" i="1"/>
  <c r="I2615" i="1"/>
  <c r="G2616" i="1"/>
  <c r="H2616" i="1"/>
  <c r="I2616" i="1"/>
  <c r="G2617" i="1"/>
  <c r="H2617" i="1"/>
  <c r="I2617" i="1"/>
  <c r="G2618" i="1"/>
  <c r="H2618" i="1"/>
  <c r="I2618" i="1"/>
  <c r="G2619" i="1"/>
  <c r="H2619" i="1"/>
  <c r="I2619" i="1"/>
  <c r="G2620" i="1"/>
  <c r="H2620" i="1"/>
  <c r="I2620" i="1"/>
  <c r="G2621" i="1"/>
  <c r="H2621" i="1"/>
  <c r="I2621" i="1"/>
  <c r="G2622" i="1"/>
  <c r="H2622" i="1"/>
  <c r="I2622" i="1"/>
  <c r="G2623" i="1"/>
  <c r="H2623" i="1"/>
  <c r="I2623" i="1"/>
  <c r="G2624" i="1"/>
  <c r="H2624" i="1"/>
  <c r="I2624" i="1"/>
  <c r="G2625" i="1"/>
  <c r="H2625" i="1"/>
  <c r="I2625" i="1"/>
  <c r="G2626" i="1"/>
  <c r="H2626" i="1"/>
  <c r="I2626" i="1"/>
  <c r="G2627" i="1"/>
  <c r="H2627" i="1"/>
  <c r="I2627" i="1"/>
  <c r="G2628" i="1"/>
  <c r="H2628" i="1"/>
  <c r="I2628" i="1"/>
  <c r="G2629" i="1"/>
  <c r="H2629" i="1"/>
  <c r="I2629" i="1"/>
  <c r="G2630" i="1"/>
  <c r="H2630" i="1"/>
  <c r="I2630" i="1"/>
  <c r="G2631" i="1"/>
  <c r="H2631" i="1"/>
  <c r="I2631" i="1"/>
  <c r="G2632" i="1"/>
  <c r="H2632" i="1"/>
  <c r="I2632" i="1"/>
  <c r="G2633" i="1"/>
  <c r="H2633" i="1"/>
  <c r="I2633" i="1"/>
  <c r="G2634" i="1"/>
  <c r="H2634" i="1"/>
  <c r="I2634" i="1"/>
  <c r="G2635" i="1"/>
  <c r="H2635" i="1"/>
  <c r="I2635" i="1"/>
  <c r="G2636" i="1"/>
  <c r="H2636" i="1"/>
  <c r="I2636" i="1"/>
  <c r="G2637" i="1"/>
  <c r="H2637" i="1"/>
  <c r="I2637" i="1"/>
  <c r="G2638" i="1"/>
  <c r="H2638" i="1"/>
  <c r="I2638" i="1"/>
  <c r="G2639" i="1"/>
  <c r="H2639" i="1"/>
  <c r="I2639" i="1"/>
  <c r="G2640" i="1"/>
  <c r="H2640" i="1"/>
  <c r="I2640" i="1"/>
  <c r="G2641" i="1"/>
  <c r="H2641" i="1"/>
  <c r="I2641" i="1"/>
  <c r="G2642" i="1"/>
  <c r="H2642" i="1"/>
  <c r="I2642" i="1"/>
  <c r="G2643" i="1"/>
  <c r="H2643" i="1"/>
  <c r="I2643" i="1"/>
  <c r="G2644" i="1"/>
  <c r="H2644" i="1"/>
  <c r="I2644" i="1"/>
  <c r="G2645" i="1"/>
  <c r="H2645" i="1"/>
  <c r="I2645" i="1"/>
  <c r="G2646" i="1"/>
  <c r="H2646" i="1"/>
  <c r="I2646" i="1"/>
  <c r="G2647" i="1"/>
  <c r="H2647" i="1"/>
  <c r="I2647" i="1"/>
  <c r="G2648" i="1"/>
  <c r="H2648" i="1"/>
  <c r="I2648" i="1"/>
  <c r="G2649" i="1"/>
  <c r="H2649" i="1"/>
  <c r="I2649" i="1"/>
  <c r="G2650" i="1"/>
  <c r="H2650" i="1"/>
  <c r="I2650" i="1"/>
  <c r="G2651" i="1"/>
  <c r="H2651" i="1"/>
  <c r="I2651" i="1"/>
  <c r="G2652" i="1"/>
  <c r="H2652" i="1"/>
  <c r="I2652" i="1"/>
  <c r="G2653" i="1"/>
  <c r="H2653" i="1"/>
  <c r="I2653" i="1"/>
  <c r="G2654" i="1"/>
  <c r="H2654" i="1"/>
  <c r="I2654" i="1"/>
  <c r="G2655" i="1"/>
  <c r="H2655" i="1"/>
  <c r="I2655" i="1"/>
  <c r="G2656" i="1"/>
  <c r="H2656" i="1"/>
  <c r="I2656" i="1"/>
  <c r="G2657" i="1"/>
  <c r="H2657" i="1"/>
  <c r="I2657" i="1"/>
  <c r="G2658" i="1"/>
  <c r="H2658" i="1"/>
  <c r="I2658" i="1"/>
  <c r="G2659" i="1"/>
  <c r="H2659" i="1"/>
  <c r="I2659" i="1"/>
  <c r="G2660" i="1"/>
  <c r="H2660" i="1"/>
  <c r="I2660" i="1"/>
  <c r="G2661" i="1"/>
  <c r="H2661" i="1"/>
  <c r="I2661" i="1"/>
  <c r="G2662" i="1"/>
  <c r="H2662" i="1"/>
  <c r="I2662" i="1"/>
  <c r="G2663" i="1"/>
  <c r="H2663" i="1"/>
  <c r="I2663" i="1"/>
  <c r="G2664" i="1"/>
  <c r="H2664" i="1"/>
  <c r="I2664" i="1"/>
  <c r="G2665" i="1"/>
  <c r="H2665" i="1"/>
  <c r="I2665" i="1"/>
  <c r="G2666" i="1"/>
  <c r="H2666" i="1"/>
  <c r="I2666" i="1"/>
  <c r="G2667" i="1"/>
  <c r="H2667" i="1"/>
  <c r="I2667" i="1"/>
  <c r="G2668" i="1"/>
  <c r="H2668" i="1"/>
  <c r="I2668" i="1"/>
  <c r="G2669" i="1"/>
  <c r="H2669" i="1"/>
  <c r="I2669" i="1"/>
  <c r="G2670" i="1"/>
  <c r="H2670" i="1"/>
  <c r="I2670" i="1"/>
  <c r="G2671" i="1"/>
  <c r="H2671" i="1"/>
  <c r="I2671" i="1"/>
  <c r="G2672" i="1"/>
  <c r="H2672" i="1"/>
  <c r="I2672" i="1"/>
  <c r="G2673" i="1"/>
  <c r="H2673" i="1"/>
  <c r="I2673" i="1"/>
  <c r="G2674" i="1"/>
  <c r="H2674" i="1"/>
  <c r="I2674" i="1"/>
  <c r="G2675" i="1"/>
  <c r="H2675" i="1"/>
  <c r="I2675" i="1"/>
  <c r="G2676" i="1"/>
  <c r="H2676" i="1"/>
  <c r="I2676" i="1"/>
  <c r="G2677" i="1"/>
  <c r="H2677" i="1"/>
  <c r="I2677" i="1"/>
  <c r="G2678" i="1"/>
  <c r="H2678" i="1"/>
  <c r="I2678" i="1"/>
  <c r="G2679" i="1"/>
  <c r="H2679" i="1"/>
  <c r="I2679" i="1"/>
  <c r="G2680" i="1"/>
  <c r="H2680" i="1"/>
  <c r="I2680" i="1"/>
  <c r="G2681" i="1"/>
  <c r="H2681" i="1"/>
  <c r="I2681" i="1"/>
  <c r="G2682" i="1"/>
  <c r="H2682" i="1"/>
  <c r="I2682" i="1"/>
  <c r="G2683" i="1"/>
  <c r="H2683" i="1"/>
  <c r="I2683" i="1"/>
  <c r="G2684" i="1"/>
  <c r="H2684" i="1"/>
  <c r="I2684" i="1"/>
  <c r="G2685" i="1"/>
  <c r="H2685" i="1"/>
  <c r="I2685" i="1"/>
  <c r="G2686" i="1"/>
  <c r="H2686" i="1"/>
  <c r="I2686" i="1"/>
  <c r="G2687" i="1"/>
  <c r="H2687" i="1"/>
  <c r="I2687" i="1"/>
  <c r="G2688" i="1"/>
  <c r="H2688" i="1"/>
  <c r="I2688" i="1"/>
  <c r="G2689" i="1"/>
  <c r="H2689" i="1"/>
  <c r="I2689" i="1"/>
  <c r="G2690" i="1"/>
  <c r="H2690" i="1"/>
  <c r="I2690" i="1"/>
  <c r="G2691" i="1"/>
  <c r="H2691" i="1"/>
  <c r="I2691" i="1"/>
  <c r="G2692" i="1"/>
  <c r="H2692" i="1"/>
  <c r="I2692" i="1"/>
  <c r="G2693" i="1"/>
  <c r="H2693" i="1"/>
  <c r="I2693" i="1"/>
  <c r="G2694" i="1"/>
  <c r="H2694" i="1"/>
  <c r="I2694" i="1"/>
  <c r="G2695" i="1"/>
  <c r="H2695" i="1"/>
  <c r="I2695" i="1"/>
  <c r="G2696" i="1"/>
  <c r="H2696" i="1"/>
  <c r="I2696" i="1"/>
  <c r="G2697" i="1"/>
  <c r="H2697" i="1"/>
  <c r="I2697" i="1"/>
  <c r="G2698" i="1"/>
  <c r="H2698" i="1"/>
  <c r="I2698" i="1"/>
  <c r="G2699" i="1"/>
  <c r="H2699" i="1"/>
  <c r="I2699" i="1"/>
  <c r="G2700" i="1"/>
  <c r="H2700" i="1"/>
  <c r="I2700" i="1"/>
  <c r="G2701" i="1"/>
  <c r="H2701" i="1"/>
  <c r="I2701" i="1"/>
  <c r="G2702" i="1"/>
  <c r="H2702" i="1"/>
  <c r="I2702" i="1"/>
  <c r="G2703" i="1"/>
  <c r="H2703" i="1"/>
  <c r="I2703" i="1"/>
  <c r="G2704" i="1"/>
  <c r="H2704" i="1"/>
  <c r="I2704" i="1"/>
  <c r="G2705" i="1"/>
  <c r="H2705" i="1"/>
  <c r="I2705" i="1"/>
  <c r="G2706" i="1"/>
  <c r="H2706" i="1"/>
  <c r="I2706" i="1"/>
  <c r="G2707" i="1"/>
  <c r="H2707" i="1"/>
  <c r="I2707" i="1"/>
  <c r="G2708" i="1"/>
  <c r="H2708" i="1"/>
  <c r="I2708" i="1"/>
  <c r="G2709" i="1"/>
  <c r="H2709" i="1"/>
  <c r="I2709" i="1"/>
  <c r="G2710" i="1"/>
  <c r="H2710" i="1"/>
  <c r="I2710" i="1"/>
  <c r="G2711" i="1"/>
  <c r="H2711" i="1"/>
  <c r="I2711" i="1"/>
  <c r="G2712" i="1"/>
  <c r="H2712" i="1"/>
  <c r="I2712" i="1"/>
  <c r="G2713" i="1"/>
  <c r="H2713" i="1"/>
  <c r="I2713" i="1"/>
  <c r="G2714" i="1"/>
  <c r="H2714" i="1"/>
  <c r="I2714" i="1"/>
  <c r="G2715" i="1"/>
  <c r="H2715" i="1"/>
  <c r="I2715" i="1"/>
  <c r="G2716" i="1"/>
  <c r="H2716" i="1"/>
  <c r="I2716" i="1"/>
  <c r="G2717" i="1"/>
  <c r="H2717" i="1"/>
  <c r="I2717" i="1"/>
  <c r="G2718" i="1"/>
  <c r="H2718" i="1"/>
  <c r="I2718" i="1"/>
  <c r="G2719" i="1"/>
  <c r="H2719" i="1"/>
  <c r="I2719" i="1"/>
  <c r="G2720" i="1"/>
  <c r="H2720" i="1"/>
  <c r="I2720" i="1"/>
  <c r="G2721" i="1"/>
  <c r="H2721" i="1"/>
  <c r="I2721" i="1"/>
  <c r="G2722" i="1"/>
  <c r="H2722" i="1"/>
  <c r="I2722" i="1"/>
  <c r="G2723" i="1"/>
  <c r="H2723" i="1"/>
  <c r="I2723" i="1"/>
  <c r="G2724" i="1"/>
  <c r="H2724" i="1"/>
  <c r="I2724" i="1"/>
  <c r="G2725" i="1"/>
  <c r="H2725" i="1"/>
  <c r="I2725" i="1"/>
  <c r="G2726" i="1"/>
  <c r="H2726" i="1"/>
  <c r="I2726" i="1"/>
  <c r="G2727" i="1"/>
  <c r="H2727" i="1"/>
  <c r="I2727" i="1"/>
  <c r="G2728" i="1"/>
  <c r="H2728" i="1"/>
  <c r="I2728" i="1"/>
  <c r="G2729" i="1"/>
  <c r="H2729" i="1"/>
  <c r="I2729" i="1"/>
  <c r="G2730" i="1"/>
  <c r="H2730" i="1"/>
  <c r="I2730" i="1"/>
  <c r="G2731" i="1"/>
  <c r="H2731" i="1"/>
  <c r="I2731" i="1"/>
  <c r="G2732" i="1"/>
  <c r="H2732" i="1"/>
  <c r="I2732" i="1"/>
  <c r="G2733" i="1"/>
  <c r="H2733" i="1"/>
  <c r="I2733" i="1"/>
  <c r="G2734" i="1"/>
  <c r="H2734" i="1"/>
  <c r="I2734" i="1"/>
  <c r="G2735" i="1"/>
  <c r="H2735" i="1"/>
  <c r="I2735" i="1"/>
  <c r="G2736" i="1"/>
  <c r="H2736" i="1"/>
  <c r="I2736" i="1"/>
  <c r="G2737" i="1"/>
  <c r="H2737" i="1"/>
  <c r="I2737" i="1"/>
  <c r="G2738" i="1"/>
  <c r="H2738" i="1"/>
  <c r="I2738" i="1"/>
  <c r="G2739" i="1"/>
  <c r="H2739" i="1"/>
  <c r="I2739" i="1"/>
  <c r="G2740" i="1"/>
  <c r="H2740" i="1"/>
  <c r="I2740" i="1"/>
  <c r="G2741" i="1"/>
  <c r="H2741" i="1"/>
  <c r="I2741" i="1"/>
  <c r="G2742" i="1"/>
  <c r="H2742" i="1"/>
  <c r="I2742" i="1"/>
  <c r="G2743" i="1"/>
  <c r="H2743" i="1"/>
  <c r="I2743" i="1"/>
  <c r="G2744" i="1"/>
  <c r="H2744" i="1"/>
  <c r="I2744" i="1"/>
  <c r="G2745" i="1"/>
  <c r="H2745" i="1"/>
  <c r="I2745" i="1"/>
  <c r="G2746" i="1"/>
  <c r="H2746" i="1"/>
  <c r="I2746" i="1"/>
  <c r="G2747" i="1"/>
  <c r="H2747" i="1"/>
  <c r="I2747" i="1"/>
  <c r="G2748" i="1"/>
  <c r="H2748" i="1"/>
  <c r="I2748" i="1"/>
  <c r="G2749" i="1"/>
  <c r="H2749" i="1"/>
  <c r="I2749" i="1"/>
  <c r="G2750" i="1"/>
  <c r="H2750" i="1"/>
  <c r="I2750" i="1"/>
  <c r="G2751" i="1"/>
  <c r="H2751" i="1"/>
  <c r="I2751" i="1"/>
  <c r="G2752" i="1"/>
  <c r="H2752" i="1"/>
  <c r="I2752" i="1"/>
  <c r="G2753" i="1"/>
  <c r="H2753" i="1"/>
  <c r="I2753" i="1"/>
  <c r="G2754" i="1"/>
  <c r="H2754" i="1"/>
  <c r="I2754" i="1"/>
  <c r="G2755" i="1"/>
  <c r="H2755" i="1"/>
  <c r="I2755" i="1"/>
  <c r="G2756" i="1"/>
  <c r="H2756" i="1"/>
  <c r="I2756" i="1"/>
  <c r="G2757" i="1"/>
  <c r="H2757" i="1"/>
  <c r="I2757" i="1"/>
  <c r="G2758" i="1"/>
  <c r="H2758" i="1"/>
  <c r="I2758" i="1"/>
  <c r="G2759" i="1"/>
  <c r="H2759" i="1"/>
  <c r="I2759" i="1"/>
  <c r="G2760" i="1"/>
  <c r="H2760" i="1"/>
  <c r="I2760" i="1"/>
  <c r="G2761" i="1"/>
  <c r="H2761" i="1"/>
  <c r="I2761" i="1"/>
  <c r="G2762" i="1"/>
  <c r="H2762" i="1"/>
  <c r="I2762" i="1"/>
  <c r="G2763" i="1"/>
  <c r="H2763" i="1"/>
  <c r="I2763" i="1"/>
  <c r="G2764" i="1"/>
  <c r="H2764" i="1"/>
  <c r="I2764" i="1"/>
  <c r="G2765" i="1"/>
  <c r="H2765" i="1"/>
  <c r="I2765" i="1"/>
  <c r="G2766" i="1"/>
  <c r="H2766" i="1"/>
  <c r="I2766" i="1"/>
  <c r="G2767" i="1"/>
  <c r="H2767" i="1"/>
  <c r="I2767" i="1"/>
  <c r="G2768" i="1"/>
  <c r="H2768" i="1"/>
  <c r="I2768" i="1"/>
  <c r="G2769" i="1"/>
  <c r="H2769" i="1"/>
  <c r="I2769" i="1"/>
  <c r="G2770" i="1"/>
  <c r="H2770" i="1"/>
  <c r="I2770" i="1"/>
  <c r="G2771" i="1"/>
  <c r="H2771" i="1"/>
  <c r="I2771" i="1"/>
  <c r="G2772" i="1"/>
  <c r="H2772" i="1"/>
  <c r="I2772" i="1"/>
  <c r="G2773" i="1"/>
  <c r="H2773" i="1"/>
  <c r="I2773" i="1"/>
  <c r="G2774" i="1"/>
  <c r="H2774" i="1"/>
  <c r="I2774" i="1"/>
  <c r="G2775" i="1"/>
  <c r="H2775" i="1"/>
  <c r="I2775" i="1"/>
  <c r="G2776" i="1"/>
  <c r="H2776" i="1"/>
  <c r="I2776" i="1"/>
  <c r="G2777" i="1"/>
  <c r="H2777" i="1"/>
  <c r="I2777" i="1"/>
  <c r="G2778" i="1"/>
  <c r="H2778" i="1"/>
  <c r="I2778" i="1"/>
  <c r="G2779" i="1"/>
  <c r="H2779" i="1"/>
  <c r="I2779" i="1"/>
  <c r="G2780" i="1"/>
  <c r="H2780" i="1"/>
  <c r="I2780" i="1"/>
  <c r="G2781" i="1"/>
  <c r="H2781" i="1"/>
  <c r="I2781" i="1"/>
  <c r="G2782" i="1"/>
  <c r="H2782" i="1"/>
  <c r="I2782" i="1"/>
  <c r="G2783" i="1"/>
  <c r="H2783" i="1"/>
  <c r="I2783" i="1"/>
  <c r="G2784" i="1"/>
  <c r="H2784" i="1"/>
  <c r="I2784" i="1"/>
  <c r="G2785" i="1"/>
  <c r="H2785" i="1"/>
  <c r="I2785" i="1"/>
  <c r="G2786" i="1"/>
  <c r="H2786" i="1"/>
  <c r="I2786" i="1"/>
  <c r="G2787" i="1"/>
  <c r="H2787" i="1"/>
  <c r="I2787" i="1"/>
  <c r="G2788" i="1"/>
  <c r="H2788" i="1"/>
  <c r="I2788" i="1"/>
  <c r="G2789" i="1"/>
  <c r="H2789" i="1"/>
  <c r="I2789" i="1"/>
  <c r="G2790" i="1"/>
  <c r="H2790" i="1"/>
  <c r="I2790" i="1"/>
  <c r="G2791" i="1"/>
  <c r="H2791" i="1"/>
  <c r="I2791" i="1"/>
  <c r="G2792" i="1"/>
  <c r="H2792" i="1"/>
  <c r="I2792" i="1"/>
  <c r="G2793" i="1"/>
  <c r="H2793" i="1"/>
  <c r="I2793" i="1"/>
  <c r="G2794" i="1"/>
  <c r="H2794" i="1"/>
  <c r="I2794" i="1"/>
  <c r="G2795" i="1"/>
  <c r="H2795" i="1"/>
  <c r="I2795" i="1"/>
  <c r="G2796" i="1"/>
  <c r="H2796" i="1"/>
  <c r="I2796" i="1"/>
  <c r="G2797" i="1"/>
  <c r="H2797" i="1"/>
  <c r="I2797" i="1"/>
  <c r="G2798" i="1"/>
  <c r="H2798" i="1"/>
  <c r="I2798" i="1"/>
  <c r="G2799" i="1"/>
  <c r="H2799" i="1"/>
  <c r="I2799" i="1"/>
  <c r="G2800" i="1"/>
  <c r="H2800" i="1"/>
  <c r="I2800" i="1"/>
  <c r="G2801" i="1"/>
  <c r="H2801" i="1"/>
  <c r="I2801" i="1"/>
  <c r="G2802" i="1"/>
  <c r="H2802" i="1"/>
  <c r="I2802" i="1"/>
  <c r="G2803" i="1"/>
  <c r="H2803" i="1"/>
  <c r="I2803" i="1"/>
  <c r="G2804" i="1"/>
  <c r="H2804" i="1"/>
  <c r="I2804" i="1"/>
  <c r="G2805" i="1"/>
  <c r="H2805" i="1"/>
  <c r="I2805" i="1"/>
  <c r="G2806" i="1"/>
  <c r="H2806" i="1"/>
  <c r="I2806" i="1"/>
  <c r="G2807" i="1"/>
  <c r="H2807" i="1"/>
  <c r="I2807" i="1"/>
  <c r="G2808" i="1"/>
  <c r="H2808" i="1"/>
  <c r="I2808" i="1"/>
  <c r="G2809" i="1"/>
  <c r="H2809" i="1"/>
  <c r="I2809" i="1"/>
  <c r="G2810" i="1"/>
  <c r="H2810" i="1"/>
  <c r="I2810" i="1"/>
  <c r="G2811" i="1"/>
  <c r="H2811" i="1"/>
  <c r="I2811" i="1"/>
  <c r="G2812" i="1"/>
  <c r="H2812" i="1"/>
  <c r="I2812" i="1"/>
  <c r="G2813" i="1"/>
  <c r="H2813" i="1"/>
  <c r="I2813" i="1"/>
  <c r="G2814" i="1"/>
  <c r="H2814" i="1"/>
  <c r="I2814" i="1"/>
  <c r="G2815" i="1"/>
  <c r="H2815" i="1"/>
  <c r="I2815" i="1"/>
  <c r="G2816" i="1"/>
  <c r="H2816" i="1"/>
  <c r="I2816" i="1"/>
  <c r="G2817" i="1"/>
  <c r="H2817" i="1"/>
  <c r="I2817" i="1"/>
  <c r="G2818" i="1"/>
  <c r="H2818" i="1"/>
  <c r="I2818" i="1"/>
  <c r="G2819" i="1"/>
  <c r="H2819" i="1"/>
  <c r="I2819" i="1"/>
  <c r="G2820" i="1"/>
  <c r="H2820" i="1"/>
  <c r="I2820" i="1"/>
  <c r="G2821" i="1"/>
  <c r="H2821" i="1"/>
  <c r="I2821" i="1"/>
  <c r="G2822" i="1"/>
  <c r="H2822" i="1"/>
  <c r="I2822" i="1"/>
  <c r="G2823" i="1"/>
  <c r="H2823" i="1"/>
  <c r="I2823" i="1"/>
  <c r="G2824" i="1"/>
  <c r="H2824" i="1"/>
  <c r="I2824" i="1"/>
  <c r="G2825" i="1"/>
  <c r="H2825" i="1"/>
  <c r="I2825" i="1"/>
  <c r="G2826" i="1"/>
  <c r="H2826" i="1"/>
  <c r="I2826" i="1"/>
  <c r="G2827" i="1"/>
  <c r="H2827" i="1"/>
  <c r="I2827" i="1"/>
  <c r="G2828" i="1"/>
  <c r="H2828" i="1"/>
  <c r="I2828" i="1"/>
  <c r="G2829" i="1"/>
  <c r="H2829" i="1"/>
  <c r="I2829" i="1"/>
  <c r="G2830" i="1"/>
  <c r="H2830" i="1"/>
  <c r="I2830" i="1"/>
  <c r="G2831" i="1"/>
  <c r="H2831" i="1"/>
  <c r="I2831" i="1"/>
  <c r="G2832" i="1"/>
  <c r="H2832" i="1"/>
  <c r="I2832" i="1"/>
  <c r="G2833" i="1"/>
  <c r="H2833" i="1"/>
  <c r="I2833" i="1"/>
  <c r="G2834" i="1"/>
  <c r="H2834" i="1"/>
  <c r="I2834" i="1"/>
  <c r="G2835" i="1"/>
  <c r="H2835" i="1"/>
  <c r="I2835" i="1"/>
  <c r="G2836" i="1"/>
  <c r="H2836" i="1"/>
  <c r="I2836" i="1"/>
  <c r="G2837" i="1"/>
  <c r="H2837" i="1"/>
  <c r="I2837" i="1"/>
  <c r="G2838" i="1"/>
  <c r="H2838" i="1"/>
  <c r="I2838" i="1"/>
  <c r="G2839" i="1"/>
  <c r="H2839" i="1"/>
  <c r="I2839" i="1"/>
  <c r="G2840" i="1"/>
  <c r="H2840" i="1"/>
  <c r="I2840" i="1"/>
  <c r="G2841" i="1"/>
  <c r="H2841" i="1"/>
  <c r="I2841" i="1"/>
  <c r="G2842" i="1"/>
  <c r="H2842" i="1"/>
  <c r="I2842" i="1"/>
  <c r="G2843" i="1"/>
  <c r="H2843" i="1"/>
  <c r="I2843" i="1"/>
  <c r="G2844" i="1"/>
  <c r="H2844" i="1"/>
  <c r="I2844" i="1"/>
  <c r="G2845" i="1"/>
  <c r="H2845" i="1"/>
  <c r="I2845" i="1"/>
  <c r="G2846" i="1"/>
  <c r="H2846" i="1"/>
  <c r="I2846" i="1"/>
  <c r="G2847" i="1"/>
  <c r="H2847" i="1"/>
  <c r="I2847" i="1"/>
  <c r="G2848" i="1"/>
  <c r="H2848" i="1"/>
  <c r="I2848" i="1"/>
  <c r="G2849" i="1"/>
  <c r="H2849" i="1"/>
  <c r="I2849" i="1"/>
  <c r="G2850" i="1"/>
  <c r="H2850" i="1"/>
  <c r="I2850" i="1"/>
  <c r="G2851" i="1"/>
  <c r="H2851" i="1"/>
  <c r="I2851" i="1"/>
  <c r="G2852" i="1"/>
  <c r="H2852" i="1"/>
  <c r="I2852" i="1"/>
  <c r="G2853" i="1"/>
  <c r="H2853" i="1"/>
  <c r="I2853" i="1"/>
  <c r="G2854" i="1"/>
  <c r="H2854" i="1"/>
  <c r="I2854" i="1"/>
  <c r="G2855" i="1"/>
  <c r="H2855" i="1"/>
  <c r="I2855" i="1"/>
  <c r="G2856" i="1"/>
  <c r="H2856" i="1"/>
  <c r="I2856" i="1"/>
  <c r="G2857" i="1"/>
  <c r="H2857" i="1"/>
  <c r="I2857" i="1"/>
  <c r="G2858" i="1"/>
  <c r="H2858" i="1"/>
  <c r="I2858" i="1"/>
  <c r="G2859" i="1"/>
  <c r="H2859" i="1"/>
  <c r="I2859" i="1"/>
  <c r="G2860" i="1"/>
  <c r="H2860" i="1"/>
  <c r="I2860" i="1"/>
  <c r="G2861" i="1"/>
  <c r="H2861" i="1"/>
  <c r="I2861" i="1"/>
  <c r="G2862" i="1"/>
  <c r="H2862" i="1"/>
  <c r="I2862" i="1"/>
  <c r="G2863" i="1"/>
  <c r="H2863" i="1"/>
  <c r="I2863" i="1"/>
  <c r="G2864" i="1"/>
  <c r="H2864" i="1"/>
  <c r="I2864" i="1"/>
  <c r="G2865" i="1"/>
  <c r="H2865" i="1"/>
  <c r="I2865" i="1"/>
  <c r="G2866" i="1"/>
  <c r="H2866" i="1"/>
  <c r="I2866" i="1"/>
  <c r="G2867" i="1"/>
  <c r="H2867" i="1"/>
  <c r="I2867" i="1"/>
  <c r="G2868" i="1"/>
  <c r="H2868" i="1"/>
  <c r="I2868" i="1"/>
  <c r="G2869" i="1"/>
  <c r="H2869" i="1"/>
  <c r="I2869" i="1"/>
  <c r="G2870" i="1"/>
  <c r="H2870" i="1"/>
  <c r="I2870" i="1"/>
  <c r="G2871" i="1"/>
  <c r="H2871" i="1"/>
  <c r="I2871" i="1"/>
  <c r="G2872" i="1"/>
  <c r="H2872" i="1"/>
  <c r="I2872" i="1"/>
  <c r="G2873" i="1"/>
  <c r="H2873" i="1"/>
  <c r="I2873" i="1"/>
  <c r="G2874" i="1"/>
  <c r="H2874" i="1"/>
  <c r="I2874" i="1"/>
  <c r="G2875" i="1"/>
  <c r="H2875" i="1"/>
  <c r="I2875" i="1"/>
  <c r="G2876" i="1"/>
  <c r="H2876" i="1"/>
  <c r="I2876" i="1"/>
  <c r="G2877" i="1"/>
  <c r="H2877" i="1"/>
  <c r="I2877" i="1"/>
  <c r="G2878" i="1"/>
  <c r="H2878" i="1"/>
  <c r="I2878" i="1"/>
  <c r="G2879" i="1"/>
  <c r="H2879" i="1"/>
  <c r="I2879" i="1"/>
  <c r="G2880" i="1"/>
  <c r="H2880" i="1"/>
  <c r="I2880" i="1"/>
  <c r="G2881" i="1"/>
  <c r="H2881" i="1"/>
  <c r="I2881" i="1"/>
  <c r="G2882" i="1"/>
  <c r="H2882" i="1"/>
  <c r="I2882" i="1"/>
  <c r="G2883" i="1"/>
  <c r="H2883" i="1"/>
  <c r="I2883" i="1"/>
  <c r="G2884" i="1"/>
  <c r="H2884" i="1"/>
  <c r="I2884" i="1"/>
  <c r="G2885" i="1"/>
  <c r="H2885" i="1"/>
  <c r="I2885" i="1"/>
  <c r="G2886" i="1"/>
  <c r="H2886" i="1"/>
  <c r="I2886" i="1"/>
  <c r="G2887" i="1"/>
  <c r="H2887" i="1"/>
  <c r="I2887" i="1"/>
  <c r="G2888" i="1"/>
  <c r="H2888" i="1"/>
  <c r="I2888" i="1"/>
  <c r="G2889" i="1"/>
  <c r="H2889" i="1"/>
  <c r="I2889" i="1"/>
  <c r="G2890" i="1"/>
  <c r="H2890" i="1"/>
  <c r="I2890" i="1"/>
  <c r="G2891" i="1"/>
  <c r="H2891" i="1"/>
  <c r="I2891" i="1"/>
  <c r="G2892" i="1"/>
  <c r="H2892" i="1"/>
  <c r="I2892" i="1"/>
  <c r="G2893" i="1"/>
  <c r="H2893" i="1"/>
  <c r="I2893" i="1"/>
  <c r="G2894" i="1"/>
  <c r="H2894" i="1"/>
  <c r="I2894" i="1"/>
  <c r="G2895" i="1"/>
  <c r="H2895" i="1"/>
  <c r="I2895" i="1"/>
  <c r="G2896" i="1"/>
  <c r="H2896" i="1"/>
  <c r="I2896" i="1"/>
  <c r="G2897" i="1"/>
  <c r="H2897" i="1"/>
  <c r="I2897" i="1"/>
  <c r="G2898" i="1"/>
  <c r="H2898" i="1"/>
  <c r="I2898" i="1"/>
  <c r="G2899" i="1"/>
  <c r="H2899" i="1"/>
  <c r="I2899" i="1"/>
  <c r="G2900" i="1"/>
  <c r="H2900" i="1"/>
  <c r="I2900" i="1"/>
  <c r="G2901" i="1"/>
  <c r="H2901" i="1"/>
  <c r="I2901" i="1"/>
  <c r="G2902" i="1"/>
  <c r="H2902" i="1"/>
  <c r="I2902" i="1"/>
  <c r="G2903" i="1"/>
  <c r="H2903" i="1"/>
  <c r="I2903" i="1"/>
  <c r="G2904" i="1"/>
  <c r="H2904" i="1"/>
  <c r="I2904" i="1"/>
  <c r="G2905" i="1"/>
  <c r="H2905" i="1"/>
  <c r="I2905" i="1"/>
  <c r="G2906" i="1"/>
  <c r="H2906" i="1"/>
  <c r="I2906" i="1"/>
  <c r="G2907" i="1"/>
  <c r="H2907" i="1"/>
  <c r="I2907" i="1"/>
  <c r="G2908" i="1"/>
  <c r="H2908" i="1"/>
  <c r="I2908" i="1"/>
  <c r="G2909" i="1"/>
  <c r="H2909" i="1"/>
  <c r="I2909" i="1"/>
  <c r="G2910" i="1"/>
  <c r="H2910" i="1"/>
  <c r="I2910" i="1"/>
  <c r="G2911" i="1"/>
  <c r="H2911" i="1"/>
  <c r="I2911" i="1"/>
  <c r="G2912" i="1"/>
  <c r="H2912" i="1"/>
  <c r="I2912" i="1"/>
  <c r="G2913" i="1"/>
  <c r="H2913" i="1"/>
  <c r="I2913" i="1"/>
  <c r="G2914" i="1"/>
  <c r="H2914" i="1"/>
  <c r="I2914" i="1"/>
  <c r="G2915" i="1"/>
  <c r="H2915" i="1"/>
  <c r="I2915" i="1"/>
  <c r="G2916" i="1"/>
  <c r="H2916" i="1"/>
  <c r="I2916" i="1"/>
  <c r="G2917" i="1"/>
  <c r="H2917" i="1"/>
  <c r="I2917" i="1"/>
  <c r="G2918" i="1"/>
  <c r="H2918" i="1"/>
  <c r="I2918" i="1"/>
  <c r="G2919" i="1"/>
  <c r="H2919" i="1"/>
  <c r="I2919" i="1"/>
  <c r="G2920" i="1"/>
  <c r="H2920" i="1"/>
  <c r="I2920" i="1"/>
  <c r="G2921" i="1"/>
  <c r="H2921" i="1"/>
  <c r="I2921" i="1"/>
  <c r="G2922" i="1"/>
  <c r="H2922" i="1"/>
  <c r="I2922" i="1"/>
  <c r="G2923" i="1"/>
  <c r="H2923" i="1"/>
  <c r="I2923" i="1"/>
  <c r="G2924" i="1"/>
  <c r="H2924" i="1"/>
  <c r="I2924" i="1"/>
  <c r="G2925" i="1"/>
  <c r="H2925" i="1"/>
  <c r="I2925" i="1"/>
  <c r="G2926" i="1"/>
  <c r="H2926" i="1"/>
  <c r="I2926" i="1"/>
  <c r="G2927" i="1"/>
  <c r="H2927" i="1"/>
  <c r="I2927" i="1"/>
  <c r="G2928" i="1"/>
  <c r="H2928" i="1"/>
  <c r="I2928" i="1"/>
  <c r="G2929" i="1"/>
  <c r="H2929" i="1"/>
  <c r="I2929" i="1"/>
  <c r="G2930" i="1"/>
  <c r="H2930" i="1"/>
  <c r="I2930" i="1"/>
  <c r="G2931" i="1"/>
  <c r="H2931" i="1"/>
  <c r="I2931" i="1"/>
  <c r="G2932" i="1"/>
  <c r="H2932" i="1"/>
  <c r="I2932" i="1"/>
  <c r="G2933" i="1"/>
  <c r="H2933" i="1"/>
  <c r="I2933" i="1"/>
  <c r="G2934" i="1"/>
  <c r="H2934" i="1"/>
  <c r="I2934" i="1"/>
  <c r="G2935" i="1"/>
  <c r="H2935" i="1"/>
  <c r="I2935" i="1"/>
  <c r="G2936" i="1"/>
  <c r="H2936" i="1"/>
  <c r="I2936" i="1"/>
  <c r="G2937" i="1"/>
  <c r="H2937" i="1"/>
  <c r="I2937" i="1"/>
  <c r="G2938" i="1"/>
  <c r="H2938" i="1"/>
  <c r="I2938" i="1"/>
  <c r="G2939" i="1"/>
  <c r="H2939" i="1"/>
  <c r="I2939" i="1"/>
  <c r="G2940" i="1"/>
  <c r="H2940" i="1"/>
  <c r="I2940" i="1"/>
  <c r="G2941" i="1"/>
  <c r="H2941" i="1"/>
  <c r="I2941" i="1"/>
  <c r="G2942" i="1"/>
  <c r="H2942" i="1"/>
  <c r="I2942" i="1"/>
  <c r="G2943" i="1"/>
  <c r="H2943" i="1"/>
  <c r="I2943" i="1"/>
  <c r="G2944" i="1"/>
  <c r="H2944" i="1"/>
  <c r="I2944" i="1"/>
  <c r="G2945" i="1"/>
  <c r="H2945" i="1"/>
  <c r="I2945" i="1"/>
  <c r="G2946" i="1"/>
  <c r="H2946" i="1"/>
  <c r="I2946" i="1"/>
  <c r="G2947" i="1"/>
  <c r="H2947" i="1"/>
  <c r="I2947" i="1"/>
  <c r="G2948" i="1"/>
  <c r="H2948" i="1"/>
  <c r="I2948" i="1"/>
  <c r="G2949" i="1"/>
  <c r="H2949" i="1"/>
  <c r="I2949" i="1"/>
  <c r="G2950" i="1"/>
  <c r="H2950" i="1"/>
  <c r="I2950" i="1"/>
  <c r="G2951" i="1"/>
  <c r="H2951" i="1"/>
  <c r="I2951" i="1"/>
  <c r="G2952" i="1"/>
  <c r="H2952" i="1"/>
  <c r="I2952" i="1"/>
  <c r="G2953" i="1"/>
  <c r="H2953" i="1"/>
  <c r="I2953" i="1"/>
  <c r="G2954" i="1"/>
  <c r="H2954" i="1"/>
  <c r="I2954" i="1"/>
  <c r="G2955" i="1"/>
  <c r="H2955" i="1"/>
  <c r="I2955" i="1"/>
  <c r="G2956" i="1"/>
  <c r="H2956" i="1"/>
  <c r="I2956" i="1"/>
  <c r="G2957" i="1"/>
  <c r="H2957" i="1"/>
  <c r="I2957" i="1"/>
  <c r="G2958" i="1"/>
  <c r="H2958" i="1"/>
  <c r="I2958" i="1"/>
  <c r="G2959" i="1"/>
  <c r="H2959" i="1"/>
  <c r="I2959" i="1"/>
  <c r="G2960" i="1"/>
  <c r="H2960" i="1"/>
  <c r="I2960" i="1"/>
  <c r="G2961" i="1"/>
  <c r="H2961" i="1"/>
  <c r="I2961" i="1"/>
  <c r="G2962" i="1"/>
  <c r="H2962" i="1"/>
  <c r="I2962" i="1"/>
  <c r="G2963" i="1"/>
  <c r="H2963" i="1"/>
  <c r="I2963" i="1"/>
  <c r="G2964" i="1"/>
  <c r="H2964" i="1"/>
  <c r="I2964" i="1"/>
  <c r="G2965" i="1"/>
  <c r="H2965" i="1"/>
  <c r="I2965" i="1"/>
  <c r="G2966" i="1"/>
  <c r="H2966" i="1"/>
  <c r="I2966" i="1"/>
  <c r="G2967" i="1"/>
  <c r="H2967" i="1"/>
  <c r="I2967" i="1"/>
  <c r="G2968" i="1"/>
  <c r="H2968" i="1"/>
  <c r="I2968" i="1"/>
  <c r="G2969" i="1"/>
  <c r="H2969" i="1"/>
  <c r="I2969" i="1"/>
  <c r="G2970" i="1"/>
  <c r="H2970" i="1"/>
  <c r="I2970" i="1"/>
  <c r="G2971" i="1"/>
  <c r="H2971" i="1"/>
  <c r="I2971" i="1"/>
  <c r="G2972" i="1"/>
  <c r="H2972" i="1"/>
  <c r="I2972" i="1"/>
  <c r="G2973" i="1"/>
  <c r="H2973" i="1"/>
  <c r="I2973" i="1"/>
  <c r="G2974" i="1"/>
  <c r="H2974" i="1"/>
  <c r="I2974" i="1"/>
  <c r="G2975" i="1"/>
  <c r="H2975" i="1"/>
  <c r="I2975" i="1"/>
  <c r="G2976" i="1"/>
  <c r="H2976" i="1"/>
  <c r="I2976" i="1"/>
  <c r="G2977" i="1"/>
  <c r="H2977" i="1"/>
  <c r="I2977" i="1"/>
  <c r="G2978" i="1"/>
  <c r="H2978" i="1"/>
  <c r="I2978" i="1"/>
  <c r="G2979" i="1"/>
  <c r="H2979" i="1"/>
  <c r="I2979" i="1"/>
  <c r="G2980" i="1"/>
  <c r="H2980" i="1"/>
  <c r="I2980" i="1"/>
  <c r="G2981" i="1"/>
  <c r="H2981" i="1"/>
  <c r="I2981" i="1"/>
  <c r="G2982" i="1"/>
  <c r="H2982" i="1"/>
  <c r="I2982" i="1"/>
  <c r="G2983" i="1"/>
  <c r="H2983" i="1"/>
  <c r="I2983" i="1"/>
  <c r="G2984" i="1"/>
  <c r="H2984" i="1"/>
  <c r="I2984" i="1"/>
  <c r="G2985" i="1"/>
  <c r="H2985" i="1"/>
  <c r="I2985" i="1"/>
  <c r="G2986" i="1"/>
  <c r="H2986" i="1"/>
  <c r="I2986" i="1"/>
  <c r="G2987" i="1"/>
  <c r="H2987" i="1"/>
  <c r="I2987" i="1"/>
  <c r="G2988" i="1"/>
  <c r="H2988" i="1"/>
  <c r="I2988" i="1"/>
  <c r="G2989" i="1"/>
  <c r="H2989" i="1"/>
  <c r="I2989" i="1"/>
  <c r="G2990" i="1"/>
  <c r="H2990" i="1"/>
  <c r="I2990" i="1"/>
  <c r="G2991" i="1"/>
  <c r="H2991" i="1"/>
  <c r="I2991" i="1"/>
  <c r="G2992" i="1"/>
  <c r="H2992" i="1"/>
  <c r="I2992" i="1"/>
  <c r="G2993" i="1"/>
  <c r="H2993" i="1"/>
  <c r="I2993" i="1"/>
  <c r="G2994" i="1"/>
  <c r="H2994" i="1"/>
  <c r="I2994" i="1"/>
  <c r="G2995" i="1"/>
  <c r="H2995" i="1"/>
  <c r="I2995" i="1"/>
  <c r="G2996" i="1"/>
  <c r="H2996" i="1"/>
  <c r="I2996" i="1"/>
  <c r="G2997" i="1"/>
  <c r="H2997" i="1"/>
  <c r="I2997" i="1"/>
  <c r="G2998" i="1"/>
  <c r="H2998" i="1"/>
  <c r="I2998" i="1"/>
  <c r="G2999" i="1"/>
  <c r="H2999" i="1"/>
  <c r="I2999" i="1"/>
  <c r="G3000" i="1"/>
  <c r="H3000" i="1"/>
  <c r="I3000" i="1"/>
  <c r="G3001" i="1"/>
  <c r="H3001" i="1"/>
  <c r="I3001" i="1"/>
  <c r="G3002" i="1"/>
  <c r="H3002" i="1"/>
  <c r="I3002" i="1"/>
  <c r="G3003" i="1"/>
  <c r="H3003" i="1"/>
  <c r="I3003" i="1"/>
  <c r="G3004" i="1"/>
  <c r="H3004" i="1"/>
  <c r="I3004" i="1"/>
  <c r="G3005" i="1"/>
  <c r="H3005" i="1"/>
  <c r="I3005" i="1"/>
  <c r="G3006" i="1"/>
  <c r="H3006" i="1"/>
  <c r="I3006" i="1"/>
  <c r="G3007" i="1"/>
  <c r="H3007" i="1"/>
  <c r="I3007" i="1"/>
  <c r="G3008" i="1"/>
  <c r="H3008" i="1"/>
  <c r="I3008" i="1"/>
  <c r="G3009" i="1"/>
  <c r="H3009" i="1"/>
  <c r="I3009" i="1"/>
  <c r="G3010" i="1"/>
  <c r="H3010" i="1"/>
  <c r="I3010" i="1"/>
  <c r="G3011" i="1"/>
  <c r="H3011" i="1"/>
  <c r="I3011" i="1"/>
  <c r="G3012" i="1"/>
  <c r="H3012" i="1"/>
  <c r="I3012" i="1"/>
  <c r="G3013" i="1"/>
  <c r="H3013" i="1"/>
  <c r="I3013" i="1"/>
  <c r="G3014" i="1"/>
  <c r="H3014" i="1"/>
  <c r="I3014" i="1"/>
  <c r="G3015" i="1"/>
  <c r="H3015" i="1"/>
  <c r="I3015" i="1"/>
  <c r="G3016" i="1"/>
  <c r="H3016" i="1"/>
  <c r="I3016" i="1"/>
  <c r="G3017" i="1"/>
  <c r="H3017" i="1"/>
  <c r="I3017" i="1"/>
  <c r="G3018" i="1"/>
  <c r="H3018" i="1"/>
  <c r="I3018" i="1"/>
  <c r="G3019" i="1"/>
  <c r="H3019" i="1"/>
  <c r="I3019" i="1"/>
  <c r="G3020" i="1"/>
  <c r="H3020" i="1"/>
  <c r="I3020" i="1"/>
  <c r="G3021" i="1"/>
  <c r="H3021" i="1"/>
  <c r="I3021" i="1"/>
  <c r="G3022" i="1"/>
  <c r="H3022" i="1"/>
  <c r="I3022" i="1"/>
  <c r="G3023" i="1"/>
  <c r="H3023" i="1"/>
  <c r="I3023" i="1"/>
  <c r="G3024" i="1"/>
  <c r="H3024" i="1"/>
  <c r="I3024" i="1"/>
  <c r="G3025" i="1"/>
  <c r="H3025" i="1"/>
  <c r="I3025" i="1"/>
  <c r="G3026" i="1"/>
  <c r="H3026" i="1"/>
  <c r="I3026" i="1"/>
  <c r="G3027" i="1"/>
  <c r="H3027" i="1"/>
  <c r="I3027" i="1"/>
  <c r="G3028" i="1"/>
  <c r="H3028" i="1"/>
  <c r="I3028" i="1"/>
  <c r="G3029" i="1"/>
  <c r="H3029" i="1"/>
  <c r="I3029" i="1"/>
  <c r="G3030" i="1"/>
  <c r="H3030" i="1"/>
  <c r="I3030" i="1"/>
  <c r="G3031" i="1"/>
  <c r="H3031" i="1"/>
  <c r="I3031" i="1"/>
  <c r="G3032" i="1"/>
  <c r="H3032" i="1"/>
  <c r="I3032" i="1"/>
  <c r="G3033" i="1"/>
  <c r="H3033" i="1"/>
  <c r="I3033" i="1"/>
  <c r="G3034" i="1"/>
  <c r="H3034" i="1"/>
  <c r="I3034" i="1"/>
  <c r="G3035" i="1"/>
  <c r="H3035" i="1"/>
  <c r="I3035" i="1"/>
  <c r="G3036" i="1"/>
  <c r="H3036" i="1"/>
  <c r="I3036" i="1"/>
  <c r="G3037" i="1"/>
  <c r="H3037" i="1"/>
  <c r="I3037" i="1"/>
  <c r="G3038" i="1"/>
  <c r="H3038" i="1"/>
  <c r="I3038" i="1"/>
  <c r="G3039" i="1"/>
  <c r="H3039" i="1"/>
  <c r="I3039" i="1"/>
  <c r="G3040" i="1"/>
  <c r="H3040" i="1"/>
  <c r="I3040" i="1"/>
  <c r="G3041" i="1"/>
  <c r="H3041" i="1"/>
  <c r="I3041" i="1"/>
  <c r="G3042" i="1"/>
  <c r="H3042" i="1"/>
  <c r="I3042" i="1"/>
  <c r="G3043" i="1"/>
  <c r="H3043" i="1"/>
  <c r="I3043" i="1"/>
  <c r="G3044" i="1"/>
  <c r="H3044" i="1"/>
  <c r="I3044" i="1"/>
  <c r="G3045" i="1"/>
  <c r="H3045" i="1"/>
  <c r="I3045" i="1"/>
  <c r="G3046" i="1"/>
  <c r="H3046" i="1"/>
  <c r="I3046" i="1"/>
  <c r="G3047" i="1"/>
  <c r="H3047" i="1"/>
  <c r="I3047" i="1"/>
  <c r="G3048" i="1"/>
  <c r="H3048" i="1"/>
  <c r="I3048" i="1"/>
  <c r="G3049" i="1"/>
  <c r="H3049" i="1"/>
  <c r="I3049" i="1"/>
  <c r="G3050" i="1"/>
  <c r="H3050" i="1"/>
  <c r="I3050" i="1"/>
  <c r="G3051" i="1"/>
  <c r="H3051" i="1"/>
  <c r="I3051" i="1"/>
  <c r="G3052" i="1"/>
  <c r="H3052" i="1"/>
  <c r="I3052" i="1"/>
  <c r="G3053" i="1"/>
  <c r="H3053" i="1"/>
  <c r="I3053" i="1"/>
  <c r="G3054" i="1"/>
  <c r="H3054" i="1"/>
  <c r="I3054" i="1"/>
  <c r="G3055" i="1"/>
  <c r="H3055" i="1"/>
  <c r="I3055" i="1"/>
  <c r="G3056" i="1"/>
  <c r="H3056" i="1"/>
  <c r="I3056" i="1"/>
  <c r="G3057" i="1"/>
  <c r="H3057" i="1"/>
  <c r="I3057" i="1"/>
  <c r="G3058" i="1"/>
  <c r="H3058" i="1"/>
  <c r="I3058" i="1"/>
  <c r="G3059" i="1"/>
  <c r="H3059" i="1"/>
  <c r="I3059" i="1"/>
  <c r="G3060" i="1"/>
  <c r="H3060" i="1"/>
  <c r="I3060" i="1"/>
  <c r="G3061" i="1"/>
  <c r="H3061" i="1"/>
  <c r="I3061" i="1"/>
  <c r="G3062" i="1"/>
  <c r="H3062" i="1"/>
  <c r="I3062" i="1"/>
  <c r="G3063" i="1"/>
  <c r="H3063" i="1"/>
  <c r="I3063" i="1"/>
  <c r="G3064" i="1"/>
  <c r="H3064" i="1"/>
  <c r="I3064" i="1"/>
  <c r="G3065" i="1"/>
  <c r="H3065" i="1"/>
  <c r="I3065" i="1"/>
  <c r="G3066" i="1"/>
  <c r="H3066" i="1"/>
  <c r="I3066" i="1"/>
  <c r="G3067" i="1"/>
  <c r="H3067" i="1"/>
  <c r="I3067" i="1"/>
  <c r="G3068" i="1"/>
  <c r="H3068" i="1"/>
  <c r="I3068" i="1"/>
  <c r="G3069" i="1"/>
  <c r="H3069" i="1"/>
  <c r="I3069" i="1"/>
  <c r="G3070" i="1"/>
  <c r="H3070" i="1"/>
  <c r="I3070" i="1"/>
  <c r="G3071" i="1"/>
  <c r="H3071" i="1"/>
  <c r="I3071" i="1"/>
  <c r="G3072" i="1"/>
  <c r="H3072" i="1"/>
  <c r="I3072" i="1"/>
  <c r="G3073" i="1"/>
  <c r="H3073" i="1"/>
  <c r="I3073" i="1"/>
  <c r="G3074" i="1"/>
  <c r="H3074" i="1"/>
  <c r="I3074" i="1"/>
  <c r="G3075" i="1"/>
  <c r="H3075" i="1"/>
  <c r="I3075" i="1"/>
  <c r="G3076" i="1"/>
  <c r="H3076" i="1"/>
  <c r="I3076" i="1"/>
  <c r="G3077" i="1"/>
  <c r="H3077" i="1"/>
  <c r="I3077" i="1"/>
  <c r="G3078" i="1"/>
  <c r="H3078" i="1"/>
  <c r="I3078" i="1"/>
  <c r="G3079" i="1"/>
  <c r="H3079" i="1"/>
  <c r="I3079" i="1"/>
  <c r="G3080" i="1"/>
  <c r="H3080" i="1"/>
  <c r="I3080" i="1"/>
  <c r="G3081" i="1"/>
  <c r="H3081" i="1"/>
  <c r="I3081" i="1"/>
  <c r="G3082" i="1"/>
  <c r="H3082" i="1"/>
  <c r="I3082" i="1"/>
  <c r="G3083" i="1"/>
  <c r="H3083" i="1"/>
  <c r="I3083" i="1"/>
  <c r="G3084" i="1"/>
  <c r="H3084" i="1"/>
  <c r="I3084" i="1"/>
  <c r="G3085" i="1"/>
  <c r="H3085" i="1"/>
  <c r="I3085" i="1"/>
  <c r="G3086" i="1"/>
  <c r="H3086" i="1"/>
  <c r="I3086" i="1"/>
  <c r="G3087" i="1"/>
  <c r="H3087" i="1"/>
  <c r="I3087" i="1"/>
  <c r="G3088" i="1"/>
  <c r="H3088" i="1"/>
  <c r="I3088" i="1"/>
  <c r="G3089" i="1"/>
  <c r="H3089" i="1"/>
  <c r="I3089" i="1"/>
  <c r="G3090" i="1"/>
  <c r="H3090" i="1"/>
  <c r="I3090" i="1"/>
  <c r="G3091" i="1"/>
  <c r="H3091" i="1"/>
  <c r="I3091" i="1"/>
  <c r="G3092" i="1"/>
  <c r="H3092" i="1"/>
  <c r="I3092" i="1"/>
  <c r="G3093" i="1"/>
  <c r="H3093" i="1"/>
  <c r="I3093" i="1"/>
  <c r="G3094" i="1"/>
  <c r="H3094" i="1"/>
  <c r="I3094" i="1"/>
  <c r="G3095" i="1"/>
  <c r="H3095" i="1"/>
  <c r="I3095" i="1"/>
  <c r="G3096" i="1"/>
  <c r="H3096" i="1"/>
  <c r="I3096" i="1"/>
  <c r="G3097" i="1"/>
  <c r="H3097" i="1"/>
  <c r="I3097" i="1"/>
  <c r="G3098" i="1"/>
  <c r="H3098" i="1"/>
  <c r="I3098" i="1"/>
  <c r="G3099" i="1"/>
  <c r="H3099" i="1"/>
  <c r="I3099" i="1"/>
  <c r="G3100" i="1"/>
  <c r="H3100" i="1"/>
  <c r="I3100" i="1"/>
  <c r="G3101" i="1"/>
  <c r="H3101" i="1"/>
  <c r="I3101" i="1"/>
  <c r="G3102" i="1"/>
  <c r="H3102" i="1"/>
  <c r="I3102" i="1"/>
  <c r="G3103" i="1"/>
  <c r="H3103" i="1"/>
  <c r="I3103" i="1"/>
  <c r="G3104" i="1"/>
  <c r="H3104" i="1"/>
  <c r="I3104" i="1"/>
  <c r="G3105" i="1"/>
  <c r="H3105" i="1"/>
  <c r="I3105" i="1"/>
  <c r="G3106" i="1"/>
  <c r="H3106" i="1"/>
  <c r="I3106" i="1"/>
  <c r="G3107" i="1"/>
  <c r="H3107" i="1"/>
  <c r="I3107" i="1"/>
  <c r="G3108" i="1"/>
  <c r="H3108" i="1"/>
  <c r="I3108" i="1"/>
  <c r="G3109" i="1"/>
  <c r="H3109" i="1"/>
  <c r="I3109" i="1"/>
  <c r="G3110" i="1"/>
  <c r="H3110" i="1"/>
  <c r="I3110" i="1"/>
  <c r="G3111" i="1"/>
  <c r="H3111" i="1"/>
  <c r="I3111" i="1"/>
  <c r="G3112" i="1"/>
  <c r="H3112" i="1"/>
  <c r="I3112" i="1"/>
  <c r="G3113" i="1"/>
  <c r="H3113" i="1"/>
  <c r="I3113" i="1"/>
  <c r="G3114" i="1"/>
  <c r="H3114" i="1"/>
  <c r="I3114" i="1"/>
  <c r="G3115" i="1"/>
  <c r="H3115" i="1"/>
  <c r="I3115" i="1"/>
  <c r="G3116" i="1"/>
  <c r="H3116" i="1"/>
  <c r="I3116" i="1"/>
  <c r="G3117" i="1"/>
  <c r="H3117" i="1"/>
  <c r="I3117" i="1"/>
  <c r="G3118" i="1"/>
  <c r="H3118" i="1"/>
  <c r="I3118" i="1"/>
  <c r="G3119" i="1"/>
  <c r="H3119" i="1"/>
  <c r="I3119" i="1"/>
  <c r="G3120" i="1"/>
  <c r="H3120" i="1"/>
  <c r="I3120" i="1"/>
  <c r="G3121" i="1"/>
  <c r="H3121" i="1"/>
  <c r="I3121" i="1"/>
  <c r="G3122" i="1"/>
  <c r="H3122" i="1"/>
  <c r="I3122" i="1"/>
  <c r="G3123" i="1"/>
  <c r="H3123" i="1"/>
  <c r="I3123" i="1"/>
  <c r="G3124" i="1"/>
  <c r="H3124" i="1"/>
  <c r="I3124" i="1"/>
  <c r="G3125" i="1"/>
  <c r="H3125" i="1"/>
  <c r="I3125" i="1"/>
  <c r="G3126" i="1"/>
  <c r="H3126" i="1"/>
  <c r="I3126" i="1"/>
  <c r="G3127" i="1"/>
  <c r="H3127" i="1"/>
  <c r="I3127" i="1"/>
  <c r="G3128" i="1"/>
  <c r="H3128" i="1"/>
  <c r="I3128" i="1"/>
  <c r="G3129" i="1"/>
  <c r="H3129" i="1"/>
  <c r="I3129" i="1"/>
  <c r="G3130" i="1"/>
  <c r="H3130" i="1"/>
  <c r="I3130" i="1"/>
  <c r="G3131" i="1"/>
  <c r="H3131" i="1"/>
  <c r="I3131" i="1"/>
  <c r="G3132" i="1"/>
  <c r="H3132" i="1"/>
  <c r="I3132" i="1"/>
  <c r="G3133" i="1"/>
  <c r="H3133" i="1"/>
  <c r="I3133" i="1"/>
  <c r="G3134" i="1"/>
  <c r="H3134" i="1"/>
  <c r="I3134" i="1"/>
  <c r="G3135" i="1"/>
  <c r="H3135" i="1"/>
  <c r="I3135" i="1"/>
  <c r="G3136" i="1"/>
  <c r="H3136" i="1"/>
  <c r="I3136" i="1"/>
  <c r="G3137" i="1"/>
  <c r="H3137" i="1"/>
  <c r="I3137" i="1"/>
  <c r="G3138" i="1"/>
  <c r="H3138" i="1"/>
  <c r="I3138" i="1"/>
  <c r="G3139" i="1"/>
  <c r="H3139" i="1"/>
  <c r="I3139" i="1"/>
  <c r="G3140" i="1"/>
  <c r="H3140" i="1"/>
  <c r="I3140" i="1"/>
  <c r="G3141" i="1"/>
  <c r="H3141" i="1"/>
  <c r="I3141" i="1"/>
  <c r="G3142" i="1"/>
  <c r="H3142" i="1"/>
  <c r="I3142" i="1"/>
  <c r="G3143" i="1"/>
  <c r="H3143" i="1"/>
  <c r="I3143" i="1"/>
  <c r="G3144" i="1"/>
  <c r="H3144" i="1"/>
  <c r="I3144" i="1"/>
  <c r="G3145" i="1"/>
  <c r="H3145" i="1"/>
  <c r="I3145" i="1"/>
  <c r="G3146" i="1"/>
  <c r="H3146" i="1"/>
  <c r="I3146" i="1"/>
  <c r="G3147" i="1"/>
  <c r="H3147" i="1"/>
  <c r="I3147" i="1"/>
  <c r="G3148" i="1"/>
  <c r="H3148" i="1"/>
  <c r="I3148" i="1"/>
  <c r="G3149" i="1"/>
  <c r="H3149" i="1"/>
  <c r="I3149" i="1"/>
  <c r="G3150" i="1"/>
  <c r="H3150" i="1"/>
  <c r="I3150" i="1"/>
  <c r="G3151" i="1"/>
  <c r="H3151" i="1"/>
  <c r="I3151" i="1"/>
  <c r="G3152" i="1"/>
  <c r="H3152" i="1"/>
  <c r="I3152" i="1"/>
  <c r="G3153" i="1"/>
  <c r="H3153" i="1"/>
  <c r="I3153" i="1"/>
  <c r="G3154" i="1"/>
  <c r="H3154" i="1"/>
  <c r="I3154" i="1"/>
  <c r="G3155" i="1"/>
  <c r="H3155" i="1"/>
  <c r="I3155" i="1"/>
  <c r="G3156" i="1"/>
  <c r="H3156" i="1"/>
  <c r="I3156" i="1"/>
  <c r="G3157" i="1"/>
  <c r="H3157" i="1"/>
  <c r="I3157" i="1"/>
  <c r="G3158" i="1"/>
  <c r="H3158" i="1"/>
  <c r="I3158" i="1"/>
  <c r="G3159" i="1"/>
  <c r="H3159" i="1"/>
  <c r="I3159" i="1"/>
  <c r="G3160" i="1"/>
  <c r="H3160" i="1"/>
  <c r="I3160" i="1"/>
  <c r="G3161" i="1"/>
  <c r="H3161" i="1"/>
  <c r="I3161" i="1"/>
  <c r="G3162" i="1"/>
  <c r="H3162" i="1"/>
  <c r="I3162" i="1"/>
  <c r="G3163" i="1"/>
  <c r="H3163" i="1"/>
  <c r="I3163" i="1"/>
  <c r="G3164" i="1"/>
  <c r="H3164" i="1"/>
  <c r="I3164" i="1"/>
  <c r="G3165" i="1"/>
  <c r="H3165" i="1"/>
  <c r="I3165" i="1"/>
  <c r="G3166" i="1"/>
  <c r="H3166" i="1"/>
  <c r="I3166" i="1"/>
  <c r="G3167" i="1"/>
  <c r="H3167" i="1"/>
  <c r="I3167" i="1"/>
  <c r="G3168" i="1"/>
  <c r="H3168" i="1"/>
  <c r="I3168" i="1"/>
  <c r="G3169" i="1"/>
  <c r="H3169" i="1"/>
  <c r="I3169" i="1"/>
  <c r="G3170" i="1"/>
  <c r="H3170" i="1"/>
  <c r="I3170" i="1"/>
  <c r="G3171" i="1"/>
  <c r="H3171" i="1"/>
  <c r="I3171" i="1"/>
  <c r="G3172" i="1"/>
  <c r="H3172" i="1"/>
  <c r="I3172" i="1"/>
  <c r="G3173" i="1"/>
  <c r="H3173" i="1"/>
  <c r="I3173" i="1"/>
  <c r="G3174" i="1"/>
  <c r="H3174" i="1"/>
  <c r="I3174" i="1"/>
  <c r="G3175" i="1"/>
  <c r="H3175" i="1"/>
  <c r="I3175" i="1"/>
  <c r="G3176" i="1"/>
  <c r="H3176" i="1"/>
  <c r="I3176" i="1"/>
  <c r="G3177" i="1"/>
  <c r="H3177" i="1"/>
  <c r="I3177" i="1"/>
  <c r="G3178" i="1"/>
  <c r="H3178" i="1"/>
  <c r="I3178" i="1"/>
  <c r="G3179" i="1"/>
  <c r="H3179" i="1"/>
  <c r="I3179" i="1"/>
  <c r="G3180" i="1"/>
  <c r="H3180" i="1"/>
  <c r="I3180" i="1"/>
  <c r="G3181" i="1"/>
  <c r="H3181" i="1"/>
  <c r="I3181" i="1"/>
  <c r="G3182" i="1"/>
  <c r="H3182" i="1"/>
  <c r="I3182" i="1"/>
  <c r="G3183" i="1"/>
  <c r="H3183" i="1"/>
  <c r="I3183" i="1"/>
  <c r="G3184" i="1"/>
  <c r="H3184" i="1"/>
  <c r="I3184" i="1"/>
  <c r="G3185" i="1"/>
  <c r="H3185" i="1"/>
  <c r="I3185" i="1"/>
  <c r="G3186" i="1"/>
  <c r="H3186" i="1"/>
  <c r="I3186" i="1"/>
  <c r="G3187" i="1"/>
  <c r="H3187" i="1"/>
  <c r="I3187" i="1"/>
  <c r="G3188" i="1"/>
  <c r="H3188" i="1"/>
  <c r="I3188" i="1"/>
  <c r="G3189" i="1"/>
  <c r="H3189" i="1"/>
  <c r="I3189" i="1"/>
  <c r="G3190" i="1"/>
  <c r="H3190" i="1"/>
  <c r="I3190" i="1"/>
  <c r="G3191" i="1"/>
  <c r="H3191" i="1"/>
  <c r="I3191" i="1"/>
  <c r="G3192" i="1"/>
  <c r="H3192" i="1"/>
  <c r="I3192" i="1"/>
  <c r="G3193" i="1"/>
  <c r="H3193" i="1"/>
  <c r="I3193" i="1"/>
  <c r="G3194" i="1"/>
  <c r="H3194" i="1"/>
  <c r="I3194" i="1"/>
  <c r="G3195" i="1"/>
  <c r="H3195" i="1"/>
  <c r="I3195" i="1"/>
  <c r="G3196" i="1"/>
  <c r="H3196" i="1"/>
  <c r="I3196" i="1"/>
  <c r="G3197" i="1"/>
  <c r="H3197" i="1"/>
  <c r="I3197" i="1"/>
  <c r="G3198" i="1"/>
  <c r="H3198" i="1"/>
  <c r="I3198" i="1"/>
  <c r="G3199" i="1"/>
  <c r="H3199" i="1"/>
  <c r="I3199" i="1"/>
  <c r="G3200" i="1"/>
  <c r="H3200" i="1"/>
  <c r="I3200" i="1"/>
  <c r="G3201" i="1"/>
  <c r="H3201" i="1"/>
  <c r="I3201" i="1"/>
  <c r="G3202" i="1"/>
  <c r="H3202" i="1"/>
  <c r="I3202" i="1"/>
  <c r="G3203" i="1"/>
  <c r="H3203" i="1"/>
  <c r="I3203" i="1"/>
  <c r="G3204" i="1"/>
  <c r="H3204" i="1"/>
  <c r="I3204" i="1"/>
  <c r="G3205" i="1"/>
  <c r="H3205" i="1"/>
  <c r="I3205" i="1"/>
  <c r="G3206" i="1"/>
  <c r="H3206" i="1"/>
  <c r="I3206" i="1"/>
  <c r="G3207" i="1"/>
  <c r="H3207" i="1"/>
  <c r="I3207" i="1"/>
  <c r="G3208" i="1"/>
  <c r="H3208" i="1"/>
  <c r="I3208" i="1"/>
  <c r="G3209" i="1"/>
  <c r="H3209" i="1"/>
  <c r="I3209" i="1"/>
  <c r="G3210" i="1"/>
  <c r="H3210" i="1"/>
  <c r="I3210" i="1"/>
  <c r="G3211" i="1"/>
  <c r="H3211" i="1"/>
  <c r="I3211" i="1"/>
  <c r="G3212" i="1"/>
  <c r="H3212" i="1"/>
  <c r="I3212" i="1"/>
  <c r="G3213" i="1"/>
  <c r="H3213" i="1"/>
  <c r="I3213" i="1"/>
  <c r="G3214" i="1"/>
  <c r="H3214" i="1"/>
  <c r="I3214" i="1"/>
  <c r="G3215" i="1"/>
  <c r="H3215" i="1"/>
  <c r="I3215" i="1"/>
  <c r="G3216" i="1"/>
  <c r="H3216" i="1"/>
  <c r="I3216" i="1"/>
  <c r="G3217" i="1"/>
  <c r="H3217" i="1"/>
  <c r="I3217" i="1"/>
  <c r="G3218" i="1"/>
  <c r="H3218" i="1"/>
  <c r="I3218" i="1"/>
  <c r="G3219" i="1"/>
  <c r="H3219" i="1"/>
  <c r="I3219" i="1"/>
  <c r="G3220" i="1"/>
  <c r="H3220" i="1"/>
  <c r="I3220" i="1"/>
  <c r="G3221" i="1"/>
  <c r="H3221" i="1"/>
  <c r="I3221" i="1"/>
  <c r="G3222" i="1"/>
  <c r="H3222" i="1"/>
  <c r="I3222" i="1"/>
  <c r="G3223" i="1"/>
  <c r="H3223" i="1"/>
  <c r="I3223" i="1"/>
  <c r="G3224" i="1"/>
  <c r="H3224" i="1"/>
  <c r="I3224" i="1"/>
  <c r="G3225" i="1"/>
  <c r="H3225" i="1"/>
  <c r="I3225" i="1"/>
  <c r="G3226" i="1"/>
  <c r="H3226" i="1"/>
  <c r="I3226" i="1"/>
  <c r="G3227" i="1"/>
  <c r="H3227" i="1"/>
  <c r="I3227" i="1"/>
  <c r="G3228" i="1"/>
  <c r="H3228" i="1"/>
  <c r="I3228" i="1"/>
  <c r="G3229" i="1"/>
  <c r="H3229" i="1"/>
  <c r="I3229" i="1"/>
  <c r="G3230" i="1"/>
  <c r="H3230" i="1"/>
  <c r="I3230" i="1"/>
  <c r="G3231" i="1"/>
  <c r="H3231" i="1"/>
  <c r="I3231" i="1"/>
  <c r="G3232" i="1"/>
  <c r="H3232" i="1"/>
  <c r="I3232" i="1"/>
  <c r="G3233" i="1"/>
  <c r="H3233" i="1"/>
  <c r="I3233" i="1"/>
  <c r="G3234" i="1"/>
  <c r="H3234" i="1"/>
  <c r="I3234" i="1"/>
  <c r="G3235" i="1"/>
  <c r="H3235" i="1"/>
  <c r="I3235" i="1"/>
  <c r="G3236" i="1"/>
  <c r="H3236" i="1"/>
  <c r="I3236" i="1"/>
  <c r="G3237" i="1"/>
  <c r="H3237" i="1"/>
  <c r="I3237" i="1"/>
  <c r="G3238" i="1"/>
  <c r="H3238" i="1"/>
  <c r="I3238" i="1"/>
  <c r="G3239" i="1"/>
  <c r="H3239" i="1"/>
  <c r="I3239" i="1"/>
  <c r="G3240" i="1"/>
  <c r="H3240" i="1"/>
  <c r="I3240" i="1"/>
  <c r="G3241" i="1"/>
  <c r="H3241" i="1"/>
  <c r="I3241" i="1"/>
  <c r="G3242" i="1"/>
  <c r="H3242" i="1"/>
  <c r="I3242" i="1"/>
  <c r="G3243" i="1"/>
  <c r="H3243" i="1"/>
  <c r="I3243" i="1"/>
  <c r="G3244" i="1"/>
  <c r="H3244" i="1"/>
  <c r="I3244" i="1"/>
  <c r="G3245" i="1"/>
  <c r="H3245" i="1"/>
  <c r="I3245" i="1"/>
  <c r="G3246" i="1"/>
  <c r="H3246" i="1"/>
  <c r="I3246" i="1"/>
  <c r="G3247" i="1"/>
  <c r="H3247" i="1"/>
  <c r="I3247" i="1"/>
  <c r="G3248" i="1"/>
  <c r="H3248" i="1"/>
  <c r="I3248" i="1"/>
  <c r="G3249" i="1"/>
  <c r="H3249" i="1"/>
  <c r="I3249" i="1"/>
  <c r="G3250" i="1"/>
  <c r="H3250" i="1"/>
  <c r="I3250" i="1"/>
  <c r="G3251" i="1"/>
  <c r="H3251" i="1"/>
  <c r="I3251" i="1"/>
  <c r="G3252" i="1"/>
  <c r="H3252" i="1"/>
  <c r="I3252" i="1"/>
  <c r="G3253" i="1"/>
  <c r="H3253" i="1"/>
  <c r="I3253" i="1"/>
  <c r="G3254" i="1"/>
  <c r="H3254" i="1"/>
  <c r="I3254" i="1"/>
  <c r="G3255" i="1"/>
  <c r="H3255" i="1"/>
  <c r="I3255" i="1"/>
  <c r="G3256" i="1"/>
  <c r="H3256" i="1"/>
  <c r="I3256" i="1"/>
  <c r="G3257" i="1"/>
  <c r="H3257" i="1"/>
  <c r="I3257" i="1"/>
  <c r="G3258" i="1"/>
  <c r="H3258" i="1"/>
  <c r="I3258" i="1"/>
  <c r="G3259" i="1"/>
  <c r="H3259" i="1"/>
  <c r="I3259" i="1"/>
  <c r="G3260" i="1"/>
  <c r="H3260" i="1"/>
  <c r="I3260" i="1"/>
  <c r="G3261" i="1"/>
  <c r="H3261" i="1"/>
  <c r="I3261" i="1"/>
  <c r="G3262" i="1"/>
  <c r="H3262" i="1"/>
  <c r="I3262" i="1"/>
  <c r="G3263" i="1"/>
  <c r="H3263" i="1"/>
  <c r="I3263" i="1"/>
  <c r="G3264" i="1"/>
  <c r="H3264" i="1"/>
  <c r="I3264" i="1"/>
  <c r="G3265" i="1"/>
  <c r="H3265" i="1"/>
  <c r="I3265" i="1"/>
  <c r="G3266" i="1"/>
  <c r="H3266" i="1"/>
  <c r="I3266" i="1"/>
  <c r="G3267" i="1"/>
  <c r="H3267" i="1"/>
  <c r="I3267" i="1"/>
  <c r="G3268" i="1"/>
  <c r="H3268" i="1"/>
  <c r="I3268" i="1"/>
  <c r="G3269" i="1"/>
  <c r="H3269" i="1"/>
  <c r="I3269" i="1"/>
  <c r="G3270" i="1"/>
  <c r="H3270" i="1"/>
  <c r="I3270" i="1"/>
  <c r="G3271" i="1"/>
  <c r="H3271" i="1"/>
  <c r="I3271" i="1"/>
  <c r="G3272" i="1"/>
  <c r="H3272" i="1"/>
  <c r="I3272" i="1"/>
  <c r="G3273" i="1"/>
  <c r="H3273" i="1"/>
  <c r="I3273" i="1"/>
  <c r="G3274" i="1"/>
  <c r="H3274" i="1"/>
  <c r="I3274" i="1"/>
  <c r="G3275" i="1"/>
  <c r="H3275" i="1"/>
  <c r="I3275" i="1"/>
  <c r="G3276" i="1"/>
  <c r="H3276" i="1"/>
  <c r="I3276" i="1"/>
  <c r="G3277" i="1"/>
  <c r="H3277" i="1"/>
  <c r="I3277" i="1"/>
  <c r="G3278" i="1"/>
  <c r="H3278" i="1"/>
  <c r="I3278" i="1"/>
  <c r="G3279" i="1"/>
  <c r="H3279" i="1"/>
  <c r="I3279" i="1"/>
  <c r="G3280" i="1"/>
  <c r="H3280" i="1"/>
  <c r="I3280" i="1"/>
  <c r="G3281" i="1"/>
  <c r="H3281" i="1"/>
  <c r="I3281" i="1"/>
  <c r="G3282" i="1"/>
  <c r="H3282" i="1"/>
  <c r="I3282" i="1"/>
  <c r="G3283" i="1"/>
  <c r="H3283" i="1"/>
  <c r="I3283" i="1"/>
  <c r="G3284" i="1"/>
  <c r="H3284" i="1"/>
  <c r="I3284" i="1"/>
  <c r="G3285" i="1"/>
  <c r="H3285" i="1"/>
  <c r="I3285" i="1"/>
  <c r="G3286" i="1"/>
  <c r="H3286" i="1"/>
  <c r="I3286" i="1"/>
  <c r="G3287" i="1"/>
  <c r="H3287" i="1"/>
  <c r="I3287" i="1"/>
  <c r="G3288" i="1"/>
  <c r="H3288" i="1"/>
  <c r="I3288" i="1"/>
  <c r="G3289" i="1"/>
  <c r="H3289" i="1"/>
  <c r="I3289" i="1"/>
  <c r="G3290" i="1"/>
  <c r="H3290" i="1"/>
  <c r="I3290" i="1"/>
  <c r="G3291" i="1"/>
  <c r="H3291" i="1"/>
  <c r="I3291" i="1"/>
  <c r="G3292" i="1"/>
  <c r="H3292" i="1"/>
  <c r="I3292" i="1"/>
  <c r="G3293" i="1"/>
  <c r="H3293" i="1"/>
  <c r="I3293" i="1"/>
  <c r="G3294" i="1"/>
  <c r="H3294" i="1"/>
  <c r="I3294" i="1"/>
  <c r="G3295" i="1"/>
  <c r="H3295" i="1"/>
  <c r="I3295" i="1"/>
  <c r="G3296" i="1"/>
  <c r="H3296" i="1"/>
  <c r="I3296" i="1"/>
  <c r="G3297" i="1"/>
  <c r="H3297" i="1"/>
  <c r="I3297" i="1"/>
  <c r="G3298" i="1"/>
  <c r="H3298" i="1"/>
  <c r="I3298" i="1"/>
  <c r="G3299" i="1"/>
  <c r="H3299" i="1"/>
  <c r="I3299" i="1"/>
  <c r="G3300" i="1"/>
  <c r="H3300" i="1"/>
  <c r="I3300" i="1"/>
  <c r="G3301" i="1"/>
  <c r="H3301" i="1"/>
  <c r="I3301" i="1"/>
  <c r="G3302" i="1"/>
  <c r="H3302" i="1"/>
  <c r="I3302" i="1"/>
  <c r="G3303" i="1"/>
  <c r="H3303" i="1"/>
  <c r="I3303" i="1"/>
  <c r="G3304" i="1"/>
  <c r="H3304" i="1"/>
  <c r="I3304" i="1"/>
  <c r="G3305" i="1"/>
  <c r="H3305" i="1"/>
  <c r="I3305" i="1"/>
  <c r="G3306" i="1"/>
  <c r="H3306" i="1"/>
  <c r="I3306" i="1"/>
  <c r="G3307" i="1"/>
  <c r="H3307" i="1"/>
  <c r="I3307" i="1"/>
  <c r="G3308" i="1"/>
  <c r="H3308" i="1"/>
  <c r="I3308" i="1"/>
  <c r="G3309" i="1"/>
  <c r="H3309" i="1"/>
  <c r="I3309" i="1"/>
  <c r="G3310" i="1"/>
  <c r="H3310" i="1"/>
  <c r="I3310" i="1"/>
  <c r="G3311" i="1"/>
  <c r="H3311" i="1"/>
  <c r="I3311" i="1"/>
  <c r="G3312" i="1"/>
  <c r="H3312" i="1"/>
  <c r="I3312" i="1"/>
  <c r="G3313" i="1"/>
  <c r="H3313" i="1"/>
  <c r="I3313" i="1"/>
  <c r="G3314" i="1"/>
  <c r="H3314" i="1"/>
  <c r="I3314" i="1"/>
  <c r="G3315" i="1"/>
  <c r="H3315" i="1"/>
  <c r="I3315" i="1"/>
  <c r="G3316" i="1"/>
  <c r="H3316" i="1"/>
  <c r="I3316" i="1"/>
  <c r="G3317" i="1"/>
  <c r="H3317" i="1"/>
  <c r="I3317" i="1"/>
  <c r="G3318" i="1"/>
  <c r="H3318" i="1"/>
  <c r="I3318" i="1"/>
  <c r="G3319" i="1"/>
  <c r="H3319" i="1"/>
  <c r="I3319" i="1"/>
  <c r="G3320" i="1"/>
  <c r="H3320" i="1"/>
  <c r="I3320" i="1"/>
  <c r="G3321" i="1"/>
  <c r="H3321" i="1"/>
  <c r="I3321" i="1"/>
  <c r="G3322" i="1"/>
  <c r="H3322" i="1"/>
  <c r="I3322" i="1"/>
  <c r="G3323" i="1"/>
  <c r="H3323" i="1"/>
  <c r="I3323" i="1"/>
  <c r="G3324" i="1"/>
  <c r="H3324" i="1"/>
  <c r="I3324" i="1"/>
  <c r="G3325" i="1"/>
  <c r="H3325" i="1"/>
  <c r="I3325" i="1"/>
  <c r="G3326" i="1"/>
  <c r="H3326" i="1"/>
  <c r="I3326" i="1"/>
  <c r="G3327" i="1"/>
  <c r="H3327" i="1"/>
  <c r="I3327" i="1"/>
  <c r="G3328" i="1"/>
  <c r="H3328" i="1"/>
  <c r="I3328" i="1"/>
  <c r="G3329" i="1"/>
  <c r="H3329" i="1"/>
  <c r="I3329" i="1"/>
  <c r="G3330" i="1"/>
  <c r="H3330" i="1"/>
  <c r="I3330" i="1"/>
  <c r="G3331" i="1"/>
  <c r="H3331" i="1"/>
  <c r="I3331" i="1"/>
  <c r="G3332" i="1"/>
  <c r="H3332" i="1"/>
  <c r="I3332" i="1"/>
  <c r="G3333" i="1"/>
  <c r="H3333" i="1"/>
  <c r="I3333" i="1"/>
  <c r="G3334" i="1"/>
  <c r="H3334" i="1"/>
  <c r="I3334" i="1"/>
  <c r="G3335" i="1"/>
  <c r="H3335" i="1"/>
  <c r="I3335" i="1"/>
  <c r="G3336" i="1"/>
  <c r="H3336" i="1"/>
  <c r="I3336" i="1"/>
  <c r="G3337" i="1"/>
  <c r="H3337" i="1"/>
  <c r="I3337" i="1"/>
  <c r="G3338" i="1"/>
  <c r="H3338" i="1"/>
  <c r="I3338" i="1"/>
  <c r="G3339" i="1"/>
  <c r="H3339" i="1"/>
  <c r="I3339" i="1"/>
  <c r="G3340" i="1"/>
  <c r="H3340" i="1"/>
  <c r="I3340" i="1"/>
  <c r="G3341" i="1"/>
  <c r="H3341" i="1"/>
  <c r="I3341" i="1"/>
  <c r="G3342" i="1"/>
  <c r="H3342" i="1"/>
  <c r="I3342" i="1"/>
  <c r="G3343" i="1"/>
  <c r="H3343" i="1"/>
  <c r="I3343" i="1"/>
  <c r="G3344" i="1"/>
  <c r="H3344" i="1"/>
  <c r="I3344" i="1"/>
  <c r="G3345" i="1"/>
  <c r="H3345" i="1"/>
  <c r="I3345" i="1"/>
  <c r="G3346" i="1"/>
  <c r="H3346" i="1"/>
  <c r="I3346" i="1"/>
  <c r="G3347" i="1"/>
  <c r="H3347" i="1"/>
  <c r="I3347" i="1"/>
  <c r="G3348" i="1"/>
  <c r="H3348" i="1"/>
  <c r="I3348" i="1"/>
  <c r="G3349" i="1"/>
  <c r="H3349" i="1"/>
  <c r="I3349" i="1"/>
  <c r="G3350" i="1"/>
  <c r="H3350" i="1"/>
  <c r="I3350" i="1"/>
  <c r="G3351" i="1"/>
  <c r="H3351" i="1"/>
  <c r="I3351" i="1"/>
  <c r="G3352" i="1"/>
  <c r="H3352" i="1"/>
  <c r="I3352" i="1"/>
  <c r="G3353" i="1"/>
  <c r="H3353" i="1"/>
  <c r="I3353" i="1"/>
  <c r="G3354" i="1"/>
  <c r="H3354" i="1"/>
  <c r="I3354" i="1"/>
  <c r="G3355" i="1"/>
  <c r="H3355" i="1"/>
  <c r="I3355" i="1"/>
  <c r="G3356" i="1"/>
  <c r="H3356" i="1"/>
  <c r="I3356" i="1"/>
  <c r="G3357" i="1"/>
  <c r="H3357" i="1"/>
  <c r="I3357" i="1"/>
  <c r="G3358" i="1"/>
  <c r="H3358" i="1"/>
  <c r="I3358" i="1"/>
  <c r="G3359" i="1"/>
  <c r="H3359" i="1"/>
  <c r="I3359" i="1"/>
  <c r="G3360" i="1"/>
  <c r="H3360" i="1"/>
  <c r="I3360" i="1"/>
  <c r="G3361" i="1"/>
  <c r="H3361" i="1"/>
  <c r="I3361" i="1"/>
  <c r="G3362" i="1"/>
  <c r="H3362" i="1"/>
  <c r="I3362" i="1"/>
  <c r="G3363" i="1"/>
  <c r="H3363" i="1"/>
  <c r="I3363" i="1"/>
  <c r="G3364" i="1"/>
  <c r="H3364" i="1"/>
  <c r="I3364" i="1"/>
  <c r="G3365" i="1"/>
  <c r="H3365" i="1"/>
  <c r="I3365" i="1"/>
  <c r="G3366" i="1"/>
  <c r="H3366" i="1"/>
  <c r="I3366" i="1"/>
  <c r="G3367" i="1"/>
  <c r="H3367" i="1"/>
  <c r="I3367" i="1"/>
  <c r="G3368" i="1"/>
  <c r="H3368" i="1"/>
  <c r="I3368" i="1"/>
  <c r="G3369" i="1"/>
  <c r="H3369" i="1"/>
  <c r="I3369" i="1"/>
  <c r="G3370" i="1"/>
  <c r="H3370" i="1"/>
  <c r="I3370" i="1"/>
  <c r="G3371" i="1"/>
  <c r="H3371" i="1"/>
  <c r="I3371" i="1"/>
  <c r="G3372" i="1"/>
  <c r="H3372" i="1"/>
  <c r="I3372" i="1"/>
  <c r="G3373" i="1"/>
  <c r="H3373" i="1"/>
  <c r="I3373" i="1"/>
  <c r="G3374" i="1"/>
  <c r="H3374" i="1"/>
  <c r="I3374" i="1"/>
  <c r="G3375" i="1"/>
  <c r="H3375" i="1"/>
  <c r="I3375" i="1"/>
  <c r="G3376" i="1"/>
  <c r="H3376" i="1"/>
  <c r="I3376" i="1"/>
  <c r="G3377" i="1"/>
  <c r="H3377" i="1"/>
  <c r="I3377" i="1"/>
  <c r="G3378" i="1"/>
  <c r="H3378" i="1"/>
  <c r="I3378" i="1"/>
  <c r="G3379" i="1"/>
  <c r="H3379" i="1"/>
  <c r="I3379" i="1"/>
  <c r="G3380" i="1"/>
  <c r="H3380" i="1"/>
  <c r="I3380" i="1"/>
  <c r="G3381" i="1"/>
  <c r="H3381" i="1"/>
  <c r="I3381" i="1"/>
  <c r="G3382" i="1"/>
  <c r="H3382" i="1"/>
  <c r="I3382" i="1"/>
  <c r="G3383" i="1"/>
  <c r="H3383" i="1"/>
  <c r="I3383" i="1"/>
  <c r="G3384" i="1"/>
  <c r="H3384" i="1"/>
  <c r="I3384" i="1"/>
  <c r="G3385" i="1"/>
  <c r="H3385" i="1"/>
  <c r="I3385" i="1"/>
  <c r="G3386" i="1"/>
  <c r="H3386" i="1"/>
  <c r="I3386" i="1"/>
  <c r="G3387" i="1"/>
  <c r="H3387" i="1"/>
  <c r="I3387" i="1"/>
  <c r="G3388" i="1"/>
  <c r="H3388" i="1"/>
  <c r="I3388" i="1"/>
  <c r="G3389" i="1"/>
  <c r="H3389" i="1"/>
  <c r="I3389" i="1"/>
  <c r="G3390" i="1"/>
  <c r="H3390" i="1"/>
  <c r="I3390" i="1"/>
  <c r="G3391" i="1"/>
  <c r="H3391" i="1"/>
  <c r="I3391" i="1"/>
  <c r="G3392" i="1"/>
  <c r="H3392" i="1"/>
  <c r="I3392" i="1"/>
  <c r="G3393" i="1"/>
  <c r="H3393" i="1"/>
  <c r="I3393" i="1"/>
  <c r="G3394" i="1"/>
  <c r="H3394" i="1"/>
  <c r="I3394" i="1"/>
  <c r="G3395" i="1"/>
  <c r="H3395" i="1"/>
  <c r="I3395" i="1"/>
  <c r="G3396" i="1"/>
  <c r="H3396" i="1"/>
  <c r="I3396" i="1"/>
  <c r="G3397" i="1"/>
  <c r="H3397" i="1"/>
  <c r="I3397" i="1"/>
  <c r="G3398" i="1"/>
  <c r="H3398" i="1"/>
  <c r="I3398" i="1"/>
  <c r="G3399" i="1"/>
  <c r="H3399" i="1"/>
  <c r="I3399" i="1"/>
  <c r="G3400" i="1"/>
  <c r="H3400" i="1"/>
  <c r="I3400" i="1"/>
  <c r="G3401" i="1"/>
  <c r="H3401" i="1"/>
  <c r="I3401" i="1"/>
  <c r="G3402" i="1"/>
  <c r="H3402" i="1"/>
  <c r="I3402" i="1"/>
  <c r="G3403" i="1"/>
  <c r="H3403" i="1"/>
  <c r="I3403" i="1"/>
  <c r="G3404" i="1"/>
  <c r="H3404" i="1"/>
  <c r="I3404" i="1"/>
  <c r="G3405" i="1"/>
  <c r="H3405" i="1"/>
  <c r="I3405" i="1"/>
  <c r="G3406" i="1"/>
  <c r="H3406" i="1"/>
  <c r="I3406" i="1"/>
  <c r="G3407" i="1"/>
  <c r="H3407" i="1"/>
  <c r="I3407" i="1"/>
  <c r="G3408" i="1"/>
  <c r="H3408" i="1"/>
  <c r="I3408" i="1"/>
  <c r="G3409" i="1"/>
  <c r="H3409" i="1"/>
  <c r="I3409" i="1"/>
  <c r="G3410" i="1"/>
  <c r="H3410" i="1"/>
  <c r="I3410" i="1"/>
  <c r="G3411" i="1"/>
  <c r="H3411" i="1"/>
  <c r="I3411" i="1"/>
  <c r="G3412" i="1"/>
  <c r="H3412" i="1"/>
  <c r="I3412" i="1"/>
  <c r="G3413" i="1"/>
  <c r="H3413" i="1"/>
  <c r="I3413" i="1"/>
  <c r="G3414" i="1"/>
  <c r="H3414" i="1"/>
  <c r="I3414" i="1"/>
  <c r="G3415" i="1"/>
  <c r="H3415" i="1"/>
  <c r="I3415" i="1"/>
  <c r="G3416" i="1"/>
  <c r="H3416" i="1"/>
  <c r="I3416" i="1"/>
  <c r="G3417" i="1"/>
  <c r="H3417" i="1"/>
  <c r="I3417" i="1"/>
  <c r="G3418" i="1"/>
  <c r="H3418" i="1"/>
  <c r="I3418" i="1"/>
  <c r="G3419" i="1"/>
  <c r="H3419" i="1"/>
  <c r="I3419" i="1"/>
  <c r="G3420" i="1"/>
  <c r="H3420" i="1"/>
  <c r="I3420" i="1"/>
  <c r="G3421" i="1"/>
  <c r="H3421" i="1"/>
  <c r="I3421" i="1"/>
  <c r="G3422" i="1"/>
  <c r="H3422" i="1"/>
  <c r="I3422" i="1"/>
  <c r="G3423" i="1"/>
  <c r="H3423" i="1"/>
  <c r="I3423" i="1"/>
  <c r="G3424" i="1"/>
  <c r="H3424" i="1"/>
  <c r="I3424" i="1"/>
  <c r="G3425" i="1"/>
  <c r="H3425" i="1"/>
  <c r="I3425" i="1"/>
  <c r="G3426" i="1"/>
  <c r="H3426" i="1"/>
  <c r="I3426" i="1"/>
  <c r="G3427" i="1"/>
  <c r="H3427" i="1"/>
  <c r="I3427" i="1"/>
  <c r="G3428" i="1"/>
  <c r="H3428" i="1"/>
  <c r="I3428" i="1"/>
  <c r="G3429" i="1"/>
  <c r="H3429" i="1"/>
  <c r="I3429" i="1"/>
  <c r="G3430" i="1"/>
  <c r="H3430" i="1"/>
  <c r="I3430" i="1"/>
  <c r="G3431" i="1"/>
  <c r="H3431" i="1"/>
  <c r="I3431" i="1"/>
  <c r="G3432" i="1"/>
  <c r="H3432" i="1"/>
  <c r="I3432" i="1"/>
  <c r="G3433" i="1"/>
  <c r="H3433" i="1"/>
  <c r="I3433" i="1"/>
  <c r="G3434" i="1"/>
  <c r="H3434" i="1"/>
  <c r="I3434" i="1"/>
  <c r="G3435" i="1"/>
  <c r="H3435" i="1"/>
  <c r="I3435" i="1"/>
  <c r="G3436" i="1"/>
  <c r="H3436" i="1"/>
  <c r="I3436" i="1"/>
  <c r="G3437" i="1"/>
  <c r="H3437" i="1"/>
  <c r="I3437" i="1"/>
  <c r="G3438" i="1"/>
  <c r="H3438" i="1"/>
  <c r="I3438" i="1"/>
  <c r="G3439" i="1"/>
  <c r="H3439" i="1"/>
  <c r="I3439" i="1"/>
  <c r="G3440" i="1"/>
  <c r="H3440" i="1"/>
  <c r="I3440" i="1"/>
  <c r="G3441" i="1"/>
  <c r="H3441" i="1"/>
  <c r="I3441" i="1"/>
  <c r="G3442" i="1"/>
  <c r="H3442" i="1"/>
  <c r="I3442" i="1"/>
  <c r="G3443" i="1"/>
  <c r="H3443" i="1"/>
  <c r="I3443" i="1"/>
  <c r="G3444" i="1"/>
  <c r="H3444" i="1"/>
  <c r="I3444" i="1"/>
  <c r="G3445" i="1"/>
  <c r="H3445" i="1"/>
  <c r="I3445" i="1"/>
  <c r="G3446" i="1"/>
  <c r="H3446" i="1"/>
  <c r="I3446" i="1"/>
  <c r="G3447" i="1"/>
  <c r="H3447" i="1"/>
  <c r="I3447" i="1"/>
  <c r="G3448" i="1"/>
  <c r="H3448" i="1"/>
  <c r="I3448" i="1"/>
  <c r="G3449" i="1"/>
  <c r="H3449" i="1"/>
  <c r="I3449" i="1"/>
  <c r="G3450" i="1"/>
  <c r="H3450" i="1"/>
  <c r="I3450" i="1"/>
  <c r="G3451" i="1"/>
  <c r="H3451" i="1"/>
  <c r="I3451" i="1"/>
  <c r="G3452" i="1"/>
  <c r="H3452" i="1"/>
  <c r="I3452" i="1"/>
  <c r="G3453" i="1"/>
  <c r="H3453" i="1"/>
  <c r="I3453" i="1"/>
  <c r="G3454" i="1"/>
  <c r="H3454" i="1"/>
  <c r="I3454" i="1"/>
  <c r="G3455" i="1"/>
  <c r="H3455" i="1"/>
  <c r="I3455" i="1"/>
  <c r="G3456" i="1"/>
  <c r="H3456" i="1"/>
  <c r="I3456" i="1"/>
  <c r="G3457" i="1"/>
  <c r="H3457" i="1"/>
  <c r="I3457" i="1"/>
  <c r="G3458" i="1"/>
  <c r="H3458" i="1"/>
  <c r="I3458" i="1"/>
  <c r="G3459" i="1"/>
  <c r="H3459" i="1"/>
  <c r="I3459" i="1"/>
  <c r="G3460" i="1"/>
  <c r="H3460" i="1"/>
  <c r="I3460" i="1"/>
  <c r="G3461" i="1"/>
  <c r="H3461" i="1"/>
  <c r="I3461" i="1"/>
  <c r="G3462" i="1"/>
  <c r="H3462" i="1"/>
  <c r="I3462" i="1"/>
  <c r="G3463" i="1"/>
  <c r="H3463" i="1"/>
  <c r="I3463" i="1"/>
  <c r="G3464" i="1"/>
  <c r="H3464" i="1"/>
  <c r="I3464" i="1"/>
  <c r="G3465" i="1"/>
  <c r="H3465" i="1"/>
  <c r="I3465" i="1"/>
  <c r="G3466" i="1"/>
  <c r="H3466" i="1"/>
  <c r="I3466" i="1"/>
  <c r="G3467" i="1"/>
  <c r="H3467" i="1"/>
  <c r="I3467" i="1"/>
  <c r="G3468" i="1"/>
  <c r="H3468" i="1"/>
  <c r="I3468" i="1"/>
  <c r="G3469" i="1"/>
  <c r="H3469" i="1"/>
  <c r="I3469" i="1"/>
  <c r="G3470" i="1"/>
  <c r="H3470" i="1"/>
  <c r="I3470" i="1"/>
  <c r="G3471" i="1"/>
  <c r="H3471" i="1"/>
  <c r="I3471" i="1"/>
  <c r="G3472" i="1"/>
  <c r="H3472" i="1"/>
  <c r="I3472" i="1"/>
  <c r="G3473" i="1"/>
  <c r="H3473" i="1"/>
  <c r="I3473" i="1"/>
  <c r="G3474" i="1"/>
  <c r="H3474" i="1"/>
  <c r="I3474" i="1"/>
  <c r="G3475" i="1"/>
  <c r="H3475" i="1"/>
  <c r="I3475" i="1"/>
  <c r="G3476" i="1"/>
  <c r="H3476" i="1"/>
  <c r="I3476" i="1"/>
  <c r="G3477" i="1"/>
  <c r="H3477" i="1"/>
  <c r="I3477" i="1"/>
  <c r="G3478" i="1"/>
  <c r="H3478" i="1"/>
  <c r="I3478" i="1"/>
  <c r="G3479" i="1"/>
  <c r="H3479" i="1"/>
  <c r="I3479" i="1"/>
  <c r="G3480" i="1"/>
  <c r="H3480" i="1"/>
  <c r="I3480" i="1"/>
  <c r="G3481" i="1"/>
  <c r="H3481" i="1"/>
  <c r="I3481" i="1"/>
  <c r="G3482" i="1"/>
  <c r="H3482" i="1"/>
  <c r="I3482" i="1"/>
  <c r="G3483" i="1"/>
  <c r="H3483" i="1"/>
  <c r="I3483" i="1"/>
  <c r="G3484" i="1"/>
  <c r="H3484" i="1"/>
  <c r="I3484" i="1"/>
  <c r="G3485" i="1"/>
  <c r="H3485" i="1"/>
  <c r="I3485" i="1"/>
  <c r="G3486" i="1"/>
  <c r="H3486" i="1"/>
  <c r="I3486" i="1"/>
  <c r="G3487" i="1"/>
  <c r="H3487" i="1"/>
  <c r="I3487" i="1"/>
  <c r="G3488" i="1"/>
  <c r="H3488" i="1"/>
  <c r="I3488" i="1"/>
  <c r="G3489" i="1"/>
  <c r="H3489" i="1"/>
  <c r="I3489" i="1"/>
  <c r="G3490" i="1"/>
  <c r="H3490" i="1"/>
  <c r="I3490" i="1"/>
  <c r="G3491" i="1"/>
  <c r="H3491" i="1"/>
  <c r="I3491" i="1"/>
  <c r="G3492" i="1"/>
  <c r="H3492" i="1"/>
  <c r="I3492" i="1"/>
  <c r="G3493" i="1"/>
  <c r="H3493" i="1"/>
  <c r="I3493" i="1"/>
  <c r="G3494" i="1"/>
  <c r="H3494" i="1"/>
  <c r="I3494" i="1"/>
  <c r="G3495" i="1"/>
  <c r="H3495" i="1"/>
  <c r="I3495" i="1"/>
  <c r="G3496" i="1"/>
  <c r="H3496" i="1"/>
  <c r="I3496" i="1"/>
  <c r="G3497" i="1"/>
  <c r="H3497" i="1"/>
  <c r="I3497" i="1"/>
  <c r="G3498" i="1"/>
  <c r="H3498" i="1"/>
  <c r="I3498" i="1"/>
  <c r="G3499" i="1"/>
  <c r="H3499" i="1"/>
  <c r="I3499" i="1"/>
  <c r="G3500" i="1"/>
  <c r="H3500" i="1"/>
  <c r="I3500" i="1"/>
  <c r="G3501" i="1"/>
  <c r="H3501" i="1"/>
  <c r="I3501" i="1"/>
  <c r="G3502" i="1"/>
  <c r="H3502" i="1"/>
  <c r="I3502" i="1"/>
  <c r="G3503" i="1"/>
  <c r="H3503" i="1"/>
  <c r="I3503" i="1"/>
  <c r="G3504" i="1"/>
  <c r="H3504" i="1"/>
  <c r="I3504" i="1"/>
  <c r="G3505" i="1"/>
  <c r="H3505" i="1"/>
  <c r="I3505" i="1"/>
  <c r="G3506" i="1"/>
  <c r="H3506" i="1"/>
  <c r="I3506" i="1"/>
  <c r="G3507" i="1"/>
  <c r="H3507" i="1"/>
  <c r="I3507" i="1"/>
  <c r="G3508" i="1"/>
  <c r="H3508" i="1"/>
  <c r="I3508" i="1"/>
  <c r="G3509" i="1"/>
  <c r="H3509" i="1"/>
  <c r="I3509" i="1"/>
  <c r="G3510" i="1"/>
  <c r="H3510" i="1"/>
  <c r="I3510" i="1"/>
  <c r="G3511" i="1"/>
  <c r="H3511" i="1"/>
  <c r="I3511" i="1"/>
  <c r="G3512" i="1"/>
  <c r="H3512" i="1"/>
  <c r="I3512" i="1"/>
  <c r="G3513" i="1"/>
  <c r="H3513" i="1"/>
  <c r="I3513" i="1"/>
  <c r="G3514" i="1"/>
  <c r="H3514" i="1"/>
  <c r="I3514" i="1"/>
  <c r="G3515" i="1"/>
  <c r="H3515" i="1"/>
  <c r="I3515" i="1"/>
  <c r="G3516" i="1"/>
  <c r="H3516" i="1"/>
  <c r="I3516" i="1"/>
  <c r="G3517" i="1"/>
  <c r="H3517" i="1"/>
  <c r="I3517" i="1"/>
  <c r="G3518" i="1"/>
  <c r="H3518" i="1"/>
  <c r="I3518" i="1"/>
  <c r="G3519" i="1"/>
  <c r="H3519" i="1"/>
  <c r="I3519" i="1"/>
  <c r="G3520" i="1"/>
  <c r="H3520" i="1"/>
  <c r="I3520" i="1"/>
  <c r="G3521" i="1"/>
  <c r="H3521" i="1"/>
  <c r="I3521" i="1"/>
  <c r="G3522" i="1"/>
  <c r="H3522" i="1"/>
  <c r="I3522" i="1"/>
  <c r="G3523" i="1"/>
  <c r="H3523" i="1"/>
  <c r="I3523" i="1"/>
  <c r="G3524" i="1"/>
  <c r="H3524" i="1"/>
  <c r="I3524" i="1"/>
  <c r="G3525" i="1"/>
  <c r="H3525" i="1"/>
  <c r="I3525" i="1"/>
  <c r="G3526" i="1"/>
  <c r="H3526" i="1"/>
  <c r="I3526" i="1"/>
  <c r="G3527" i="1"/>
  <c r="H3527" i="1"/>
  <c r="I3527" i="1"/>
  <c r="G3528" i="1"/>
  <c r="H3528" i="1"/>
  <c r="I3528" i="1"/>
  <c r="G3529" i="1"/>
  <c r="H3529" i="1"/>
  <c r="I3529" i="1"/>
  <c r="G3530" i="1"/>
  <c r="H3530" i="1"/>
  <c r="I3530" i="1"/>
  <c r="G3531" i="1"/>
  <c r="H3531" i="1"/>
  <c r="I3531" i="1"/>
  <c r="G3532" i="1"/>
  <c r="H3532" i="1"/>
  <c r="I3532" i="1"/>
  <c r="G3533" i="1"/>
  <c r="H3533" i="1"/>
  <c r="I3533" i="1"/>
  <c r="G3534" i="1"/>
  <c r="H3534" i="1"/>
  <c r="I3534" i="1"/>
  <c r="G3535" i="1"/>
  <c r="H3535" i="1"/>
  <c r="I3535" i="1"/>
  <c r="G3536" i="1"/>
  <c r="H3536" i="1"/>
  <c r="I3536" i="1"/>
  <c r="G3537" i="1"/>
  <c r="H3537" i="1"/>
  <c r="I3537" i="1"/>
  <c r="G3538" i="1"/>
  <c r="H3538" i="1"/>
  <c r="I3538" i="1"/>
  <c r="G3539" i="1"/>
  <c r="H3539" i="1"/>
  <c r="I3539" i="1"/>
  <c r="G3540" i="1"/>
  <c r="H3540" i="1"/>
  <c r="I3540" i="1"/>
  <c r="G3541" i="1"/>
  <c r="H3541" i="1"/>
  <c r="I3541" i="1"/>
  <c r="G3542" i="1"/>
  <c r="H3542" i="1"/>
  <c r="I3542" i="1"/>
  <c r="G3543" i="1"/>
  <c r="H3543" i="1"/>
  <c r="I3543" i="1"/>
  <c r="G3544" i="1"/>
  <c r="H3544" i="1"/>
  <c r="I3544" i="1"/>
  <c r="G3545" i="1"/>
  <c r="H3545" i="1"/>
  <c r="I3545" i="1"/>
  <c r="G3546" i="1"/>
  <c r="H3546" i="1"/>
  <c r="I3546" i="1"/>
  <c r="G3547" i="1"/>
  <c r="H3547" i="1"/>
  <c r="I3547" i="1"/>
  <c r="G3548" i="1"/>
  <c r="H3548" i="1"/>
  <c r="I3548" i="1"/>
  <c r="G3549" i="1"/>
  <c r="H3549" i="1"/>
  <c r="I3549" i="1"/>
  <c r="G3550" i="1"/>
  <c r="H3550" i="1"/>
  <c r="I3550" i="1"/>
  <c r="G3551" i="1"/>
  <c r="H3551" i="1"/>
  <c r="I3551" i="1"/>
  <c r="G3552" i="1"/>
  <c r="H3552" i="1"/>
  <c r="I3552" i="1"/>
  <c r="G3553" i="1"/>
  <c r="H3553" i="1"/>
  <c r="I3553" i="1"/>
  <c r="G3554" i="1"/>
  <c r="H3554" i="1"/>
  <c r="I3554" i="1"/>
  <c r="G3555" i="1"/>
  <c r="H3555" i="1"/>
  <c r="I3555" i="1"/>
  <c r="G3556" i="1"/>
  <c r="H3556" i="1"/>
  <c r="I3556" i="1"/>
  <c r="G3557" i="1"/>
  <c r="H3557" i="1"/>
  <c r="I3557" i="1"/>
  <c r="G3558" i="1"/>
  <c r="H3558" i="1"/>
  <c r="I3558" i="1"/>
  <c r="G3559" i="1"/>
  <c r="H3559" i="1"/>
  <c r="I3559" i="1"/>
  <c r="G3560" i="1"/>
  <c r="H3560" i="1"/>
  <c r="I3560" i="1"/>
  <c r="G3561" i="1"/>
  <c r="H3561" i="1"/>
  <c r="I3561" i="1"/>
  <c r="G3562" i="1"/>
  <c r="H3562" i="1"/>
  <c r="I3562" i="1"/>
  <c r="G3563" i="1"/>
  <c r="H3563" i="1"/>
  <c r="I3563" i="1"/>
  <c r="G3564" i="1"/>
  <c r="H3564" i="1"/>
  <c r="I3564" i="1"/>
  <c r="G3565" i="1"/>
  <c r="H3565" i="1"/>
  <c r="I3565" i="1"/>
  <c r="G3566" i="1"/>
  <c r="H3566" i="1"/>
  <c r="I3566" i="1"/>
  <c r="G3567" i="1"/>
  <c r="H3567" i="1"/>
  <c r="I3567" i="1"/>
  <c r="G3568" i="1"/>
  <c r="H3568" i="1"/>
  <c r="I3568" i="1"/>
  <c r="G3569" i="1"/>
  <c r="H3569" i="1"/>
  <c r="I3569" i="1"/>
  <c r="G3570" i="1"/>
  <c r="H3570" i="1"/>
  <c r="I3570" i="1"/>
  <c r="G3571" i="1"/>
  <c r="H3571" i="1"/>
  <c r="I3571" i="1"/>
  <c r="G3572" i="1"/>
  <c r="H3572" i="1"/>
  <c r="I3572" i="1"/>
  <c r="G3573" i="1"/>
  <c r="H3573" i="1"/>
  <c r="I3573" i="1"/>
  <c r="G3574" i="1"/>
  <c r="H3574" i="1"/>
  <c r="I3574" i="1"/>
  <c r="G3575" i="1"/>
  <c r="H3575" i="1"/>
  <c r="I3575" i="1"/>
  <c r="G3576" i="1"/>
  <c r="H3576" i="1"/>
  <c r="I3576" i="1"/>
  <c r="G3577" i="1"/>
  <c r="H3577" i="1"/>
  <c r="I3577" i="1"/>
  <c r="G3578" i="1"/>
  <c r="H3578" i="1"/>
  <c r="I3578" i="1"/>
  <c r="G3579" i="1"/>
  <c r="H3579" i="1"/>
  <c r="I3579" i="1"/>
  <c r="G3580" i="1"/>
  <c r="H3580" i="1"/>
  <c r="I3580" i="1"/>
  <c r="G3581" i="1"/>
  <c r="H3581" i="1"/>
  <c r="I3581" i="1"/>
  <c r="G3582" i="1"/>
  <c r="H3582" i="1"/>
  <c r="I3582" i="1"/>
  <c r="G3583" i="1"/>
  <c r="H3583" i="1"/>
  <c r="I3583" i="1"/>
  <c r="G3584" i="1"/>
  <c r="H3584" i="1"/>
  <c r="I3584" i="1"/>
  <c r="G3585" i="1"/>
  <c r="H3585" i="1"/>
  <c r="I3585" i="1"/>
  <c r="G3586" i="1"/>
  <c r="H3586" i="1"/>
  <c r="I3586" i="1"/>
  <c r="G3587" i="1"/>
  <c r="H3587" i="1"/>
  <c r="I3587" i="1"/>
  <c r="G3588" i="1"/>
  <c r="H3588" i="1"/>
  <c r="I3588" i="1"/>
  <c r="G3589" i="1"/>
  <c r="H3589" i="1"/>
  <c r="I3589" i="1"/>
  <c r="G3590" i="1"/>
  <c r="H3590" i="1"/>
  <c r="I3590" i="1"/>
  <c r="G3591" i="1"/>
  <c r="H3591" i="1"/>
  <c r="I3591" i="1"/>
  <c r="G3592" i="1"/>
  <c r="H3592" i="1"/>
  <c r="I3592" i="1"/>
  <c r="G3593" i="1"/>
  <c r="H3593" i="1"/>
  <c r="I3593" i="1"/>
  <c r="G3594" i="1"/>
  <c r="H3594" i="1"/>
  <c r="I3594" i="1"/>
  <c r="G3595" i="1"/>
  <c r="H3595" i="1"/>
  <c r="I3595" i="1"/>
  <c r="G3596" i="1"/>
  <c r="H3596" i="1"/>
  <c r="I3596" i="1"/>
  <c r="G3597" i="1"/>
  <c r="H3597" i="1"/>
  <c r="I3597" i="1"/>
  <c r="G3598" i="1"/>
  <c r="H3598" i="1"/>
  <c r="I3598" i="1"/>
  <c r="G3599" i="1"/>
  <c r="H3599" i="1"/>
  <c r="I3599" i="1"/>
  <c r="G3600" i="1"/>
  <c r="H3600" i="1"/>
  <c r="I3600" i="1"/>
  <c r="G3601" i="1"/>
  <c r="H3601" i="1"/>
  <c r="I3601" i="1"/>
  <c r="G3602" i="1"/>
  <c r="H3602" i="1"/>
  <c r="I3602" i="1"/>
  <c r="G3603" i="1"/>
  <c r="H3603" i="1"/>
  <c r="I3603" i="1"/>
  <c r="G3604" i="1"/>
  <c r="H3604" i="1"/>
  <c r="I3604" i="1"/>
  <c r="G3605" i="1"/>
  <c r="H3605" i="1"/>
  <c r="I3605" i="1"/>
  <c r="G3606" i="1"/>
  <c r="H3606" i="1"/>
  <c r="I3606" i="1"/>
  <c r="G3607" i="1"/>
  <c r="H3607" i="1"/>
  <c r="I3607" i="1"/>
  <c r="G3608" i="1"/>
  <c r="H3608" i="1"/>
  <c r="I3608" i="1"/>
  <c r="G3609" i="1"/>
  <c r="H3609" i="1"/>
  <c r="I3609" i="1"/>
  <c r="G3610" i="1"/>
  <c r="H3610" i="1"/>
  <c r="I3610" i="1"/>
  <c r="G3611" i="1"/>
  <c r="H3611" i="1"/>
  <c r="I3611" i="1"/>
  <c r="G3612" i="1"/>
  <c r="H3612" i="1"/>
  <c r="I3612" i="1"/>
  <c r="G3613" i="1"/>
  <c r="H3613" i="1"/>
  <c r="I3613" i="1"/>
  <c r="G3614" i="1"/>
  <c r="H3614" i="1"/>
  <c r="I3614" i="1"/>
  <c r="G3615" i="1"/>
  <c r="H3615" i="1"/>
  <c r="I3615" i="1"/>
  <c r="G3616" i="1"/>
  <c r="H3616" i="1"/>
  <c r="I3616" i="1"/>
  <c r="G3617" i="1"/>
  <c r="H3617" i="1"/>
  <c r="I3617" i="1"/>
  <c r="G3618" i="1"/>
  <c r="H3618" i="1"/>
  <c r="I3618" i="1"/>
  <c r="G3619" i="1"/>
  <c r="H3619" i="1"/>
  <c r="I3619" i="1"/>
  <c r="G3620" i="1"/>
  <c r="H3620" i="1"/>
  <c r="I3620" i="1"/>
  <c r="G3621" i="1"/>
  <c r="H3621" i="1"/>
  <c r="I3621" i="1"/>
  <c r="G3622" i="1"/>
  <c r="H3622" i="1"/>
  <c r="I3622" i="1"/>
  <c r="G3623" i="1"/>
  <c r="H3623" i="1"/>
  <c r="I3623" i="1"/>
  <c r="G3624" i="1"/>
  <c r="H3624" i="1"/>
  <c r="I3624" i="1"/>
  <c r="G3625" i="1"/>
  <c r="H3625" i="1"/>
  <c r="I3625" i="1"/>
  <c r="G3626" i="1"/>
  <c r="H3626" i="1"/>
  <c r="I3626" i="1"/>
  <c r="G3627" i="1"/>
  <c r="H3627" i="1"/>
  <c r="I3627" i="1"/>
  <c r="G3628" i="1"/>
  <c r="H3628" i="1"/>
  <c r="I3628" i="1"/>
  <c r="G3629" i="1"/>
  <c r="H3629" i="1"/>
  <c r="I3629" i="1"/>
  <c r="G3630" i="1"/>
  <c r="H3630" i="1"/>
  <c r="I3630" i="1"/>
  <c r="G3631" i="1"/>
  <c r="H3631" i="1"/>
  <c r="I3631" i="1"/>
  <c r="G3632" i="1"/>
  <c r="H3632" i="1"/>
  <c r="I3632" i="1"/>
  <c r="G3633" i="1"/>
  <c r="H3633" i="1"/>
  <c r="I3633" i="1"/>
  <c r="G3634" i="1"/>
  <c r="H3634" i="1"/>
  <c r="I3634" i="1"/>
  <c r="G3635" i="1"/>
  <c r="H3635" i="1"/>
  <c r="I3635" i="1"/>
  <c r="G3636" i="1"/>
  <c r="H3636" i="1"/>
  <c r="I3636" i="1"/>
  <c r="G3637" i="1"/>
  <c r="H3637" i="1"/>
  <c r="I3637" i="1"/>
  <c r="G3638" i="1"/>
  <c r="H3638" i="1"/>
  <c r="I3638" i="1"/>
  <c r="G3639" i="1"/>
  <c r="H3639" i="1"/>
  <c r="I3639" i="1"/>
  <c r="G3640" i="1"/>
  <c r="H3640" i="1"/>
  <c r="I3640" i="1"/>
  <c r="G3641" i="1"/>
  <c r="H3641" i="1"/>
  <c r="I3641" i="1"/>
  <c r="G3642" i="1"/>
  <c r="H3642" i="1"/>
  <c r="I3642" i="1"/>
  <c r="G3643" i="1"/>
  <c r="H3643" i="1"/>
  <c r="I3643" i="1"/>
  <c r="G3644" i="1"/>
  <c r="H3644" i="1"/>
  <c r="I3644" i="1"/>
  <c r="G3645" i="1"/>
  <c r="H3645" i="1"/>
  <c r="I3645" i="1"/>
  <c r="G3646" i="1"/>
  <c r="H3646" i="1"/>
  <c r="I3646" i="1"/>
  <c r="G3647" i="1"/>
  <c r="H3647" i="1"/>
  <c r="I3647" i="1"/>
  <c r="G3648" i="1"/>
  <c r="H3648" i="1"/>
  <c r="I3648" i="1"/>
  <c r="G3649" i="1"/>
  <c r="H3649" i="1"/>
  <c r="I3649" i="1"/>
  <c r="G3650" i="1"/>
  <c r="H3650" i="1"/>
  <c r="I3650" i="1"/>
  <c r="G3651" i="1"/>
  <c r="H3651" i="1"/>
  <c r="I3651" i="1"/>
  <c r="G3652" i="1"/>
  <c r="H3652" i="1"/>
  <c r="I3652" i="1"/>
  <c r="G3653" i="1"/>
  <c r="H3653" i="1"/>
  <c r="I3653" i="1"/>
  <c r="G3654" i="1"/>
  <c r="H3654" i="1"/>
  <c r="I3654" i="1"/>
  <c r="G3655" i="1"/>
  <c r="H3655" i="1"/>
  <c r="I3655" i="1"/>
  <c r="G3656" i="1"/>
  <c r="H3656" i="1"/>
  <c r="I3656" i="1"/>
  <c r="G3657" i="1"/>
  <c r="H3657" i="1"/>
  <c r="I3657" i="1"/>
  <c r="G3658" i="1"/>
  <c r="H3658" i="1"/>
  <c r="I3658" i="1"/>
  <c r="G3659" i="1"/>
  <c r="H3659" i="1"/>
  <c r="I3659" i="1"/>
  <c r="G3660" i="1"/>
  <c r="H3660" i="1"/>
  <c r="I3660" i="1"/>
  <c r="G3661" i="1"/>
  <c r="H3661" i="1"/>
  <c r="I3661" i="1"/>
  <c r="G3662" i="1"/>
  <c r="H3662" i="1"/>
  <c r="I3662" i="1"/>
  <c r="G3663" i="1"/>
  <c r="H3663" i="1"/>
  <c r="I3663" i="1"/>
  <c r="G3664" i="1"/>
  <c r="H3664" i="1"/>
  <c r="I3664" i="1"/>
  <c r="G3665" i="1"/>
  <c r="H3665" i="1"/>
  <c r="I3665" i="1"/>
  <c r="G3666" i="1"/>
  <c r="H3666" i="1"/>
  <c r="I3666" i="1"/>
  <c r="G3667" i="1"/>
  <c r="H3667" i="1"/>
  <c r="I3667" i="1"/>
  <c r="G3668" i="1"/>
  <c r="H3668" i="1"/>
  <c r="I3668" i="1"/>
  <c r="G3669" i="1"/>
  <c r="H3669" i="1"/>
  <c r="I3669" i="1"/>
  <c r="G3670" i="1"/>
  <c r="H3670" i="1"/>
  <c r="I3670" i="1"/>
  <c r="G3671" i="1"/>
  <c r="H3671" i="1"/>
  <c r="I3671" i="1"/>
  <c r="G3672" i="1"/>
  <c r="H3672" i="1"/>
  <c r="I3672" i="1"/>
  <c r="G3673" i="1"/>
  <c r="H3673" i="1"/>
  <c r="I3673" i="1"/>
  <c r="G3674" i="1"/>
  <c r="H3674" i="1"/>
  <c r="I3674" i="1"/>
  <c r="G3675" i="1"/>
  <c r="H3675" i="1"/>
  <c r="I3675" i="1"/>
  <c r="G3676" i="1"/>
  <c r="H3676" i="1"/>
  <c r="I3676" i="1"/>
  <c r="G3677" i="1"/>
  <c r="H3677" i="1"/>
  <c r="I3677" i="1"/>
  <c r="G3678" i="1"/>
  <c r="H3678" i="1"/>
  <c r="I3678" i="1"/>
  <c r="G3679" i="1"/>
  <c r="H3679" i="1"/>
  <c r="I3679" i="1"/>
  <c r="G3680" i="1"/>
  <c r="H3680" i="1"/>
  <c r="I3680" i="1"/>
  <c r="G3681" i="1"/>
  <c r="H3681" i="1"/>
  <c r="I3681" i="1"/>
  <c r="G3682" i="1"/>
  <c r="H3682" i="1"/>
  <c r="I3682" i="1"/>
  <c r="G3683" i="1"/>
  <c r="H3683" i="1"/>
  <c r="I3683" i="1"/>
  <c r="G3684" i="1"/>
  <c r="H3684" i="1"/>
  <c r="I3684" i="1"/>
  <c r="G3685" i="1"/>
  <c r="H3685" i="1"/>
  <c r="I3685" i="1"/>
  <c r="G3686" i="1"/>
  <c r="H3686" i="1"/>
  <c r="I3686" i="1"/>
  <c r="G3687" i="1"/>
  <c r="H3687" i="1"/>
  <c r="I3687" i="1"/>
  <c r="G3688" i="1"/>
  <c r="H3688" i="1"/>
  <c r="I3688" i="1"/>
  <c r="G3689" i="1"/>
  <c r="H3689" i="1"/>
  <c r="I3689" i="1"/>
  <c r="G3690" i="1"/>
  <c r="H3690" i="1"/>
  <c r="I3690" i="1"/>
  <c r="G3691" i="1"/>
  <c r="H3691" i="1"/>
  <c r="I3691" i="1"/>
  <c r="G3692" i="1"/>
  <c r="H3692" i="1"/>
  <c r="I3692" i="1"/>
  <c r="G3693" i="1"/>
  <c r="H3693" i="1"/>
  <c r="I3693" i="1"/>
  <c r="G3694" i="1"/>
  <c r="H3694" i="1"/>
  <c r="I3694" i="1"/>
  <c r="G3695" i="1"/>
  <c r="H3695" i="1"/>
  <c r="I3695" i="1"/>
  <c r="G3696" i="1"/>
  <c r="H3696" i="1"/>
  <c r="I3696" i="1"/>
  <c r="G3697" i="1"/>
  <c r="H3697" i="1"/>
  <c r="I3697" i="1"/>
  <c r="G3698" i="1"/>
  <c r="H3698" i="1"/>
  <c r="I3698" i="1"/>
  <c r="G3699" i="1"/>
  <c r="H3699" i="1"/>
  <c r="I3699" i="1"/>
  <c r="G3700" i="1"/>
  <c r="H3700" i="1"/>
  <c r="I3700" i="1"/>
  <c r="G3701" i="1"/>
  <c r="H3701" i="1"/>
  <c r="I3701" i="1"/>
  <c r="G3702" i="1"/>
  <c r="H3702" i="1"/>
  <c r="I3702" i="1"/>
  <c r="G3703" i="1"/>
  <c r="H3703" i="1"/>
  <c r="I3703" i="1"/>
  <c r="G3704" i="1"/>
  <c r="H3704" i="1"/>
  <c r="I3704" i="1"/>
  <c r="G3705" i="1"/>
  <c r="H3705" i="1"/>
  <c r="I3705" i="1"/>
  <c r="G3706" i="1"/>
  <c r="H3706" i="1"/>
  <c r="I3706" i="1"/>
  <c r="G3707" i="1"/>
  <c r="H3707" i="1"/>
  <c r="I3707" i="1"/>
  <c r="G3708" i="1"/>
  <c r="H3708" i="1"/>
  <c r="I3708" i="1"/>
  <c r="G3709" i="1"/>
  <c r="H3709" i="1"/>
  <c r="I3709" i="1"/>
  <c r="G3710" i="1"/>
  <c r="H3710" i="1"/>
  <c r="I3710" i="1"/>
  <c r="G3711" i="1"/>
  <c r="H3711" i="1"/>
  <c r="I3711" i="1"/>
  <c r="G3712" i="1"/>
  <c r="H3712" i="1"/>
  <c r="I3712" i="1"/>
  <c r="G3713" i="1"/>
  <c r="H3713" i="1"/>
  <c r="I3713" i="1"/>
  <c r="G3714" i="1"/>
  <c r="H3714" i="1"/>
  <c r="I3714" i="1"/>
  <c r="G3715" i="1"/>
  <c r="H3715" i="1"/>
  <c r="I3715" i="1"/>
  <c r="G3716" i="1"/>
  <c r="H3716" i="1"/>
  <c r="I3716" i="1"/>
  <c r="G3717" i="1"/>
  <c r="H3717" i="1"/>
  <c r="I3717" i="1"/>
  <c r="G3718" i="1"/>
  <c r="H3718" i="1"/>
  <c r="I3718" i="1"/>
  <c r="G3719" i="1"/>
  <c r="H3719" i="1"/>
  <c r="I3719" i="1"/>
  <c r="G3720" i="1"/>
  <c r="H3720" i="1"/>
  <c r="I3720" i="1"/>
  <c r="G3721" i="1"/>
  <c r="H3721" i="1"/>
  <c r="I3721" i="1"/>
  <c r="G3722" i="1"/>
  <c r="H3722" i="1"/>
  <c r="I3722" i="1"/>
  <c r="G3723" i="1"/>
  <c r="H3723" i="1"/>
  <c r="I3723" i="1"/>
  <c r="G3724" i="1"/>
  <c r="H3724" i="1"/>
  <c r="I3724" i="1"/>
  <c r="G3725" i="1"/>
  <c r="H3725" i="1"/>
  <c r="I3725" i="1"/>
  <c r="G3726" i="1"/>
  <c r="H3726" i="1"/>
  <c r="I3726" i="1"/>
  <c r="G3727" i="1"/>
  <c r="H3727" i="1"/>
  <c r="I3727" i="1"/>
  <c r="G3728" i="1"/>
  <c r="H3728" i="1"/>
  <c r="I3728" i="1"/>
  <c r="G3729" i="1"/>
  <c r="H3729" i="1"/>
  <c r="I3729" i="1"/>
  <c r="G3730" i="1"/>
  <c r="H3730" i="1"/>
  <c r="I3730" i="1"/>
  <c r="G3731" i="1"/>
  <c r="H3731" i="1"/>
  <c r="I3731" i="1"/>
  <c r="G3732" i="1"/>
  <c r="H3732" i="1"/>
  <c r="I3732" i="1"/>
  <c r="G3733" i="1"/>
  <c r="H3733" i="1"/>
  <c r="I3733" i="1"/>
  <c r="G3734" i="1"/>
  <c r="H3734" i="1"/>
  <c r="I3734" i="1"/>
  <c r="G3735" i="1"/>
  <c r="H3735" i="1"/>
  <c r="I3735" i="1"/>
  <c r="G3736" i="1"/>
  <c r="H3736" i="1"/>
  <c r="I3736" i="1"/>
  <c r="G3737" i="1"/>
  <c r="H3737" i="1"/>
  <c r="I3737" i="1"/>
  <c r="G3738" i="1"/>
  <c r="H3738" i="1"/>
  <c r="I3738" i="1"/>
  <c r="G3739" i="1"/>
  <c r="H3739" i="1"/>
  <c r="I3739" i="1"/>
  <c r="G3740" i="1"/>
  <c r="H3740" i="1"/>
  <c r="I3740" i="1"/>
  <c r="G3741" i="1"/>
  <c r="H3741" i="1"/>
  <c r="I3741" i="1"/>
  <c r="G3742" i="1"/>
  <c r="H3742" i="1"/>
  <c r="I3742" i="1"/>
  <c r="G3743" i="1"/>
  <c r="H3743" i="1"/>
  <c r="I3743" i="1"/>
  <c r="G3744" i="1"/>
  <c r="H3744" i="1"/>
  <c r="I3744" i="1"/>
  <c r="G3745" i="1"/>
  <c r="H3745" i="1"/>
  <c r="I3745" i="1"/>
  <c r="G3746" i="1"/>
  <c r="H3746" i="1"/>
  <c r="I3746" i="1"/>
  <c r="G3747" i="1"/>
  <c r="H3747" i="1"/>
  <c r="I3747" i="1"/>
  <c r="G3748" i="1"/>
  <c r="H3748" i="1"/>
  <c r="I3748" i="1"/>
  <c r="G3749" i="1"/>
  <c r="H3749" i="1"/>
  <c r="I3749" i="1"/>
  <c r="G3750" i="1"/>
  <c r="H3750" i="1"/>
  <c r="I3750" i="1"/>
  <c r="G3751" i="1"/>
  <c r="H3751" i="1"/>
  <c r="I3751" i="1"/>
  <c r="G3752" i="1"/>
  <c r="H3752" i="1"/>
  <c r="I3752" i="1"/>
  <c r="G3753" i="1"/>
  <c r="H3753" i="1"/>
  <c r="I3753" i="1"/>
  <c r="G3754" i="1"/>
  <c r="H3754" i="1"/>
  <c r="I3754" i="1"/>
  <c r="G3755" i="1"/>
  <c r="H3755" i="1"/>
  <c r="I3755" i="1"/>
  <c r="G3756" i="1"/>
  <c r="H3756" i="1"/>
  <c r="I3756" i="1"/>
  <c r="G3757" i="1"/>
  <c r="H3757" i="1"/>
  <c r="I3757" i="1"/>
  <c r="G3758" i="1"/>
  <c r="H3758" i="1"/>
  <c r="I3758" i="1"/>
  <c r="G3759" i="1"/>
  <c r="H3759" i="1"/>
  <c r="I3759" i="1"/>
  <c r="G3760" i="1"/>
  <c r="H3760" i="1"/>
  <c r="I3760" i="1"/>
  <c r="G3761" i="1"/>
  <c r="H3761" i="1"/>
  <c r="I3761" i="1"/>
  <c r="G3762" i="1"/>
  <c r="H3762" i="1"/>
  <c r="I3762" i="1"/>
  <c r="G3763" i="1"/>
  <c r="H3763" i="1"/>
  <c r="I3763" i="1"/>
  <c r="G3764" i="1"/>
  <c r="H3764" i="1"/>
  <c r="I3764" i="1"/>
  <c r="G3765" i="1"/>
  <c r="H3765" i="1"/>
  <c r="I3765" i="1"/>
  <c r="G3766" i="1"/>
  <c r="H3766" i="1"/>
  <c r="I3766" i="1"/>
  <c r="G3767" i="1"/>
  <c r="H3767" i="1"/>
  <c r="I3767" i="1"/>
  <c r="G3768" i="1"/>
  <c r="H3768" i="1"/>
  <c r="I3768" i="1"/>
  <c r="G3769" i="1"/>
  <c r="H3769" i="1"/>
  <c r="I3769" i="1"/>
  <c r="G3770" i="1"/>
  <c r="H3770" i="1"/>
  <c r="I3770" i="1"/>
  <c r="G3771" i="1"/>
  <c r="H3771" i="1"/>
  <c r="I3771" i="1"/>
  <c r="G3772" i="1"/>
  <c r="H3772" i="1"/>
  <c r="I3772" i="1"/>
  <c r="G3773" i="1"/>
  <c r="H3773" i="1"/>
  <c r="I3773" i="1"/>
  <c r="G3774" i="1"/>
  <c r="H3774" i="1"/>
  <c r="I3774" i="1"/>
  <c r="G3775" i="1"/>
  <c r="H3775" i="1"/>
  <c r="I3775" i="1"/>
  <c r="G3776" i="1"/>
  <c r="H3776" i="1"/>
  <c r="I3776" i="1"/>
  <c r="G3777" i="1"/>
  <c r="H3777" i="1"/>
  <c r="I3777" i="1"/>
  <c r="G3778" i="1"/>
  <c r="H3778" i="1"/>
  <c r="I3778" i="1"/>
  <c r="G3779" i="1"/>
  <c r="H3779" i="1"/>
  <c r="I3779" i="1"/>
  <c r="G3780" i="1"/>
  <c r="H3780" i="1"/>
  <c r="I3780" i="1"/>
  <c r="G3781" i="1"/>
  <c r="H3781" i="1"/>
  <c r="I3781" i="1"/>
  <c r="G3782" i="1"/>
  <c r="H3782" i="1"/>
  <c r="I3782" i="1"/>
  <c r="G3783" i="1"/>
  <c r="H3783" i="1"/>
  <c r="I3783" i="1"/>
  <c r="G3784" i="1"/>
  <c r="H3784" i="1"/>
  <c r="I3784" i="1"/>
  <c r="G3785" i="1"/>
  <c r="H3785" i="1"/>
  <c r="I3785" i="1"/>
  <c r="G3786" i="1"/>
  <c r="H3786" i="1"/>
  <c r="I3786" i="1"/>
  <c r="G3787" i="1"/>
  <c r="H3787" i="1"/>
  <c r="I3787" i="1"/>
  <c r="G3788" i="1"/>
  <c r="H3788" i="1"/>
  <c r="I3788" i="1"/>
  <c r="G3789" i="1"/>
  <c r="H3789" i="1"/>
  <c r="I3789" i="1"/>
  <c r="G3790" i="1"/>
  <c r="H3790" i="1"/>
  <c r="I3790" i="1"/>
  <c r="G3791" i="1"/>
  <c r="H3791" i="1"/>
  <c r="I3791" i="1"/>
  <c r="G3792" i="1"/>
  <c r="H3792" i="1"/>
  <c r="I3792" i="1"/>
  <c r="G3793" i="1"/>
  <c r="H3793" i="1"/>
  <c r="I3793" i="1"/>
  <c r="G3794" i="1"/>
  <c r="H3794" i="1"/>
  <c r="I3794" i="1"/>
  <c r="G3795" i="1"/>
  <c r="H3795" i="1"/>
  <c r="I3795" i="1"/>
  <c r="G3796" i="1"/>
  <c r="H3796" i="1"/>
  <c r="I3796" i="1"/>
  <c r="G3797" i="1"/>
  <c r="H3797" i="1"/>
  <c r="I3797" i="1"/>
  <c r="G3798" i="1"/>
  <c r="H3798" i="1"/>
  <c r="I3798" i="1"/>
  <c r="G3799" i="1"/>
  <c r="H3799" i="1"/>
  <c r="I3799" i="1"/>
  <c r="G3800" i="1"/>
  <c r="H3800" i="1"/>
  <c r="I3800" i="1"/>
  <c r="G3801" i="1"/>
  <c r="H3801" i="1"/>
  <c r="I3801" i="1"/>
  <c r="G3802" i="1"/>
  <c r="H3802" i="1"/>
  <c r="I3802" i="1"/>
  <c r="G3803" i="1"/>
  <c r="H3803" i="1"/>
  <c r="I3803" i="1"/>
  <c r="G3804" i="1"/>
  <c r="H3804" i="1"/>
  <c r="I3804" i="1"/>
  <c r="G3805" i="1"/>
  <c r="H3805" i="1"/>
  <c r="I3805" i="1"/>
  <c r="G3806" i="1"/>
  <c r="H3806" i="1"/>
  <c r="I3806" i="1"/>
  <c r="G3807" i="1"/>
  <c r="H3807" i="1"/>
  <c r="I3807" i="1"/>
  <c r="G3808" i="1"/>
  <c r="H3808" i="1"/>
  <c r="I3808" i="1"/>
  <c r="G3809" i="1"/>
  <c r="H3809" i="1"/>
  <c r="I3809" i="1"/>
  <c r="G3810" i="1"/>
  <c r="H3810" i="1"/>
  <c r="I3810" i="1"/>
  <c r="G3811" i="1"/>
  <c r="H3811" i="1"/>
  <c r="I3811" i="1"/>
  <c r="G3812" i="1"/>
  <c r="H3812" i="1"/>
  <c r="I3812" i="1"/>
  <c r="G3813" i="1"/>
  <c r="H3813" i="1"/>
  <c r="I3813" i="1"/>
  <c r="G3814" i="1"/>
  <c r="H3814" i="1"/>
  <c r="I3814" i="1"/>
  <c r="G3815" i="1"/>
  <c r="H3815" i="1"/>
  <c r="I3815" i="1"/>
  <c r="G3816" i="1"/>
  <c r="H3816" i="1"/>
  <c r="I3816" i="1"/>
  <c r="G3817" i="1"/>
  <c r="H3817" i="1"/>
  <c r="I3817" i="1"/>
  <c r="G3818" i="1"/>
  <c r="H3818" i="1"/>
  <c r="I3818" i="1"/>
  <c r="G3819" i="1"/>
  <c r="H3819" i="1"/>
  <c r="I3819" i="1"/>
  <c r="G3820" i="1"/>
  <c r="H3820" i="1"/>
  <c r="I3820" i="1"/>
  <c r="G3821" i="1"/>
  <c r="H3821" i="1"/>
  <c r="I3821" i="1"/>
  <c r="G3822" i="1"/>
  <c r="H3822" i="1"/>
  <c r="I3822" i="1"/>
  <c r="G3823" i="1"/>
  <c r="H3823" i="1"/>
  <c r="I3823" i="1"/>
  <c r="G3824" i="1"/>
  <c r="H3824" i="1"/>
  <c r="I3824" i="1"/>
  <c r="G3825" i="1"/>
  <c r="H3825" i="1"/>
  <c r="I3825" i="1"/>
  <c r="G3826" i="1"/>
  <c r="H3826" i="1"/>
  <c r="I3826" i="1"/>
  <c r="G3827" i="1"/>
  <c r="H3827" i="1"/>
  <c r="I3827" i="1"/>
  <c r="G3828" i="1"/>
  <c r="H3828" i="1"/>
  <c r="I3828" i="1"/>
  <c r="G3829" i="1"/>
  <c r="H3829" i="1"/>
  <c r="I3829" i="1"/>
  <c r="G3830" i="1"/>
  <c r="H3830" i="1"/>
  <c r="I3830" i="1"/>
  <c r="G3831" i="1"/>
  <c r="H3831" i="1"/>
  <c r="I3831" i="1"/>
  <c r="G3832" i="1"/>
  <c r="H3832" i="1"/>
  <c r="I3832" i="1"/>
  <c r="G3833" i="1"/>
  <c r="H3833" i="1"/>
  <c r="I3833" i="1"/>
  <c r="G3834" i="1"/>
  <c r="H3834" i="1"/>
  <c r="I3834" i="1"/>
  <c r="G3835" i="1"/>
  <c r="H3835" i="1"/>
  <c r="I3835" i="1"/>
  <c r="G3836" i="1"/>
  <c r="H3836" i="1"/>
  <c r="I3836" i="1"/>
  <c r="G3837" i="1"/>
  <c r="H3837" i="1"/>
  <c r="I3837" i="1"/>
  <c r="G3838" i="1"/>
  <c r="H3838" i="1"/>
  <c r="I3838" i="1"/>
  <c r="G3839" i="1"/>
  <c r="H3839" i="1"/>
  <c r="I3839" i="1"/>
  <c r="G3840" i="1"/>
  <c r="H3840" i="1"/>
  <c r="I3840" i="1"/>
  <c r="G3841" i="1"/>
  <c r="H3841" i="1"/>
  <c r="I3841" i="1"/>
  <c r="G3842" i="1"/>
  <c r="H3842" i="1"/>
  <c r="I3842" i="1"/>
  <c r="G3843" i="1"/>
  <c r="H3843" i="1"/>
  <c r="I3843" i="1"/>
  <c r="G3844" i="1"/>
  <c r="H3844" i="1"/>
  <c r="I3844" i="1"/>
  <c r="G3845" i="1"/>
  <c r="H3845" i="1"/>
  <c r="I3845" i="1"/>
  <c r="G3846" i="1"/>
  <c r="H3846" i="1"/>
  <c r="I3846" i="1"/>
  <c r="G3847" i="1"/>
  <c r="H3847" i="1"/>
  <c r="I3847" i="1"/>
  <c r="G3848" i="1"/>
  <c r="H3848" i="1"/>
  <c r="I3848" i="1"/>
  <c r="G3849" i="1"/>
  <c r="H3849" i="1"/>
  <c r="I3849" i="1"/>
  <c r="G3850" i="1"/>
  <c r="H3850" i="1"/>
  <c r="I3850" i="1"/>
  <c r="G3851" i="1"/>
  <c r="H3851" i="1"/>
  <c r="I3851" i="1"/>
  <c r="G3852" i="1"/>
  <c r="H3852" i="1"/>
  <c r="I3852" i="1"/>
  <c r="G3853" i="1"/>
  <c r="H3853" i="1"/>
  <c r="I3853" i="1"/>
  <c r="G3854" i="1"/>
  <c r="H3854" i="1"/>
  <c r="I3854" i="1"/>
  <c r="G3855" i="1"/>
  <c r="H3855" i="1"/>
  <c r="I3855" i="1"/>
  <c r="G3856" i="1"/>
  <c r="H3856" i="1"/>
  <c r="I3856" i="1"/>
  <c r="G3857" i="1"/>
  <c r="H3857" i="1"/>
  <c r="I3857" i="1"/>
  <c r="G3858" i="1"/>
  <c r="H3858" i="1"/>
  <c r="I3858" i="1"/>
  <c r="G3859" i="1"/>
  <c r="H3859" i="1"/>
  <c r="I3859" i="1"/>
  <c r="G3860" i="1"/>
  <c r="H3860" i="1"/>
  <c r="I3860" i="1"/>
  <c r="G3861" i="1"/>
  <c r="H3861" i="1"/>
  <c r="I3861" i="1"/>
  <c r="G3862" i="1"/>
  <c r="H3862" i="1"/>
  <c r="I3862" i="1"/>
  <c r="G3863" i="1"/>
  <c r="H3863" i="1"/>
  <c r="I3863" i="1"/>
  <c r="G3864" i="1"/>
  <c r="H3864" i="1"/>
  <c r="I3864" i="1"/>
  <c r="G3865" i="1"/>
  <c r="H3865" i="1"/>
  <c r="I3865" i="1"/>
  <c r="G3866" i="1"/>
  <c r="H3866" i="1"/>
  <c r="I3866" i="1"/>
  <c r="G3867" i="1"/>
  <c r="H3867" i="1"/>
  <c r="I3867" i="1"/>
  <c r="G3868" i="1"/>
  <c r="H3868" i="1"/>
  <c r="I3868" i="1"/>
  <c r="G3869" i="1"/>
  <c r="H3869" i="1"/>
  <c r="I3869" i="1"/>
  <c r="G3870" i="1"/>
  <c r="H3870" i="1"/>
  <c r="I3870" i="1"/>
  <c r="G3871" i="1"/>
  <c r="H3871" i="1"/>
  <c r="I3871" i="1"/>
  <c r="G3872" i="1"/>
  <c r="H3872" i="1"/>
  <c r="I3872" i="1"/>
  <c r="G3873" i="1"/>
  <c r="H3873" i="1"/>
  <c r="I3873" i="1"/>
  <c r="G3874" i="1"/>
  <c r="H3874" i="1"/>
  <c r="I3874" i="1"/>
  <c r="G3875" i="1"/>
  <c r="H3875" i="1"/>
  <c r="I3875" i="1"/>
  <c r="G3876" i="1"/>
  <c r="H3876" i="1"/>
  <c r="I3876" i="1"/>
  <c r="G3877" i="1"/>
  <c r="H3877" i="1"/>
  <c r="I3877" i="1"/>
  <c r="G3878" i="1"/>
  <c r="H3878" i="1"/>
  <c r="I3878" i="1"/>
  <c r="G3879" i="1"/>
  <c r="H3879" i="1"/>
  <c r="I3879" i="1"/>
  <c r="G3880" i="1"/>
  <c r="H3880" i="1"/>
  <c r="I3880" i="1"/>
  <c r="G3881" i="1"/>
  <c r="H3881" i="1"/>
  <c r="I3881" i="1"/>
  <c r="G3882" i="1"/>
  <c r="H3882" i="1"/>
  <c r="I3882" i="1"/>
  <c r="G3883" i="1"/>
  <c r="H3883" i="1"/>
  <c r="I3883" i="1"/>
  <c r="G3884" i="1"/>
  <c r="H3884" i="1"/>
  <c r="I3884" i="1"/>
  <c r="G3885" i="1"/>
  <c r="H3885" i="1"/>
  <c r="I3885" i="1"/>
  <c r="G3886" i="1"/>
  <c r="H3886" i="1"/>
  <c r="I3886" i="1"/>
  <c r="G3887" i="1"/>
  <c r="H3887" i="1"/>
  <c r="I3887" i="1"/>
  <c r="G3888" i="1"/>
  <c r="H3888" i="1"/>
  <c r="I3888" i="1"/>
  <c r="G3889" i="1"/>
  <c r="H3889" i="1"/>
  <c r="I3889" i="1"/>
  <c r="G3890" i="1"/>
  <c r="H3890" i="1"/>
  <c r="I3890" i="1"/>
  <c r="G3891" i="1"/>
  <c r="H3891" i="1"/>
  <c r="I3891" i="1"/>
  <c r="G3892" i="1"/>
  <c r="H3892" i="1"/>
  <c r="I3892" i="1"/>
  <c r="G3893" i="1"/>
  <c r="H3893" i="1"/>
  <c r="I3893" i="1"/>
  <c r="G3894" i="1"/>
  <c r="H3894" i="1"/>
  <c r="I3894" i="1"/>
  <c r="G3895" i="1"/>
  <c r="H3895" i="1"/>
  <c r="I3895" i="1"/>
  <c r="G3896" i="1"/>
  <c r="H3896" i="1"/>
  <c r="I3896" i="1"/>
  <c r="G3897" i="1"/>
  <c r="H3897" i="1"/>
  <c r="I3897" i="1"/>
  <c r="G3898" i="1"/>
  <c r="H3898" i="1"/>
  <c r="I3898" i="1"/>
  <c r="G3899" i="1"/>
  <c r="H3899" i="1"/>
  <c r="I3899" i="1"/>
  <c r="G3900" i="1"/>
  <c r="H3900" i="1"/>
  <c r="I3900" i="1"/>
  <c r="G3901" i="1"/>
  <c r="H3901" i="1"/>
  <c r="I3901" i="1"/>
  <c r="G3902" i="1"/>
  <c r="H3902" i="1"/>
  <c r="I3902" i="1"/>
  <c r="G3903" i="1"/>
  <c r="H3903" i="1"/>
  <c r="I3903" i="1"/>
  <c r="G3904" i="1"/>
  <c r="H3904" i="1"/>
  <c r="I3904" i="1"/>
  <c r="G3905" i="1"/>
  <c r="H3905" i="1"/>
  <c r="I3905" i="1"/>
  <c r="G3906" i="1"/>
  <c r="H3906" i="1"/>
  <c r="I3906" i="1"/>
  <c r="G3907" i="1"/>
  <c r="H3907" i="1"/>
  <c r="I3907" i="1"/>
  <c r="G3908" i="1"/>
  <c r="H3908" i="1"/>
  <c r="I3908" i="1"/>
  <c r="G3909" i="1"/>
  <c r="H3909" i="1"/>
  <c r="I3909" i="1"/>
  <c r="G3910" i="1"/>
  <c r="H3910" i="1"/>
  <c r="I3910" i="1"/>
  <c r="G3911" i="1"/>
  <c r="H3911" i="1"/>
  <c r="I3911" i="1"/>
  <c r="G3912" i="1"/>
  <c r="H3912" i="1"/>
  <c r="I3912" i="1"/>
  <c r="G3913" i="1"/>
  <c r="H3913" i="1"/>
  <c r="I3913" i="1"/>
  <c r="G3914" i="1"/>
  <c r="H3914" i="1"/>
  <c r="I3914" i="1"/>
  <c r="G3915" i="1"/>
  <c r="H3915" i="1"/>
  <c r="I3915" i="1"/>
  <c r="G3916" i="1"/>
  <c r="H3916" i="1"/>
  <c r="I3916" i="1"/>
  <c r="G3917" i="1"/>
  <c r="H3917" i="1"/>
  <c r="I3917" i="1"/>
  <c r="G3918" i="1"/>
  <c r="H3918" i="1"/>
  <c r="I3918" i="1"/>
  <c r="G3919" i="1"/>
  <c r="H3919" i="1"/>
  <c r="I3919" i="1"/>
  <c r="G3920" i="1"/>
  <c r="H3920" i="1"/>
  <c r="I3920" i="1"/>
  <c r="G3921" i="1"/>
  <c r="H3921" i="1"/>
  <c r="I3921" i="1"/>
  <c r="G3922" i="1"/>
  <c r="H3922" i="1"/>
  <c r="I3922" i="1"/>
  <c r="G3923" i="1"/>
  <c r="H3923" i="1"/>
  <c r="I3923" i="1"/>
  <c r="G3924" i="1"/>
  <c r="H3924" i="1"/>
  <c r="I3924" i="1"/>
  <c r="G3925" i="1"/>
  <c r="H3925" i="1"/>
  <c r="I3925" i="1"/>
  <c r="G3926" i="1"/>
  <c r="H3926" i="1"/>
  <c r="I3926" i="1"/>
  <c r="G3927" i="1"/>
  <c r="H3927" i="1"/>
  <c r="I3927" i="1"/>
  <c r="G3928" i="1"/>
  <c r="H3928" i="1"/>
  <c r="I3928" i="1"/>
  <c r="G3929" i="1"/>
  <c r="H3929" i="1"/>
  <c r="I3929" i="1"/>
  <c r="G3930" i="1"/>
  <c r="H3930" i="1"/>
  <c r="I3930" i="1"/>
  <c r="G3931" i="1"/>
  <c r="H3931" i="1"/>
  <c r="I3931" i="1"/>
  <c r="G3932" i="1"/>
  <c r="H3932" i="1"/>
  <c r="I3932" i="1"/>
  <c r="G3933" i="1"/>
  <c r="H3933" i="1"/>
  <c r="I3933" i="1"/>
  <c r="G3934" i="1"/>
  <c r="H3934" i="1"/>
  <c r="I3934" i="1"/>
  <c r="G3935" i="1"/>
  <c r="H3935" i="1"/>
  <c r="I3935" i="1"/>
  <c r="G3936" i="1"/>
  <c r="H3936" i="1"/>
  <c r="I3936" i="1"/>
  <c r="G3937" i="1"/>
  <c r="H3937" i="1"/>
  <c r="I3937" i="1"/>
  <c r="G3938" i="1"/>
  <c r="H3938" i="1"/>
  <c r="I3938" i="1"/>
  <c r="G3939" i="1"/>
  <c r="H3939" i="1"/>
  <c r="I3939" i="1"/>
  <c r="G3940" i="1"/>
  <c r="H3940" i="1"/>
  <c r="I3940" i="1"/>
  <c r="G3941" i="1"/>
  <c r="H3941" i="1"/>
  <c r="I3941" i="1"/>
  <c r="G3942" i="1"/>
  <c r="H3942" i="1"/>
  <c r="I3942" i="1"/>
  <c r="G3943" i="1"/>
  <c r="H3943" i="1"/>
  <c r="I3943" i="1"/>
  <c r="G3944" i="1"/>
  <c r="H3944" i="1"/>
  <c r="I3944" i="1"/>
  <c r="G3945" i="1"/>
  <c r="H3945" i="1"/>
  <c r="I3945" i="1"/>
  <c r="G3946" i="1"/>
  <c r="H3946" i="1"/>
  <c r="I3946" i="1"/>
  <c r="G3947" i="1"/>
  <c r="H3947" i="1"/>
  <c r="I3947" i="1"/>
  <c r="G3948" i="1"/>
  <c r="H3948" i="1"/>
  <c r="I3948" i="1"/>
  <c r="G3949" i="1"/>
  <c r="H3949" i="1"/>
  <c r="I3949" i="1"/>
  <c r="G3950" i="1"/>
  <c r="H3950" i="1"/>
  <c r="I3950" i="1"/>
  <c r="G3951" i="1"/>
  <c r="H3951" i="1"/>
  <c r="I3951" i="1"/>
  <c r="G3952" i="1"/>
  <c r="H3952" i="1"/>
  <c r="I3952" i="1"/>
  <c r="G3953" i="1"/>
  <c r="H3953" i="1"/>
  <c r="I3953" i="1"/>
  <c r="G3954" i="1"/>
  <c r="H3954" i="1"/>
  <c r="I3954" i="1"/>
  <c r="G3955" i="1"/>
  <c r="H3955" i="1"/>
  <c r="I3955" i="1"/>
  <c r="G3956" i="1"/>
  <c r="H3956" i="1"/>
  <c r="I3956" i="1"/>
  <c r="G3957" i="1"/>
  <c r="H3957" i="1"/>
  <c r="I3957" i="1"/>
  <c r="G3958" i="1"/>
  <c r="H3958" i="1"/>
  <c r="I3958" i="1"/>
  <c r="G3959" i="1"/>
  <c r="H3959" i="1"/>
  <c r="I3959" i="1"/>
  <c r="G3960" i="1"/>
  <c r="H3960" i="1"/>
  <c r="I3960" i="1"/>
  <c r="G3961" i="1"/>
  <c r="H3961" i="1"/>
  <c r="I3961" i="1"/>
  <c r="G3962" i="1"/>
  <c r="H3962" i="1"/>
  <c r="I3962" i="1"/>
  <c r="G3963" i="1"/>
  <c r="H3963" i="1"/>
  <c r="I3963" i="1"/>
  <c r="G3964" i="1"/>
  <c r="H3964" i="1"/>
  <c r="I3964" i="1"/>
  <c r="G3965" i="1"/>
  <c r="H3965" i="1"/>
  <c r="I3965" i="1"/>
  <c r="G3966" i="1"/>
  <c r="H3966" i="1"/>
  <c r="I3966" i="1"/>
  <c r="G3967" i="1"/>
  <c r="H3967" i="1"/>
  <c r="I3967" i="1"/>
  <c r="G3968" i="1"/>
  <c r="H3968" i="1"/>
  <c r="I3968" i="1"/>
  <c r="G3969" i="1"/>
  <c r="H3969" i="1"/>
  <c r="I3969" i="1"/>
  <c r="G3970" i="1"/>
  <c r="H3970" i="1"/>
  <c r="I3970" i="1"/>
  <c r="G3971" i="1"/>
  <c r="H3971" i="1"/>
  <c r="I3971" i="1"/>
  <c r="G3972" i="1"/>
  <c r="H3972" i="1"/>
  <c r="I3972" i="1"/>
  <c r="G3973" i="1"/>
  <c r="H3973" i="1"/>
  <c r="I3973" i="1"/>
  <c r="G3974" i="1"/>
  <c r="H3974" i="1"/>
  <c r="I3974" i="1"/>
  <c r="G3975" i="1"/>
  <c r="H3975" i="1"/>
  <c r="I3975" i="1"/>
  <c r="G3976" i="1"/>
  <c r="H3976" i="1"/>
  <c r="I3976" i="1"/>
  <c r="G3977" i="1"/>
  <c r="H3977" i="1"/>
  <c r="I3977" i="1"/>
  <c r="G3978" i="1"/>
  <c r="H3978" i="1"/>
  <c r="I3978" i="1"/>
  <c r="G3979" i="1"/>
  <c r="H3979" i="1"/>
  <c r="I3979" i="1"/>
  <c r="G3980" i="1"/>
  <c r="H3980" i="1"/>
  <c r="I3980" i="1"/>
  <c r="G3981" i="1"/>
  <c r="H3981" i="1"/>
  <c r="I3981" i="1"/>
  <c r="G3982" i="1"/>
  <c r="H3982" i="1"/>
  <c r="I3982" i="1"/>
  <c r="G3983" i="1"/>
  <c r="H3983" i="1"/>
  <c r="I3983" i="1"/>
  <c r="G3984" i="1"/>
  <c r="H3984" i="1"/>
  <c r="I3984" i="1"/>
  <c r="G3985" i="1"/>
  <c r="H3985" i="1"/>
  <c r="I3985" i="1"/>
  <c r="G3986" i="1"/>
  <c r="H3986" i="1"/>
  <c r="I3986" i="1"/>
  <c r="G3987" i="1"/>
  <c r="H3987" i="1"/>
  <c r="I3987" i="1"/>
  <c r="G3988" i="1"/>
  <c r="H3988" i="1"/>
  <c r="I3988" i="1"/>
  <c r="G3989" i="1"/>
  <c r="H3989" i="1"/>
  <c r="I3989" i="1"/>
  <c r="G3990" i="1"/>
  <c r="H3990" i="1"/>
  <c r="I3990" i="1"/>
  <c r="G3991" i="1"/>
  <c r="H3991" i="1"/>
  <c r="I3991" i="1"/>
  <c r="G3992" i="1"/>
  <c r="H3992" i="1"/>
  <c r="I3992" i="1"/>
  <c r="G3993" i="1"/>
  <c r="H3993" i="1"/>
  <c r="I3993" i="1"/>
  <c r="G3994" i="1"/>
  <c r="H3994" i="1"/>
  <c r="I3994" i="1"/>
  <c r="G3995" i="1"/>
  <c r="H3995" i="1"/>
  <c r="I3995" i="1"/>
  <c r="G3996" i="1"/>
  <c r="H3996" i="1"/>
  <c r="I3996" i="1"/>
  <c r="G3997" i="1"/>
  <c r="H3997" i="1"/>
  <c r="I3997" i="1"/>
  <c r="G3998" i="1"/>
  <c r="H3998" i="1"/>
  <c r="I3998" i="1"/>
  <c r="G3999" i="1"/>
  <c r="H3999" i="1"/>
  <c r="I3999" i="1"/>
  <c r="G4000" i="1"/>
  <c r="H4000" i="1"/>
  <c r="I4000" i="1"/>
  <c r="G4001" i="1"/>
  <c r="H4001" i="1"/>
  <c r="I4001" i="1"/>
  <c r="G4002" i="1"/>
  <c r="H4002" i="1"/>
  <c r="I4002" i="1"/>
  <c r="G4003" i="1"/>
  <c r="H4003" i="1"/>
  <c r="I4003" i="1"/>
  <c r="G4004" i="1"/>
  <c r="H4004" i="1"/>
  <c r="I4004" i="1"/>
  <c r="G4005" i="1"/>
  <c r="H4005" i="1"/>
  <c r="I4005" i="1"/>
  <c r="G4006" i="1"/>
  <c r="H4006" i="1"/>
  <c r="I4006" i="1"/>
  <c r="G4007" i="1"/>
  <c r="H4007" i="1"/>
  <c r="I4007" i="1"/>
  <c r="G4008" i="1"/>
  <c r="H4008" i="1"/>
  <c r="I4008" i="1"/>
  <c r="G4009" i="1"/>
  <c r="H4009" i="1"/>
  <c r="I4009" i="1"/>
  <c r="G4010" i="1"/>
  <c r="H4010" i="1"/>
  <c r="I4010" i="1"/>
  <c r="G4011" i="1"/>
  <c r="H4011" i="1"/>
  <c r="I4011" i="1"/>
  <c r="G4012" i="1"/>
  <c r="H4012" i="1"/>
  <c r="I4012" i="1"/>
  <c r="G4013" i="1"/>
  <c r="H4013" i="1"/>
  <c r="I4013" i="1"/>
  <c r="G4014" i="1"/>
  <c r="H4014" i="1"/>
  <c r="I4014" i="1"/>
  <c r="G4015" i="1"/>
  <c r="H4015" i="1"/>
  <c r="I4015" i="1"/>
  <c r="G4016" i="1"/>
  <c r="H4016" i="1"/>
  <c r="I4016" i="1"/>
  <c r="G4017" i="1"/>
  <c r="H4017" i="1"/>
  <c r="I4017" i="1"/>
  <c r="G4018" i="1"/>
  <c r="H4018" i="1"/>
  <c r="I4018" i="1"/>
  <c r="G4019" i="1"/>
  <c r="H4019" i="1"/>
  <c r="I4019" i="1"/>
  <c r="G4020" i="1"/>
  <c r="H4020" i="1"/>
  <c r="I4020" i="1"/>
  <c r="G4021" i="1"/>
  <c r="H4021" i="1"/>
  <c r="I4021" i="1"/>
  <c r="G4022" i="1"/>
  <c r="H4022" i="1"/>
  <c r="I4022" i="1"/>
  <c r="G4023" i="1"/>
  <c r="H4023" i="1"/>
  <c r="I4023" i="1"/>
  <c r="G4024" i="1"/>
  <c r="H4024" i="1"/>
  <c r="I4024" i="1"/>
  <c r="G4025" i="1"/>
  <c r="H4025" i="1"/>
  <c r="I4025" i="1"/>
  <c r="G4026" i="1"/>
  <c r="H4026" i="1"/>
  <c r="I4026" i="1"/>
  <c r="G4027" i="1"/>
  <c r="H4027" i="1"/>
  <c r="I4027" i="1"/>
  <c r="G4028" i="1"/>
  <c r="H4028" i="1"/>
  <c r="I4028" i="1"/>
  <c r="G4029" i="1"/>
  <c r="H4029" i="1"/>
  <c r="I4029" i="1"/>
  <c r="G4030" i="1"/>
  <c r="H4030" i="1"/>
  <c r="I4030" i="1"/>
  <c r="G4031" i="1"/>
  <c r="H4031" i="1"/>
  <c r="I4031" i="1"/>
  <c r="G4032" i="1"/>
  <c r="H4032" i="1"/>
  <c r="I4032" i="1"/>
  <c r="G4033" i="1"/>
  <c r="H4033" i="1"/>
  <c r="I4033" i="1"/>
  <c r="G4034" i="1"/>
  <c r="H4034" i="1"/>
  <c r="I4034" i="1"/>
  <c r="G4035" i="1"/>
  <c r="H4035" i="1"/>
  <c r="I4035" i="1"/>
  <c r="G4036" i="1"/>
  <c r="H4036" i="1"/>
  <c r="I4036" i="1"/>
  <c r="G4037" i="1"/>
  <c r="H4037" i="1"/>
  <c r="I4037" i="1"/>
  <c r="G4038" i="1"/>
  <c r="H4038" i="1"/>
  <c r="I4038" i="1"/>
  <c r="G4039" i="1"/>
  <c r="H4039" i="1"/>
  <c r="I4039" i="1"/>
  <c r="G4040" i="1"/>
  <c r="H4040" i="1"/>
  <c r="I4040" i="1"/>
  <c r="G4041" i="1"/>
  <c r="H4041" i="1"/>
  <c r="I4041" i="1"/>
  <c r="G4042" i="1"/>
  <c r="H4042" i="1"/>
  <c r="I4042" i="1"/>
  <c r="G4043" i="1"/>
  <c r="H4043" i="1"/>
  <c r="I4043" i="1"/>
  <c r="G4044" i="1"/>
  <c r="H4044" i="1"/>
  <c r="I4044" i="1"/>
  <c r="G4045" i="1"/>
  <c r="H4045" i="1"/>
  <c r="I4045" i="1"/>
  <c r="G4046" i="1"/>
  <c r="H4046" i="1"/>
  <c r="I4046" i="1"/>
  <c r="G4047" i="1"/>
  <c r="H4047" i="1"/>
  <c r="I4047" i="1"/>
  <c r="G4048" i="1"/>
  <c r="H4048" i="1"/>
  <c r="I4048" i="1"/>
  <c r="G4049" i="1"/>
  <c r="H4049" i="1"/>
  <c r="I4049" i="1"/>
  <c r="G4050" i="1"/>
  <c r="H4050" i="1"/>
  <c r="I4050" i="1"/>
  <c r="G4051" i="1"/>
  <c r="H4051" i="1"/>
  <c r="I4051" i="1"/>
  <c r="G4052" i="1"/>
  <c r="H4052" i="1"/>
  <c r="I4052" i="1"/>
  <c r="G4053" i="1"/>
  <c r="H4053" i="1"/>
  <c r="I4053" i="1"/>
  <c r="G4054" i="1"/>
  <c r="H4054" i="1"/>
  <c r="I4054" i="1"/>
  <c r="G4055" i="1"/>
  <c r="H4055" i="1"/>
  <c r="I4055" i="1"/>
  <c r="G4056" i="1"/>
  <c r="H4056" i="1"/>
  <c r="I4056" i="1"/>
  <c r="G4057" i="1"/>
  <c r="H4057" i="1"/>
  <c r="I4057" i="1"/>
  <c r="G4058" i="1"/>
  <c r="H4058" i="1"/>
  <c r="I4058" i="1"/>
  <c r="G4059" i="1"/>
  <c r="H4059" i="1"/>
  <c r="I4059" i="1"/>
  <c r="G4060" i="1"/>
  <c r="H4060" i="1"/>
  <c r="I4060" i="1"/>
  <c r="G4061" i="1"/>
  <c r="H4061" i="1"/>
  <c r="I4061" i="1"/>
  <c r="G4062" i="1"/>
  <c r="H4062" i="1"/>
  <c r="I4062" i="1"/>
  <c r="G4063" i="1"/>
  <c r="H4063" i="1"/>
  <c r="I4063" i="1"/>
  <c r="G4064" i="1"/>
  <c r="H4064" i="1"/>
  <c r="I4064" i="1"/>
  <c r="G4065" i="1"/>
  <c r="H4065" i="1"/>
  <c r="I4065" i="1"/>
  <c r="G4066" i="1"/>
  <c r="H4066" i="1"/>
  <c r="I4066" i="1"/>
  <c r="G4067" i="1"/>
  <c r="H4067" i="1"/>
  <c r="I4067" i="1"/>
  <c r="G4068" i="1"/>
  <c r="H4068" i="1"/>
  <c r="I4068" i="1"/>
  <c r="G4069" i="1"/>
  <c r="H4069" i="1"/>
  <c r="I4069" i="1"/>
  <c r="G4070" i="1"/>
  <c r="H4070" i="1"/>
  <c r="I4070" i="1"/>
  <c r="G4071" i="1"/>
  <c r="H4071" i="1"/>
  <c r="I4071" i="1"/>
  <c r="G4072" i="1"/>
  <c r="H4072" i="1"/>
  <c r="I4072" i="1"/>
  <c r="G4073" i="1"/>
  <c r="H4073" i="1"/>
  <c r="I4073" i="1"/>
  <c r="G4074" i="1"/>
  <c r="H4074" i="1"/>
  <c r="I4074" i="1"/>
  <c r="G4075" i="1"/>
  <c r="H4075" i="1"/>
  <c r="I4075" i="1"/>
  <c r="G4076" i="1"/>
  <c r="H4076" i="1"/>
  <c r="I4076" i="1"/>
  <c r="G4077" i="1"/>
  <c r="H4077" i="1"/>
  <c r="I4077" i="1"/>
  <c r="G4078" i="1"/>
  <c r="H4078" i="1"/>
  <c r="I4078" i="1"/>
  <c r="G4079" i="1"/>
  <c r="H4079" i="1"/>
  <c r="I4079" i="1"/>
  <c r="G4080" i="1"/>
  <c r="H4080" i="1"/>
  <c r="I4080" i="1"/>
  <c r="G4081" i="1"/>
  <c r="H4081" i="1"/>
  <c r="I4081" i="1"/>
  <c r="G4082" i="1"/>
  <c r="H4082" i="1"/>
  <c r="I4082" i="1"/>
  <c r="G4083" i="1"/>
  <c r="H4083" i="1"/>
  <c r="I4083" i="1"/>
  <c r="G4084" i="1"/>
  <c r="H4084" i="1"/>
  <c r="I4084" i="1"/>
  <c r="G4085" i="1"/>
  <c r="H4085" i="1"/>
  <c r="I4085" i="1"/>
  <c r="G4086" i="1"/>
  <c r="H4086" i="1"/>
  <c r="I4086" i="1"/>
  <c r="G4087" i="1"/>
  <c r="H4087" i="1"/>
  <c r="I4087" i="1"/>
  <c r="G4088" i="1"/>
  <c r="H4088" i="1"/>
  <c r="I4088" i="1"/>
  <c r="G4089" i="1"/>
  <c r="H4089" i="1"/>
  <c r="I4089" i="1"/>
  <c r="G4090" i="1"/>
  <c r="H4090" i="1"/>
  <c r="I4090" i="1"/>
  <c r="G4091" i="1"/>
  <c r="H4091" i="1"/>
  <c r="I4091" i="1"/>
  <c r="G4092" i="1"/>
  <c r="H4092" i="1"/>
  <c r="I4092" i="1"/>
  <c r="G4093" i="1"/>
  <c r="H4093" i="1"/>
  <c r="I4093" i="1"/>
  <c r="G4094" i="1"/>
  <c r="H4094" i="1"/>
  <c r="I4094" i="1"/>
  <c r="G4095" i="1"/>
  <c r="H4095" i="1"/>
  <c r="I4095" i="1"/>
  <c r="G4096" i="1"/>
  <c r="H4096" i="1"/>
  <c r="I4096" i="1"/>
  <c r="G4097" i="1"/>
  <c r="H4097" i="1"/>
  <c r="I4097" i="1"/>
  <c r="G4098" i="1"/>
  <c r="H4098" i="1"/>
  <c r="I4098" i="1"/>
  <c r="G4099" i="1"/>
  <c r="H4099" i="1"/>
  <c r="I4099" i="1"/>
  <c r="G4100" i="1"/>
  <c r="H4100" i="1"/>
  <c r="I4100" i="1"/>
  <c r="G4101" i="1"/>
  <c r="H4101" i="1"/>
  <c r="I4101" i="1"/>
  <c r="G4102" i="1"/>
  <c r="H4102" i="1"/>
  <c r="I4102" i="1"/>
  <c r="G4103" i="1"/>
  <c r="H4103" i="1"/>
  <c r="I4103" i="1"/>
  <c r="G4104" i="1"/>
  <c r="H4104" i="1"/>
  <c r="I4104" i="1"/>
  <c r="G4105" i="1"/>
  <c r="H4105" i="1"/>
  <c r="I4105" i="1"/>
  <c r="G4106" i="1"/>
  <c r="H4106" i="1"/>
  <c r="I4106" i="1"/>
  <c r="G4107" i="1"/>
  <c r="H4107" i="1"/>
  <c r="I4107" i="1"/>
  <c r="G4108" i="1"/>
  <c r="H4108" i="1"/>
  <c r="I4108" i="1"/>
  <c r="G4109" i="1"/>
  <c r="H4109" i="1"/>
  <c r="I4109" i="1"/>
  <c r="G4110" i="1"/>
  <c r="H4110" i="1"/>
  <c r="I4110" i="1"/>
  <c r="G4111" i="1"/>
  <c r="H4111" i="1"/>
  <c r="I4111" i="1"/>
  <c r="G4112" i="1"/>
  <c r="H4112" i="1"/>
  <c r="I4112" i="1"/>
  <c r="G4113" i="1"/>
  <c r="H4113" i="1"/>
  <c r="I4113" i="1"/>
  <c r="G4114" i="1"/>
  <c r="H4114" i="1"/>
  <c r="I4114" i="1"/>
  <c r="G4115" i="1"/>
  <c r="H4115" i="1"/>
  <c r="I4115" i="1"/>
  <c r="G4116" i="1"/>
  <c r="H4116" i="1"/>
  <c r="I4116" i="1"/>
  <c r="G4117" i="1"/>
  <c r="H4117" i="1"/>
  <c r="I4117" i="1"/>
  <c r="G4118" i="1"/>
  <c r="H4118" i="1"/>
  <c r="I4118" i="1"/>
  <c r="G4119" i="1"/>
  <c r="H4119" i="1"/>
  <c r="I4119" i="1"/>
  <c r="G4120" i="1"/>
  <c r="H4120" i="1"/>
  <c r="I4120" i="1"/>
  <c r="G4121" i="1"/>
  <c r="H4121" i="1"/>
  <c r="I4121" i="1"/>
  <c r="G4122" i="1"/>
  <c r="H4122" i="1"/>
  <c r="I4122" i="1"/>
  <c r="G4123" i="1"/>
  <c r="H4123" i="1"/>
  <c r="I4123" i="1"/>
  <c r="G4124" i="1"/>
  <c r="H4124" i="1"/>
  <c r="I4124" i="1"/>
  <c r="G4125" i="1"/>
  <c r="H4125" i="1"/>
  <c r="I4125" i="1"/>
  <c r="G4126" i="1"/>
  <c r="H4126" i="1"/>
  <c r="I4126" i="1"/>
  <c r="G4127" i="1"/>
  <c r="H4127" i="1"/>
  <c r="I4127" i="1"/>
  <c r="G4128" i="1"/>
  <c r="H4128" i="1"/>
  <c r="I4128" i="1"/>
  <c r="G4129" i="1"/>
  <c r="H4129" i="1"/>
  <c r="I4129" i="1"/>
  <c r="G4130" i="1"/>
  <c r="H4130" i="1"/>
  <c r="I4130" i="1"/>
  <c r="G4131" i="1"/>
  <c r="H4131" i="1"/>
  <c r="I4131" i="1"/>
  <c r="G4132" i="1"/>
  <c r="H4132" i="1"/>
  <c r="I4132" i="1"/>
  <c r="G4133" i="1"/>
  <c r="H4133" i="1"/>
  <c r="I4133" i="1"/>
  <c r="G4134" i="1"/>
  <c r="H4134" i="1"/>
  <c r="I4134" i="1"/>
  <c r="G4135" i="1"/>
  <c r="H4135" i="1"/>
  <c r="I4135" i="1"/>
  <c r="G4136" i="1"/>
  <c r="H4136" i="1"/>
  <c r="I4136" i="1"/>
  <c r="G4137" i="1"/>
  <c r="H4137" i="1"/>
  <c r="I4137" i="1"/>
  <c r="G4138" i="1"/>
  <c r="H4138" i="1"/>
  <c r="I4138" i="1"/>
  <c r="G4139" i="1"/>
  <c r="H4139" i="1"/>
  <c r="I4139" i="1"/>
  <c r="G4140" i="1"/>
  <c r="H4140" i="1"/>
  <c r="I4140" i="1"/>
  <c r="G4141" i="1"/>
  <c r="H4141" i="1"/>
  <c r="I4141" i="1"/>
  <c r="G4142" i="1"/>
  <c r="H4142" i="1"/>
  <c r="I4142" i="1"/>
  <c r="G4143" i="1"/>
  <c r="H4143" i="1"/>
  <c r="I4143" i="1"/>
  <c r="G4144" i="1"/>
  <c r="H4144" i="1"/>
  <c r="I4144" i="1"/>
  <c r="G4145" i="1"/>
  <c r="H4145" i="1"/>
  <c r="I4145" i="1"/>
  <c r="G4146" i="1"/>
  <c r="H4146" i="1"/>
  <c r="I4146" i="1"/>
  <c r="G4147" i="1"/>
  <c r="H4147" i="1"/>
  <c r="I4147" i="1"/>
  <c r="G4148" i="1"/>
  <c r="H4148" i="1"/>
  <c r="I4148" i="1"/>
  <c r="G4149" i="1"/>
  <c r="H4149" i="1"/>
  <c r="I4149" i="1"/>
  <c r="G4150" i="1"/>
  <c r="H4150" i="1"/>
  <c r="I4150" i="1"/>
  <c r="G4151" i="1"/>
  <c r="H4151" i="1"/>
  <c r="I4151" i="1"/>
  <c r="G4152" i="1"/>
  <c r="H4152" i="1"/>
  <c r="I4152" i="1"/>
  <c r="G4153" i="1"/>
  <c r="H4153" i="1"/>
  <c r="I4153" i="1"/>
  <c r="G4154" i="1"/>
  <c r="H4154" i="1"/>
  <c r="I4154" i="1"/>
  <c r="G4155" i="1"/>
  <c r="H4155" i="1"/>
  <c r="I4155" i="1"/>
  <c r="G4156" i="1"/>
  <c r="H4156" i="1"/>
  <c r="I4156" i="1"/>
  <c r="G4157" i="1"/>
  <c r="H4157" i="1"/>
  <c r="I4157" i="1"/>
  <c r="G4158" i="1"/>
  <c r="H4158" i="1"/>
  <c r="I4158" i="1"/>
  <c r="G4159" i="1"/>
  <c r="H4159" i="1"/>
  <c r="I4159" i="1"/>
  <c r="G4160" i="1"/>
  <c r="H4160" i="1"/>
  <c r="I4160" i="1"/>
  <c r="G4161" i="1"/>
  <c r="H4161" i="1"/>
  <c r="I4161" i="1"/>
  <c r="G4162" i="1"/>
  <c r="H4162" i="1"/>
  <c r="I4162" i="1"/>
  <c r="G4163" i="1"/>
  <c r="H4163" i="1"/>
  <c r="I4163" i="1"/>
  <c r="G4164" i="1"/>
  <c r="H4164" i="1"/>
  <c r="I4164" i="1"/>
  <c r="G4165" i="1"/>
  <c r="H4165" i="1"/>
  <c r="I4165" i="1"/>
  <c r="G4166" i="1"/>
  <c r="H4166" i="1"/>
  <c r="I4166" i="1"/>
  <c r="G4167" i="1"/>
  <c r="H4167" i="1"/>
  <c r="I4167" i="1"/>
  <c r="G4168" i="1"/>
  <c r="H4168" i="1"/>
  <c r="I4168" i="1"/>
  <c r="G4169" i="1"/>
  <c r="H4169" i="1"/>
  <c r="I4169" i="1"/>
  <c r="G4170" i="1"/>
  <c r="H4170" i="1"/>
  <c r="I4170" i="1"/>
  <c r="G4171" i="1"/>
  <c r="H4171" i="1"/>
  <c r="I4171" i="1"/>
  <c r="G4172" i="1"/>
  <c r="H4172" i="1"/>
  <c r="I4172" i="1"/>
  <c r="G4173" i="1"/>
  <c r="H4173" i="1"/>
  <c r="I4173" i="1"/>
  <c r="G4174" i="1"/>
  <c r="H4174" i="1"/>
  <c r="I4174" i="1"/>
  <c r="G4175" i="1"/>
  <c r="H4175" i="1"/>
  <c r="I4175" i="1"/>
  <c r="G4176" i="1"/>
  <c r="H4176" i="1"/>
  <c r="I4176" i="1"/>
  <c r="G4177" i="1"/>
  <c r="H4177" i="1"/>
  <c r="I4177" i="1"/>
  <c r="G4178" i="1"/>
  <c r="H4178" i="1"/>
  <c r="I4178" i="1"/>
  <c r="G4179" i="1"/>
  <c r="H4179" i="1"/>
  <c r="I4179" i="1"/>
  <c r="G4180" i="1"/>
  <c r="H4180" i="1"/>
  <c r="I4180" i="1"/>
  <c r="G4181" i="1"/>
  <c r="H4181" i="1"/>
  <c r="I4181" i="1"/>
  <c r="G4182" i="1"/>
  <c r="H4182" i="1"/>
  <c r="I4182" i="1"/>
  <c r="G4183" i="1"/>
  <c r="H4183" i="1"/>
  <c r="I4183" i="1"/>
  <c r="G4184" i="1"/>
  <c r="H4184" i="1"/>
  <c r="I4184" i="1"/>
  <c r="G4185" i="1"/>
  <c r="H4185" i="1"/>
  <c r="I4185" i="1"/>
  <c r="G4186" i="1"/>
  <c r="H4186" i="1"/>
  <c r="I4186" i="1"/>
  <c r="G4187" i="1"/>
  <c r="H4187" i="1"/>
  <c r="I4187" i="1"/>
  <c r="G4188" i="1"/>
  <c r="H4188" i="1"/>
  <c r="I4188" i="1"/>
  <c r="G4189" i="1"/>
  <c r="H4189" i="1"/>
  <c r="I4189" i="1"/>
  <c r="G4190" i="1"/>
  <c r="H4190" i="1"/>
  <c r="I4190" i="1"/>
  <c r="G4191" i="1"/>
  <c r="H4191" i="1"/>
  <c r="I4191" i="1"/>
  <c r="G4192" i="1"/>
  <c r="H4192" i="1"/>
  <c r="I4192" i="1"/>
  <c r="G4193" i="1"/>
  <c r="H4193" i="1"/>
  <c r="I4193" i="1"/>
  <c r="G4194" i="1"/>
  <c r="H4194" i="1"/>
  <c r="I4194" i="1"/>
  <c r="G4195" i="1"/>
  <c r="H4195" i="1"/>
  <c r="I4195" i="1"/>
  <c r="G4196" i="1"/>
  <c r="H4196" i="1"/>
  <c r="I4196" i="1"/>
  <c r="G4197" i="1"/>
  <c r="H4197" i="1"/>
  <c r="I4197" i="1"/>
  <c r="G4198" i="1"/>
  <c r="H4198" i="1"/>
  <c r="I4198" i="1"/>
  <c r="G4199" i="1"/>
  <c r="H4199" i="1"/>
  <c r="I4199" i="1"/>
  <c r="G4200" i="1"/>
  <c r="H4200" i="1"/>
  <c r="I4200" i="1"/>
  <c r="G4201" i="1"/>
  <c r="H4201" i="1"/>
  <c r="I4201" i="1"/>
  <c r="G4202" i="1"/>
  <c r="H4202" i="1"/>
  <c r="I4202" i="1"/>
  <c r="G4203" i="1"/>
  <c r="H4203" i="1"/>
  <c r="I4203" i="1"/>
  <c r="G4204" i="1"/>
  <c r="H4204" i="1"/>
  <c r="I4204" i="1"/>
  <c r="G4205" i="1"/>
  <c r="H4205" i="1"/>
  <c r="I4205" i="1"/>
  <c r="G4206" i="1"/>
  <c r="H4206" i="1"/>
  <c r="I4206" i="1"/>
  <c r="G4207" i="1"/>
  <c r="H4207" i="1"/>
  <c r="I4207" i="1"/>
  <c r="G4208" i="1"/>
  <c r="H4208" i="1"/>
  <c r="I4208" i="1"/>
  <c r="G4209" i="1"/>
  <c r="H4209" i="1"/>
  <c r="I4209" i="1"/>
  <c r="G4210" i="1"/>
  <c r="H4210" i="1"/>
  <c r="I4210" i="1"/>
  <c r="G4211" i="1"/>
  <c r="H4211" i="1"/>
  <c r="I4211" i="1"/>
  <c r="G4212" i="1"/>
  <c r="H4212" i="1"/>
  <c r="I4212" i="1"/>
  <c r="G4213" i="1"/>
  <c r="H4213" i="1"/>
  <c r="I4213" i="1"/>
  <c r="G4214" i="1"/>
  <c r="H4214" i="1"/>
  <c r="I4214" i="1"/>
  <c r="G4215" i="1"/>
  <c r="H4215" i="1"/>
  <c r="I4215" i="1"/>
  <c r="G4216" i="1"/>
  <c r="H4216" i="1"/>
  <c r="I4216" i="1"/>
  <c r="G4217" i="1"/>
  <c r="H4217" i="1"/>
  <c r="I4217" i="1"/>
  <c r="G4218" i="1"/>
  <c r="H4218" i="1"/>
  <c r="I4218" i="1"/>
  <c r="G4219" i="1"/>
  <c r="H4219" i="1"/>
  <c r="I4219" i="1"/>
  <c r="G4220" i="1"/>
  <c r="H4220" i="1"/>
  <c r="I4220" i="1"/>
  <c r="G4221" i="1"/>
  <c r="H4221" i="1"/>
  <c r="I4221" i="1"/>
  <c r="G4222" i="1"/>
  <c r="H4222" i="1"/>
  <c r="I4222" i="1"/>
  <c r="G4223" i="1"/>
  <c r="H4223" i="1"/>
  <c r="I4223" i="1"/>
  <c r="G4224" i="1"/>
  <c r="H4224" i="1"/>
  <c r="I4224" i="1"/>
  <c r="G4225" i="1"/>
  <c r="H4225" i="1"/>
  <c r="I4225" i="1"/>
  <c r="G4226" i="1"/>
  <c r="H4226" i="1"/>
  <c r="I4226" i="1"/>
  <c r="G4227" i="1"/>
  <c r="H4227" i="1"/>
  <c r="I4227" i="1"/>
  <c r="G4228" i="1"/>
  <c r="H4228" i="1"/>
  <c r="I4228" i="1"/>
  <c r="G4229" i="1"/>
  <c r="H4229" i="1"/>
  <c r="I4229" i="1"/>
  <c r="G4230" i="1"/>
  <c r="H4230" i="1"/>
  <c r="I4230" i="1"/>
  <c r="G4231" i="1"/>
  <c r="H4231" i="1"/>
  <c r="I4231" i="1"/>
  <c r="G4232" i="1"/>
  <c r="H4232" i="1"/>
  <c r="I4232" i="1"/>
  <c r="G4233" i="1"/>
  <c r="H4233" i="1"/>
  <c r="I4233" i="1"/>
  <c r="G4234" i="1"/>
  <c r="H4234" i="1"/>
  <c r="I4234" i="1"/>
  <c r="G4235" i="1"/>
  <c r="H4235" i="1"/>
  <c r="I4235" i="1"/>
  <c r="G4236" i="1"/>
  <c r="H4236" i="1"/>
  <c r="I4236" i="1"/>
  <c r="G4237" i="1"/>
  <c r="H4237" i="1"/>
  <c r="I4237" i="1"/>
  <c r="G4238" i="1"/>
  <c r="H4238" i="1"/>
  <c r="I4238" i="1"/>
  <c r="G4239" i="1"/>
  <c r="H4239" i="1"/>
  <c r="I4239" i="1"/>
  <c r="G4240" i="1"/>
  <c r="H4240" i="1"/>
  <c r="I4240" i="1"/>
  <c r="G4241" i="1"/>
  <c r="H4241" i="1"/>
  <c r="I4241" i="1"/>
  <c r="G4242" i="1"/>
  <c r="H4242" i="1"/>
  <c r="I4242" i="1"/>
  <c r="G4243" i="1"/>
  <c r="H4243" i="1"/>
  <c r="I4243" i="1"/>
  <c r="G4244" i="1"/>
  <c r="H4244" i="1"/>
  <c r="I4244" i="1"/>
  <c r="G4245" i="1"/>
  <c r="H4245" i="1"/>
  <c r="I4245" i="1"/>
  <c r="G4246" i="1"/>
  <c r="H4246" i="1"/>
  <c r="I4246" i="1"/>
  <c r="G4247" i="1"/>
  <c r="H4247" i="1"/>
  <c r="I4247" i="1"/>
  <c r="G4248" i="1"/>
  <c r="H4248" i="1"/>
  <c r="I4248" i="1"/>
  <c r="G4249" i="1"/>
  <c r="H4249" i="1"/>
  <c r="I4249" i="1"/>
  <c r="G4250" i="1"/>
  <c r="H4250" i="1"/>
  <c r="I4250" i="1"/>
  <c r="G4251" i="1"/>
  <c r="H4251" i="1"/>
  <c r="I4251" i="1"/>
  <c r="G4252" i="1"/>
  <c r="H4252" i="1"/>
  <c r="I4252" i="1"/>
  <c r="G4253" i="1"/>
  <c r="H4253" i="1"/>
  <c r="I4253" i="1"/>
  <c r="G4254" i="1"/>
  <c r="H4254" i="1"/>
  <c r="I4254" i="1"/>
  <c r="G4255" i="1"/>
  <c r="H4255" i="1"/>
  <c r="I4255" i="1"/>
  <c r="G4256" i="1"/>
  <c r="H4256" i="1"/>
  <c r="I4256" i="1"/>
  <c r="G4257" i="1"/>
  <c r="H4257" i="1"/>
  <c r="I4257" i="1"/>
  <c r="G4258" i="1"/>
  <c r="H4258" i="1"/>
  <c r="I4258" i="1"/>
  <c r="G4259" i="1"/>
  <c r="H4259" i="1"/>
  <c r="I4259" i="1"/>
  <c r="G4260" i="1"/>
  <c r="H4260" i="1"/>
  <c r="I4260" i="1"/>
  <c r="G4261" i="1"/>
  <c r="H4261" i="1"/>
  <c r="I4261" i="1"/>
  <c r="G4262" i="1"/>
  <c r="H4262" i="1"/>
  <c r="I4262" i="1"/>
  <c r="G4263" i="1"/>
  <c r="H4263" i="1"/>
  <c r="I4263" i="1"/>
  <c r="G4264" i="1"/>
  <c r="H4264" i="1"/>
  <c r="I4264" i="1"/>
  <c r="G4265" i="1"/>
  <c r="H4265" i="1"/>
  <c r="I4265" i="1"/>
  <c r="G4266" i="1"/>
  <c r="H4266" i="1"/>
  <c r="I4266" i="1"/>
  <c r="G4267" i="1"/>
  <c r="H4267" i="1"/>
  <c r="I4267" i="1"/>
  <c r="G4268" i="1"/>
  <c r="H4268" i="1"/>
  <c r="I4268" i="1"/>
  <c r="G4269" i="1"/>
  <c r="H4269" i="1"/>
  <c r="I4269" i="1"/>
  <c r="G4270" i="1"/>
  <c r="H4270" i="1"/>
  <c r="I4270" i="1"/>
  <c r="G4271" i="1"/>
  <c r="H4271" i="1"/>
  <c r="I4271" i="1"/>
  <c r="G4272" i="1"/>
  <c r="H4272" i="1"/>
  <c r="I4272" i="1"/>
  <c r="G4273" i="1"/>
  <c r="H4273" i="1"/>
  <c r="I4273" i="1"/>
  <c r="G4274" i="1"/>
  <c r="H4274" i="1"/>
  <c r="I4274" i="1"/>
  <c r="G4275" i="1"/>
  <c r="H4275" i="1"/>
  <c r="I4275" i="1"/>
  <c r="G4276" i="1"/>
  <c r="H4276" i="1"/>
  <c r="I4276" i="1"/>
  <c r="G4277" i="1"/>
  <c r="H4277" i="1"/>
  <c r="I4277" i="1"/>
  <c r="G4278" i="1"/>
  <c r="H4278" i="1"/>
  <c r="I4278" i="1"/>
  <c r="G4279" i="1"/>
  <c r="H4279" i="1"/>
  <c r="I4279" i="1"/>
  <c r="G4280" i="1"/>
  <c r="H4280" i="1"/>
  <c r="I4280" i="1"/>
  <c r="G4281" i="1"/>
  <c r="H4281" i="1"/>
  <c r="I4281" i="1"/>
  <c r="G4282" i="1"/>
  <c r="H4282" i="1"/>
  <c r="I4282" i="1"/>
  <c r="G4283" i="1"/>
  <c r="H4283" i="1"/>
  <c r="I4283" i="1"/>
  <c r="G4284" i="1"/>
  <c r="H4284" i="1"/>
  <c r="I4284" i="1"/>
  <c r="G4285" i="1"/>
  <c r="H4285" i="1"/>
  <c r="I4285" i="1"/>
  <c r="G4286" i="1"/>
  <c r="H4286" i="1"/>
  <c r="I4286" i="1"/>
  <c r="G4287" i="1"/>
  <c r="H4287" i="1"/>
  <c r="I4287" i="1"/>
  <c r="G4288" i="1"/>
  <c r="H4288" i="1"/>
  <c r="I4288" i="1"/>
  <c r="G4289" i="1"/>
  <c r="H4289" i="1"/>
  <c r="I4289" i="1"/>
  <c r="G4290" i="1"/>
  <c r="H4290" i="1"/>
  <c r="I4290" i="1"/>
  <c r="G4291" i="1"/>
  <c r="H4291" i="1"/>
  <c r="I4291" i="1"/>
  <c r="G4292" i="1"/>
  <c r="H4292" i="1"/>
  <c r="I4292" i="1"/>
  <c r="G4293" i="1"/>
  <c r="H4293" i="1"/>
  <c r="I4293" i="1"/>
  <c r="G4294" i="1"/>
  <c r="H4294" i="1"/>
  <c r="I4294" i="1"/>
  <c r="G4295" i="1"/>
  <c r="H4295" i="1"/>
  <c r="I4295" i="1"/>
  <c r="G4296" i="1"/>
  <c r="H4296" i="1"/>
  <c r="I4296" i="1"/>
  <c r="G4297" i="1"/>
  <c r="H4297" i="1"/>
  <c r="I4297" i="1"/>
  <c r="G4298" i="1"/>
  <c r="H4298" i="1"/>
  <c r="I4298" i="1"/>
  <c r="G4299" i="1"/>
  <c r="H4299" i="1"/>
  <c r="I4299" i="1"/>
  <c r="G4300" i="1"/>
  <c r="H4300" i="1"/>
  <c r="I4300" i="1"/>
  <c r="G4301" i="1"/>
  <c r="H4301" i="1"/>
  <c r="I4301" i="1"/>
  <c r="G4302" i="1"/>
  <c r="H4302" i="1"/>
  <c r="I4302" i="1"/>
  <c r="G4303" i="1"/>
  <c r="H4303" i="1"/>
  <c r="I4303" i="1"/>
  <c r="G4304" i="1"/>
  <c r="H4304" i="1"/>
  <c r="I4304" i="1"/>
  <c r="G4305" i="1"/>
  <c r="H4305" i="1"/>
  <c r="I4305" i="1"/>
  <c r="G4306" i="1"/>
  <c r="H4306" i="1"/>
  <c r="I4306" i="1"/>
  <c r="G4307" i="1"/>
  <c r="H4307" i="1"/>
  <c r="I4307" i="1"/>
  <c r="G4308" i="1"/>
  <c r="H4308" i="1"/>
  <c r="I4308" i="1"/>
  <c r="G4309" i="1"/>
  <c r="H4309" i="1"/>
  <c r="I4309" i="1"/>
  <c r="G4310" i="1"/>
  <c r="H4310" i="1"/>
  <c r="I4310" i="1"/>
  <c r="G4311" i="1"/>
  <c r="H4311" i="1"/>
  <c r="I4311" i="1"/>
  <c r="G4312" i="1"/>
  <c r="H4312" i="1"/>
  <c r="I4312" i="1"/>
  <c r="G4313" i="1"/>
  <c r="H4313" i="1"/>
  <c r="I4313" i="1"/>
  <c r="G4314" i="1"/>
  <c r="H4314" i="1"/>
  <c r="I4314" i="1"/>
  <c r="G4315" i="1"/>
  <c r="H4315" i="1"/>
  <c r="I4315" i="1"/>
  <c r="G4316" i="1"/>
  <c r="H4316" i="1"/>
  <c r="I4316" i="1"/>
  <c r="G4317" i="1"/>
  <c r="H4317" i="1"/>
  <c r="I4317" i="1"/>
  <c r="G4318" i="1"/>
  <c r="H4318" i="1"/>
  <c r="I4318" i="1"/>
  <c r="G4319" i="1"/>
  <c r="H4319" i="1"/>
  <c r="I4319" i="1"/>
  <c r="G4320" i="1"/>
  <c r="H4320" i="1"/>
  <c r="I4320" i="1"/>
  <c r="G4321" i="1"/>
  <c r="H4321" i="1"/>
  <c r="I4321" i="1"/>
  <c r="G4322" i="1"/>
  <c r="H4322" i="1"/>
  <c r="I4322" i="1"/>
  <c r="G4323" i="1"/>
  <c r="H4323" i="1"/>
  <c r="I4323" i="1"/>
  <c r="G4324" i="1"/>
  <c r="H4324" i="1"/>
  <c r="I4324" i="1"/>
  <c r="G4325" i="1"/>
  <c r="H4325" i="1"/>
  <c r="I4325" i="1"/>
  <c r="G4326" i="1"/>
  <c r="H4326" i="1"/>
  <c r="I4326" i="1"/>
  <c r="G4327" i="1"/>
  <c r="H4327" i="1"/>
  <c r="I4327" i="1"/>
  <c r="G4328" i="1"/>
  <c r="H4328" i="1"/>
  <c r="I4328" i="1"/>
  <c r="G4329" i="1"/>
  <c r="H4329" i="1"/>
  <c r="I4329" i="1"/>
  <c r="G4330" i="1"/>
  <c r="H4330" i="1"/>
  <c r="I4330" i="1"/>
  <c r="G4331" i="1"/>
  <c r="H4331" i="1"/>
  <c r="I4331" i="1"/>
  <c r="G4332" i="1"/>
  <c r="H4332" i="1"/>
  <c r="I4332" i="1"/>
  <c r="G4333" i="1"/>
  <c r="H4333" i="1"/>
  <c r="I4333" i="1"/>
  <c r="G4334" i="1"/>
  <c r="H4334" i="1"/>
  <c r="I4334" i="1"/>
  <c r="G4335" i="1"/>
  <c r="H4335" i="1"/>
  <c r="I4335" i="1"/>
  <c r="G4336" i="1"/>
  <c r="H4336" i="1"/>
  <c r="I4336" i="1"/>
  <c r="G4337" i="1"/>
  <c r="H4337" i="1"/>
  <c r="I4337" i="1"/>
  <c r="G4338" i="1"/>
  <c r="H4338" i="1"/>
  <c r="I4338" i="1"/>
  <c r="G4339" i="1"/>
  <c r="H4339" i="1"/>
  <c r="I4339" i="1"/>
  <c r="G4340" i="1"/>
  <c r="H4340" i="1"/>
  <c r="I4340" i="1"/>
  <c r="G4341" i="1"/>
  <c r="H4341" i="1"/>
  <c r="I4341" i="1"/>
  <c r="G4342" i="1"/>
  <c r="H4342" i="1"/>
  <c r="I4342" i="1"/>
  <c r="G4343" i="1"/>
  <c r="H4343" i="1"/>
  <c r="I4343" i="1"/>
  <c r="G4344" i="1"/>
  <c r="H4344" i="1"/>
  <c r="I4344" i="1"/>
  <c r="G4345" i="1"/>
  <c r="H4345" i="1"/>
  <c r="I4345" i="1"/>
  <c r="G4346" i="1"/>
  <c r="H4346" i="1"/>
  <c r="I4346" i="1"/>
  <c r="G4347" i="1"/>
  <c r="H4347" i="1"/>
  <c r="I4347" i="1"/>
  <c r="G4348" i="1"/>
  <c r="H4348" i="1"/>
  <c r="I4348" i="1"/>
  <c r="G4349" i="1"/>
  <c r="H4349" i="1"/>
  <c r="I4349" i="1"/>
  <c r="G4350" i="1"/>
  <c r="H4350" i="1"/>
  <c r="I4350" i="1"/>
  <c r="G4351" i="1"/>
  <c r="H4351" i="1"/>
  <c r="I4351" i="1"/>
  <c r="G4352" i="1"/>
  <c r="H4352" i="1"/>
  <c r="I4352" i="1"/>
  <c r="G4353" i="1"/>
  <c r="H4353" i="1"/>
  <c r="I4353" i="1"/>
  <c r="G4354" i="1"/>
  <c r="H4354" i="1"/>
  <c r="I4354" i="1"/>
  <c r="G4355" i="1"/>
  <c r="H4355" i="1"/>
  <c r="I4355" i="1"/>
  <c r="G4356" i="1"/>
  <c r="H4356" i="1"/>
  <c r="I4356" i="1"/>
  <c r="G4357" i="1"/>
  <c r="H4357" i="1"/>
  <c r="I4357" i="1"/>
  <c r="G4358" i="1"/>
  <c r="H4358" i="1"/>
  <c r="I4358" i="1"/>
  <c r="G4359" i="1"/>
  <c r="H4359" i="1"/>
  <c r="I4359" i="1"/>
  <c r="G4360" i="1"/>
  <c r="H4360" i="1"/>
  <c r="I4360" i="1"/>
  <c r="G4361" i="1"/>
  <c r="H4361" i="1"/>
  <c r="I4361" i="1"/>
  <c r="G4362" i="1"/>
  <c r="H4362" i="1"/>
  <c r="I4362" i="1"/>
  <c r="G4363" i="1"/>
  <c r="H4363" i="1"/>
  <c r="I4363" i="1"/>
  <c r="G4364" i="1"/>
  <c r="H4364" i="1"/>
  <c r="I4364" i="1"/>
  <c r="G4365" i="1"/>
  <c r="H4365" i="1"/>
  <c r="I4365" i="1"/>
  <c r="G4366" i="1"/>
  <c r="H4366" i="1"/>
  <c r="I4366" i="1"/>
  <c r="G4367" i="1"/>
  <c r="H4367" i="1"/>
  <c r="I4367" i="1"/>
  <c r="G4368" i="1"/>
  <c r="H4368" i="1"/>
  <c r="I4368" i="1"/>
  <c r="G4369" i="1"/>
  <c r="H4369" i="1"/>
  <c r="I4369" i="1"/>
  <c r="G4370" i="1"/>
  <c r="H4370" i="1"/>
  <c r="I4370" i="1"/>
  <c r="G4371" i="1"/>
  <c r="H4371" i="1"/>
  <c r="I4371" i="1"/>
  <c r="G4372" i="1"/>
  <c r="H4372" i="1"/>
  <c r="I4372" i="1"/>
  <c r="G4373" i="1"/>
  <c r="H4373" i="1"/>
  <c r="I4373" i="1"/>
  <c r="G4374" i="1"/>
  <c r="H4374" i="1"/>
  <c r="I4374" i="1"/>
  <c r="G4375" i="1"/>
  <c r="H4375" i="1"/>
  <c r="I4375" i="1"/>
  <c r="G4376" i="1"/>
  <c r="H4376" i="1"/>
  <c r="I4376" i="1"/>
  <c r="G4377" i="1"/>
  <c r="H4377" i="1"/>
  <c r="I4377" i="1"/>
  <c r="G4378" i="1"/>
  <c r="H4378" i="1"/>
  <c r="I4378" i="1"/>
  <c r="G4379" i="1"/>
  <c r="H4379" i="1"/>
  <c r="I4379" i="1"/>
  <c r="G4380" i="1"/>
  <c r="H4380" i="1"/>
  <c r="I4380" i="1"/>
  <c r="G4381" i="1"/>
  <c r="H4381" i="1"/>
  <c r="I4381" i="1"/>
  <c r="G4382" i="1"/>
  <c r="H4382" i="1"/>
  <c r="I4382" i="1"/>
  <c r="G4383" i="1"/>
  <c r="H4383" i="1"/>
  <c r="I4383" i="1"/>
  <c r="G4384" i="1"/>
  <c r="H4384" i="1"/>
  <c r="I4384" i="1"/>
  <c r="G4385" i="1"/>
  <c r="H4385" i="1"/>
  <c r="I4385" i="1"/>
  <c r="G4386" i="1"/>
  <c r="H4386" i="1"/>
  <c r="I4386" i="1"/>
  <c r="G4387" i="1"/>
  <c r="H4387" i="1"/>
  <c r="I4387" i="1"/>
  <c r="G4388" i="1"/>
  <c r="H4388" i="1"/>
  <c r="I4388" i="1"/>
  <c r="G4389" i="1"/>
  <c r="H4389" i="1"/>
  <c r="I4389" i="1"/>
  <c r="G4390" i="1"/>
  <c r="H4390" i="1"/>
  <c r="I4390" i="1"/>
  <c r="G4391" i="1"/>
  <c r="H4391" i="1"/>
  <c r="I4391" i="1"/>
  <c r="G4392" i="1"/>
  <c r="H4392" i="1"/>
  <c r="I4392" i="1"/>
  <c r="G4393" i="1"/>
  <c r="H4393" i="1"/>
  <c r="I4393" i="1"/>
  <c r="G4394" i="1"/>
  <c r="H4394" i="1"/>
  <c r="I4394" i="1"/>
  <c r="G4395" i="1"/>
  <c r="H4395" i="1"/>
  <c r="I4395" i="1"/>
  <c r="G4396" i="1"/>
  <c r="H4396" i="1"/>
  <c r="I4396" i="1"/>
  <c r="G4397" i="1"/>
  <c r="H4397" i="1"/>
  <c r="I4397" i="1"/>
  <c r="G4398" i="1"/>
  <c r="H4398" i="1"/>
  <c r="I4398" i="1"/>
  <c r="G4399" i="1"/>
  <c r="H4399" i="1"/>
  <c r="I4399" i="1"/>
  <c r="G4400" i="1"/>
  <c r="H4400" i="1"/>
  <c r="I4400" i="1"/>
  <c r="G4401" i="1"/>
  <c r="H4401" i="1"/>
  <c r="I4401" i="1"/>
  <c r="G4402" i="1"/>
  <c r="H4402" i="1"/>
  <c r="I4402" i="1"/>
  <c r="G4403" i="1"/>
  <c r="H4403" i="1"/>
  <c r="I4403" i="1"/>
  <c r="G4404" i="1"/>
  <c r="H4404" i="1"/>
  <c r="I4404" i="1"/>
  <c r="G4405" i="1"/>
  <c r="H4405" i="1"/>
  <c r="I4405" i="1"/>
  <c r="G4406" i="1"/>
  <c r="H4406" i="1"/>
  <c r="I4406" i="1"/>
  <c r="G4407" i="1"/>
  <c r="H4407" i="1"/>
  <c r="I4407" i="1"/>
  <c r="G4408" i="1"/>
  <c r="H4408" i="1"/>
  <c r="I4408" i="1"/>
  <c r="G4409" i="1"/>
  <c r="H4409" i="1"/>
  <c r="I4409" i="1"/>
  <c r="G4410" i="1"/>
  <c r="H4410" i="1"/>
  <c r="I4410" i="1"/>
  <c r="G4411" i="1"/>
  <c r="H4411" i="1"/>
  <c r="I4411" i="1"/>
  <c r="G4412" i="1"/>
  <c r="H4412" i="1"/>
  <c r="I4412" i="1"/>
  <c r="G4413" i="1"/>
  <c r="H4413" i="1"/>
  <c r="I4413" i="1"/>
  <c r="G4414" i="1"/>
  <c r="H4414" i="1"/>
  <c r="I4414" i="1"/>
  <c r="G4415" i="1"/>
  <c r="H4415" i="1"/>
  <c r="I4415" i="1"/>
  <c r="G4416" i="1"/>
  <c r="H4416" i="1"/>
  <c r="I4416" i="1"/>
  <c r="G4417" i="1"/>
  <c r="H4417" i="1"/>
  <c r="I4417" i="1"/>
  <c r="G4418" i="1"/>
  <c r="H4418" i="1"/>
  <c r="I4418" i="1"/>
  <c r="G4419" i="1"/>
  <c r="H4419" i="1"/>
  <c r="I4419" i="1"/>
  <c r="G4420" i="1"/>
  <c r="H4420" i="1"/>
  <c r="I4420" i="1"/>
  <c r="G4421" i="1"/>
  <c r="H4421" i="1"/>
  <c r="I4421" i="1"/>
  <c r="G4422" i="1"/>
  <c r="H4422" i="1"/>
  <c r="I4422" i="1"/>
  <c r="G4423" i="1"/>
  <c r="H4423" i="1"/>
  <c r="I4423" i="1"/>
  <c r="G4424" i="1"/>
  <c r="H4424" i="1"/>
  <c r="I4424" i="1"/>
  <c r="G4425" i="1"/>
  <c r="H4425" i="1"/>
  <c r="I4425" i="1"/>
  <c r="G4426" i="1"/>
  <c r="H4426" i="1"/>
  <c r="I4426" i="1"/>
  <c r="G4427" i="1"/>
  <c r="H4427" i="1"/>
  <c r="I4427" i="1"/>
  <c r="G4428" i="1"/>
  <c r="H4428" i="1"/>
  <c r="I4428" i="1"/>
  <c r="G4429" i="1"/>
  <c r="H4429" i="1"/>
  <c r="I4429" i="1"/>
  <c r="G4430" i="1"/>
  <c r="H4430" i="1"/>
  <c r="I4430" i="1"/>
  <c r="G4431" i="1"/>
  <c r="H4431" i="1"/>
  <c r="I4431" i="1"/>
  <c r="G4432" i="1"/>
  <c r="H4432" i="1"/>
  <c r="I4432" i="1"/>
  <c r="G4433" i="1"/>
  <c r="H4433" i="1"/>
  <c r="I4433" i="1"/>
  <c r="G4434" i="1"/>
  <c r="H4434" i="1"/>
  <c r="I4434" i="1"/>
  <c r="G4435" i="1"/>
  <c r="H4435" i="1"/>
  <c r="I4435" i="1"/>
  <c r="G4436" i="1"/>
  <c r="H4436" i="1"/>
  <c r="I4436" i="1"/>
  <c r="G4437" i="1"/>
  <c r="H4437" i="1"/>
  <c r="I4437" i="1"/>
  <c r="G4438" i="1"/>
  <c r="H4438" i="1"/>
  <c r="I4438" i="1"/>
  <c r="G4439" i="1"/>
  <c r="H4439" i="1"/>
  <c r="I4439" i="1"/>
  <c r="G4440" i="1"/>
  <c r="H4440" i="1"/>
  <c r="I4440" i="1"/>
  <c r="G4441" i="1"/>
  <c r="H4441" i="1"/>
  <c r="I4441" i="1"/>
  <c r="G4442" i="1"/>
  <c r="H4442" i="1"/>
  <c r="I4442" i="1"/>
  <c r="G4443" i="1"/>
  <c r="H4443" i="1"/>
  <c r="I4443" i="1"/>
  <c r="G4444" i="1"/>
  <c r="H4444" i="1"/>
  <c r="I4444" i="1"/>
  <c r="G4445" i="1"/>
  <c r="H4445" i="1"/>
  <c r="I4445" i="1"/>
  <c r="G4446" i="1"/>
  <c r="H4446" i="1"/>
  <c r="I4446" i="1"/>
  <c r="G4447" i="1"/>
  <c r="H4447" i="1"/>
  <c r="I4447" i="1"/>
  <c r="G4448" i="1"/>
  <c r="H4448" i="1"/>
  <c r="I4448" i="1"/>
  <c r="G4449" i="1"/>
  <c r="H4449" i="1"/>
  <c r="I4449" i="1"/>
  <c r="G4450" i="1"/>
  <c r="H4450" i="1"/>
  <c r="I4450" i="1"/>
  <c r="G4451" i="1"/>
  <c r="H4451" i="1"/>
  <c r="I4451" i="1"/>
  <c r="G4452" i="1"/>
  <c r="H4452" i="1"/>
  <c r="I4452" i="1"/>
  <c r="G4453" i="1"/>
  <c r="H4453" i="1"/>
  <c r="I4453" i="1"/>
  <c r="G4454" i="1"/>
  <c r="H4454" i="1"/>
  <c r="I4454" i="1"/>
  <c r="G4455" i="1"/>
  <c r="H4455" i="1"/>
  <c r="I4455" i="1"/>
  <c r="G4456" i="1"/>
  <c r="H4456" i="1"/>
  <c r="I4456" i="1"/>
  <c r="G4457" i="1"/>
  <c r="H4457" i="1"/>
  <c r="I4457" i="1"/>
  <c r="G4458" i="1"/>
  <c r="H4458" i="1"/>
  <c r="I4458" i="1"/>
  <c r="G4459" i="1"/>
  <c r="H4459" i="1"/>
  <c r="I4459" i="1"/>
  <c r="G4460" i="1"/>
  <c r="H4460" i="1"/>
  <c r="I4460" i="1"/>
  <c r="G4461" i="1"/>
  <c r="H4461" i="1"/>
  <c r="I4461" i="1"/>
  <c r="G4462" i="1"/>
  <c r="H4462" i="1"/>
  <c r="I4462" i="1"/>
  <c r="G4463" i="1"/>
  <c r="H4463" i="1"/>
  <c r="I4463" i="1"/>
  <c r="G4464" i="1"/>
  <c r="H4464" i="1"/>
  <c r="I4464" i="1"/>
  <c r="G4465" i="1"/>
  <c r="H4465" i="1"/>
  <c r="I4465" i="1"/>
  <c r="G4466" i="1"/>
  <c r="H4466" i="1"/>
  <c r="I4466" i="1"/>
  <c r="G4467" i="1"/>
  <c r="H4467" i="1"/>
  <c r="I4467" i="1"/>
  <c r="G4468" i="1"/>
  <c r="H4468" i="1"/>
  <c r="I4468" i="1"/>
  <c r="G4469" i="1"/>
  <c r="H4469" i="1"/>
  <c r="I4469" i="1"/>
  <c r="G4470" i="1"/>
  <c r="H4470" i="1"/>
  <c r="I4470" i="1"/>
  <c r="G4471" i="1"/>
  <c r="H4471" i="1"/>
  <c r="I4471" i="1"/>
  <c r="G4472" i="1"/>
  <c r="H4472" i="1"/>
  <c r="I4472" i="1"/>
  <c r="G4473" i="1"/>
  <c r="H4473" i="1"/>
  <c r="I4473" i="1"/>
  <c r="G4474" i="1"/>
  <c r="H4474" i="1"/>
  <c r="I4474" i="1"/>
  <c r="G4475" i="1"/>
  <c r="H4475" i="1"/>
  <c r="I4475" i="1"/>
  <c r="G4476" i="1"/>
  <c r="H4476" i="1"/>
  <c r="I4476" i="1"/>
  <c r="G4477" i="1"/>
  <c r="H4477" i="1"/>
  <c r="I4477" i="1"/>
  <c r="G4478" i="1"/>
  <c r="H4478" i="1"/>
  <c r="I4478" i="1"/>
  <c r="G4479" i="1"/>
  <c r="H4479" i="1"/>
  <c r="I4479" i="1"/>
  <c r="G4480" i="1"/>
  <c r="H4480" i="1"/>
  <c r="I4480" i="1"/>
  <c r="G4481" i="1"/>
  <c r="H4481" i="1"/>
  <c r="I4481" i="1"/>
  <c r="G4482" i="1"/>
  <c r="H4482" i="1"/>
  <c r="I4482" i="1"/>
  <c r="G4483" i="1"/>
  <c r="H4483" i="1"/>
  <c r="I4483" i="1"/>
  <c r="G4484" i="1"/>
  <c r="H4484" i="1"/>
  <c r="I4484" i="1"/>
  <c r="G4485" i="1"/>
  <c r="H4485" i="1"/>
  <c r="I4485" i="1"/>
  <c r="G4486" i="1"/>
  <c r="H4486" i="1"/>
  <c r="I4486" i="1"/>
  <c r="G4487" i="1"/>
  <c r="H4487" i="1"/>
  <c r="I4487" i="1"/>
  <c r="G4488" i="1"/>
  <c r="H4488" i="1"/>
  <c r="I4488" i="1"/>
  <c r="G4489" i="1"/>
  <c r="H4489" i="1"/>
  <c r="I4489" i="1"/>
  <c r="G4490" i="1"/>
  <c r="H4490" i="1"/>
  <c r="I4490" i="1"/>
  <c r="G4491" i="1"/>
  <c r="H4491" i="1"/>
  <c r="I4491" i="1"/>
  <c r="G4492" i="1"/>
  <c r="H4492" i="1"/>
  <c r="I4492" i="1"/>
  <c r="G4493" i="1"/>
  <c r="H4493" i="1"/>
  <c r="I4493" i="1"/>
  <c r="G4494" i="1"/>
  <c r="H4494" i="1"/>
  <c r="I4494" i="1"/>
  <c r="G4495" i="1"/>
  <c r="H4495" i="1"/>
  <c r="I4495" i="1"/>
  <c r="G4496" i="1"/>
  <c r="H4496" i="1"/>
  <c r="I4496" i="1"/>
  <c r="G4497" i="1"/>
  <c r="H4497" i="1"/>
  <c r="I4497" i="1"/>
  <c r="G4498" i="1"/>
  <c r="H4498" i="1"/>
  <c r="I4498" i="1"/>
  <c r="G4499" i="1"/>
  <c r="H4499" i="1"/>
  <c r="I4499" i="1"/>
  <c r="G4500" i="1"/>
  <c r="H4500" i="1"/>
  <c r="I4500" i="1"/>
  <c r="G4501" i="1"/>
  <c r="H4501" i="1"/>
  <c r="I4501" i="1"/>
  <c r="G4502" i="1"/>
  <c r="H4502" i="1"/>
  <c r="I4502" i="1"/>
  <c r="G4503" i="1"/>
  <c r="H4503" i="1"/>
  <c r="I4503" i="1"/>
  <c r="G4504" i="1"/>
  <c r="H4504" i="1"/>
  <c r="I4504" i="1"/>
  <c r="G4505" i="1"/>
  <c r="H4505" i="1"/>
  <c r="I4505" i="1"/>
  <c r="G4506" i="1"/>
  <c r="H4506" i="1"/>
  <c r="I4506" i="1"/>
  <c r="G4507" i="1"/>
  <c r="H4507" i="1"/>
  <c r="I4507" i="1"/>
  <c r="G4508" i="1"/>
  <c r="H4508" i="1"/>
  <c r="I4508" i="1"/>
  <c r="G4509" i="1"/>
  <c r="H4509" i="1"/>
  <c r="I4509" i="1"/>
  <c r="G4510" i="1"/>
  <c r="H4510" i="1"/>
  <c r="I4510" i="1"/>
  <c r="G4511" i="1"/>
  <c r="H4511" i="1"/>
  <c r="I4511" i="1"/>
  <c r="G4512" i="1"/>
  <c r="H4512" i="1"/>
  <c r="I4512" i="1"/>
  <c r="G4513" i="1"/>
  <c r="H4513" i="1"/>
  <c r="I4513" i="1"/>
  <c r="G4514" i="1"/>
  <c r="H4514" i="1"/>
  <c r="I4514" i="1"/>
  <c r="G4515" i="1"/>
  <c r="H4515" i="1"/>
  <c r="I4515" i="1"/>
  <c r="G4516" i="1"/>
  <c r="H4516" i="1"/>
  <c r="I4516" i="1"/>
  <c r="G4517" i="1"/>
  <c r="H4517" i="1"/>
  <c r="I4517" i="1"/>
  <c r="G4518" i="1"/>
  <c r="H4518" i="1"/>
  <c r="I4518" i="1"/>
  <c r="G4519" i="1"/>
  <c r="H4519" i="1"/>
  <c r="I4519" i="1"/>
  <c r="G4520" i="1"/>
  <c r="H4520" i="1"/>
  <c r="I4520" i="1"/>
  <c r="G4521" i="1"/>
  <c r="H4521" i="1"/>
  <c r="I4521" i="1"/>
  <c r="G4522" i="1"/>
  <c r="H4522" i="1"/>
  <c r="I4522" i="1"/>
  <c r="G4523" i="1"/>
  <c r="H4523" i="1"/>
  <c r="I4523" i="1"/>
  <c r="G4524" i="1"/>
  <c r="H4524" i="1"/>
  <c r="I4524" i="1"/>
  <c r="G4525" i="1"/>
  <c r="H4525" i="1"/>
  <c r="I4525" i="1"/>
  <c r="G4526" i="1"/>
  <c r="H4526" i="1"/>
  <c r="I4526" i="1"/>
  <c r="G4527" i="1"/>
  <c r="H4527" i="1"/>
  <c r="I4527" i="1"/>
  <c r="G4528" i="1"/>
  <c r="H4528" i="1"/>
  <c r="I4528" i="1"/>
  <c r="G4529" i="1"/>
  <c r="H4529" i="1"/>
  <c r="I4529" i="1"/>
  <c r="G4530" i="1"/>
  <c r="H4530" i="1"/>
  <c r="I4530" i="1"/>
  <c r="G4531" i="1"/>
  <c r="H4531" i="1"/>
  <c r="I4531" i="1"/>
  <c r="G4532" i="1"/>
  <c r="H4532" i="1"/>
  <c r="I4532" i="1"/>
  <c r="G4533" i="1"/>
  <c r="H4533" i="1"/>
  <c r="I4533" i="1"/>
  <c r="G4534" i="1"/>
  <c r="H4534" i="1"/>
  <c r="I4534" i="1"/>
  <c r="G4535" i="1"/>
  <c r="H4535" i="1"/>
  <c r="I4535" i="1"/>
  <c r="G4536" i="1"/>
  <c r="H4536" i="1"/>
  <c r="I4536" i="1"/>
  <c r="G4537" i="1"/>
  <c r="H4537" i="1"/>
  <c r="I4537" i="1"/>
  <c r="G4538" i="1"/>
  <c r="H4538" i="1"/>
  <c r="I4538" i="1"/>
  <c r="G4539" i="1"/>
  <c r="H4539" i="1"/>
  <c r="I4539" i="1"/>
  <c r="G4540" i="1"/>
  <c r="H4540" i="1"/>
  <c r="I4540" i="1"/>
  <c r="G4541" i="1"/>
  <c r="H4541" i="1"/>
  <c r="I4541" i="1"/>
  <c r="G4542" i="1"/>
  <c r="H4542" i="1"/>
  <c r="I4542" i="1"/>
  <c r="G4543" i="1"/>
  <c r="H4543" i="1"/>
  <c r="I4543" i="1"/>
  <c r="G4544" i="1"/>
  <c r="H4544" i="1"/>
  <c r="I4544" i="1"/>
  <c r="G4545" i="1"/>
  <c r="H4545" i="1"/>
  <c r="I4545" i="1"/>
  <c r="G4546" i="1"/>
  <c r="H4546" i="1"/>
  <c r="I4546" i="1"/>
  <c r="G4547" i="1"/>
  <c r="H4547" i="1"/>
  <c r="I4547" i="1"/>
  <c r="G4548" i="1"/>
  <c r="H4548" i="1"/>
  <c r="I4548" i="1"/>
  <c r="G4549" i="1"/>
  <c r="H4549" i="1"/>
  <c r="I4549" i="1"/>
  <c r="G4550" i="1"/>
  <c r="H4550" i="1"/>
  <c r="I4550" i="1"/>
  <c r="G4551" i="1"/>
  <c r="H4551" i="1"/>
  <c r="I4551" i="1"/>
  <c r="G4552" i="1"/>
  <c r="H4552" i="1"/>
  <c r="I4552" i="1"/>
  <c r="G4553" i="1"/>
  <c r="H4553" i="1"/>
  <c r="I4553" i="1"/>
  <c r="G4554" i="1"/>
  <c r="H4554" i="1"/>
  <c r="I4554" i="1"/>
  <c r="G4555" i="1"/>
  <c r="H4555" i="1"/>
  <c r="I4555" i="1"/>
  <c r="G4556" i="1"/>
  <c r="H4556" i="1"/>
  <c r="I4556" i="1"/>
  <c r="G4557" i="1"/>
  <c r="H4557" i="1"/>
  <c r="I4557" i="1"/>
  <c r="G4558" i="1"/>
  <c r="H4558" i="1"/>
  <c r="I4558" i="1"/>
  <c r="G4559" i="1"/>
  <c r="H4559" i="1"/>
  <c r="I4559" i="1"/>
  <c r="G4560" i="1"/>
  <c r="H4560" i="1"/>
  <c r="I4560" i="1"/>
  <c r="G4561" i="1"/>
  <c r="H4561" i="1"/>
  <c r="I4561" i="1"/>
  <c r="G4562" i="1"/>
  <c r="H4562" i="1"/>
  <c r="I4562" i="1"/>
  <c r="G4563" i="1"/>
  <c r="H4563" i="1"/>
  <c r="I4563" i="1"/>
  <c r="G4564" i="1"/>
  <c r="H4564" i="1"/>
  <c r="I4564" i="1"/>
  <c r="G4565" i="1"/>
  <c r="H4565" i="1"/>
  <c r="I4565" i="1"/>
  <c r="G4566" i="1"/>
  <c r="H4566" i="1"/>
  <c r="I4566" i="1"/>
  <c r="G4567" i="1"/>
  <c r="H4567" i="1"/>
  <c r="I4567" i="1"/>
  <c r="G4568" i="1"/>
  <c r="H4568" i="1"/>
  <c r="I4568" i="1"/>
  <c r="G4569" i="1"/>
  <c r="H4569" i="1"/>
  <c r="I4569" i="1"/>
  <c r="G4570" i="1"/>
  <c r="H4570" i="1"/>
  <c r="I4570" i="1"/>
  <c r="G4571" i="1"/>
  <c r="H4571" i="1"/>
  <c r="I4571" i="1"/>
  <c r="G4572" i="1"/>
  <c r="H4572" i="1"/>
  <c r="I4572" i="1"/>
  <c r="G4573" i="1"/>
  <c r="H4573" i="1"/>
  <c r="I4573" i="1"/>
  <c r="G4574" i="1"/>
  <c r="H4574" i="1"/>
  <c r="I4574" i="1"/>
  <c r="G4575" i="1"/>
  <c r="H4575" i="1"/>
  <c r="I4575" i="1"/>
  <c r="G4576" i="1"/>
  <c r="H4576" i="1"/>
  <c r="I4576" i="1"/>
  <c r="G4577" i="1"/>
  <c r="H4577" i="1"/>
  <c r="I4577" i="1"/>
  <c r="G4578" i="1"/>
  <c r="H4578" i="1"/>
  <c r="I4578" i="1"/>
  <c r="G4579" i="1"/>
  <c r="H4579" i="1"/>
  <c r="I4579" i="1"/>
  <c r="G4580" i="1"/>
  <c r="H4580" i="1"/>
  <c r="I4580" i="1"/>
  <c r="G4581" i="1"/>
  <c r="H4581" i="1"/>
  <c r="I4581" i="1"/>
  <c r="G4582" i="1"/>
  <c r="H4582" i="1"/>
  <c r="I4582" i="1"/>
  <c r="G4583" i="1"/>
  <c r="H4583" i="1"/>
  <c r="I4583" i="1"/>
  <c r="G4584" i="1"/>
  <c r="H4584" i="1"/>
  <c r="I4584" i="1"/>
  <c r="G4585" i="1"/>
  <c r="H4585" i="1"/>
  <c r="I4585" i="1"/>
  <c r="G4586" i="1"/>
  <c r="H4586" i="1"/>
  <c r="I4586" i="1"/>
  <c r="G4587" i="1"/>
  <c r="H4587" i="1"/>
  <c r="I4587" i="1"/>
  <c r="G4588" i="1"/>
  <c r="H4588" i="1"/>
  <c r="I4588" i="1"/>
  <c r="G4589" i="1"/>
  <c r="H4589" i="1"/>
  <c r="I4589" i="1"/>
  <c r="G4590" i="1"/>
  <c r="H4590" i="1"/>
  <c r="I4590" i="1"/>
  <c r="G4591" i="1"/>
  <c r="H4591" i="1"/>
  <c r="I4591" i="1"/>
  <c r="G4592" i="1"/>
  <c r="H4592" i="1"/>
  <c r="I4592" i="1"/>
  <c r="G4593" i="1"/>
  <c r="H4593" i="1"/>
  <c r="I4593" i="1"/>
  <c r="G4594" i="1"/>
  <c r="H4594" i="1"/>
  <c r="I4594" i="1"/>
  <c r="G4595" i="1"/>
  <c r="H4595" i="1"/>
  <c r="I4595" i="1"/>
  <c r="G4596" i="1"/>
  <c r="H4596" i="1"/>
  <c r="I4596" i="1"/>
  <c r="G4597" i="1"/>
  <c r="H4597" i="1"/>
  <c r="I4597" i="1"/>
  <c r="G4598" i="1"/>
  <c r="H4598" i="1"/>
  <c r="I4598" i="1"/>
  <c r="G4599" i="1"/>
  <c r="H4599" i="1"/>
  <c r="I4599" i="1"/>
  <c r="G4600" i="1"/>
  <c r="H4600" i="1"/>
  <c r="I4600" i="1"/>
  <c r="G4601" i="1"/>
  <c r="H4601" i="1"/>
  <c r="I4601" i="1"/>
  <c r="G4602" i="1"/>
  <c r="H4602" i="1"/>
  <c r="I4602" i="1"/>
  <c r="G4603" i="1"/>
  <c r="H4603" i="1"/>
  <c r="I4603" i="1"/>
  <c r="G4604" i="1"/>
  <c r="H4604" i="1"/>
  <c r="I4604" i="1"/>
  <c r="G4605" i="1"/>
  <c r="H4605" i="1"/>
  <c r="I4605" i="1"/>
  <c r="G4606" i="1"/>
  <c r="H4606" i="1"/>
  <c r="I4606" i="1"/>
  <c r="G4607" i="1"/>
  <c r="H4607" i="1"/>
  <c r="I4607" i="1"/>
  <c r="G4608" i="1"/>
  <c r="H4608" i="1"/>
  <c r="I4608" i="1"/>
  <c r="G4609" i="1"/>
  <c r="H4609" i="1"/>
  <c r="I4609" i="1"/>
  <c r="G4610" i="1"/>
  <c r="H4610" i="1"/>
  <c r="I4610" i="1"/>
  <c r="G4611" i="1"/>
  <c r="H4611" i="1"/>
  <c r="I4611" i="1"/>
  <c r="G4612" i="1"/>
  <c r="H4612" i="1"/>
  <c r="I4612" i="1"/>
  <c r="G4613" i="1"/>
  <c r="H4613" i="1"/>
  <c r="I4613" i="1"/>
  <c r="G4614" i="1"/>
  <c r="H4614" i="1"/>
  <c r="I4614" i="1"/>
  <c r="G4615" i="1"/>
  <c r="H4615" i="1"/>
  <c r="I4615" i="1"/>
  <c r="G4616" i="1"/>
  <c r="H4616" i="1"/>
  <c r="I4616" i="1"/>
  <c r="G4617" i="1"/>
  <c r="H4617" i="1"/>
  <c r="I4617" i="1"/>
  <c r="G4618" i="1"/>
  <c r="H4618" i="1"/>
  <c r="I4618" i="1"/>
  <c r="G4619" i="1"/>
  <c r="H4619" i="1"/>
  <c r="I4619" i="1"/>
  <c r="G4620" i="1"/>
  <c r="H4620" i="1"/>
  <c r="I4620" i="1"/>
  <c r="G4621" i="1"/>
  <c r="H4621" i="1"/>
  <c r="I4621" i="1"/>
  <c r="G4622" i="1"/>
  <c r="H4622" i="1"/>
  <c r="I4622" i="1"/>
  <c r="G4623" i="1"/>
  <c r="H4623" i="1"/>
  <c r="I4623" i="1"/>
  <c r="G4624" i="1"/>
  <c r="H4624" i="1"/>
  <c r="I4624" i="1"/>
  <c r="G4625" i="1"/>
  <c r="H4625" i="1"/>
  <c r="I4625" i="1"/>
  <c r="G4626" i="1"/>
  <c r="H4626" i="1"/>
  <c r="I4626" i="1"/>
  <c r="G4627" i="1"/>
  <c r="H4627" i="1"/>
  <c r="I4627" i="1"/>
  <c r="G4628" i="1"/>
  <c r="H4628" i="1"/>
  <c r="I4628" i="1"/>
  <c r="G4629" i="1"/>
  <c r="H4629" i="1"/>
  <c r="I4629" i="1"/>
  <c r="G4630" i="1"/>
  <c r="H4630" i="1"/>
  <c r="I4630" i="1"/>
  <c r="G4631" i="1"/>
  <c r="H4631" i="1"/>
  <c r="I4631" i="1"/>
  <c r="G4632" i="1"/>
  <c r="H4632" i="1"/>
  <c r="I4632" i="1"/>
  <c r="G4633" i="1"/>
  <c r="H4633" i="1"/>
  <c r="I4633" i="1"/>
  <c r="G4634" i="1"/>
  <c r="H4634" i="1"/>
  <c r="I4634" i="1"/>
  <c r="G4635" i="1"/>
  <c r="H4635" i="1"/>
  <c r="I4635" i="1"/>
  <c r="G4636" i="1"/>
  <c r="H4636" i="1"/>
  <c r="I4636" i="1"/>
  <c r="G4637" i="1"/>
  <c r="H4637" i="1"/>
  <c r="I4637" i="1"/>
  <c r="G4638" i="1"/>
  <c r="H4638" i="1"/>
  <c r="I4638" i="1"/>
  <c r="G4639" i="1"/>
  <c r="H4639" i="1"/>
  <c r="I4639" i="1"/>
  <c r="G4640" i="1"/>
  <c r="H4640" i="1"/>
  <c r="I4640" i="1"/>
  <c r="G4641" i="1"/>
  <c r="H4641" i="1"/>
  <c r="I4641" i="1"/>
  <c r="G4642" i="1"/>
  <c r="H4642" i="1"/>
  <c r="I4642" i="1"/>
  <c r="G4643" i="1"/>
  <c r="H4643" i="1"/>
  <c r="I4643" i="1"/>
  <c r="G4644" i="1"/>
  <c r="H4644" i="1"/>
  <c r="I4644" i="1"/>
  <c r="G4645" i="1"/>
  <c r="H4645" i="1"/>
  <c r="I4645" i="1"/>
  <c r="G4646" i="1"/>
  <c r="H4646" i="1"/>
  <c r="I4646" i="1"/>
  <c r="G4647" i="1"/>
  <c r="H4647" i="1"/>
  <c r="I4647" i="1"/>
  <c r="G4648" i="1"/>
  <c r="H4648" i="1"/>
  <c r="I4648" i="1"/>
  <c r="G4649" i="1"/>
  <c r="H4649" i="1"/>
  <c r="I4649" i="1"/>
  <c r="G4650" i="1"/>
  <c r="H4650" i="1"/>
  <c r="I4650" i="1"/>
  <c r="G4651" i="1"/>
  <c r="H4651" i="1"/>
  <c r="I4651" i="1"/>
  <c r="G4652" i="1"/>
  <c r="H4652" i="1"/>
  <c r="I4652" i="1"/>
  <c r="G4653" i="1"/>
  <c r="H4653" i="1"/>
  <c r="I4653" i="1"/>
  <c r="G4654" i="1"/>
  <c r="H4654" i="1"/>
  <c r="I4654" i="1"/>
  <c r="G4655" i="1"/>
  <c r="H4655" i="1"/>
  <c r="I4655" i="1"/>
  <c r="G4656" i="1"/>
  <c r="H4656" i="1"/>
  <c r="I4656" i="1"/>
  <c r="G4657" i="1"/>
  <c r="H4657" i="1"/>
  <c r="I4657" i="1"/>
  <c r="G4658" i="1"/>
  <c r="H4658" i="1"/>
  <c r="I4658" i="1"/>
  <c r="G4659" i="1"/>
  <c r="H4659" i="1"/>
  <c r="I4659" i="1"/>
  <c r="G4660" i="1"/>
  <c r="H4660" i="1"/>
  <c r="I4660" i="1"/>
  <c r="G4661" i="1"/>
  <c r="H4661" i="1"/>
  <c r="I4661" i="1"/>
  <c r="G4662" i="1"/>
  <c r="H4662" i="1"/>
  <c r="I4662" i="1"/>
  <c r="G4663" i="1"/>
  <c r="H4663" i="1"/>
  <c r="I4663" i="1"/>
  <c r="G4664" i="1"/>
  <c r="H4664" i="1"/>
  <c r="I4664" i="1"/>
  <c r="G4665" i="1"/>
  <c r="H4665" i="1"/>
  <c r="I4665" i="1"/>
  <c r="G4666" i="1"/>
  <c r="H4666" i="1"/>
  <c r="I4666" i="1"/>
  <c r="G4667" i="1"/>
  <c r="H4667" i="1"/>
  <c r="I4667" i="1"/>
  <c r="G4668" i="1"/>
  <c r="H4668" i="1"/>
  <c r="I4668" i="1"/>
  <c r="G4669" i="1"/>
  <c r="H4669" i="1"/>
  <c r="I4669" i="1"/>
  <c r="G4670" i="1"/>
  <c r="H4670" i="1"/>
  <c r="I4670" i="1"/>
  <c r="G4671" i="1"/>
  <c r="H4671" i="1"/>
  <c r="I4671" i="1"/>
  <c r="G4672" i="1"/>
  <c r="H4672" i="1"/>
  <c r="I4672" i="1"/>
  <c r="G4673" i="1"/>
  <c r="H4673" i="1"/>
  <c r="I4673" i="1"/>
  <c r="G4674" i="1"/>
  <c r="H4674" i="1"/>
  <c r="I4674" i="1"/>
  <c r="G4675" i="1"/>
  <c r="H4675" i="1"/>
  <c r="I4675" i="1"/>
  <c r="G4676" i="1"/>
  <c r="H4676" i="1"/>
  <c r="I4676" i="1"/>
  <c r="G4677" i="1"/>
  <c r="H4677" i="1"/>
  <c r="I4677" i="1"/>
  <c r="G4678" i="1"/>
  <c r="H4678" i="1"/>
  <c r="I4678" i="1"/>
  <c r="G4679" i="1"/>
  <c r="H4679" i="1"/>
  <c r="I4679" i="1"/>
  <c r="G4680" i="1"/>
  <c r="H4680" i="1"/>
  <c r="I4680" i="1"/>
  <c r="G4681" i="1"/>
  <c r="H4681" i="1"/>
  <c r="I4681" i="1"/>
  <c r="G4682" i="1"/>
  <c r="H4682" i="1"/>
  <c r="I4682" i="1"/>
  <c r="G4683" i="1"/>
  <c r="H4683" i="1"/>
  <c r="I4683" i="1"/>
  <c r="G4684" i="1"/>
  <c r="H4684" i="1"/>
  <c r="I4684" i="1"/>
  <c r="G4685" i="1"/>
  <c r="H4685" i="1"/>
  <c r="I4685" i="1"/>
  <c r="G4686" i="1"/>
  <c r="H4686" i="1"/>
  <c r="I4686" i="1"/>
  <c r="G4687" i="1"/>
  <c r="H4687" i="1"/>
  <c r="I4687" i="1"/>
  <c r="G4688" i="1"/>
  <c r="H4688" i="1"/>
  <c r="I4688" i="1"/>
  <c r="G4689" i="1"/>
  <c r="H4689" i="1"/>
  <c r="I4689" i="1"/>
  <c r="G4690" i="1"/>
  <c r="H4690" i="1"/>
  <c r="I4690" i="1"/>
  <c r="G4691" i="1"/>
  <c r="H4691" i="1"/>
  <c r="I4691" i="1"/>
  <c r="G4692" i="1"/>
  <c r="H4692" i="1"/>
  <c r="I4692" i="1"/>
  <c r="G4693" i="1"/>
  <c r="H4693" i="1"/>
  <c r="I4693" i="1"/>
  <c r="G4694" i="1"/>
  <c r="H4694" i="1"/>
  <c r="I4694" i="1"/>
  <c r="G4695" i="1"/>
  <c r="H4695" i="1"/>
  <c r="I4695" i="1"/>
  <c r="G4696" i="1"/>
  <c r="H4696" i="1"/>
  <c r="I4696" i="1"/>
  <c r="G4697" i="1"/>
  <c r="H4697" i="1"/>
  <c r="I4697" i="1"/>
  <c r="G4698" i="1"/>
  <c r="H4698" i="1"/>
  <c r="I4698" i="1"/>
  <c r="G4699" i="1"/>
  <c r="H4699" i="1"/>
  <c r="I4699" i="1"/>
  <c r="G4700" i="1"/>
  <c r="H4700" i="1"/>
  <c r="I4700" i="1"/>
  <c r="G4701" i="1"/>
  <c r="H4701" i="1"/>
  <c r="I4701" i="1"/>
  <c r="G4702" i="1"/>
  <c r="H4702" i="1"/>
  <c r="I4702" i="1"/>
  <c r="G4703" i="1"/>
  <c r="H4703" i="1"/>
  <c r="I4703" i="1"/>
  <c r="G4704" i="1"/>
  <c r="H4704" i="1"/>
  <c r="I4704" i="1"/>
  <c r="G4705" i="1"/>
  <c r="H4705" i="1"/>
  <c r="I4705" i="1"/>
  <c r="G4706" i="1"/>
  <c r="H4706" i="1"/>
  <c r="I4706" i="1"/>
  <c r="G4707" i="1"/>
  <c r="H4707" i="1"/>
  <c r="I4707" i="1"/>
  <c r="G4708" i="1"/>
  <c r="H4708" i="1"/>
  <c r="I4708" i="1"/>
  <c r="G4709" i="1"/>
  <c r="H4709" i="1"/>
  <c r="I4709" i="1"/>
  <c r="G4710" i="1"/>
  <c r="H4710" i="1"/>
  <c r="I4710" i="1"/>
  <c r="G4711" i="1"/>
  <c r="H4711" i="1"/>
  <c r="I4711" i="1"/>
  <c r="G4712" i="1"/>
  <c r="H4712" i="1"/>
  <c r="I4712" i="1"/>
  <c r="G4713" i="1"/>
  <c r="H4713" i="1"/>
  <c r="I4713" i="1"/>
  <c r="G4714" i="1"/>
  <c r="H4714" i="1"/>
  <c r="I4714" i="1"/>
  <c r="G4715" i="1"/>
  <c r="H4715" i="1"/>
  <c r="I4715" i="1"/>
  <c r="G4716" i="1"/>
  <c r="H4716" i="1"/>
  <c r="I4716" i="1"/>
  <c r="G4717" i="1"/>
  <c r="H4717" i="1"/>
  <c r="I4717" i="1"/>
  <c r="G4718" i="1"/>
  <c r="H4718" i="1"/>
  <c r="I4718" i="1"/>
  <c r="G4719" i="1"/>
  <c r="H4719" i="1"/>
  <c r="I4719" i="1"/>
  <c r="G4720" i="1"/>
  <c r="H4720" i="1"/>
  <c r="I4720" i="1"/>
  <c r="G4721" i="1"/>
  <c r="H4721" i="1"/>
  <c r="I4721" i="1"/>
  <c r="G4722" i="1"/>
  <c r="H4722" i="1"/>
  <c r="I4722" i="1"/>
  <c r="G4723" i="1"/>
  <c r="H4723" i="1"/>
  <c r="I4723" i="1"/>
  <c r="G4724" i="1"/>
  <c r="H4724" i="1"/>
  <c r="I4724" i="1"/>
  <c r="G4725" i="1"/>
  <c r="H4725" i="1"/>
  <c r="I4725" i="1"/>
  <c r="G4726" i="1"/>
  <c r="H4726" i="1"/>
  <c r="I4726" i="1"/>
  <c r="G4727" i="1"/>
  <c r="H4727" i="1"/>
  <c r="I4727" i="1"/>
  <c r="G4728" i="1"/>
  <c r="H4728" i="1"/>
  <c r="I4728" i="1"/>
  <c r="G4729" i="1"/>
  <c r="H4729" i="1"/>
  <c r="I4729" i="1"/>
  <c r="G4730" i="1"/>
  <c r="H4730" i="1"/>
  <c r="I4730" i="1"/>
  <c r="G4731" i="1"/>
  <c r="H4731" i="1"/>
  <c r="I4731" i="1"/>
  <c r="G4732" i="1"/>
  <c r="H4732" i="1"/>
  <c r="I4732" i="1"/>
  <c r="G4733" i="1"/>
  <c r="H4733" i="1"/>
  <c r="I4733" i="1"/>
  <c r="G4734" i="1"/>
  <c r="H4734" i="1"/>
  <c r="I4734" i="1"/>
  <c r="G4735" i="1"/>
  <c r="H4735" i="1"/>
  <c r="I4735" i="1"/>
  <c r="G4736" i="1"/>
  <c r="H4736" i="1"/>
  <c r="I4736" i="1"/>
  <c r="G4737" i="1"/>
  <c r="H4737" i="1"/>
  <c r="I4737" i="1"/>
  <c r="G4738" i="1"/>
  <c r="H4738" i="1"/>
  <c r="I4738" i="1"/>
  <c r="G4739" i="1"/>
  <c r="H4739" i="1"/>
  <c r="I4739" i="1"/>
  <c r="G4740" i="1"/>
  <c r="H4740" i="1"/>
  <c r="I4740" i="1"/>
  <c r="G4741" i="1"/>
  <c r="H4741" i="1"/>
  <c r="I4741" i="1"/>
  <c r="G4742" i="1"/>
  <c r="H4742" i="1"/>
  <c r="I4742" i="1"/>
  <c r="G4743" i="1"/>
  <c r="H4743" i="1"/>
  <c r="I4743" i="1"/>
  <c r="G4744" i="1"/>
  <c r="H4744" i="1"/>
  <c r="I4744" i="1"/>
  <c r="G4745" i="1"/>
  <c r="H4745" i="1"/>
  <c r="I4745" i="1"/>
  <c r="G4746" i="1"/>
  <c r="H4746" i="1"/>
  <c r="I4746" i="1"/>
  <c r="G4747" i="1"/>
  <c r="H4747" i="1"/>
  <c r="I4747" i="1"/>
  <c r="G4748" i="1"/>
  <c r="H4748" i="1"/>
  <c r="I4748" i="1"/>
  <c r="G4749" i="1"/>
  <c r="H4749" i="1"/>
  <c r="I4749" i="1"/>
  <c r="G4750" i="1"/>
  <c r="H4750" i="1"/>
  <c r="I4750" i="1"/>
  <c r="G4751" i="1"/>
  <c r="H4751" i="1"/>
  <c r="I4751" i="1"/>
  <c r="G4752" i="1"/>
  <c r="H4752" i="1"/>
  <c r="I4752" i="1"/>
  <c r="G4753" i="1"/>
  <c r="H4753" i="1"/>
  <c r="I4753" i="1"/>
  <c r="G4754" i="1"/>
  <c r="H4754" i="1"/>
  <c r="I4754" i="1"/>
  <c r="G4755" i="1"/>
  <c r="H4755" i="1"/>
  <c r="I4755" i="1"/>
  <c r="G4756" i="1"/>
  <c r="H4756" i="1"/>
  <c r="I4756" i="1"/>
  <c r="G4757" i="1"/>
  <c r="H4757" i="1"/>
  <c r="I4757" i="1"/>
  <c r="G4758" i="1"/>
  <c r="H4758" i="1"/>
  <c r="I4758" i="1"/>
  <c r="G4759" i="1"/>
  <c r="H4759" i="1"/>
  <c r="I4759" i="1"/>
  <c r="G4760" i="1"/>
  <c r="H4760" i="1"/>
  <c r="I4760" i="1"/>
  <c r="G4761" i="1"/>
  <c r="H4761" i="1"/>
  <c r="I4761" i="1"/>
  <c r="G4762" i="1"/>
  <c r="H4762" i="1"/>
  <c r="I4762" i="1"/>
  <c r="G4763" i="1"/>
  <c r="H4763" i="1"/>
  <c r="I4763" i="1"/>
  <c r="G4764" i="1"/>
  <c r="H4764" i="1"/>
  <c r="I4764" i="1"/>
  <c r="G4765" i="1"/>
  <c r="H4765" i="1"/>
  <c r="I4765" i="1"/>
  <c r="G4766" i="1"/>
  <c r="H4766" i="1"/>
  <c r="I4766" i="1"/>
  <c r="G4767" i="1"/>
  <c r="H4767" i="1"/>
  <c r="I4767" i="1"/>
  <c r="G4768" i="1"/>
  <c r="H4768" i="1"/>
  <c r="I4768" i="1"/>
  <c r="G4769" i="1"/>
  <c r="H4769" i="1"/>
  <c r="I4769" i="1"/>
  <c r="G4770" i="1"/>
  <c r="H4770" i="1"/>
  <c r="I4770" i="1"/>
  <c r="G4771" i="1"/>
  <c r="H4771" i="1"/>
  <c r="I4771" i="1"/>
  <c r="G4772" i="1"/>
  <c r="H4772" i="1"/>
  <c r="I4772" i="1"/>
  <c r="G4773" i="1"/>
  <c r="H4773" i="1"/>
  <c r="I4773" i="1"/>
  <c r="G4774" i="1"/>
  <c r="H4774" i="1"/>
  <c r="I4774" i="1"/>
  <c r="G4775" i="1"/>
  <c r="H4775" i="1"/>
  <c r="I4775" i="1"/>
  <c r="G4776" i="1"/>
  <c r="H4776" i="1"/>
  <c r="I4776" i="1"/>
  <c r="G4777" i="1"/>
  <c r="H4777" i="1"/>
  <c r="I4777" i="1"/>
  <c r="G4778" i="1"/>
  <c r="H4778" i="1"/>
  <c r="I4778" i="1"/>
  <c r="G4779" i="1"/>
  <c r="H4779" i="1"/>
  <c r="I4779" i="1"/>
  <c r="G4780" i="1"/>
  <c r="H4780" i="1"/>
  <c r="I4780" i="1"/>
  <c r="G4781" i="1"/>
  <c r="H4781" i="1"/>
  <c r="I4781" i="1"/>
  <c r="G4782" i="1"/>
  <c r="H4782" i="1"/>
  <c r="I4782" i="1"/>
  <c r="G4783" i="1"/>
  <c r="H4783" i="1"/>
  <c r="I4783" i="1"/>
  <c r="G4784" i="1"/>
  <c r="H4784" i="1"/>
  <c r="I4784" i="1"/>
  <c r="G4785" i="1"/>
  <c r="H4785" i="1"/>
  <c r="I4785" i="1"/>
  <c r="G4786" i="1"/>
  <c r="H4786" i="1"/>
  <c r="I4786" i="1"/>
  <c r="G4787" i="1"/>
  <c r="H4787" i="1"/>
  <c r="I4787" i="1"/>
  <c r="G4788" i="1"/>
  <c r="H4788" i="1"/>
  <c r="I4788" i="1"/>
  <c r="G4789" i="1"/>
  <c r="H4789" i="1"/>
  <c r="I4789" i="1"/>
  <c r="G4790" i="1"/>
  <c r="H4790" i="1"/>
  <c r="I4790" i="1"/>
  <c r="G4791" i="1"/>
  <c r="H4791" i="1"/>
  <c r="I4791" i="1"/>
  <c r="G4792" i="1"/>
  <c r="H4792" i="1"/>
  <c r="I4792" i="1"/>
  <c r="G4793" i="1"/>
  <c r="H4793" i="1"/>
  <c r="I4793" i="1"/>
  <c r="G4794" i="1"/>
  <c r="H4794" i="1"/>
  <c r="I4794" i="1"/>
  <c r="G4795" i="1"/>
  <c r="H4795" i="1"/>
  <c r="I4795" i="1"/>
  <c r="G4796" i="1"/>
  <c r="H4796" i="1"/>
  <c r="I4796" i="1"/>
  <c r="G4797" i="1"/>
  <c r="H4797" i="1"/>
  <c r="I4797" i="1"/>
  <c r="G4798" i="1"/>
  <c r="H4798" i="1"/>
  <c r="I4798" i="1"/>
  <c r="G4799" i="1"/>
  <c r="H4799" i="1"/>
  <c r="I4799" i="1"/>
  <c r="G4800" i="1"/>
  <c r="H4800" i="1"/>
  <c r="I4800" i="1"/>
  <c r="G4801" i="1"/>
  <c r="H4801" i="1"/>
  <c r="I4801" i="1"/>
  <c r="G4802" i="1"/>
  <c r="H4802" i="1"/>
  <c r="I4802" i="1"/>
  <c r="G4803" i="1"/>
  <c r="H4803" i="1"/>
  <c r="I4803" i="1"/>
  <c r="G4804" i="1"/>
  <c r="H4804" i="1"/>
  <c r="I4804" i="1"/>
  <c r="G4805" i="1"/>
  <c r="H4805" i="1"/>
  <c r="I4805" i="1"/>
  <c r="G4806" i="1"/>
  <c r="H4806" i="1"/>
  <c r="I4806" i="1"/>
  <c r="G4807" i="1"/>
  <c r="H4807" i="1"/>
  <c r="I4807" i="1"/>
  <c r="G4808" i="1"/>
  <c r="H4808" i="1"/>
  <c r="I4808" i="1"/>
  <c r="G4809" i="1"/>
  <c r="H4809" i="1"/>
  <c r="I4809" i="1"/>
  <c r="G4810" i="1"/>
  <c r="H4810" i="1"/>
  <c r="I4810" i="1"/>
  <c r="G4811" i="1"/>
  <c r="H4811" i="1"/>
  <c r="I4811" i="1"/>
  <c r="G4812" i="1"/>
  <c r="H4812" i="1"/>
  <c r="I4812" i="1"/>
  <c r="G4813" i="1"/>
  <c r="H4813" i="1"/>
  <c r="I4813" i="1"/>
  <c r="G4814" i="1"/>
  <c r="H4814" i="1"/>
  <c r="I4814" i="1"/>
  <c r="G4815" i="1"/>
  <c r="H4815" i="1"/>
  <c r="I4815" i="1"/>
  <c r="G4816" i="1"/>
  <c r="H4816" i="1"/>
  <c r="I4816" i="1"/>
  <c r="G4817" i="1"/>
  <c r="H4817" i="1"/>
  <c r="I4817" i="1"/>
  <c r="G4818" i="1"/>
  <c r="H4818" i="1"/>
  <c r="I4818" i="1"/>
  <c r="G4819" i="1"/>
  <c r="H4819" i="1"/>
  <c r="I4819" i="1"/>
  <c r="G4820" i="1"/>
  <c r="H4820" i="1"/>
  <c r="I4820" i="1"/>
  <c r="G4821" i="1"/>
  <c r="H4821" i="1"/>
  <c r="I4821" i="1"/>
  <c r="G4822" i="1"/>
  <c r="H4822" i="1"/>
  <c r="I4822" i="1"/>
  <c r="G4823" i="1"/>
  <c r="H4823" i="1"/>
  <c r="I4823" i="1"/>
  <c r="G4824" i="1"/>
  <c r="H4824" i="1"/>
  <c r="I4824" i="1"/>
  <c r="G4825" i="1"/>
  <c r="H4825" i="1"/>
  <c r="I4825" i="1"/>
  <c r="G4826" i="1"/>
  <c r="H4826" i="1"/>
  <c r="I4826" i="1"/>
  <c r="G4827" i="1"/>
  <c r="H4827" i="1"/>
  <c r="I4827" i="1"/>
  <c r="G4828" i="1"/>
  <c r="H4828" i="1"/>
  <c r="I4828" i="1"/>
  <c r="G4829" i="1"/>
  <c r="H4829" i="1"/>
  <c r="I4829" i="1"/>
  <c r="G4830" i="1"/>
  <c r="H4830" i="1"/>
  <c r="I4830" i="1"/>
  <c r="G4831" i="1"/>
  <c r="H4831" i="1"/>
  <c r="I4831" i="1"/>
  <c r="G4832" i="1"/>
  <c r="H4832" i="1"/>
  <c r="I4832" i="1"/>
  <c r="G4833" i="1"/>
  <c r="H4833" i="1"/>
  <c r="I4833" i="1"/>
  <c r="G4834" i="1"/>
  <c r="H4834" i="1"/>
  <c r="I4834" i="1"/>
  <c r="G4835" i="1"/>
  <c r="H4835" i="1"/>
  <c r="I4835" i="1"/>
  <c r="G4836" i="1"/>
  <c r="H4836" i="1"/>
  <c r="I4836" i="1"/>
  <c r="G4837" i="1"/>
  <c r="H4837" i="1"/>
  <c r="I4837" i="1"/>
  <c r="G4838" i="1"/>
  <c r="H4838" i="1"/>
  <c r="I4838" i="1"/>
  <c r="G4839" i="1"/>
  <c r="H4839" i="1"/>
  <c r="I4839" i="1"/>
  <c r="G4840" i="1"/>
  <c r="H4840" i="1"/>
  <c r="I4840" i="1"/>
  <c r="G4841" i="1"/>
  <c r="H4841" i="1"/>
  <c r="I4841" i="1"/>
  <c r="G4842" i="1"/>
  <c r="H4842" i="1"/>
  <c r="I4842" i="1"/>
  <c r="G4843" i="1"/>
  <c r="H4843" i="1"/>
  <c r="I4843" i="1"/>
  <c r="G4844" i="1"/>
  <c r="H4844" i="1"/>
  <c r="I4844" i="1"/>
  <c r="G4845" i="1"/>
  <c r="H4845" i="1"/>
  <c r="I4845" i="1"/>
  <c r="G4846" i="1"/>
  <c r="H4846" i="1"/>
  <c r="I4846" i="1"/>
  <c r="G4847" i="1"/>
  <c r="H4847" i="1"/>
  <c r="I4847" i="1"/>
  <c r="G4848" i="1"/>
  <c r="H4848" i="1"/>
  <c r="I4848" i="1"/>
  <c r="G4849" i="1"/>
  <c r="H4849" i="1"/>
  <c r="I4849" i="1"/>
  <c r="G4850" i="1"/>
  <c r="H4850" i="1"/>
  <c r="I4850" i="1"/>
  <c r="G4851" i="1"/>
  <c r="H4851" i="1"/>
  <c r="I4851" i="1"/>
  <c r="G4852" i="1"/>
  <c r="H4852" i="1"/>
  <c r="I4852" i="1"/>
  <c r="G4853" i="1"/>
  <c r="H4853" i="1"/>
  <c r="I4853" i="1"/>
  <c r="G4854" i="1"/>
  <c r="H4854" i="1"/>
  <c r="I4854" i="1"/>
  <c r="G4855" i="1"/>
  <c r="H4855" i="1"/>
  <c r="I4855" i="1"/>
  <c r="G4856" i="1"/>
  <c r="H4856" i="1"/>
  <c r="I4856" i="1"/>
  <c r="G4857" i="1"/>
  <c r="H4857" i="1"/>
  <c r="I4857" i="1"/>
  <c r="G4858" i="1"/>
  <c r="H4858" i="1"/>
  <c r="I4858" i="1"/>
  <c r="G4859" i="1"/>
  <c r="H4859" i="1"/>
  <c r="I4859" i="1"/>
  <c r="G4860" i="1"/>
  <c r="H4860" i="1"/>
  <c r="I4860" i="1"/>
  <c r="G4861" i="1"/>
  <c r="H4861" i="1"/>
  <c r="I4861" i="1"/>
  <c r="G4862" i="1"/>
  <c r="H4862" i="1"/>
  <c r="I4862" i="1"/>
  <c r="G4863" i="1"/>
  <c r="H4863" i="1"/>
  <c r="I4863" i="1"/>
  <c r="G4864" i="1"/>
  <c r="H4864" i="1"/>
  <c r="I4864" i="1"/>
  <c r="G4865" i="1"/>
  <c r="H4865" i="1"/>
  <c r="I4865" i="1"/>
  <c r="G4866" i="1"/>
  <c r="H4866" i="1"/>
  <c r="I4866" i="1"/>
  <c r="G4867" i="1"/>
  <c r="H4867" i="1"/>
  <c r="I4867" i="1"/>
  <c r="G4868" i="1"/>
  <c r="H4868" i="1"/>
  <c r="I4868" i="1"/>
  <c r="G4869" i="1"/>
  <c r="H4869" i="1"/>
  <c r="I4869" i="1"/>
  <c r="G4870" i="1"/>
  <c r="H4870" i="1"/>
  <c r="I4870" i="1"/>
  <c r="G4871" i="1"/>
  <c r="H4871" i="1"/>
  <c r="I4871" i="1"/>
  <c r="G4872" i="1"/>
  <c r="H4872" i="1"/>
  <c r="I4872" i="1"/>
  <c r="G4873" i="1"/>
  <c r="H4873" i="1"/>
  <c r="I4873" i="1"/>
  <c r="G4874" i="1"/>
  <c r="H4874" i="1"/>
  <c r="I4874" i="1"/>
  <c r="G4875" i="1"/>
  <c r="H4875" i="1"/>
  <c r="I4875" i="1"/>
  <c r="G4876" i="1"/>
  <c r="H4876" i="1"/>
  <c r="I4876" i="1"/>
  <c r="G4877" i="1"/>
  <c r="H4877" i="1"/>
  <c r="I4877" i="1"/>
  <c r="G4878" i="1"/>
  <c r="H4878" i="1"/>
  <c r="I4878" i="1"/>
  <c r="G4879" i="1"/>
  <c r="H4879" i="1"/>
  <c r="I4879" i="1"/>
  <c r="G4880" i="1"/>
  <c r="H4880" i="1"/>
  <c r="I4880" i="1"/>
  <c r="G4881" i="1"/>
  <c r="H4881" i="1"/>
  <c r="I4881" i="1"/>
  <c r="G4882" i="1"/>
  <c r="H4882" i="1"/>
  <c r="I4882" i="1"/>
  <c r="G4883" i="1"/>
  <c r="H4883" i="1"/>
  <c r="I4883" i="1"/>
  <c r="G4884" i="1"/>
  <c r="H4884" i="1"/>
  <c r="I4884" i="1"/>
  <c r="G4885" i="1"/>
  <c r="H4885" i="1"/>
  <c r="I4885" i="1"/>
  <c r="G4886" i="1"/>
  <c r="H4886" i="1"/>
  <c r="I4886" i="1"/>
  <c r="G4887" i="1"/>
  <c r="H4887" i="1"/>
  <c r="I4887" i="1"/>
  <c r="G4888" i="1"/>
  <c r="H4888" i="1"/>
  <c r="I4888" i="1"/>
  <c r="G4889" i="1"/>
  <c r="H4889" i="1"/>
  <c r="I4889" i="1"/>
  <c r="G4890" i="1"/>
  <c r="H4890" i="1"/>
  <c r="I4890" i="1"/>
  <c r="G4891" i="1"/>
  <c r="H4891" i="1"/>
  <c r="I4891" i="1"/>
  <c r="G4892" i="1"/>
  <c r="H4892" i="1"/>
  <c r="I4892" i="1"/>
  <c r="G4893" i="1"/>
  <c r="H4893" i="1"/>
  <c r="I4893" i="1"/>
  <c r="G4894" i="1"/>
  <c r="H4894" i="1"/>
  <c r="I4894" i="1"/>
  <c r="G4895" i="1"/>
  <c r="H4895" i="1"/>
  <c r="I4895" i="1"/>
  <c r="G4896" i="1"/>
  <c r="H4896" i="1"/>
  <c r="I4896" i="1"/>
  <c r="G4897" i="1"/>
  <c r="H4897" i="1"/>
  <c r="I4897" i="1"/>
  <c r="G4898" i="1"/>
  <c r="H4898" i="1"/>
  <c r="I4898" i="1"/>
  <c r="G4899" i="1"/>
  <c r="H4899" i="1"/>
  <c r="I4899" i="1"/>
  <c r="G4900" i="1"/>
  <c r="H4900" i="1"/>
  <c r="I4900" i="1"/>
  <c r="G4901" i="1"/>
  <c r="H4901" i="1"/>
  <c r="I4901" i="1"/>
  <c r="G4902" i="1"/>
  <c r="H4902" i="1"/>
  <c r="I4902" i="1"/>
  <c r="G4903" i="1"/>
  <c r="H4903" i="1"/>
  <c r="I4903" i="1"/>
  <c r="G4904" i="1"/>
  <c r="H4904" i="1"/>
  <c r="I4904" i="1"/>
  <c r="G4905" i="1"/>
  <c r="H4905" i="1"/>
  <c r="I4905" i="1"/>
  <c r="G4906" i="1"/>
  <c r="H4906" i="1"/>
  <c r="I4906" i="1"/>
  <c r="G4907" i="1"/>
  <c r="H4907" i="1"/>
  <c r="I4907" i="1"/>
  <c r="G4908" i="1"/>
  <c r="H4908" i="1"/>
  <c r="I4908" i="1"/>
  <c r="G4909" i="1"/>
  <c r="H4909" i="1"/>
  <c r="I4909" i="1"/>
  <c r="G4910" i="1"/>
  <c r="H4910" i="1"/>
  <c r="I4910" i="1"/>
</calcChain>
</file>

<file path=xl/sharedStrings.xml><?xml version="1.0" encoding="utf-8"?>
<sst xmlns="http://schemas.openxmlformats.org/spreadsheetml/2006/main" count="9903" uniqueCount="39">
  <si>
    <t>orders_id</t>
  </si>
  <si>
    <t>month</t>
  </si>
  <si>
    <t>ups ship charge</t>
  </si>
  <si>
    <t>ada ship charge</t>
  </si>
  <si>
    <t>order subtotal</t>
  </si>
  <si>
    <t>charge_description</t>
  </si>
  <si>
    <t>Ground Commercial</t>
  </si>
  <si>
    <t>Ground Undeliverable Return</t>
  </si>
  <si>
    <t>Worldwide Expedited</t>
  </si>
  <si>
    <t>Ground Residential</t>
  </si>
  <si>
    <t>2nd Day Air Residential</t>
  </si>
  <si>
    <t>Worldwide Saver</t>
  </si>
  <si>
    <t>3 Day Select Residential</t>
  </si>
  <si>
    <t>2nd Day Air Commercial</t>
  </si>
  <si>
    <t>3 Day Select Commercial</t>
  </si>
  <si>
    <t>Next Day Air Residential</t>
  </si>
  <si>
    <t>Next Day Air Commercial</t>
  </si>
  <si>
    <t>Worldwide Express</t>
  </si>
  <si>
    <t>is_free_shipping?</t>
  </si>
  <si>
    <t>is_ups_overcharge</t>
  </si>
  <si>
    <t>feb</t>
  </si>
  <si>
    <t>march</t>
  </si>
  <si>
    <t>Column Labels</t>
  </si>
  <si>
    <t>Grand Total</t>
  </si>
  <si>
    <t>free shipping</t>
  </si>
  <si>
    <t>not free shipping</t>
  </si>
  <si>
    <t>ups did not overcharge</t>
  </si>
  <si>
    <t>ups overcharged</t>
  </si>
  <si>
    <t>Sum of ada ship charge</t>
  </si>
  <si>
    <t>Count of is_free_shipping?</t>
  </si>
  <si>
    <t>Sum of order subtotal</t>
  </si>
  <si>
    <t>Sum of ups ship charge</t>
  </si>
  <si>
    <t>Average of order subtotal2</t>
  </si>
  <si>
    <t>FREE SHIPPING STATS</t>
  </si>
  <si>
    <t>Count of charge_description</t>
  </si>
  <si>
    <t>ups overcharge amount</t>
  </si>
  <si>
    <t>Sum of ups overcharge amount</t>
  </si>
  <si>
    <t>UPS OVERCHARGED</t>
  </si>
  <si>
    <t>NOT CORRECT - DO NOT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</si>
</sst>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_-* #,##0_-;\-* #,##0_-;_-* &quot;-&quot;??_-;_-@_-"/>
  </numFmts>
  <fonts count="3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4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34" formatCode="_-&quot;$&quot;* #,##0.00_-;\-&quot;$&quot;* #,##0.00_-;_-&quot;$&quot;* &quot;-&quot;??_-;_-@_-"/>
    </dxf>
    <dxf>
      <numFmt numFmtId="164" formatCode="_-* #,##0_-;\-* #,##0_-;_-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64" formatCode="_-* #,##0_-;\-* #,##0_-;_-* &quot;-&quot;??_-;_-@_-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477.733373726849" createdVersion="4" refreshedVersion="4" minRefreshableVersion="3" recordCount="4907">
  <cacheSource type="worksheet">
    <worksheetSource name="Table1"/>
  </cacheSource>
  <cacheFields count="9">
    <cacheField name="orders_id" numFmtId="0">
      <sharedItems containsSemiMixedTypes="0" containsString="0" containsNumber="1" containsInteger="1" minValue="995884" maxValue="1064820"/>
    </cacheField>
    <cacheField name="month" numFmtId="0">
      <sharedItems count="2">
        <s v="march"/>
        <s v="feb"/>
      </sharedItems>
    </cacheField>
    <cacheField name="ups ship charge" numFmtId="0">
      <sharedItems containsSemiMixedTypes="0" containsString="0" containsNumber="1" minValue="7.29" maxValue="226.6"/>
    </cacheField>
    <cacheField name="ada ship charge" numFmtId="0">
      <sharedItems containsSemiMixedTypes="0" containsString="0" containsNumber="1" minValue="0" maxValue="266.95999999999998"/>
    </cacheField>
    <cacheField name="order subtotal" numFmtId="0">
      <sharedItems containsSemiMixedTypes="0" containsString="0" containsNumber="1" minValue="0.75" maxValue="6512.99"/>
    </cacheField>
    <cacheField name="charge_description" numFmtId="0">
      <sharedItems count="12">
        <s v="Ground Commercial"/>
        <s v="Ground Undeliverable Return"/>
        <s v="Worldwide Expedited"/>
        <s v="Ground Residential"/>
        <s v="2nd Day Air Residential"/>
        <s v="Worldwide Saver"/>
        <s v="3 Day Select Residential"/>
        <s v="2nd Day Air Commercial"/>
        <s v="3 Day Select Commercial"/>
        <s v="Next Day Air Residential"/>
        <s v="Next Day Air Commercial"/>
        <s v="Worldwide Express"/>
      </sharedItems>
    </cacheField>
    <cacheField name="is_free_shipping?" numFmtId="0">
      <sharedItems count="2">
        <s v="not free shipping"/>
        <s v="free shipping"/>
      </sharedItems>
    </cacheField>
    <cacheField name="is_ups_overcharge" numFmtId="0">
      <sharedItems count="3">
        <s v="ups overcharged"/>
        <s v="ups did not overcharge"/>
        <s v="free shipping"/>
      </sharedItems>
    </cacheField>
    <cacheField name="ups overcharge amount" numFmtId="0">
      <sharedItems containsSemiMixedTypes="0" containsString="0" containsNumber="1" minValue="0" maxValue="30.85" count="67">
        <n v="9.7100000000000009"/>
        <n v="0"/>
        <n v="7.2099999999999991"/>
        <n v="0.41000000000000014"/>
        <n v="6.6700000000000017"/>
        <n v="3.9499999999999993"/>
        <n v="3.9099999999999984"/>
        <n v="8.94"/>
        <n v="3.6799999999999979"/>
        <n v="9.6999999999999993"/>
        <n v="0.48000000000000043"/>
        <n v="12.92"/>
        <n v="21.450000000000003"/>
        <n v="1.4600000000000009"/>
        <n v="12.499999999999998"/>
        <n v="1.3099999999999987"/>
        <n v="0.97000000000000242"/>
        <n v="12.91"/>
        <n v="12.949999999999996"/>
        <n v="10.3"/>
        <n v="3.84"/>
        <n v="30.85"/>
        <n v="3.3500000000000014"/>
        <n v="2.5199999999999996"/>
        <n v="0.97000000000000064"/>
        <n v="2.0299999999999976"/>
        <n v="0.72000000000000242"/>
        <n v="3.3700000000000045"/>
        <n v="30.849999999999994"/>
        <n v="12.95"/>
        <n v="0.34999999999999964"/>
        <n v="3.9200000000000017"/>
        <n v="2.8100000000000005"/>
        <n v="4.0600000000000005"/>
        <n v="0.95000000000000107"/>
        <n v="3.5500000000000007"/>
        <n v="4.980000000000004"/>
        <n v="2.0999999999999979"/>
        <n v="1.0599999999999987"/>
        <n v="9.9999999999999645E-2"/>
        <n v="5.5"/>
        <n v="12.43"/>
        <n v="9.65"/>
        <n v="0.14000000000000057"/>
        <n v="9.9999999999997868E-3"/>
        <n v="7.0000000000000284E-2"/>
        <n v="1.0000000000001563E-2"/>
        <n v="0.13000000000000256"/>
        <n v="2.5"/>
        <n v="1.2800000000000011"/>
        <n v="12.950000000000003"/>
        <n v="1.6999999999999993"/>
        <n v="1.0700000000000003"/>
        <n v="8.9999999999999858E-2"/>
        <n v="6.4599999999999937"/>
        <n v="3.0399999999999991"/>
        <n v="3.129999999999999"/>
        <n v="18.829999999999998"/>
        <n v="6.3400000000000034"/>
        <n v="0.9399999999999995"/>
        <n v="0.16999999999999993"/>
        <n v="12.850000000000001"/>
        <n v="3.9400000000000013"/>
        <n v="1.4299999999999997"/>
        <n v="0.26999999999999957"/>
        <n v="2.0199999999999996"/>
        <n v="9.6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07">
  <r>
    <n v="1027953"/>
    <x v="0"/>
    <n v="9.7100000000000009"/>
    <n v="0"/>
    <n v="50.37"/>
    <x v="0"/>
    <x v="0"/>
    <x v="0"/>
    <x v="0"/>
  </r>
  <r>
    <n v="997822"/>
    <x v="1"/>
    <n v="7.29"/>
    <n v="12.89"/>
    <n v="17.7"/>
    <x v="1"/>
    <x v="0"/>
    <x v="1"/>
    <x v="1"/>
  </r>
  <r>
    <n v="998763"/>
    <x v="1"/>
    <n v="12.55"/>
    <n v="0"/>
    <n v="519.44000000000005"/>
    <x v="0"/>
    <x v="1"/>
    <x v="2"/>
    <x v="1"/>
  </r>
  <r>
    <n v="998834"/>
    <x v="1"/>
    <n v="9.6999999999999993"/>
    <n v="0"/>
    <n v="344.35"/>
    <x v="0"/>
    <x v="1"/>
    <x v="2"/>
    <x v="1"/>
  </r>
  <r>
    <n v="999845"/>
    <x v="1"/>
    <n v="226.6"/>
    <n v="266.95999999999998"/>
    <n v="1250.2"/>
    <x v="2"/>
    <x v="0"/>
    <x v="1"/>
    <x v="1"/>
  </r>
  <r>
    <n v="1002126"/>
    <x v="1"/>
    <n v="12.81"/>
    <n v="12.89"/>
    <n v="33.65"/>
    <x v="3"/>
    <x v="0"/>
    <x v="1"/>
    <x v="1"/>
  </r>
  <r>
    <n v="1002146"/>
    <x v="1"/>
    <n v="12.81"/>
    <n v="0"/>
    <n v="245.95"/>
    <x v="3"/>
    <x v="1"/>
    <x v="2"/>
    <x v="1"/>
  </r>
  <r>
    <n v="1002289"/>
    <x v="1"/>
    <n v="13.7"/>
    <n v="13.78"/>
    <n v="95.55"/>
    <x v="3"/>
    <x v="0"/>
    <x v="1"/>
    <x v="1"/>
  </r>
  <r>
    <n v="1002309"/>
    <x v="1"/>
    <n v="16.989999999999998"/>
    <n v="9.7799999999999994"/>
    <n v="49.9"/>
    <x v="0"/>
    <x v="0"/>
    <x v="0"/>
    <x v="2"/>
  </r>
  <r>
    <n v="1002375"/>
    <x v="1"/>
    <n v="12.81"/>
    <n v="12.89"/>
    <n v="115.55"/>
    <x v="3"/>
    <x v="0"/>
    <x v="1"/>
    <x v="1"/>
  </r>
  <r>
    <n v="1002382"/>
    <x v="1"/>
    <n v="9.7100000000000009"/>
    <n v="9.7799999999999994"/>
    <n v="39.75"/>
    <x v="0"/>
    <x v="0"/>
    <x v="1"/>
    <x v="1"/>
  </r>
  <r>
    <n v="1002394"/>
    <x v="1"/>
    <n v="12.81"/>
    <n v="0"/>
    <n v="206.5"/>
    <x v="3"/>
    <x v="1"/>
    <x v="2"/>
    <x v="1"/>
  </r>
  <r>
    <n v="1002454"/>
    <x v="1"/>
    <n v="13.7"/>
    <n v="13.79"/>
    <n v="26.8"/>
    <x v="3"/>
    <x v="0"/>
    <x v="1"/>
    <x v="1"/>
  </r>
  <r>
    <n v="1002502"/>
    <x v="1"/>
    <n v="9.6999999999999993"/>
    <n v="9.7799999999999994"/>
    <n v="39.950000000000003"/>
    <x v="0"/>
    <x v="0"/>
    <x v="1"/>
    <x v="1"/>
  </r>
  <r>
    <n v="1002510"/>
    <x v="1"/>
    <n v="9.6999999999999993"/>
    <n v="0"/>
    <n v="494"/>
    <x v="0"/>
    <x v="1"/>
    <x v="2"/>
    <x v="1"/>
  </r>
  <r>
    <n v="1002518"/>
    <x v="1"/>
    <n v="9.6999999999999993"/>
    <n v="9.7799999999999994"/>
    <n v="74.900000000000006"/>
    <x v="0"/>
    <x v="0"/>
    <x v="1"/>
    <x v="1"/>
  </r>
  <r>
    <n v="1002530"/>
    <x v="1"/>
    <n v="12.81"/>
    <n v="12.89"/>
    <n v="60.2"/>
    <x v="3"/>
    <x v="0"/>
    <x v="1"/>
    <x v="1"/>
  </r>
  <r>
    <n v="1002626"/>
    <x v="1"/>
    <n v="13.7"/>
    <n v="13.79"/>
    <n v="51.5"/>
    <x v="3"/>
    <x v="0"/>
    <x v="1"/>
    <x v="1"/>
  </r>
  <r>
    <n v="1002642"/>
    <x v="1"/>
    <n v="10.3"/>
    <n v="0"/>
    <n v="356.7"/>
    <x v="0"/>
    <x v="1"/>
    <x v="2"/>
    <x v="1"/>
  </r>
  <r>
    <n v="1002647"/>
    <x v="1"/>
    <n v="9.6999999999999993"/>
    <n v="9.7799999999999994"/>
    <n v="2.85"/>
    <x v="0"/>
    <x v="0"/>
    <x v="1"/>
    <x v="1"/>
  </r>
  <r>
    <n v="1002700"/>
    <x v="1"/>
    <n v="16.46"/>
    <n v="16.71"/>
    <n v="98.25"/>
    <x v="4"/>
    <x v="0"/>
    <x v="1"/>
    <x v="1"/>
  </r>
  <r>
    <n v="1002728"/>
    <x v="1"/>
    <n v="13.7"/>
    <n v="13.79"/>
    <n v="39.799999999999997"/>
    <x v="3"/>
    <x v="0"/>
    <x v="1"/>
    <x v="1"/>
  </r>
  <r>
    <n v="1002790"/>
    <x v="1"/>
    <n v="13.7"/>
    <n v="13.79"/>
    <n v="39.950000000000003"/>
    <x v="3"/>
    <x v="0"/>
    <x v="1"/>
    <x v="1"/>
  </r>
  <r>
    <n v="1002792"/>
    <x v="1"/>
    <n v="9.6999999999999993"/>
    <n v="9.7799999999999994"/>
    <n v="101.8"/>
    <x v="0"/>
    <x v="0"/>
    <x v="1"/>
    <x v="1"/>
  </r>
  <r>
    <n v="1002793"/>
    <x v="1"/>
    <n v="12.81"/>
    <n v="12.89"/>
    <n v="65.349999999999994"/>
    <x v="3"/>
    <x v="0"/>
    <x v="1"/>
    <x v="1"/>
  </r>
  <r>
    <n v="1002801"/>
    <x v="1"/>
    <n v="13.86"/>
    <n v="0"/>
    <n v="214.75"/>
    <x v="3"/>
    <x v="1"/>
    <x v="2"/>
    <x v="1"/>
  </r>
  <r>
    <n v="1002807"/>
    <x v="1"/>
    <n v="12.81"/>
    <n v="12.89"/>
    <n v="15.75"/>
    <x v="3"/>
    <x v="0"/>
    <x v="1"/>
    <x v="1"/>
  </r>
  <r>
    <n v="1002812"/>
    <x v="1"/>
    <n v="16.38"/>
    <n v="0"/>
    <n v="659.3"/>
    <x v="0"/>
    <x v="1"/>
    <x v="2"/>
    <x v="1"/>
  </r>
  <r>
    <n v="1002916"/>
    <x v="1"/>
    <n v="67.459999999999994"/>
    <n v="76.72"/>
    <n v="114.95"/>
    <x v="2"/>
    <x v="0"/>
    <x v="1"/>
    <x v="1"/>
  </r>
  <r>
    <n v="1003005"/>
    <x v="1"/>
    <n v="13.7"/>
    <n v="13.75"/>
    <n v="56.85"/>
    <x v="3"/>
    <x v="0"/>
    <x v="1"/>
    <x v="1"/>
  </r>
  <r>
    <n v="1003008"/>
    <x v="1"/>
    <n v="12.81"/>
    <n v="12.86"/>
    <n v="26.9"/>
    <x v="3"/>
    <x v="0"/>
    <x v="1"/>
    <x v="1"/>
  </r>
  <r>
    <n v="1003009"/>
    <x v="1"/>
    <n v="13.7"/>
    <n v="0"/>
    <n v="228.21"/>
    <x v="3"/>
    <x v="1"/>
    <x v="2"/>
    <x v="1"/>
  </r>
  <r>
    <n v="1003013"/>
    <x v="1"/>
    <n v="13.71"/>
    <n v="13.83"/>
    <n v="109.49"/>
    <x v="3"/>
    <x v="0"/>
    <x v="1"/>
    <x v="1"/>
  </r>
  <r>
    <n v="1003023"/>
    <x v="1"/>
    <n v="12.81"/>
    <n v="12.86"/>
    <n v="93.45"/>
    <x v="3"/>
    <x v="0"/>
    <x v="1"/>
    <x v="1"/>
  </r>
  <r>
    <n v="1003026"/>
    <x v="1"/>
    <n v="12.81"/>
    <n v="13.09"/>
    <n v="114.95"/>
    <x v="3"/>
    <x v="0"/>
    <x v="1"/>
    <x v="1"/>
  </r>
  <r>
    <n v="1003040"/>
    <x v="1"/>
    <n v="57.52"/>
    <n v="60.39"/>
    <n v="84.45"/>
    <x v="5"/>
    <x v="0"/>
    <x v="1"/>
    <x v="1"/>
  </r>
  <r>
    <n v="1003042"/>
    <x v="1"/>
    <n v="14.23"/>
    <n v="13.82"/>
    <n v="99.9"/>
    <x v="3"/>
    <x v="0"/>
    <x v="0"/>
    <x v="3"/>
  </r>
  <r>
    <n v="1003043"/>
    <x v="1"/>
    <n v="15.13"/>
    <n v="15.18"/>
    <n v="157.69999999999999"/>
    <x v="6"/>
    <x v="0"/>
    <x v="1"/>
    <x v="1"/>
  </r>
  <r>
    <n v="1003046"/>
    <x v="1"/>
    <n v="13.7"/>
    <n v="13.75"/>
    <n v="59.75"/>
    <x v="3"/>
    <x v="0"/>
    <x v="1"/>
    <x v="1"/>
  </r>
  <r>
    <n v="1003060"/>
    <x v="1"/>
    <n v="13.7"/>
    <n v="13.75"/>
    <n v="24.95"/>
    <x v="3"/>
    <x v="0"/>
    <x v="1"/>
    <x v="1"/>
  </r>
  <r>
    <n v="1003066"/>
    <x v="1"/>
    <n v="13.7"/>
    <n v="13.75"/>
    <n v="34.9"/>
    <x v="3"/>
    <x v="0"/>
    <x v="1"/>
    <x v="1"/>
  </r>
  <r>
    <n v="1003078"/>
    <x v="1"/>
    <n v="13.71"/>
    <n v="14.2"/>
    <n v="67.8"/>
    <x v="3"/>
    <x v="0"/>
    <x v="1"/>
    <x v="1"/>
  </r>
  <r>
    <n v="1003080"/>
    <x v="1"/>
    <n v="89.75"/>
    <n v="83.08"/>
    <n v="237.9"/>
    <x v="2"/>
    <x v="0"/>
    <x v="0"/>
    <x v="4"/>
  </r>
  <r>
    <n v="1003096"/>
    <x v="1"/>
    <n v="15.13"/>
    <n v="15.18"/>
    <n v="15.85"/>
    <x v="6"/>
    <x v="0"/>
    <x v="1"/>
    <x v="1"/>
  </r>
  <r>
    <n v="1003097"/>
    <x v="1"/>
    <n v="16.46"/>
    <n v="16.97"/>
    <n v="496.95"/>
    <x v="4"/>
    <x v="0"/>
    <x v="1"/>
    <x v="1"/>
  </r>
  <r>
    <n v="1003125"/>
    <x v="1"/>
    <n v="12.35"/>
    <n v="12.4"/>
    <n v="8.85"/>
    <x v="7"/>
    <x v="0"/>
    <x v="1"/>
    <x v="1"/>
  </r>
  <r>
    <n v="1003129"/>
    <x v="1"/>
    <n v="12.81"/>
    <n v="12.86"/>
    <n v="17.899999999999999"/>
    <x v="3"/>
    <x v="0"/>
    <x v="1"/>
    <x v="1"/>
  </r>
  <r>
    <n v="1003147"/>
    <x v="1"/>
    <n v="13.7"/>
    <n v="13.76"/>
    <n v="63.55"/>
    <x v="3"/>
    <x v="0"/>
    <x v="1"/>
    <x v="1"/>
  </r>
  <r>
    <n v="1003165"/>
    <x v="1"/>
    <n v="13.7"/>
    <n v="13.75"/>
    <n v="37.85"/>
    <x v="3"/>
    <x v="0"/>
    <x v="1"/>
    <x v="1"/>
  </r>
  <r>
    <n v="1003166"/>
    <x v="1"/>
    <n v="12.81"/>
    <n v="12.86"/>
    <n v="159.85"/>
    <x v="3"/>
    <x v="0"/>
    <x v="1"/>
    <x v="1"/>
  </r>
  <r>
    <n v="1003169"/>
    <x v="1"/>
    <n v="9.6999999999999993"/>
    <n v="9.76"/>
    <n v="20.3"/>
    <x v="0"/>
    <x v="0"/>
    <x v="1"/>
    <x v="1"/>
  </r>
  <r>
    <n v="1003181"/>
    <x v="1"/>
    <n v="12.81"/>
    <n v="12.86"/>
    <n v="78.75"/>
    <x v="3"/>
    <x v="0"/>
    <x v="1"/>
    <x v="1"/>
  </r>
  <r>
    <n v="1003190"/>
    <x v="1"/>
    <n v="13.7"/>
    <n v="13.75"/>
    <n v="13.85"/>
    <x v="3"/>
    <x v="0"/>
    <x v="1"/>
    <x v="1"/>
  </r>
  <r>
    <n v="1003191"/>
    <x v="1"/>
    <n v="15.13"/>
    <n v="15.18"/>
    <n v="52.9"/>
    <x v="6"/>
    <x v="0"/>
    <x v="1"/>
    <x v="1"/>
  </r>
  <r>
    <n v="1003194"/>
    <x v="1"/>
    <n v="12.81"/>
    <n v="0"/>
    <n v="259.35000000000002"/>
    <x v="3"/>
    <x v="1"/>
    <x v="2"/>
    <x v="1"/>
  </r>
  <r>
    <n v="1003205"/>
    <x v="1"/>
    <n v="13.26"/>
    <n v="13.88"/>
    <n v="120.3"/>
    <x v="3"/>
    <x v="0"/>
    <x v="1"/>
    <x v="1"/>
  </r>
  <r>
    <n v="1003211"/>
    <x v="1"/>
    <n v="13.7"/>
    <n v="13.75"/>
    <n v="45.7"/>
    <x v="3"/>
    <x v="0"/>
    <x v="1"/>
    <x v="1"/>
  </r>
  <r>
    <n v="1003216"/>
    <x v="1"/>
    <n v="12.81"/>
    <n v="12.86"/>
    <n v="84.9"/>
    <x v="3"/>
    <x v="0"/>
    <x v="1"/>
    <x v="1"/>
  </r>
  <r>
    <n v="1003218"/>
    <x v="1"/>
    <n v="13.7"/>
    <n v="13.75"/>
    <n v="114.95"/>
    <x v="3"/>
    <x v="0"/>
    <x v="1"/>
    <x v="1"/>
  </r>
  <r>
    <n v="1003220"/>
    <x v="1"/>
    <n v="11.02"/>
    <n v="11.07"/>
    <n v="9.9499999999999993"/>
    <x v="8"/>
    <x v="0"/>
    <x v="1"/>
    <x v="1"/>
  </r>
  <r>
    <n v="1003248"/>
    <x v="1"/>
    <n v="12.81"/>
    <n v="12.86"/>
    <n v="13.8"/>
    <x v="3"/>
    <x v="0"/>
    <x v="1"/>
    <x v="1"/>
  </r>
  <r>
    <n v="1003261"/>
    <x v="1"/>
    <n v="12.81"/>
    <n v="12.86"/>
    <n v="38.799999999999997"/>
    <x v="3"/>
    <x v="0"/>
    <x v="1"/>
    <x v="1"/>
  </r>
  <r>
    <n v="1003275"/>
    <x v="1"/>
    <n v="12.81"/>
    <n v="12.86"/>
    <n v="48.75"/>
    <x v="3"/>
    <x v="0"/>
    <x v="1"/>
    <x v="1"/>
  </r>
  <r>
    <n v="1003278"/>
    <x v="1"/>
    <n v="12.81"/>
    <n v="12.86"/>
    <n v="78"/>
    <x v="3"/>
    <x v="0"/>
    <x v="1"/>
    <x v="1"/>
  </r>
  <r>
    <n v="1003286"/>
    <x v="1"/>
    <n v="15.44"/>
    <n v="15.49"/>
    <n v="24.9"/>
    <x v="6"/>
    <x v="0"/>
    <x v="1"/>
    <x v="1"/>
  </r>
  <r>
    <n v="1003287"/>
    <x v="1"/>
    <n v="16.46"/>
    <n v="16.510000000000002"/>
    <n v="29.9"/>
    <x v="4"/>
    <x v="0"/>
    <x v="1"/>
    <x v="1"/>
  </r>
  <r>
    <n v="1003289"/>
    <x v="1"/>
    <n v="13.7"/>
    <n v="13.75"/>
    <n v="3.9"/>
    <x v="3"/>
    <x v="0"/>
    <x v="1"/>
    <x v="1"/>
  </r>
  <r>
    <n v="1003296"/>
    <x v="1"/>
    <n v="31.34"/>
    <n v="0"/>
    <n v="1280"/>
    <x v="0"/>
    <x v="1"/>
    <x v="2"/>
    <x v="1"/>
  </r>
  <r>
    <n v="1003306"/>
    <x v="1"/>
    <n v="12.81"/>
    <n v="12.86"/>
    <n v="45"/>
    <x v="3"/>
    <x v="0"/>
    <x v="1"/>
    <x v="1"/>
  </r>
  <r>
    <n v="1003313"/>
    <x v="1"/>
    <n v="13.7"/>
    <n v="13.99"/>
    <n v="75"/>
    <x v="3"/>
    <x v="0"/>
    <x v="1"/>
    <x v="1"/>
  </r>
  <r>
    <n v="1003315"/>
    <x v="1"/>
    <n v="15.13"/>
    <n v="15.18"/>
    <n v="29.9"/>
    <x v="6"/>
    <x v="0"/>
    <x v="1"/>
    <x v="1"/>
  </r>
  <r>
    <n v="1003335"/>
    <x v="1"/>
    <n v="12.81"/>
    <n v="12.86"/>
    <n v="5"/>
    <x v="3"/>
    <x v="0"/>
    <x v="1"/>
    <x v="1"/>
  </r>
  <r>
    <n v="1003360"/>
    <x v="1"/>
    <n v="12.81"/>
    <n v="12.86"/>
    <n v="47.75"/>
    <x v="3"/>
    <x v="0"/>
    <x v="1"/>
    <x v="1"/>
  </r>
  <r>
    <n v="1003361"/>
    <x v="1"/>
    <n v="13.7"/>
    <n v="13.75"/>
    <n v="47.9"/>
    <x v="3"/>
    <x v="0"/>
    <x v="1"/>
    <x v="1"/>
  </r>
  <r>
    <n v="1003371"/>
    <x v="1"/>
    <n v="13.7"/>
    <n v="13.75"/>
    <n v="17.899999999999999"/>
    <x v="3"/>
    <x v="0"/>
    <x v="1"/>
    <x v="1"/>
  </r>
  <r>
    <n v="1003374"/>
    <x v="1"/>
    <n v="13.7"/>
    <n v="13.75"/>
    <n v="52.6"/>
    <x v="3"/>
    <x v="0"/>
    <x v="1"/>
    <x v="1"/>
  </r>
  <r>
    <n v="1003377"/>
    <x v="1"/>
    <n v="12.81"/>
    <n v="12.86"/>
    <n v="24.1"/>
    <x v="3"/>
    <x v="0"/>
    <x v="1"/>
    <x v="1"/>
  </r>
  <r>
    <n v="1003384"/>
    <x v="1"/>
    <n v="12.81"/>
    <n v="12.86"/>
    <n v="39.799999999999997"/>
    <x v="3"/>
    <x v="0"/>
    <x v="1"/>
    <x v="1"/>
  </r>
  <r>
    <n v="1003391"/>
    <x v="1"/>
    <n v="12.81"/>
    <n v="13.31"/>
    <n v="38.25"/>
    <x v="3"/>
    <x v="0"/>
    <x v="1"/>
    <x v="1"/>
  </r>
  <r>
    <n v="1003394"/>
    <x v="1"/>
    <n v="13.7"/>
    <n v="14.56"/>
    <n v="108.85"/>
    <x v="3"/>
    <x v="0"/>
    <x v="1"/>
    <x v="1"/>
  </r>
  <r>
    <n v="1003404"/>
    <x v="1"/>
    <n v="13.7"/>
    <n v="13.75"/>
    <n v="17.899999999999999"/>
    <x v="3"/>
    <x v="0"/>
    <x v="1"/>
    <x v="1"/>
  </r>
  <r>
    <n v="1003422"/>
    <x v="1"/>
    <n v="13.7"/>
    <n v="9.75"/>
    <n v="21.4"/>
    <x v="3"/>
    <x v="0"/>
    <x v="0"/>
    <x v="5"/>
  </r>
  <r>
    <n v="1003428"/>
    <x v="1"/>
    <n v="13.7"/>
    <n v="13.75"/>
    <n v="4.5"/>
    <x v="3"/>
    <x v="0"/>
    <x v="1"/>
    <x v="1"/>
  </r>
  <r>
    <n v="1003438"/>
    <x v="1"/>
    <n v="16.87"/>
    <n v="20.5"/>
    <n v="45.85"/>
    <x v="4"/>
    <x v="0"/>
    <x v="1"/>
    <x v="1"/>
  </r>
  <r>
    <n v="1003471"/>
    <x v="1"/>
    <n v="13.7"/>
    <n v="13.79"/>
    <n v="108.7"/>
    <x v="3"/>
    <x v="0"/>
    <x v="1"/>
    <x v="1"/>
  </r>
  <r>
    <n v="1003498"/>
    <x v="1"/>
    <n v="11.02"/>
    <n v="11.21"/>
    <n v="88.3"/>
    <x v="8"/>
    <x v="0"/>
    <x v="1"/>
    <x v="1"/>
  </r>
  <r>
    <n v="1003528"/>
    <x v="1"/>
    <n v="12.81"/>
    <n v="0"/>
    <n v="231.75"/>
    <x v="3"/>
    <x v="1"/>
    <x v="2"/>
    <x v="1"/>
  </r>
  <r>
    <n v="1003535"/>
    <x v="1"/>
    <n v="12.81"/>
    <n v="12.89"/>
    <n v="12.9"/>
    <x v="3"/>
    <x v="0"/>
    <x v="1"/>
    <x v="1"/>
  </r>
  <r>
    <n v="1003579"/>
    <x v="1"/>
    <n v="13.7"/>
    <n v="13.79"/>
    <n v="19.95"/>
    <x v="3"/>
    <x v="0"/>
    <x v="1"/>
    <x v="1"/>
  </r>
  <r>
    <n v="1003580"/>
    <x v="1"/>
    <n v="66.67"/>
    <n v="67.53"/>
    <n v="23.85"/>
    <x v="2"/>
    <x v="0"/>
    <x v="1"/>
    <x v="1"/>
  </r>
  <r>
    <n v="1003582"/>
    <x v="1"/>
    <n v="12.81"/>
    <n v="12.89"/>
    <n v="4.95"/>
    <x v="3"/>
    <x v="0"/>
    <x v="1"/>
    <x v="1"/>
  </r>
  <r>
    <n v="1003583"/>
    <x v="1"/>
    <n v="12.81"/>
    <n v="0"/>
    <n v="202.5"/>
    <x v="3"/>
    <x v="1"/>
    <x v="2"/>
    <x v="1"/>
  </r>
  <r>
    <n v="1003592"/>
    <x v="1"/>
    <n v="12.81"/>
    <n v="12.89"/>
    <n v="35.4"/>
    <x v="3"/>
    <x v="0"/>
    <x v="1"/>
    <x v="1"/>
  </r>
  <r>
    <n v="1003596"/>
    <x v="1"/>
    <n v="12.81"/>
    <n v="12.89"/>
    <n v="64.5"/>
    <x v="3"/>
    <x v="0"/>
    <x v="1"/>
    <x v="1"/>
  </r>
  <r>
    <n v="1003621"/>
    <x v="1"/>
    <n v="13.7"/>
    <n v="14.3"/>
    <n v="74.3"/>
    <x v="3"/>
    <x v="0"/>
    <x v="1"/>
    <x v="1"/>
  </r>
  <r>
    <n v="1003633"/>
    <x v="1"/>
    <n v="13.7"/>
    <n v="13.78"/>
    <n v="47.45"/>
    <x v="3"/>
    <x v="0"/>
    <x v="1"/>
    <x v="1"/>
  </r>
  <r>
    <n v="1003646"/>
    <x v="1"/>
    <n v="12.81"/>
    <n v="12.89"/>
    <n v="21.8"/>
    <x v="3"/>
    <x v="0"/>
    <x v="1"/>
    <x v="1"/>
  </r>
  <r>
    <n v="1003664"/>
    <x v="1"/>
    <n v="12.81"/>
    <n v="12.89"/>
    <n v="88.5"/>
    <x v="3"/>
    <x v="0"/>
    <x v="1"/>
    <x v="1"/>
  </r>
  <r>
    <n v="1003666"/>
    <x v="1"/>
    <n v="12.81"/>
    <n v="12.89"/>
    <n v="6.95"/>
    <x v="3"/>
    <x v="0"/>
    <x v="1"/>
    <x v="1"/>
  </r>
  <r>
    <n v="1003699"/>
    <x v="1"/>
    <n v="9.6999999999999993"/>
    <n v="9.7799999999999994"/>
    <n v="79.900000000000006"/>
    <x v="0"/>
    <x v="0"/>
    <x v="1"/>
    <x v="1"/>
  </r>
  <r>
    <n v="1003702"/>
    <x v="1"/>
    <n v="12.81"/>
    <n v="12.89"/>
    <n v="11.7"/>
    <x v="3"/>
    <x v="0"/>
    <x v="1"/>
    <x v="1"/>
  </r>
  <r>
    <n v="1003727"/>
    <x v="1"/>
    <n v="16.77"/>
    <n v="17.02"/>
    <n v="52.35"/>
    <x v="4"/>
    <x v="0"/>
    <x v="1"/>
    <x v="1"/>
  </r>
  <r>
    <n v="1003743"/>
    <x v="1"/>
    <n v="13.7"/>
    <n v="13.79"/>
    <n v="47.6"/>
    <x v="3"/>
    <x v="0"/>
    <x v="1"/>
    <x v="1"/>
  </r>
  <r>
    <n v="1003755"/>
    <x v="1"/>
    <n v="26.87"/>
    <n v="27.25"/>
    <n v="19.95"/>
    <x v="9"/>
    <x v="0"/>
    <x v="1"/>
    <x v="1"/>
  </r>
  <r>
    <n v="1003759"/>
    <x v="1"/>
    <n v="13.71"/>
    <n v="14.24"/>
    <n v="40.35"/>
    <x v="3"/>
    <x v="0"/>
    <x v="1"/>
    <x v="1"/>
  </r>
  <r>
    <n v="1003761"/>
    <x v="1"/>
    <n v="15.44"/>
    <n v="15.68"/>
    <n v="111.65"/>
    <x v="6"/>
    <x v="0"/>
    <x v="1"/>
    <x v="1"/>
  </r>
  <r>
    <n v="1003764"/>
    <x v="1"/>
    <n v="13.7"/>
    <n v="13.79"/>
    <n v="38.75"/>
    <x v="3"/>
    <x v="0"/>
    <x v="1"/>
    <x v="1"/>
  </r>
  <r>
    <n v="1003785"/>
    <x v="1"/>
    <n v="15.44"/>
    <n v="15.67"/>
    <n v="32.65"/>
    <x v="6"/>
    <x v="0"/>
    <x v="1"/>
    <x v="1"/>
  </r>
  <r>
    <n v="1003792"/>
    <x v="1"/>
    <n v="16.559999999999999"/>
    <n v="12.65"/>
    <n v="11.95"/>
    <x v="4"/>
    <x v="0"/>
    <x v="0"/>
    <x v="6"/>
  </r>
  <r>
    <n v="1003846"/>
    <x v="1"/>
    <n v="12.81"/>
    <n v="12.89"/>
    <n v="39.9"/>
    <x v="3"/>
    <x v="0"/>
    <x v="1"/>
    <x v="1"/>
  </r>
  <r>
    <n v="1003872"/>
    <x v="1"/>
    <n v="12.81"/>
    <n v="12.89"/>
    <n v="29.95"/>
    <x v="3"/>
    <x v="0"/>
    <x v="1"/>
    <x v="1"/>
  </r>
  <r>
    <n v="1003877"/>
    <x v="1"/>
    <n v="12.81"/>
    <n v="12.89"/>
    <n v="47.95"/>
    <x v="3"/>
    <x v="0"/>
    <x v="1"/>
    <x v="1"/>
  </r>
  <r>
    <n v="1003878"/>
    <x v="1"/>
    <n v="12.81"/>
    <n v="12.89"/>
    <n v="133.9"/>
    <x v="3"/>
    <x v="0"/>
    <x v="1"/>
    <x v="1"/>
  </r>
  <r>
    <n v="1003888"/>
    <x v="1"/>
    <n v="12.81"/>
    <n v="12.89"/>
    <n v="46.75"/>
    <x v="3"/>
    <x v="0"/>
    <x v="1"/>
    <x v="1"/>
  </r>
  <r>
    <n v="1003892"/>
    <x v="1"/>
    <n v="9.6999999999999993"/>
    <n v="0"/>
    <n v="210.4"/>
    <x v="0"/>
    <x v="1"/>
    <x v="2"/>
    <x v="1"/>
  </r>
  <r>
    <n v="1003893"/>
    <x v="1"/>
    <n v="13.7"/>
    <n v="13.78"/>
    <n v="9.9499999999999993"/>
    <x v="3"/>
    <x v="0"/>
    <x v="1"/>
    <x v="1"/>
  </r>
  <r>
    <n v="1003923"/>
    <x v="1"/>
    <n v="12.81"/>
    <n v="12.89"/>
    <n v="30.1"/>
    <x v="3"/>
    <x v="0"/>
    <x v="1"/>
    <x v="1"/>
  </r>
  <r>
    <n v="1003940"/>
    <x v="1"/>
    <n v="22.41"/>
    <n v="24.92"/>
    <n v="152.9"/>
    <x v="10"/>
    <x v="0"/>
    <x v="1"/>
    <x v="1"/>
  </r>
  <r>
    <n v="1003942"/>
    <x v="1"/>
    <n v="13.7"/>
    <n v="13.78"/>
    <n v="96.35"/>
    <x v="3"/>
    <x v="0"/>
    <x v="1"/>
    <x v="1"/>
  </r>
  <r>
    <n v="1003961"/>
    <x v="1"/>
    <n v="12.81"/>
    <n v="0"/>
    <n v="239.2"/>
    <x v="3"/>
    <x v="1"/>
    <x v="2"/>
    <x v="1"/>
  </r>
  <r>
    <n v="1003964"/>
    <x v="1"/>
    <n v="9.6999999999999993"/>
    <n v="9.7799999999999994"/>
    <n v="39.950000000000003"/>
    <x v="0"/>
    <x v="0"/>
    <x v="1"/>
    <x v="1"/>
  </r>
  <r>
    <n v="1003970"/>
    <x v="1"/>
    <n v="23.33"/>
    <n v="23.66"/>
    <n v="48.85"/>
    <x v="9"/>
    <x v="0"/>
    <x v="1"/>
    <x v="1"/>
  </r>
  <r>
    <n v="1003993"/>
    <x v="1"/>
    <n v="15.44"/>
    <n v="15.68"/>
    <n v="108.25"/>
    <x v="6"/>
    <x v="0"/>
    <x v="1"/>
    <x v="1"/>
  </r>
  <r>
    <n v="1004007"/>
    <x v="1"/>
    <n v="13.71"/>
    <n v="13.78"/>
    <n v="50.7"/>
    <x v="3"/>
    <x v="0"/>
    <x v="1"/>
    <x v="1"/>
  </r>
  <r>
    <n v="1004015"/>
    <x v="1"/>
    <n v="13.7"/>
    <n v="13.78"/>
    <n v="34.65"/>
    <x v="3"/>
    <x v="0"/>
    <x v="1"/>
    <x v="1"/>
  </r>
  <r>
    <n v="1004025"/>
    <x v="1"/>
    <n v="16.87"/>
    <n v="17.13"/>
    <n v="102.95"/>
    <x v="4"/>
    <x v="0"/>
    <x v="1"/>
    <x v="1"/>
  </r>
  <r>
    <n v="1004028"/>
    <x v="1"/>
    <n v="13.7"/>
    <n v="0"/>
    <n v="232.9"/>
    <x v="3"/>
    <x v="1"/>
    <x v="2"/>
    <x v="1"/>
  </r>
  <r>
    <n v="1004030"/>
    <x v="1"/>
    <n v="14.94"/>
    <n v="0"/>
    <n v="339.85"/>
    <x v="3"/>
    <x v="1"/>
    <x v="2"/>
    <x v="1"/>
  </r>
  <r>
    <n v="1004037"/>
    <x v="1"/>
    <n v="13.7"/>
    <n v="13.79"/>
    <n v="44.6"/>
    <x v="3"/>
    <x v="0"/>
    <x v="1"/>
    <x v="1"/>
  </r>
  <r>
    <n v="1004066"/>
    <x v="1"/>
    <n v="15.13"/>
    <n v="15.36"/>
    <n v="47.65"/>
    <x v="6"/>
    <x v="0"/>
    <x v="1"/>
    <x v="1"/>
  </r>
  <r>
    <n v="1004072"/>
    <x v="1"/>
    <n v="13.7"/>
    <n v="13.78"/>
    <n v="117.6"/>
    <x v="3"/>
    <x v="0"/>
    <x v="1"/>
    <x v="1"/>
  </r>
  <r>
    <n v="1004082"/>
    <x v="1"/>
    <n v="16.559999999999999"/>
    <n v="16.82"/>
    <n v="3.9"/>
    <x v="4"/>
    <x v="0"/>
    <x v="1"/>
    <x v="1"/>
  </r>
  <r>
    <n v="1004113"/>
    <x v="1"/>
    <n v="18.16"/>
    <n v="18.63"/>
    <n v="64.05"/>
    <x v="8"/>
    <x v="0"/>
    <x v="1"/>
    <x v="1"/>
  </r>
  <r>
    <n v="1004137"/>
    <x v="1"/>
    <n v="12.81"/>
    <n v="14.28"/>
    <n v="99.95"/>
    <x v="3"/>
    <x v="0"/>
    <x v="1"/>
    <x v="1"/>
  </r>
  <r>
    <n v="1004165"/>
    <x v="1"/>
    <n v="12.81"/>
    <n v="12.86"/>
    <n v="18"/>
    <x v="3"/>
    <x v="0"/>
    <x v="1"/>
    <x v="1"/>
  </r>
  <r>
    <n v="1004180"/>
    <x v="1"/>
    <n v="13.7"/>
    <n v="13.75"/>
    <n v="41.85"/>
    <x v="3"/>
    <x v="0"/>
    <x v="1"/>
    <x v="1"/>
  </r>
  <r>
    <n v="1004186"/>
    <x v="1"/>
    <n v="15.44"/>
    <n v="16.5"/>
    <n v="29.5"/>
    <x v="6"/>
    <x v="0"/>
    <x v="1"/>
    <x v="1"/>
  </r>
  <r>
    <n v="1004189"/>
    <x v="1"/>
    <n v="12.81"/>
    <n v="12.86"/>
    <n v="52.45"/>
    <x v="3"/>
    <x v="0"/>
    <x v="1"/>
    <x v="1"/>
  </r>
  <r>
    <n v="1004257"/>
    <x v="1"/>
    <n v="12.81"/>
    <n v="12.86"/>
    <n v="24.95"/>
    <x v="3"/>
    <x v="0"/>
    <x v="1"/>
    <x v="1"/>
  </r>
  <r>
    <n v="1004260"/>
    <x v="1"/>
    <n v="12.81"/>
    <n v="12.86"/>
    <n v="74.900000000000006"/>
    <x v="3"/>
    <x v="0"/>
    <x v="1"/>
    <x v="1"/>
  </r>
  <r>
    <n v="1004261"/>
    <x v="1"/>
    <n v="15.13"/>
    <n v="15.18"/>
    <n v="164.95"/>
    <x v="6"/>
    <x v="0"/>
    <x v="1"/>
    <x v="1"/>
  </r>
  <r>
    <n v="1004273"/>
    <x v="1"/>
    <n v="12.81"/>
    <n v="12.86"/>
    <n v="10.5"/>
    <x v="3"/>
    <x v="0"/>
    <x v="1"/>
    <x v="1"/>
  </r>
  <r>
    <n v="1004277"/>
    <x v="1"/>
    <n v="86.23"/>
    <n v="86.28"/>
    <n v="944.95"/>
    <x v="5"/>
    <x v="0"/>
    <x v="1"/>
    <x v="1"/>
  </r>
  <r>
    <n v="1004314"/>
    <x v="1"/>
    <n v="16.77"/>
    <n v="16.82"/>
    <n v="23.85"/>
    <x v="4"/>
    <x v="0"/>
    <x v="1"/>
    <x v="1"/>
  </r>
  <r>
    <n v="1004332"/>
    <x v="1"/>
    <n v="12.81"/>
    <n v="12.86"/>
    <n v="21.9"/>
    <x v="3"/>
    <x v="0"/>
    <x v="1"/>
    <x v="1"/>
  </r>
  <r>
    <n v="1004333"/>
    <x v="1"/>
    <n v="12.35"/>
    <n v="12.4"/>
    <n v="52.55"/>
    <x v="7"/>
    <x v="0"/>
    <x v="1"/>
    <x v="1"/>
  </r>
  <r>
    <n v="1004355"/>
    <x v="1"/>
    <n v="11.02"/>
    <n v="11.07"/>
    <n v="59.8"/>
    <x v="8"/>
    <x v="0"/>
    <x v="1"/>
    <x v="1"/>
  </r>
  <r>
    <n v="1004359"/>
    <x v="1"/>
    <n v="9.6999999999999993"/>
    <n v="12.86"/>
    <n v="143.35"/>
    <x v="0"/>
    <x v="0"/>
    <x v="1"/>
    <x v="1"/>
  </r>
  <r>
    <n v="1004379"/>
    <x v="1"/>
    <n v="13.6"/>
    <n v="13.65"/>
    <n v="24.65"/>
    <x v="10"/>
    <x v="0"/>
    <x v="1"/>
    <x v="1"/>
  </r>
  <r>
    <n v="1004386"/>
    <x v="1"/>
    <n v="16.77"/>
    <n v="16.82"/>
    <n v="3.9"/>
    <x v="4"/>
    <x v="0"/>
    <x v="1"/>
    <x v="1"/>
  </r>
  <r>
    <n v="1004398"/>
    <x v="1"/>
    <n v="13.7"/>
    <n v="13.76"/>
    <n v="74.7"/>
    <x v="3"/>
    <x v="0"/>
    <x v="1"/>
    <x v="1"/>
  </r>
  <r>
    <n v="1004424"/>
    <x v="1"/>
    <n v="9.6999999999999993"/>
    <n v="9.75"/>
    <n v="21.8"/>
    <x v="0"/>
    <x v="0"/>
    <x v="1"/>
    <x v="1"/>
  </r>
  <r>
    <n v="1004441"/>
    <x v="1"/>
    <n v="11.03"/>
    <n v="11.08"/>
    <n v="45.85"/>
    <x v="8"/>
    <x v="0"/>
    <x v="1"/>
    <x v="1"/>
  </r>
  <r>
    <n v="1004478"/>
    <x v="1"/>
    <n v="71.73"/>
    <n v="75.53"/>
    <n v="233.45"/>
    <x v="5"/>
    <x v="0"/>
    <x v="1"/>
    <x v="1"/>
  </r>
  <r>
    <n v="1004487"/>
    <x v="1"/>
    <n v="14.04"/>
    <n v="14.09"/>
    <n v="49"/>
    <x v="10"/>
    <x v="0"/>
    <x v="1"/>
    <x v="1"/>
  </r>
  <r>
    <n v="1004490"/>
    <x v="1"/>
    <n v="15.44"/>
    <n v="15.49"/>
    <n v="29.8"/>
    <x v="6"/>
    <x v="0"/>
    <x v="1"/>
    <x v="1"/>
  </r>
  <r>
    <n v="1004492"/>
    <x v="1"/>
    <n v="13.73"/>
    <n v="18.2"/>
    <n v="169.9"/>
    <x v="7"/>
    <x v="0"/>
    <x v="1"/>
    <x v="1"/>
  </r>
  <r>
    <n v="1004493"/>
    <x v="1"/>
    <n v="12.81"/>
    <n v="12.86"/>
    <n v="9.9499999999999993"/>
    <x v="3"/>
    <x v="0"/>
    <x v="1"/>
    <x v="1"/>
  </r>
  <r>
    <n v="1004508"/>
    <x v="1"/>
    <n v="12.81"/>
    <n v="12.86"/>
    <n v="9.8000000000000007"/>
    <x v="3"/>
    <x v="0"/>
    <x v="1"/>
    <x v="1"/>
  </r>
  <r>
    <n v="1004521"/>
    <x v="1"/>
    <n v="12.81"/>
    <n v="12.86"/>
    <n v="36.450000000000003"/>
    <x v="3"/>
    <x v="0"/>
    <x v="1"/>
    <x v="1"/>
  </r>
  <r>
    <n v="1004528"/>
    <x v="1"/>
    <n v="13.7"/>
    <n v="13.75"/>
    <n v="39.950000000000003"/>
    <x v="3"/>
    <x v="0"/>
    <x v="1"/>
    <x v="1"/>
  </r>
  <r>
    <n v="1004547"/>
    <x v="1"/>
    <n v="9.6999999999999993"/>
    <n v="9.75"/>
    <n v="38.85"/>
    <x v="0"/>
    <x v="0"/>
    <x v="1"/>
    <x v="1"/>
  </r>
  <r>
    <n v="1004558"/>
    <x v="1"/>
    <n v="12.81"/>
    <n v="12.86"/>
    <n v="6.95"/>
    <x v="3"/>
    <x v="0"/>
    <x v="1"/>
    <x v="1"/>
  </r>
  <r>
    <n v="1004596"/>
    <x v="1"/>
    <n v="12.81"/>
    <n v="12.86"/>
    <n v="14.95"/>
    <x v="3"/>
    <x v="0"/>
    <x v="1"/>
    <x v="1"/>
  </r>
  <r>
    <n v="1004627"/>
    <x v="1"/>
    <n v="12.81"/>
    <n v="12.86"/>
    <n v="77.75"/>
    <x v="3"/>
    <x v="0"/>
    <x v="1"/>
    <x v="1"/>
  </r>
  <r>
    <n v="1004632"/>
    <x v="1"/>
    <n v="12.81"/>
    <n v="12.86"/>
    <n v="17.5"/>
    <x v="3"/>
    <x v="0"/>
    <x v="1"/>
    <x v="1"/>
  </r>
  <r>
    <n v="1004634"/>
    <x v="1"/>
    <n v="9.6999999999999993"/>
    <n v="9.75"/>
    <n v="49.9"/>
    <x v="0"/>
    <x v="0"/>
    <x v="1"/>
    <x v="1"/>
  </r>
  <r>
    <n v="1004642"/>
    <x v="1"/>
    <n v="13.7"/>
    <n v="13.75"/>
    <n v="7.5"/>
    <x v="3"/>
    <x v="0"/>
    <x v="1"/>
    <x v="1"/>
  </r>
  <r>
    <n v="1004672"/>
    <x v="1"/>
    <n v="13.73"/>
    <n v="13.78"/>
    <n v="94.95"/>
    <x v="7"/>
    <x v="0"/>
    <x v="1"/>
    <x v="1"/>
  </r>
  <r>
    <n v="1004690"/>
    <x v="1"/>
    <n v="13.7"/>
    <n v="13.79"/>
    <n v="29.9"/>
    <x v="3"/>
    <x v="0"/>
    <x v="1"/>
    <x v="1"/>
  </r>
  <r>
    <n v="1004692"/>
    <x v="1"/>
    <n v="24.78"/>
    <n v="29.84"/>
    <n v="64.08"/>
    <x v="10"/>
    <x v="0"/>
    <x v="1"/>
    <x v="1"/>
  </r>
  <r>
    <n v="1004712"/>
    <x v="1"/>
    <n v="9.6999999999999993"/>
    <n v="12.86"/>
    <n v="12.5"/>
    <x v="0"/>
    <x v="0"/>
    <x v="1"/>
    <x v="1"/>
  </r>
  <r>
    <n v="1004713"/>
    <x v="1"/>
    <n v="13.7"/>
    <n v="13.75"/>
    <n v="22.9"/>
    <x v="3"/>
    <x v="0"/>
    <x v="1"/>
    <x v="1"/>
  </r>
  <r>
    <n v="1004716"/>
    <x v="1"/>
    <n v="15.13"/>
    <n v="16.07"/>
    <n v="114.89"/>
    <x v="6"/>
    <x v="0"/>
    <x v="1"/>
    <x v="1"/>
  </r>
  <r>
    <n v="1004726"/>
    <x v="1"/>
    <n v="15.44"/>
    <n v="15.49"/>
    <n v="131.1"/>
    <x v="6"/>
    <x v="0"/>
    <x v="1"/>
    <x v="1"/>
  </r>
  <r>
    <n v="1004736"/>
    <x v="1"/>
    <n v="12.81"/>
    <n v="12.86"/>
    <n v="24.8"/>
    <x v="3"/>
    <x v="0"/>
    <x v="1"/>
    <x v="1"/>
  </r>
  <r>
    <n v="1004744"/>
    <x v="1"/>
    <n v="16.77"/>
    <n v="16.82"/>
    <n v="45"/>
    <x v="4"/>
    <x v="0"/>
    <x v="1"/>
    <x v="1"/>
  </r>
  <r>
    <n v="1004754"/>
    <x v="1"/>
    <n v="9.6999999999999993"/>
    <n v="9.75"/>
    <n v="59.7"/>
    <x v="0"/>
    <x v="0"/>
    <x v="1"/>
    <x v="1"/>
  </r>
  <r>
    <n v="1004799"/>
    <x v="1"/>
    <n v="13.7"/>
    <n v="13.75"/>
    <n v="7.5"/>
    <x v="3"/>
    <x v="0"/>
    <x v="1"/>
    <x v="1"/>
  </r>
  <r>
    <n v="1004802"/>
    <x v="1"/>
    <n v="13.7"/>
    <n v="13.75"/>
    <n v="47.45"/>
    <x v="3"/>
    <x v="0"/>
    <x v="1"/>
    <x v="1"/>
  </r>
  <r>
    <n v="1004813"/>
    <x v="1"/>
    <n v="22.7"/>
    <n v="13.76"/>
    <n v="13.65"/>
    <x v="0"/>
    <x v="0"/>
    <x v="0"/>
    <x v="7"/>
  </r>
  <r>
    <n v="1004832"/>
    <x v="1"/>
    <n v="13.7"/>
    <n v="13.75"/>
    <n v="43.55"/>
    <x v="3"/>
    <x v="0"/>
    <x v="1"/>
    <x v="1"/>
  </r>
  <r>
    <n v="1004835"/>
    <x v="1"/>
    <n v="12.81"/>
    <n v="0"/>
    <n v="453.7"/>
    <x v="3"/>
    <x v="1"/>
    <x v="2"/>
    <x v="1"/>
  </r>
  <r>
    <n v="1004838"/>
    <x v="1"/>
    <n v="12.35"/>
    <n v="12.4"/>
    <n v="4.95"/>
    <x v="7"/>
    <x v="0"/>
    <x v="1"/>
    <x v="1"/>
  </r>
  <r>
    <n v="1004843"/>
    <x v="1"/>
    <n v="26.79"/>
    <n v="26.84"/>
    <n v="29.95"/>
    <x v="4"/>
    <x v="0"/>
    <x v="1"/>
    <x v="1"/>
  </r>
  <r>
    <n v="1004898"/>
    <x v="1"/>
    <n v="13.71"/>
    <n v="13.75"/>
    <n v="44.85"/>
    <x v="3"/>
    <x v="0"/>
    <x v="1"/>
    <x v="1"/>
  </r>
  <r>
    <n v="1004939"/>
    <x v="1"/>
    <n v="12.81"/>
    <n v="12.86"/>
    <n v="52.35"/>
    <x v="3"/>
    <x v="0"/>
    <x v="1"/>
    <x v="1"/>
  </r>
  <r>
    <n v="1004943"/>
    <x v="1"/>
    <n v="18.68"/>
    <n v="0"/>
    <n v="730.72"/>
    <x v="3"/>
    <x v="1"/>
    <x v="2"/>
    <x v="1"/>
  </r>
  <r>
    <n v="1004972"/>
    <x v="1"/>
    <n v="12.45"/>
    <n v="16.61"/>
    <n v="9.9"/>
    <x v="7"/>
    <x v="0"/>
    <x v="1"/>
    <x v="1"/>
  </r>
  <r>
    <n v="1004976"/>
    <x v="1"/>
    <n v="12.73"/>
    <n v="14.29"/>
    <n v="173.85"/>
    <x v="7"/>
    <x v="0"/>
    <x v="1"/>
    <x v="1"/>
  </r>
  <r>
    <n v="1004977"/>
    <x v="1"/>
    <n v="16.77"/>
    <n v="16.82"/>
    <n v="93.7"/>
    <x v="4"/>
    <x v="0"/>
    <x v="1"/>
    <x v="1"/>
  </r>
  <r>
    <n v="1004982"/>
    <x v="1"/>
    <n v="16.38"/>
    <n v="0"/>
    <n v="724"/>
    <x v="0"/>
    <x v="1"/>
    <x v="2"/>
    <x v="1"/>
  </r>
  <r>
    <n v="1004985"/>
    <x v="1"/>
    <n v="9.6999999999999993"/>
    <n v="9.75"/>
    <n v="19.899999999999999"/>
    <x v="0"/>
    <x v="0"/>
    <x v="1"/>
    <x v="1"/>
  </r>
  <r>
    <n v="1004997"/>
    <x v="1"/>
    <n v="9.7100000000000009"/>
    <n v="0"/>
    <n v="199.75"/>
    <x v="0"/>
    <x v="0"/>
    <x v="0"/>
    <x v="0"/>
  </r>
  <r>
    <n v="1005018"/>
    <x v="1"/>
    <n v="15.13"/>
    <n v="15.77"/>
    <n v="101.25"/>
    <x v="6"/>
    <x v="0"/>
    <x v="1"/>
    <x v="1"/>
  </r>
  <r>
    <n v="1005085"/>
    <x v="1"/>
    <n v="12.35"/>
    <n v="12.4"/>
    <n v="48.2"/>
    <x v="7"/>
    <x v="0"/>
    <x v="1"/>
    <x v="1"/>
  </r>
  <r>
    <n v="1005093"/>
    <x v="1"/>
    <n v="10.65"/>
    <n v="0"/>
    <n v="208.95"/>
    <x v="0"/>
    <x v="1"/>
    <x v="2"/>
    <x v="1"/>
  </r>
  <r>
    <n v="1005094"/>
    <x v="1"/>
    <n v="15.44"/>
    <n v="15.5"/>
    <n v="35.9"/>
    <x v="6"/>
    <x v="0"/>
    <x v="1"/>
    <x v="1"/>
  </r>
  <r>
    <n v="1005102"/>
    <x v="1"/>
    <n v="12.81"/>
    <n v="12.86"/>
    <n v="6.5"/>
    <x v="3"/>
    <x v="0"/>
    <x v="1"/>
    <x v="1"/>
  </r>
  <r>
    <n v="1005117"/>
    <x v="1"/>
    <n v="26.56"/>
    <n v="26.61"/>
    <n v="38.65"/>
    <x v="9"/>
    <x v="0"/>
    <x v="1"/>
    <x v="1"/>
  </r>
  <r>
    <n v="1005127"/>
    <x v="1"/>
    <n v="15.44"/>
    <n v="15.49"/>
    <n v="54.55"/>
    <x v="6"/>
    <x v="0"/>
    <x v="1"/>
    <x v="1"/>
  </r>
  <r>
    <n v="1005142"/>
    <x v="1"/>
    <n v="12.81"/>
    <n v="12.86"/>
    <n v="24.45"/>
    <x v="3"/>
    <x v="0"/>
    <x v="1"/>
    <x v="1"/>
  </r>
  <r>
    <n v="1005154"/>
    <x v="1"/>
    <n v="12.81"/>
    <n v="12.86"/>
    <n v="84.5"/>
    <x v="3"/>
    <x v="0"/>
    <x v="1"/>
    <x v="1"/>
  </r>
  <r>
    <n v="1005156"/>
    <x v="1"/>
    <n v="13.7"/>
    <n v="13.75"/>
    <n v="17.600000000000001"/>
    <x v="3"/>
    <x v="0"/>
    <x v="1"/>
    <x v="1"/>
  </r>
  <r>
    <n v="1005157"/>
    <x v="1"/>
    <n v="22.41"/>
    <n v="22.46"/>
    <n v="119.8"/>
    <x v="10"/>
    <x v="0"/>
    <x v="1"/>
    <x v="1"/>
  </r>
  <r>
    <n v="1005165"/>
    <x v="1"/>
    <n v="9.6999999999999993"/>
    <n v="9.7899999999999991"/>
    <n v="78.95"/>
    <x v="0"/>
    <x v="0"/>
    <x v="1"/>
    <x v="1"/>
  </r>
  <r>
    <n v="1005177"/>
    <x v="1"/>
    <n v="22.41"/>
    <n v="22.46"/>
    <n v="46.75"/>
    <x v="10"/>
    <x v="0"/>
    <x v="1"/>
    <x v="1"/>
  </r>
  <r>
    <n v="1005187"/>
    <x v="1"/>
    <n v="9.6999999999999993"/>
    <n v="9.75"/>
    <n v="9.9499999999999993"/>
    <x v="0"/>
    <x v="0"/>
    <x v="1"/>
    <x v="1"/>
  </r>
  <r>
    <n v="1005192"/>
    <x v="1"/>
    <n v="12.81"/>
    <n v="0"/>
    <n v="298.55"/>
    <x v="3"/>
    <x v="1"/>
    <x v="2"/>
    <x v="1"/>
  </r>
  <r>
    <n v="1005199"/>
    <x v="1"/>
    <n v="15.14"/>
    <n v="16.190000000000001"/>
    <n v="98"/>
    <x v="6"/>
    <x v="0"/>
    <x v="1"/>
    <x v="1"/>
  </r>
  <r>
    <n v="1005226"/>
    <x v="1"/>
    <n v="12.81"/>
    <n v="12.86"/>
    <n v="41.6"/>
    <x v="3"/>
    <x v="0"/>
    <x v="1"/>
    <x v="1"/>
  </r>
  <r>
    <n v="1005230"/>
    <x v="1"/>
    <n v="12.81"/>
    <n v="12.86"/>
    <n v="53.65"/>
    <x v="3"/>
    <x v="0"/>
    <x v="1"/>
    <x v="1"/>
  </r>
  <r>
    <n v="1005243"/>
    <x v="1"/>
    <n v="16.989999999999998"/>
    <n v="13.31"/>
    <n v="85"/>
    <x v="0"/>
    <x v="0"/>
    <x v="0"/>
    <x v="8"/>
  </r>
  <r>
    <n v="1005260"/>
    <x v="1"/>
    <n v="13.73"/>
    <n v="15.55"/>
    <n v="142.44999999999999"/>
    <x v="7"/>
    <x v="0"/>
    <x v="1"/>
    <x v="1"/>
  </r>
  <r>
    <n v="1005268"/>
    <x v="1"/>
    <n v="13.7"/>
    <n v="13.75"/>
    <n v="48.8"/>
    <x v="3"/>
    <x v="0"/>
    <x v="1"/>
    <x v="1"/>
  </r>
  <r>
    <n v="1005306"/>
    <x v="1"/>
    <n v="13.7"/>
    <n v="15.17"/>
    <n v="75"/>
    <x v="3"/>
    <x v="0"/>
    <x v="1"/>
    <x v="1"/>
  </r>
  <r>
    <n v="1005366"/>
    <x v="1"/>
    <n v="9.7100000000000009"/>
    <n v="0"/>
    <n v="424.65"/>
    <x v="0"/>
    <x v="1"/>
    <x v="2"/>
    <x v="1"/>
  </r>
  <r>
    <n v="1005402"/>
    <x v="1"/>
    <n v="15.44"/>
    <n v="15.49"/>
    <n v="126.75"/>
    <x v="6"/>
    <x v="0"/>
    <x v="1"/>
    <x v="1"/>
  </r>
  <r>
    <n v="1005413"/>
    <x v="1"/>
    <n v="11.02"/>
    <n v="11.07"/>
    <n v="6.95"/>
    <x v="8"/>
    <x v="0"/>
    <x v="1"/>
    <x v="1"/>
  </r>
  <r>
    <n v="1005438"/>
    <x v="1"/>
    <n v="12.81"/>
    <n v="12.86"/>
    <n v="69.7"/>
    <x v="3"/>
    <x v="0"/>
    <x v="1"/>
    <x v="1"/>
  </r>
  <r>
    <n v="1005453"/>
    <x v="1"/>
    <n v="12.81"/>
    <n v="12.86"/>
    <n v="91.7"/>
    <x v="3"/>
    <x v="0"/>
    <x v="1"/>
    <x v="1"/>
  </r>
  <r>
    <n v="1005454"/>
    <x v="1"/>
    <n v="15.66"/>
    <n v="0"/>
    <n v="578.1"/>
    <x v="3"/>
    <x v="1"/>
    <x v="2"/>
    <x v="1"/>
  </r>
  <r>
    <n v="1005476"/>
    <x v="1"/>
    <n v="12.81"/>
    <n v="12.86"/>
    <n v="26.2"/>
    <x v="3"/>
    <x v="0"/>
    <x v="1"/>
    <x v="1"/>
  </r>
  <r>
    <n v="1005480"/>
    <x v="1"/>
    <n v="9.7100000000000009"/>
    <n v="13.75"/>
    <n v="39"/>
    <x v="0"/>
    <x v="0"/>
    <x v="1"/>
    <x v="1"/>
  </r>
  <r>
    <n v="1005484"/>
    <x v="1"/>
    <n v="12.81"/>
    <n v="12.86"/>
    <n v="98.4"/>
    <x v="3"/>
    <x v="0"/>
    <x v="1"/>
    <x v="1"/>
  </r>
  <r>
    <n v="1005488"/>
    <x v="1"/>
    <n v="9.6999999999999993"/>
    <n v="9.76"/>
    <n v="53.6"/>
    <x v="0"/>
    <x v="0"/>
    <x v="1"/>
    <x v="1"/>
  </r>
  <r>
    <n v="1005490"/>
    <x v="1"/>
    <n v="13.7"/>
    <n v="13.75"/>
    <n v="125.9"/>
    <x v="3"/>
    <x v="0"/>
    <x v="1"/>
    <x v="1"/>
  </r>
  <r>
    <n v="1005492"/>
    <x v="1"/>
    <n v="12.81"/>
    <n v="12.86"/>
    <n v="79.900000000000006"/>
    <x v="3"/>
    <x v="0"/>
    <x v="1"/>
    <x v="1"/>
  </r>
  <r>
    <n v="1005532"/>
    <x v="1"/>
    <n v="18.010000000000002"/>
    <n v="18.059999999999999"/>
    <n v="3"/>
    <x v="9"/>
    <x v="0"/>
    <x v="1"/>
    <x v="1"/>
  </r>
  <r>
    <n v="1005551"/>
    <x v="1"/>
    <n v="12.73"/>
    <n v="16.12"/>
    <n v="149.44999999999999"/>
    <x v="7"/>
    <x v="0"/>
    <x v="1"/>
    <x v="1"/>
  </r>
  <r>
    <n v="1005558"/>
    <x v="1"/>
    <n v="12.81"/>
    <n v="12.86"/>
    <n v="183.95"/>
    <x v="3"/>
    <x v="0"/>
    <x v="1"/>
    <x v="1"/>
  </r>
  <r>
    <n v="1005572"/>
    <x v="1"/>
    <n v="12.81"/>
    <n v="12.86"/>
    <n v="34.950000000000003"/>
    <x v="3"/>
    <x v="0"/>
    <x v="1"/>
    <x v="1"/>
  </r>
  <r>
    <n v="1005598"/>
    <x v="1"/>
    <n v="13.7"/>
    <n v="13.76"/>
    <n v="95.75"/>
    <x v="3"/>
    <x v="0"/>
    <x v="1"/>
    <x v="1"/>
  </r>
  <r>
    <n v="1005602"/>
    <x v="1"/>
    <n v="12.81"/>
    <n v="12.86"/>
    <n v="182.4"/>
    <x v="3"/>
    <x v="0"/>
    <x v="1"/>
    <x v="1"/>
  </r>
  <r>
    <n v="1005605"/>
    <x v="1"/>
    <n v="13.7"/>
    <n v="13.75"/>
    <n v="34.75"/>
    <x v="3"/>
    <x v="0"/>
    <x v="1"/>
    <x v="1"/>
  </r>
  <r>
    <n v="1005616"/>
    <x v="1"/>
    <n v="9.6999999999999993"/>
    <n v="9.75"/>
    <n v="137.80000000000001"/>
    <x v="0"/>
    <x v="0"/>
    <x v="1"/>
    <x v="1"/>
  </r>
  <r>
    <n v="1005620"/>
    <x v="1"/>
    <n v="9.6999999999999993"/>
    <n v="12.86"/>
    <n v="29.95"/>
    <x v="0"/>
    <x v="0"/>
    <x v="1"/>
    <x v="1"/>
  </r>
  <r>
    <n v="1005639"/>
    <x v="1"/>
    <n v="13.7"/>
    <n v="13.75"/>
    <n v="29.95"/>
    <x v="3"/>
    <x v="0"/>
    <x v="1"/>
    <x v="1"/>
  </r>
  <r>
    <n v="1005648"/>
    <x v="1"/>
    <n v="18.72"/>
    <n v="20.5"/>
    <n v="123"/>
    <x v="4"/>
    <x v="0"/>
    <x v="1"/>
    <x v="1"/>
  </r>
  <r>
    <n v="1005655"/>
    <x v="1"/>
    <n v="9.6999999999999993"/>
    <n v="9.75"/>
    <n v="23.7"/>
    <x v="0"/>
    <x v="0"/>
    <x v="1"/>
    <x v="1"/>
  </r>
  <r>
    <n v="1005717"/>
    <x v="1"/>
    <n v="9.6999999999999993"/>
    <n v="0"/>
    <n v="498.9"/>
    <x v="0"/>
    <x v="1"/>
    <x v="2"/>
    <x v="1"/>
  </r>
  <r>
    <n v="1005718"/>
    <x v="1"/>
    <n v="16.77"/>
    <n v="16.82"/>
    <n v="189.5"/>
    <x v="4"/>
    <x v="0"/>
    <x v="1"/>
    <x v="1"/>
  </r>
  <r>
    <n v="1005730"/>
    <x v="1"/>
    <n v="16.46"/>
    <n v="16.510000000000002"/>
    <n v="99.68"/>
    <x v="4"/>
    <x v="0"/>
    <x v="1"/>
    <x v="1"/>
  </r>
  <r>
    <n v="1005741"/>
    <x v="1"/>
    <n v="12.55"/>
    <n v="0"/>
    <n v="926.56"/>
    <x v="0"/>
    <x v="1"/>
    <x v="2"/>
    <x v="1"/>
  </r>
  <r>
    <n v="1005742"/>
    <x v="1"/>
    <n v="12.81"/>
    <n v="12.86"/>
    <n v="114.95"/>
    <x v="3"/>
    <x v="0"/>
    <x v="1"/>
    <x v="1"/>
  </r>
  <r>
    <n v="1005746"/>
    <x v="1"/>
    <n v="9.6999999999999993"/>
    <n v="9.75"/>
    <n v="119.95"/>
    <x v="0"/>
    <x v="0"/>
    <x v="1"/>
    <x v="1"/>
  </r>
  <r>
    <n v="1005747"/>
    <x v="1"/>
    <n v="16.46"/>
    <n v="16.510000000000002"/>
    <n v="203.4"/>
    <x v="4"/>
    <x v="0"/>
    <x v="1"/>
    <x v="1"/>
  </r>
  <r>
    <n v="1005777"/>
    <x v="1"/>
    <n v="9.6999999999999993"/>
    <n v="9.75"/>
    <n v="102.9"/>
    <x v="0"/>
    <x v="0"/>
    <x v="1"/>
    <x v="1"/>
  </r>
  <r>
    <n v="1005799"/>
    <x v="1"/>
    <n v="19.22"/>
    <n v="19.27"/>
    <n v="102.05"/>
    <x v="10"/>
    <x v="0"/>
    <x v="1"/>
    <x v="1"/>
  </r>
  <r>
    <n v="1005817"/>
    <x v="1"/>
    <n v="17.149999999999999"/>
    <n v="17.2"/>
    <n v="34.99"/>
    <x v="4"/>
    <x v="0"/>
    <x v="1"/>
    <x v="1"/>
  </r>
  <r>
    <n v="1005829"/>
    <x v="1"/>
    <n v="16.559999999999999"/>
    <n v="20.2"/>
    <n v="89.7"/>
    <x v="4"/>
    <x v="0"/>
    <x v="1"/>
    <x v="1"/>
  </r>
  <r>
    <n v="1005834"/>
    <x v="1"/>
    <n v="9.7100000000000009"/>
    <n v="0"/>
    <n v="210"/>
    <x v="0"/>
    <x v="1"/>
    <x v="2"/>
    <x v="1"/>
  </r>
  <r>
    <n v="1005838"/>
    <x v="1"/>
    <n v="14.04"/>
    <n v="14.09"/>
    <n v="33.35"/>
    <x v="10"/>
    <x v="0"/>
    <x v="1"/>
    <x v="1"/>
  </r>
  <r>
    <n v="1005850"/>
    <x v="1"/>
    <n v="13.7"/>
    <n v="13.75"/>
    <n v="5.95"/>
    <x v="3"/>
    <x v="0"/>
    <x v="1"/>
    <x v="1"/>
  </r>
  <r>
    <n v="1005856"/>
    <x v="1"/>
    <n v="15.44"/>
    <n v="15.5"/>
    <n v="18.45"/>
    <x v="6"/>
    <x v="0"/>
    <x v="1"/>
    <x v="1"/>
  </r>
  <r>
    <n v="1005859"/>
    <x v="1"/>
    <n v="16.87"/>
    <n v="16.920000000000002"/>
    <n v="18.45"/>
    <x v="4"/>
    <x v="0"/>
    <x v="1"/>
    <x v="1"/>
  </r>
  <r>
    <n v="1005927"/>
    <x v="1"/>
    <n v="12.73"/>
    <n v="12.78"/>
    <n v="75.8"/>
    <x v="7"/>
    <x v="0"/>
    <x v="1"/>
    <x v="1"/>
  </r>
  <r>
    <n v="1005951"/>
    <x v="1"/>
    <n v="9.6999999999999993"/>
    <n v="0"/>
    <n v="267.8"/>
    <x v="0"/>
    <x v="1"/>
    <x v="2"/>
    <x v="1"/>
  </r>
  <r>
    <n v="1005988"/>
    <x v="1"/>
    <n v="12.85"/>
    <n v="0"/>
    <n v="1447.2"/>
    <x v="0"/>
    <x v="1"/>
    <x v="2"/>
    <x v="1"/>
  </r>
  <r>
    <n v="1006014"/>
    <x v="1"/>
    <n v="10.26"/>
    <n v="0"/>
    <n v="308.75"/>
    <x v="0"/>
    <x v="1"/>
    <x v="2"/>
    <x v="1"/>
  </r>
  <r>
    <n v="1006026"/>
    <x v="1"/>
    <n v="9.6999999999999993"/>
    <n v="0"/>
    <n v="172.74"/>
    <x v="0"/>
    <x v="0"/>
    <x v="0"/>
    <x v="9"/>
  </r>
  <r>
    <n v="1006052"/>
    <x v="1"/>
    <n v="12.81"/>
    <n v="0"/>
    <n v="253.85"/>
    <x v="3"/>
    <x v="1"/>
    <x v="2"/>
    <x v="1"/>
  </r>
  <r>
    <n v="1006061"/>
    <x v="1"/>
    <n v="12.81"/>
    <n v="12.86"/>
    <n v="65.8"/>
    <x v="3"/>
    <x v="0"/>
    <x v="1"/>
    <x v="1"/>
  </r>
  <r>
    <n v="1006086"/>
    <x v="1"/>
    <n v="12.81"/>
    <n v="12.86"/>
    <n v="162.5"/>
    <x v="3"/>
    <x v="0"/>
    <x v="1"/>
    <x v="1"/>
  </r>
  <r>
    <n v="1006092"/>
    <x v="1"/>
    <n v="13.32"/>
    <n v="13.37"/>
    <n v="114.1"/>
    <x v="3"/>
    <x v="0"/>
    <x v="1"/>
    <x v="1"/>
  </r>
  <r>
    <n v="1006119"/>
    <x v="1"/>
    <n v="12.81"/>
    <n v="12.86"/>
    <n v="39.950000000000003"/>
    <x v="3"/>
    <x v="0"/>
    <x v="1"/>
    <x v="1"/>
  </r>
  <r>
    <n v="1006129"/>
    <x v="1"/>
    <n v="14.31"/>
    <n v="27.8"/>
    <n v="184.55"/>
    <x v="7"/>
    <x v="0"/>
    <x v="1"/>
    <x v="1"/>
  </r>
  <r>
    <n v="1006164"/>
    <x v="1"/>
    <n v="16.46"/>
    <n v="16.510000000000002"/>
    <n v="107.5"/>
    <x v="4"/>
    <x v="0"/>
    <x v="1"/>
    <x v="1"/>
  </r>
  <r>
    <n v="1006173"/>
    <x v="1"/>
    <n v="14.1"/>
    <n v="0"/>
    <n v="346"/>
    <x v="3"/>
    <x v="1"/>
    <x v="2"/>
    <x v="1"/>
  </r>
  <r>
    <n v="1006179"/>
    <x v="1"/>
    <n v="14.12"/>
    <n v="14.42"/>
    <n v="100"/>
    <x v="10"/>
    <x v="0"/>
    <x v="1"/>
    <x v="1"/>
  </r>
  <r>
    <n v="1006191"/>
    <x v="1"/>
    <n v="14.13"/>
    <n v="13.65"/>
    <n v="44.95"/>
    <x v="10"/>
    <x v="0"/>
    <x v="0"/>
    <x v="10"/>
  </r>
  <r>
    <n v="1006200"/>
    <x v="1"/>
    <n v="13.7"/>
    <n v="13.75"/>
    <n v="70.7"/>
    <x v="3"/>
    <x v="0"/>
    <x v="1"/>
    <x v="1"/>
  </r>
  <r>
    <n v="1006222"/>
    <x v="1"/>
    <n v="16.46"/>
    <n v="16.510000000000002"/>
    <n v="96.65"/>
    <x v="4"/>
    <x v="0"/>
    <x v="1"/>
    <x v="1"/>
  </r>
  <r>
    <n v="1006231"/>
    <x v="1"/>
    <n v="12.81"/>
    <n v="12.86"/>
    <n v="142.75"/>
    <x v="3"/>
    <x v="0"/>
    <x v="1"/>
    <x v="1"/>
  </r>
  <r>
    <n v="1006234"/>
    <x v="1"/>
    <n v="15.44"/>
    <n v="15.49"/>
    <n v="27"/>
    <x v="6"/>
    <x v="0"/>
    <x v="1"/>
    <x v="1"/>
  </r>
  <r>
    <n v="1006238"/>
    <x v="1"/>
    <n v="12.81"/>
    <n v="12.86"/>
    <n v="16.850000000000001"/>
    <x v="3"/>
    <x v="0"/>
    <x v="1"/>
    <x v="1"/>
  </r>
  <r>
    <n v="1006253"/>
    <x v="1"/>
    <n v="23.33"/>
    <n v="23.38"/>
    <n v="79.900000000000006"/>
    <x v="9"/>
    <x v="0"/>
    <x v="1"/>
    <x v="1"/>
  </r>
  <r>
    <n v="1006268"/>
    <x v="1"/>
    <n v="12.81"/>
    <n v="12.86"/>
    <n v="78.45"/>
    <x v="3"/>
    <x v="0"/>
    <x v="1"/>
    <x v="1"/>
  </r>
  <r>
    <n v="1006322"/>
    <x v="1"/>
    <n v="23.14"/>
    <n v="25.04"/>
    <n v="232.7"/>
    <x v="4"/>
    <x v="0"/>
    <x v="1"/>
    <x v="1"/>
  </r>
  <r>
    <n v="1006327"/>
    <x v="1"/>
    <n v="12.35"/>
    <n v="12.4"/>
    <n v="65.45"/>
    <x v="7"/>
    <x v="0"/>
    <x v="1"/>
    <x v="1"/>
  </r>
  <r>
    <n v="1006349"/>
    <x v="1"/>
    <n v="13.7"/>
    <n v="13.75"/>
    <n v="11.85"/>
    <x v="3"/>
    <x v="0"/>
    <x v="1"/>
    <x v="1"/>
  </r>
  <r>
    <n v="1006373"/>
    <x v="1"/>
    <n v="60.29"/>
    <n v="60.34"/>
    <n v="866.3"/>
    <x v="2"/>
    <x v="0"/>
    <x v="1"/>
    <x v="1"/>
  </r>
  <r>
    <n v="1006375"/>
    <x v="1"/>
    <n v="12.81"/>
    <n v="0"/>
    <n v="269.39999999999998"/>
    <x v="3"/>
    <x v="1"/>
    <x v="2"/>
    <x v="1"/>
  </r>
  <r>
    <n v="1006380"/>
    <x v="1"/>
    <n v="13.71"/>
    <n v="13.75"/>
    <n v="73.349999999999994"/>
    <x v="3"/>
    <x v="0"/>
    <x v="1"/>
    <x v="1"/>
  </r>
  <r>
    <n v="1006399"/>
    <x v="1"/>
    <n v="13.7"/>
    <n v="13.75"/>
    <n v="69.8"/>
    <x v="3"/>
    <x v="0"/>
    <x v="1"/>
    <x v="1"/>
  </r>
  <r>
    <n v="1006458"/>
    <x v="1"/>
    <n v="16.77"/>
    <n v="16.82"/>
    <n v="50.4"/>
    <x v="4"/>
    <x v="0"/>
    <x v="1"/>
    <x v="1"/>
  </r>
  <r>
    <n v="1006463"/>
    <x v="1"/>
    <n v="71.73"/>
    <n v="71.78"/>
    <n v="167.75"/>
    <x v="5"/>
    <x v="0"/>
    <x v="1"/>
    <x v="1"/>
  </r>
  <r>
    <n v="1006471"/>
    <x v="1"/>
    <n v="9.6999999999999993"/>
    <n v="9.75"/>
    <n v="6.5"/>
    <x v="0"/>
    <x v="0"/>
    <x v="1"/>
    <x v="1"/>
  </r>
  <r>
    <n v="1006474"/>
    <x v="1"/>
    <n v="65.349999999999994"/>
    <n v="65.400000000000006"/>
    <n v="39.950000000000003"/>
    <x v="11"/>
    <x v="0"/>
    <x v="1"/>
    <x v="1"/>
  </r>
  <r>
    <n v="1006484"/>
    <x v="1"/>
    <n v="12.81"/>
    <n v="12.86"/>
    <n v="68.599999999999994"/>
    <x v="3"/>
    <x v="0"/>
    <x v="1"/>
    <x v="1"/>
  </r>
  <r>
    <n v="1006488"/>
    <x v="1"/>
    <n v="16.46"/>
    <n v="16.97"/>
    <n v="126.1"/>
    <x v="4"/>
    <x v="0"/>
    <x v="1"/>
    <x v="1"/>
  </r>
  <r>
    <n v="1006499"/>
    <x v="1"/>
    <n v="9.6999999999999993"/>
    <n v="9.75"/>
    <n v="21.9"/>
    <x v="0"/>
    <x v="0"/>
    <x v="1"/>
    <x v="1"/>
  </r>
  <r>
    <n v="1006505"/>
    <x v="1"/>
    <n v="13.6"/>
    <n v="13.65"/>
    <n v="469.45"/>
    <x v="10"/>
    <x v="0"/>
    <x v="1"/>
    <x v="1"/>
  </r>
  <r>
    <n v="1006536"/>
    <x v="1"/>
    <n v="22.7"/>
    <n v="9.7799999999999994"/>
    <n v="79.900000000000006"/>
    <x v="0"/>
    <x v="0"/>
    <x v="0"/>
    <x v="11"/>
  </r>
  <r>
    <n v="1006540"/>
    <x v="1"/>
    <n v="13.7"/>
    <n v="13.75"/>
    <n v="16.399999999999999"/>
    <x v="3"/>
    <x v="0"/>
    <x v="1"/>
    <x v="1"/>
  </r>
  <r>
    <n v="1006550"/>
    <x v="1"/>
    <n v="12.81"/>
    <n v="12.86"/>
    <n v="69.849999999999994"/>
    <x v="3"/>
    <x v="0"/>
    <x v="1"/>
    <x v="1"/>
  </r>
  <r>
    <n v="1006552"/>
    <x v="1"/>
    <n v="9.6999999999999993"/>
    <n v="12.86"/>
    <n v="27.9"/>
    <x v="0"/>
    <x v="0"/>
    <x v="1"/>
    <x v="1"/>
  </r>
  <r>
    <n v="1006568"/>
    <x v="1"/>
    <n v="12.81"/>
    <n v="12.86"/>
    <n v="20.85"/>
    <x v="3"/>
    <x v="0"/>
    <x v="1"/>
    <x v="1"/>
  </r>
  <r>
    <n v="1006600"/>
    <x v="1"/>
    <n v="67.459999999999994"/>
    <n v="67.510000000000005"/>
    <n v="115.3"/>
    <x v="2"/>
    <x v="0"/>
    <x v="1"/>
    <x v="1"/>
  </r>
  <r>
    <n v="1006619"/>
    <x v="1"/>
    <n v="36.630000000000003"/>
    <n v="15.18"/>
    <n v="17.5"/>
    <x v="6"/>
    <x v="0"/>
    <x v="0"/>
    <x v="12"/>
  </r>
  <r>
    <n v="1006621"/>
    <x v="1"/>
    <n v="13.7"/>
    <n v="13.75"/>
    <n v="21.5"/>
    <x v="3"/>
    <x v="0"/>
    <x v="1"/>
    <x v="1"/>
  </r>
  <r>
    <n v="1006626"/>
    <x v="1"/>
    <n v="13.7"/>
    <n v="13.75"/>
    <n v="51.9"/>
    <x v="3"/>
    <x v="0"/>
    <x v="1"/>
    <x v="1"/>
  </r>
  <r>
    <n v="1006644"/>
    <x v="1"/>
    <n v="15.44"/>
    <n v="16.760000000000002"/>
    <n v="29.3"/>
    <x v="6"/>
    <x v="0"/>
    <x v="1"/>
    <x v="1"/>
  </r>
  <r>
    <n v="1006645"/>
    <x v="1"/>
    <n v="12.81"/>
    <n v="12.86"/>
    <n v="47.9"/>
    <x v="3"/>
    <x v="0"/>
    <x v="1"/>
    <x v="1"/>
  </r>
  <r>
    <n v="1006668"/>
    <x v="1"/>
    <n v="12.81"/>
    <n v="12.86"/>
    <n v="8"/>
    <x v="3"/>
    <x v="0"/>
    <x v="1"/>
    <x v="1"/>
  </r>
  <r>
    <n v="1006681"/>
    <x v="1"/>
    <n v="9.6999999999999993"/>
    <n v="9.75"/>
    <n v="6.95"/>
    <x v="0"/>
    <x v="0"/>
    <x v="1"/>
    <x v="1"/>
  </r>
  <r>
    <n v="1006682"/>
    <x v="1"/>
    <n v="13.71"/>
    <n v="13.76"/>
    <n v="114.95"/>
    <x v="3"/>
    <x v="0"/>
    <x v="1"/>
    <x v="1"/>
  </r>
  <r>
    <n v="1006700"/>
    <x v="1"/>
    <n v="12.81"/>
    <n v="12.86"/>
    <n v="45.8"/>
    <x v="3"/>
    <x v="0"/>
    <x v="1"/>
    <x v="1"/>
  </r>
  <r>
    <n v="1006713"/>
    <x v="1"/>
    <n v="59.02"/>
    <n v="59.07"/>
    <n v="242.5"/>
    <x v="2"/>
    <x v="0"/>
    <x v="1"/>
    <x v="1"/>
  </r>
  <r>
    <n v="1006715"/>
    <x v="1"/>
    <n v="12.81"/>
    <n v="12.86"/>
    <n v="133.15"/>
    <x v="3"/>
    <x v="0"/>
    <x v="1"/>
    <x v="1"/>
  </r>
  <r>
    <n v="1006727"/>
    <x v="1"/>
    <n v="13.71"/>
    <n v="13.76"/>
    <n v="29.95"/>
    <x v="3"/>
    <x v="0"/>
    <x v="1"/>
    <x v="1"/>
  </r>
  <r>
    <n v="1006752"/>
    <x v="1"/>
    <n v="12.81"/>
    <n v="12.86"/>
    <n v="47.5"/>
    <x v="3"/>
    <x v="0"/>
    <x v="1"/>
    <x v="1"/>
  </r>
  <r>
    <n v="1006755"/>
    <x v="1"/>
    <n v="15.44"/>
    <n v="15.49"/>
    <n v="102.65"/>
    <x v="6"/>
    <x v="0"/>
    <x v="1"/>
    <x v="1"/>
  </r>
  <r>
    <n v="1006766"/>
    <x v="1"/>
    <n v="13.7"/>
    <n v="13.75"/>
    <n v="69.849999999999994"/>
    <x v="3"/>
    <x v="0"/>
    <x v="1"/>
    <x v="1"/>
  </r>
  <r>
    <n v="1006771"/>
    <x v="1"/>
    <n v="18.66"/>
    <n v="17.2"/>
    <n v="173.7"/>
    <x v="4"/>
    <x v="0"/>
    <x v="0"/>
    <x v="13"/>
  </r>
  <r>
    <n v="1006780"/>
    <x v="1"/>
    <n v="17.149999999999999"/>
    <n v="0"/>
    <n v="3296.56"/>
    <x v="0"/>
    <x v="1"/>
    <x v="2"/>
    <x v="1"/>
  </r>
  <r>
    <n v="1006791"/>
    <x v="1"/>
    <n v="18.149999999999999"/>
    <n v="18.2"/>
    <n v="59.9"/>
    <x v="4"/>
    <x v="0"/>
    <x v="1"/>
    <x v="1"/>
  </r>
  <r>
    <n v="1006805"/>
    <x v="1"/>
    <n v="9.6999999999999993"/>
    <n v="9.75"/>
    <n v="67.8"/>
    <x v="0"/>
    <x v="0"/>
    <x v="1"/>
    <x v="1"/>
  </r>
  <r>
    <n v="1006827"/>
    <x v="1"/>
    <n v="9.6999999999999993"/>
    <n v="9.75"/>
    <n v="24.75"/>
    <x v="0"/>
    <x v="0"/>
    <x v="1"/>
    <x v="1"/>
  </r>
  <r>
    <n v="1006837"/>
    <x v="1"/>
    <n v="9.6999999999999993"/>
    <n v="9.75"/>
    <n v="164.45"/>
    <x v="0"/>
    <x v="0"/>
    <x v="1"/>
    <x v="1"/>
  </r>
  <r>
    <n v="1006853"/>
    <x v="1"/>
    <n v="9.7100000000000009"/>
    <n v="0"/>
    <n v="283.56"/>
    <x v="0"/>
    <x v="1"/>
    <x v="2"/>
    <x v="1"/>
  </r>
  <r>
    <n v="1006863"/>
    <x v="1"/>
    <n v="12.81"/>
    <n v="12.86"/>
    <n v="9.9"/>
    <x v="3"/>
    <x v="0"/>
    <x v="1"/>
    <x v="1"/>
  </r>
  <r>
    <n v="1006884"/>
    <x v="1"/>
    <n v="17.440000000000001"/>
    <n v="17.489999999999998"/>
    <n v="19.899999999999999"/>
    <x v="10"/>
    <x v="0"/>
    <x v="1"/>
    <x v="1"/>
  </r>
  <r>
    <n v="1006888"/>
    <x v="1"/>
    <n v="9.6999999999999993"/>
    <n v="0"/>
    <n v="471.4"/>
    <x v="0"/>
    <x v="1"/>
    <x v="2"/>
    <x v="1"/>
  </r>
  <r>
    <n v="1006894"/>
    <x v="1"/>
    <n v="12.81"/>
    <n v="12.86"/>
    <n v="134.85"/>
    <x v="3"/>
    <x v="0"/>
    <x v="1"/>
    <x v="1"/>
  </r>
  <r>
    <n v="1006904"/>
    <x v="1"/>
    <n v="12.81"/>
    <n v="12.86"/>
    <n v="34.4"/>
    <x v="3"/>
    <x v="0"/>
    <x v="1"/>
    <x v="1"/>
  </r>
  <r>
    <n v="1006942"/>
    <x v="1"/>
    <n v="9.6999999999999993"/>
    <n v="13.75"/>
    <n v="89.95"/>
    <x v="0"/>
    <x v="0"/>
    <x v="1"/>
    <x v="1"/>
  </r>
  <r>
    <n v="1006958"/>
    <x v="1"/>
    <n v="12.81"/>
    <n v="12.86"/>
    <n v="106.9"/>
    <x v="3"/>
    <x v="0"/>
    <x v="1"/>
    <x v="1"/>
  </r>
  <r>
    <n v="1006977"/>
    <x v="1"/>
    <n v="13.7"/>
    <n v="13.75"/>
    <n v="154.85"/>
    <x v="3"/>
    <x v="0"/>
    <x v="1"/>
    <x v="1"/>
  </r>
  <r>
    <n v="1007025"/>
    <x v="1"/>
    <n v="12.81"/>
    <n v="12.86"/>
    <n v="48.4"/>
    <x v="3"/>
    <x v="0"/>
    <x v="1"/>
    <x v="1"/>
  </r>
  <r>
    <n v="1007050"/>
    <x v="1"/>
    <n v="12.81"/>
    <n v="12.86"/>
    <n v="194.5"/>
    <x v="3"/>
    <x v="0"/>
    <x v="1"/>
    <x v="1"/>
  </r>
  <r>
    <n v="1007051"/>
    <x v="1"/>
    <n v="9.6999999999999993"/>
    <n v="0"/>
    <n v="310"/>
    <x v="0"/>
    <x v="1"/>
    <x v="2"/>
    <x v="1"/>
  </r>
  <r>
    <n v="1007068"/>
    <x v="1"/>
    <n v="15.44"/>
    <n v="15.49"/>
    <n v="45"/>
    <x v="6"/>
    <x v="0"/>
    <x v="1"/>
    <x v="1"/>
  </r>
  <r>
    <n v="1007073"/>
    <x v="1"/>
    <n v="12.81"/>
    <n v="12.86"/>
    <n v="22.35"/>
    <x v="3"/>
    <x v="0"/>
    <x v="1"/>
    <x v="1"/>
  </r>
  <r>
    <n v="1007076"/>
    <x v="1"/>
    <n v="12.81"/>
    <n v="12.86"/>
    <n v="25"/>
    <x v="3"/>
    <x v="0"/>
    <x v="1"/>
    <x v="1"/>
  </r>
  <r>
    <n v="1007077"/>
    <x v="1"/>
    <n v="9.7100000000000009"/>
    <n v="9.76"/>
    <n v="12.5"/>
    <x v="0"/>
    <x v="0"/>
    <x v="1"/>
    <x v="1"/>
  </r>
  <r>
    <n v="1007094"/>
    <x v="1"/>
    <n v="9.6999999999999993"/>
    <n v="9.76"/>
    <n v="71.2"/>
    <x v="0"/>
    <x v="0"/>
    <x v="1"/>
    <x v="1"/>
  </r>
  <r>
    <n v="1007119"/>
    <x v="1"/>
    <n v="16.46"/>
    <n v="16.510000000000002"/>
    <n v="13.9"/>
    <x v="4"/>
    <x v="0"/>
    <x v="1"/>
    <x v="1"/>
  </r>
  <r>
    <n v="1007120"/>
    <x v="1"/>
    <n v="9.6999999999999993"/>
    <n v="9.75"/>
    <n v="166.2"/>
    <x v="0"/>
    <x v="0"/>
    <x v="1"/>
    <x v="1"/>
  </r>
  <r>
    <n v="1007133"/>
    <x v="1"/>
    <n v="16.77"/>
    <n v="16.82"/>
    <n v="52.3"/>
    <x v="4"/>
    <x v="0"/>
    <x v="1"/>
    <x v="1"/>
  </r>
  <r>
    <n v="1007134"/>
    <x v="1"/>
    <n v="9.6999999999999993"/>
    <n v="9.75"/>
    <n v="80.75"/>
    <x v="0"/>
    <x v="0"/>
    <x v="1"/>
    <x v="1"/>
  </r>
  <r>
    <n v="1007136"/>
    <x v="1"/>
    <n v="15.13"/>
    <n v="15.18"/>
    <n v="64.95"/>
    <x v="6"/>
    <x v="0"/>
    <x v="1"/>
    <x v="1"/>
  </r>
  <r>
    <n v="1007156"/>
    <x v="1"/>
    <n v="12.81"/>
    <n v="12.86"/>
    <n v="9.8000000000000007"/>
    <x v="3"/>
    <x v="0"/>
    <x v="1"/>
    <x v="1"/>
  </r>
  <r>
    <n v="1007193"/>
    <x v="1"/>
    <n v="9.6999999999999993"/>
    <n v="9.75"/>
    <n v="110"/>
    <x v="0"/>
    <x v="0"/>
    <x v="1"/>
    <x v="1"/>
  </r>
  <r>
    <n v="1007196"/>
    <x v="1"/>
    <n v="13.7"/>
    <n v="13.75"/>
    <n v="17"/>
    <x v="3"/>
    <x v="0"/>
    <x v="1"/>
    <x v="1"/>
  </r>
  <r>
    <n v="1007200"/>
    <x v="1"/>
    <n v="24.87"/>
    <n v="29.42"/>
    <n v="192.3"/>
    <x v="9"/>
    <x v="0"/>
    <x v="1"/>
    <x v="1"/>
  </r>
  <r>
    <n v="1007222"/>
    <x v="1"/>
    <n v="12.81"/>
    <n v="13.09"/>
    <n v="114.95"/>
    <x v="3"/>
    <x v="0"/>
    <x v="1"/>
    <x v="1"/>
  </r>
  <r>
    <n v="1007245"/>
    <x v="1"/>
    <n v="12.81"/>
    <n v="12.86"/>
    <n v="10"/>
    <x v="3"/>
    <x v="0"/>
    <x v="1"/>
    <x v="1"/>
  </r>
  <r>
    <n v="1007249"/>
    <x v="1"/>
    <n v="12.55"/>
    <n v="0"/>
    <n v="540.9"/>
    <x v="0"/>
    <x v="1"/>
    <x v="2"/>
    <x v="1"/>
  </r>
  <r>
    <n v="1007261"/>
    <x v="1"/>
    <n v="25.81"/>
    <n v="13.31"/>
    <n v="85"/>
    <x v="3"/>
    <x v="0"/>
    <x v="0"/>
    <x v="14"/>
  </r>
  <r>
    <n v="1007264"/>
    <x v="1"/>
    <n v="16.46"/>
    <n v="16.510000000000002"/>
    <n v="36.9"/>
    <x v="4"/>
    <x v="0"/>
    <x v="1"/>
    <x v="1"/>
  </r>
  <r>
    <n v="1007265"/>
    <x v="1"/>
    <n v="9.6999999999999993"/>
    <n v="9.75"/>
    <n v="30.95"/>
    <x v="0"/>
    <x v="0"/>
    <x v="1"/>
    <x v="1"/>
  </r>
  <r>
    <n v="1007267"/>
    <x v="1"/>
    <n v="13.7"/>
    <n v="13.76"/>
    <n v="76.45"/>
    <x v="3"/>
    <x v="0"/>
    <x v="1"/>
    <x v="1"/>
  </r>
  <r>
    <n v="1007275"/>
    <x v="1"/>
    <n v="15.44"/>
    <n v="15.49"/>
    <n v="64.25"/>
    <x v="6"/>
    <x v="0"/>
    <x v="1"/>
    <x v="1"/>
  </r>
  <r>
    <n v="1007280"/>
    <x v="1"/>
    <n v="12.81"/>
    <n v="12.86"/>
    <n v="18.95"/>
    <x v="3"/>
    <x v="0"/>
    <x v="1"/>
    <x v="1"/>
  </r>
  <r>
    <n v="1007296"/>
    <x v="1"/>
    <n v="13.7"/>
    <n v="0"/>
    <n v="206.3"/>
    <x v="3"/>
    <x v="1"/>
    <x v="2"/>
    <x v="1"/>
  </r>
  <r>
    <n v="1007302"/>
    <x v="1"/>
    <n v="12.81"/>
    <n v="12.86"/>
    <n v="22.9"/>
    <x v="3"/>
    <x v="0"/>
    <x v="1"/>
    <x v="1"/>
  </r>
  <r>
    <n v="1007303"/>
    <x v="1"/>
    <n v="12.81"/>
    <n v="12.86"/>
    <n v="150.6"/>
    <x v="3"/>
    <x v="0"/>
    <x v="1"/>
    <x v="1"/>
  </r>
  <r>
    <n v="1007329"/>
    <x v="1"/>
    <n v="13.7"/>
    <n v="13.75"/>
    <n v="21.95"/>
    <x v="3"/>
    <x v="0"/>
    <x v="1"/>
    <x v="1"/>
  </r>
  <r>
    <n v="1007339"/>
    <x v="1"/>
    <n v="59.02"/>
    <n v="59.07"/>
    <n v="137.69999999999999"/>
    <x v="2"/>
    <x v="0"/>
    <x v="1"/>
    <x v="1"/>
  </r>
  <r>
    <n v="1007343"/>
    <x v="1"/>
    <n v="13.7"/>
    <n v="13.75"/>
    <n v="9.9499999999999993"/>
    <x v="3"/>
    <x v="0"/>
    <x v="1"/>
    <x v="1"/>
  </r>
  <r>
    <n v="1007379"/>
    <x v="1"/>
    <n v="61.56"/>
    <n v="61.61"/>
    <n v="82.45"/>
    <x v="5"/>
    <x v="0"/>
    <x v="1"/>
    <x v="1"/>
  </r>
  <r>
    <n v="1007383"/>
    <x v="1"/>
    <n v="12.81"/>
    <n v="12.86"/>
    <n v="64.3"/>
    <x v="3"/>
    <x v="0"/>
    <x v="1"/>
    <x v="1"/>
  </r>
  <r>
    <n v="1007405"/>
    <x v="1"/>
    <n v="18.149999999999999"/>
    <n v="18.2"/>
    <n v="2.95"/>
    <x v="9"/>
    <x v="0"/>
    <x v="1"/>
    <x v="1"/>
  </r>
  <r>
    <n v="1007428"/>
    <x v="1"/>
    <n v="15.44"/>
    <n v="15.49"/>
    <n v="99.8"/>
    <x v="6"/>
    <x v="0"/>
    <x v="1"/>
    <x v="1"/>
  </r>
  <r>
    <n v="1007431"/>
    <x v="1"/>
    <n v="13.7"/>
    <n v="0"/>
    <n v="200.1"/>
    <x v="3"/>
    <x v="1"/>
    <x v="2"/>
    <x v="1"/>
  </r>
  <r>
    <n v="1007436"/>
    <x v="1"/>
    <n v="16.399999999999999"/>
    <n v="17.82"/>
    <n v="125.6"/>
    <x v="6"/>
    <x v="0"/>
    <x v="1"/>
    <x v="1"/>
  </r>
  <r>
    <n v="1007444"/>
    <x v="1"/>
    <n v="9.6999999999999993"/>
    <n v="9.75"/>
    <n v="23.45"/>
    <x v="0"/>
    <x v="0"/>
    <x v="1"/>
    <x v="1"/>
  </r>
  <r>
    <n v="1007458"/>
    <x v="1"/>
    <n v="12.81"/>
    <n v="12.86"/>
    <n v="36.799999999999997"/>
    <x v="3"/>
    <x v="0"/>
    <x v="1"/>
    <x v="1"/>
  </r>
  <r>
    <n v="1007460"/>
    <x v="1"/>
    <n v="16.77"/>
    <n v="16.82"/>
    <n v="59.8"/>
    <x v="4"/>
    <x v="0"/>
    <x v="1"/>
    <x v="1"/>
  </r>
  <r>
    <n v="1007465"/>
    <x v="1"/>
    <n v="12.81"/>
    <n v="12.86"/>
    <n v="17.399999999999999"/>
    <x v="3"/>
    <x v="0"/>
    <x v="1"/>
    <x v="1"/>
  </r>
  <r>
    <n v="1007477"/>
    <x v="1"/>
    <n v="13.7"/>
    <n v="13.75"/>
    <n v="43.2"/>
    <x v="3"/>
    <x v="0"/>
    <x v="1"/>
    <x v="1"/>
  </r>
  <r>
    <n v="1007478"/>
    <x v="1"/>
    <n v="12.81"/>
    <n v="12.86"/>
    <n v="87.75"/>
    <x v="3"/>
    <x v="0"/>
    <x v="1"/>
    <x v="1"/>
  </r>
  <r>
    <n v="1007480"/>
    <x v="1"/>
    <n v="16.399999999999999"/>
    <n v="17.82"/>
    <n v="59.25"/>
    <x v="6"/>
    <x v="0"/>
    <x v="1"/>
    <x v="1"/>
  </r>
  <r>
    <n v="1007488"/>
    <x v="1"/>
    <n v="12.81"/>
    <n v="12.86"/>
    <n v="44.95"/>
    <x v="3"/>
    <x v="0"/>
    <x v="1"/>
    <x v="1"/>
  </r>
  <r>
    <n v="1007506"/>
    <x v="1"/>
    <n v="15.13"/>
    <n v="15.18"/>
    <n v="27.85"/>
    <x v="6"/>
    <x v="0"/>
    <x v="1"/>
    <x v="1"/>
  </r>
  <r>
    <n v="1007516"/>
    <x v="1"/>
    <n v="18.07"/>
    <n v="16.760000000000002"/>
    <n v="112.85"/>
    <x v="6"/>
    <x v="0"/>
    <x v="0"/>
    <x v="15"/>
  </r>
  <r>
    <n v="1007536"/>
    <x v="1"/>
    <n v="12.81"/>
    <n v="12.86"/>
    <n v="17.5"/>
    <x v="3"/>
    <x v="0"/>
    <x v="1"/>
    <x v="1"/>
  </r>
  <r>
    <n v="1007567"/>
    <x v="1"/>
    <n v="16.399999999999999"/>
    <n v="17.82"/>
    <n v="85"/>
    <x v="6"/>
    <x v="0"/>
    <x v="1"/>
    <x v="1"/>
  </r>
  <r>
    <n v="1007616"/>
    <x v="1"/>
    <n v="9.6999999999999993"/>
    <n v="13.75"/>
    <n v="39.799999999999997"/>
    <x v="0"/>
    <x v="0"/>
    <x v="1"/>
    <x v="1"/>
  </r>
  <r>
    <n v="1007634"/>
    <x v="1"/>
    <n v="9.7100000000000009"/>
    <n v="0"/>
    <n v="20.399999999999999"/>
    <x v="0"/>
    <x v="0"/>
    <x v="0"/>
    <x v="0"/>
  </r>
  <r>
    <n v="1007640"/>
    <x v="1"/>
    <n v="9.7100000000000009"/>
    <n v="0"/>
    <n v="46.71"/>
    <x v="0"/>
    <x v="0"/>
    <x v="0"/>
    <x v="0"/>
  </r>
  <r>
    <n v="1007648"/>
    <x v="1"/>
    <n v="12.81"/>
    <n v="12.86"/>
    <n v="91.85"/>
    <x v="3"/>
    <x v="0"/>
    <x v="1"/>
    <x v="1"/>
  </r>
  <r>
    <n v="1007656"/>
    <x v="1"/>
    <n v="12.81"/>
    <n v="0"/>
    <n v="221.8"/>
    <x v="3"/>
    <x v="1"/>
    <x v="2"/>
    <x v="1"/>
  </r>
  <r>
    <n v="1007661"/>
    <x v="1"/>
    <n v="9.7100000000000009"/>
    <n v="0"/>
    <n v="34.97"/>
    <x v="0"/>
    <x v="0"/>
    <x v="0"/>
    <x v="0"/>
  </r>
  <r>
    <n v="1007665"/>
    <x v="1"/>
    <n v="12.81"/>
    <n v="12.86"/>
    <n v="112.4"/>
    <x v="3"/>
    <x v="0"/>
    <x v="1"/>
    <x v="1"/>
  </r>
  <r>
    <n v="1007676"/>
    <x v="1"/>
    <n v="9.6999999999999993"/>
    <n v="9.75"/>
    <n v="18.899999999999999"/>
    <x v="0"/>
    <x v="0"/>
    <x v="1"/>
    <x v="1"/>
  </r>
  <r>
    <n v="1007678"/>
    <x v="1"/>
    <n v="9.6999999999999993"/>
    <n v="9.75"/>
    <n v="99.6"/>
    <x v="0"/>
    <x v="0"/>
    <x v="1"/>
    <x v="1"/>
  </r>
  <r>
    <n v="1007683"/>
    <x v="1"/>
    <n v="15.44"/>
    <n v="15.49"/>
    <n v="94.9"/>
    <x v="6"/>
    <x v="0"/>
    <x v="1"/>
    <x v="1"/>
  </r>
  <r>
    <n v="1007698"/>
    <x v="1"/>
    <n v="13.71"/>
    <n v="13.76"/>
    <n v="119.9"/>
    <x v="3"/>
    <x v="0"/>
    <x v="1"/>
    <x v="1"/>
  </r>
  <r>
    <n v="1007704"/>
    <x v="1"/>
    <n v="9.7100000000000009"/>
    <n v="0"/>
    <n v="204.95"/>
    <x v="0"/>
    <x v="1"/>
    <x v="2"/>
    <x v="1"/>
  </r>
  <r>
    <n v="1007706"/>
    <x v="1"/>
    <n v="9.7100000000000009"/>
    <n v="9.75"/>
    <n v="34.99"/>
    <x v="0"/>
    <x v="0"/>
    <x v="1"/>
    <x v="1"/>
  </r>
  <r>
    <n v="1007711"/>
    <x v="1"/>
    <n v="13.7"/>
    <n v="13.76"/>
    <n v="38.85"/>
    <x v="3"/>
    <x v="0"/>
    <x v="1"/>
    <x v="1"/>
  </r>
  <r>
    <n v="1007719"/>
    <x v="1"/>
    <n v="13.7"/>
    <n v="13.75"/>
    <n v="7.95"/>
    <x v="3"/>
    <x v="0"/>
    <x v="1"/>
    <x v="1"/>
  </r>
  <r>
    <n v="1007725"/>
    <x v="1"/>
    <n v="12.81"/>
    <n v="12.86"/>
    <n v="123.1"/>
    <x v="3"/>
    <x v="0"/>
    <x v="1"/>
    <x v="1"/>
  </r>
  <r>
    <n v="1007741"/>
    <x v="1"/>
    <n v="12.81"/>
    <n v="13.09"/>
    <n v="99.95"/>
    <x v="3"/>
    <x v="0"/>
    <x v="1"/>
    <x v="1"/>
  </r>
  <r>
    <n v="1007745"/>
    <x v="1"/>
    <n v="16.77"/>
    <n v="16.82"/>
    <n v="398.25"/>
    <x v="4"/>
    <x v="0"/>
    <x v="1"/>
    <x v="1"/>
  </r>
  <r>
    <n v="1007777"/>
    <x v="1"/>
    <n v="13.7"/>
    <n v="13.75"/>
    <n v="108.15"/>
    <x v="3"/>
    <x v="0"/>
    <x v="1"/>
    <x v="1"/>
  </r>
  <r>
    <n v="1007785"/>
    <x v="1"/>
    <n v="15.44"/>
    <n v="15.49"/>
    <n v="45.55"/>
    <x v="6"/>
    <x v="0"/>
    <x v="1"/>
    <x v="1"/>
  </r>
  <r>
    <n v="1007808"/>
    <x v="1"/>
    <n v="12.81"/>
    <n v="14.28"/>
    <n v="114.95"/>
    <x v="3"/>
    <x v="0"/>
    <x v="1"/>
    <x v="1"/>
  </r>
  <r>
    <n v="1007876"/>
    <x v="1"/>
    <n v="16.87"/>
    <n v="16.920000000000002"/>
    <n v="74.900000000000006"/>
    <x v="4"/>
    <x v="0"/>
    <x v="1"/>
    <x v="1"/>
  </r>
  <r>
    <n v="1007878"/>
    <x v="1"/>
    <n v="12.81"/>
    <n v="12.86"/>
    <n v="32.049999999999997"/>
    <x v="3"/>
    <x v="0"/>
    <x v="1"/>
    <x v="1"/>
  </r>
  <r>
    <n v="1007883"/>
    <x v="1"/>
    <n v="9.6999999999999993"/>
    <n v="9.75"/>
    <n v="4.95"/>
    <x v="0"/>
    <x v="0"/>
    <x v="1"/>
    <x v="1"/>
  </r>
  <r>
    <n v="1007884"/>
    <x v="1"/>
    <n v="12.81"/>
    <n v="12.86"/>
    <n v="6.95"/>
    <x v="3"/>
    <x v="0"/>
    <x v="1"/>
    <x v="1"/>
  </r>
  <r>
    <n v="1007894"/>
    <x v="1"/>
    <n v="24.87"/>
    <n v="30.23"/>
    <n v="109.95"/>
    <x v="9"/>
    <x v="0"/>
    <x v="1"/>
    <x v="1"/>
  </r>
  <r>
    <n v="1007905"/>
    <x v="1"/>
    <n v="13.7"/>
    <n v="13.75"/>
    <n v="34.950000000000003"/>
    <x v="3"/>
    <x v="0"/>
    <x v="1"/>
    <x v="1"/>
  </r>
  <r>
    <n v="1007913"/>
    <x v="1"/>
    <n v="9.7100000000000009"/>
    <n v="9.75"/>
    <n v="35.700000000000003"/>
    <x v="0"/>
    <x v="0"/>
    <x v="1"/>
    <x v="1"/>
  </r>
  <r>
    <n v="1007921"/>
    <x v="1"/>
    <n v="13.7"/>
    <n v="13.75"/>
    <n v="130.44999999999999"/>
    <x v="3"/>
    <x v="0"/>
    <x v="1"/>
    <x v="1"/>
  </r>
  <r>
    <n v="1007949"/>
    <x v="1"/>
    <n v="9.6999999999999993"/>
    <n v="9.75"/>
    <n v="55"/>
    <x v="0"/>
    <x v="0"/>
    <x v="1"/>
    <x v="1"/>
  </r>
  <r>
    <n v="1007997"/>
    <x v="1"/>
    <n v="13.7"/>
    <n v="13.75"/>
    <n v="54.25"/>
    <x v="3"/>
    <x v="0"/>
    <x v="1"/>
    <x v="1"/>
  </r>
  <r>
    <n v="1008000"/>
    <x v="1"/>
    <n v="17.7"/>
    <n v="17.75"/>
    <n v="204.4"/>
    <x v="9"/>
    <x v="0"/>
    <x v="1"/>
    <x v="1"/>
  </r>
  <r>
    <n v="1008005"/>
    <x v="1"/>
    <n v="11.02"/>
    <n v="11.07"/>
    <n v="53.9"/>
    <x v="8"/>
    <x v="0"/>
    <x v="1"/>
    <x v="1"/>
  </r>
  <r>
    <n v="1008007"/>
    <x v="1"/>
    <n v="9.6999999999999993"/>
    <n v="9.75"/>
    <n v="16.95"/>
    <x v="0"/>
    <x v="0"/>
    <x v="1"/>
    <x v="1"/>
  </r>
  <r>
    <n v="1008013"/>
    <x v="1"/>
    <n v="28.89"/>
    <n v="31.02"/>
    <n v="331.6"/>
    <x v="9"/>
    <x v="0"/>
    <x v="1"/>
    <x v="1"/>
  </r>
  <r>
    <n v="1008018"/>
    <x v="1"/>
    <n v="9.6999999999999993"/>
    <n v="0"/>
    <n v="249.5"/>
    <x v="0"/>
    <x v="1"/>
    <x v="2"/>
    <x v="1"/>
  </r>
  <r>
    <n v="1008019"/>
    <x v="1"/>
    <n v="9.6999999999999993"/>
    <n v="0"/>
    <n v="373.95"/>
    <x v="0"/>
    <x v="1"/>
    <x v="2"/>
    <x v="1"/>
  </r>
  <r>
    <n v="1008020"/>
    <x v="1"/>
    <n v="13.7"/>
    <n v="13.75"/>
    <n v="55.9"/>
    <x v="3"/>
    <x v="0"/>
    <x v="1"/>
    <x v="1"/>
  </r>
  <r>
    <n v="1008026"/>
    <x v="1"/>
    <n v="76.67"/>
    <n v="83.08"/>
    <n v="152.84"/>
    <x v="2"/>
    <x v="0"/>
    <x v="1"/>
    <x v="1"/>
  </r>
  <r>
    <n v="1008051"/>
    <x v="1"/>
    <n v="12.81"/>
    <n v="12.86"/>
    <n v="27.9"/>
    <x v="3"/>
    <x v="0"/>
    <x v="1"/>
    <x v="1"/>
  </r>
  <r>
    <n v="1008061"/>
    <x v="1"/>
    <n v="12.55"/>
    <n v="0"/>
    <n v="712.45"/>
    <x v="0"/>
    <x v="1"/>
    <x v="2"/>
    <x v="1"/>
  </r>
  <r>
    <n v="1008067"/>
    <x v="1"/>
    <n v="9.6999999999999993"/>
    <n v="0"/>
    <n v="259.19"/>
    <x v="0"/>
    <x v="1"/>
    <x v="2"/>
    <x v="1"/>
  </r>
  <r>
    <n v="1008090"/>
    <x v="1"/>
    <n v="9.73"/>
    <n v="0"/>
    <n v="424.5"/>
    <x v="0"/>
    <x v="1"/>
    <x v="2"/>
    <x v="1"/>
  </r>
  <r>
    <n v="1008102"/>
    <x v="1"/>
    <n v="14.22"/>
    <n v="0"/>
    <n v="288.05"/>
    <x v="3"/>
    <x v="1"/>
    <x v="2"/>
    <x v="1"/>
  </r>
  <r>
    <n v="1008109"/>
    <x v="1"/>
    <n v="9.6999999999999993"/>
    <n v="9.7899999999999991"/>
    <n v="52.8"/>
    <x v="0"/>
    <x v="0"/>
    <x v="1"/>
    <x v="1"/>
  </r>
  <r>
    <n v="1008149"/>
    <x v="1"/>
    <n v="9.6999999999999993"/>
    <n v="9.75"/>
    <n v="31.85"/>
    <x v="0"/>
    <x v="0"/>
    <x v="1"/>
    <x v="1"/>
  </r>
  <r>
    <n v="1008159"/>
    <x v="1"/>
    <n v="15.44"/>
    <n v="15.49"/>
    <n v="6.95"/>
    <x v="6"/>
    <x v="0"/>
    <x v="1"/>
    <x v="1"/>
  </r>
  <r>
    <n v="1008180"/>
    <x v="1"/>
    <n v="12.81"/>
    <n v="12.86"/>
    <n v="33.75"/>
    <x v="3"/>
    <x v="0"/>
    <x v="1"/>
    <x v="1"/>
  </r>
  <r>
    <n v="1008184"/>
    <x v="1"/>
    <n v="9.6999999999999993"/>
    <n v="9.75"/>
    <n v="9.9499999999999993"/>
    <x v="0"/>
    <x v="0"/>
    <x v="1"/>
    <x v="1"/>
  </r>
  <r>
    <n v="1008193"/>
    <x v="1"/>
    <n v="13.7"/>
    <n v="13.75"/>
    <n v="83.6"/>
    <x v="3"/>
    <x v="0"/>
    <x v="1"/>
    <x v="1"/>
  </r>
  <r>
    <n v="1008204"/>
    <x v="1"/>
    <n v="15.44"/>
    <n v="15.49"/>
    <n v="19.95"/>
    <x v="6"/>
    <x v="0"/>
    <x v="1"/>
    <x v="1"/>
  </r>
  <r>
    <n v="1008223"/>
    <x v="1"/>
    <n v="12.81"/>
    <n v="12.86"/>
    <n v="22.05"/>
    <x v="3"/>
    <x v="0"/>
    <x v="1"/>
    <x v="1"/>
  </r>
  <r>
    <n v="1008229"/>
    <x v="1"/>
    <n v="16.46"/>
    <n v="16.510000000000002"/>
    <n v="63"/>
    <x v="4"/>
    <x v="0"/>
    <x v="1"/>
    <x v="1"/>
  </r>
  <r>
    <n v="1008245"/>
    <x v="1"/>
    <n v="16.77"/>
    <n v="16.82"/>
    <n v="147.75"/>
    <x v="4"/>
    <x v="0"/>
    <x v="1"/>
    <x v="1"/>
  </r>
  <r>
    <n v="1008267"/>
    <x v="1"/>
    <n v="12.81"/>
    <n v="12.86"/>
    <n v="27.9"/>
    <x v="3"/>
    <x v="0"/>
    <x v="1"/>
    <x v="1"/>
  </r>
  <r>
    <n v="1008282"/>
    <x v="1"/>
    <n v="59.02"/>
    <n v="59.07"/>
    <n v="28.75"/>
    <x v="2"/>
    <x v="0"/>
    <x v="1"/>
    <x v="1"/>
  </r>
  <r>
    <n v="1008288"/>
    <x v="1"/>
    <n v="9.6999999999999993"/>
    <n v="13.75"/>
    <n v="19.75"/>
    <x v="0"/>
    <x v="0"/>
    <x v="1"/>
    <x v="1"/>
  </r>
  <r>
    <n v="1008301"/>
    <x v="1"/>
    <n v="13.7"/>
    <n v="13.75"/>
    <n v="59.35"/>
    <x v="3"/>
    <x v="0"/>
    <x v="1"/>
    <x v="1"/>
  </r>
  <r>
    <n v="1008309"/>
    <x v="1"/>
    <n v="12.81"/>
    <n v="12.86"/>
    <n v="124.95"/>
    <x v="3"/>
    <x v="0"/>
    <x v="1"/>
    <x v="1"/>
  </r>
  <r>
    <n v="1008322"/>
    <x v="1"/>
    <n v="15.45"/>
    <n v="16.5"/>
    <n v="109.35"/>
    <x v="6"/>
    <x v="0"/>
    <x v="1"/>
    <x v="1"/>
  </r>
  <r>
    <n v="1008325"/>
    <x v="1"/>
    <n v="13.7"/>
    <n v="13.75"/>
    <n v="55.7"/>
    <x v="3"/>
    <x v="0"/>
    <x v="1"/>
    <x v="1"/>
  </r>
  <r>
    <n v="1008336"/>
    <x v="1"/>
    <n v="60.85"/>
    <n v="60.9"/>
    <n v="102.5"/>
    <x v="2"/>
    <x v="0"/>
    <x v="1"/>
    <x v="1"/>
  </r>
  <r>
    <n v="1008340"/>
    <x v="1"/>
    <n v="12.81"/>
    <n v="12.86"/>
    <n v="84.2"/>
    <x v="3"/>
    <x v="0"/>
    <x v="1"/>
    <x v="1"/>
  </r>
  <r>
    <n v="1008355"/>
    <x v="1"/>
    <n v="12.81"/>
    <n v="12.86"/>
    <n v="0.95"/>
    <x v="3"/>
    <x v="0"/>
    <x v="1"/>
    <x v="1"/>
  </r>
  <r>
    <n v="1008387"/>
    <x v="1"/>
    <n v="9.82"/>
    <n v="0"/>
    <n v="337.5"/>
    <x v="0"/>
    <x v="1"/>
    <x v="2"/>
    <x v="1"/>
  </r>
  <r>
    <n v="1008408"/>
    <x v="1"/>
    <n v="13.7"/>
    <n v="13.75"/>
    <n v="47.85"/>
    <x v="3"/>
    <x v="0"/>
    <x v="1"/>
    <x v="1"/>
  </r>
  <r>
    <n v="1008410"/>
    <x v="1"/>
    <n v="12.81"/>
    <n v="12.86"/>
    <n v="88.5"/>
    <x v="3"/>
    <x v="0"/>
    <x v="1"/>
    <x v="1"/>
  </r>
  <r>
    <n v="1008430"/>
    <x v="1"/>
    <n v="9.6999999999999993"/>
    <n v="13.75"/>
    <n v="22.5"/>
    <x v="0"/>
    <x v="0"/>
    <x v="1"/>
    <x v="1"/>
  </r>
  <r>
    <n v="1008432"/>
    <x v="1"/>
    <n v="13.7"/>
    <n v="13.75"/>
    <n v="41.3"/>
    <x v="3"/>
    <x v="0"/>
    <x v="1"/>
    <x v="1"/>
  </r>
  <r>
    <n v="1008460"/>
    <x v="1"/>
    <n v="12.81"/>
    <n v="12.86"/>
    <n v="17.600000000000001"/>
    <x v="3"/>
    <x v="0"/>
    <x v="1"/>
    <x v="1"/>
  </r>
  <r>
    <n v="1008466"/>
    <x v="1"/>
    <n v="16.46"/>
    <n v="16.510000000000002"/>
    <n v="67.45"/>
    <x v="4"/>
    <x v="0"/>
    <x v="1"/>
    <x v="1"/>
  </r>
  <r>
    <n v="1008467"/>
    <x v="1"/>
    <n v="15.44"/>
    <n v="15.49"/>
    <n v="49.85"/>
    <x v="6"/>
    <x v="0"/>
    <x v="1"/>
    <x v="1"/>
  </r>
  <r>
    <n v="1008474"/>
    <x v="1"/>
    <n v="12.81"/>
    <n v="12.86"/>
    <n v="49.7"/>
    <x v="3"/>
    <x v="0"/>
    <x v="1"/>
    <x v="1"/>
  </r>
  <r>
    <n v="1008476"/>
    <x v="1"/>
    <n v="12.81"/>
    <n v="12.86"/>
    <n v="74.900000000000006"/>
    <x v="3"/>
    <x v="0"/>
    <x v="1"/>
    <x v="1"/>
  </r>
  <r>
    <n v="1008478"/>
    <x v="1"/>
    <n v="12.81"/>
    <n v="12.86"/>
    <n v="7.45"/>
    <x v="3"/>
    <x v="0"/>
    <x v="1"/>
    <x v="1"/>
  </r>
  <r>
    <n v="1008493"/>
    <x v="1"/>
    <n v="15.44"/>
    <n v="15.5"/>
    <n v="73.150000000000006"/>
    <x v="6"/>
    <x v="0"/>
    <x v="1"/>
    <x v="1"/>
  </r>
  <r>
    <n v="1008494"/>
    <x v="1"/>
    <n v="9.6999999999999993"/>
    <n v="9.75"/>
    <n v="9.9499999999999993"/>
    <x v="0"/>
    <x v="0"/>
    <x v="1"/>
    <x v="1"/>
  </r>
  <r>
    <n v="1008496"/>
    <x v="1"/>
    <n v="13.7"/>
    <n v="13.75"/>
    <n v="62.85"/>
    <x v="3"/>
    <x v="0"/>
    <x v="1"/>
    <x v="1"/>
  </r>
  <r>
    <n v="1008527"/>
    <x v="1"/>
    <n v="13.7"/>
    <n v="13.75"/>
    <n v="83.85"/>
    <x v="3"/>
    <x v="0"/>
    <x v="1"/>
    <x v="1"/>
  </r>
  <r>
    <n v="1008533"/>
    <x v="1"/>
    <n v="13.7"/>
    <n v="13.75"/>
    <n v="29.9"/>
    <x v="3"/>
    <x v="0"/>
    <x v="1"/>
    <x v="1"/>
  </r>
  <r>
    <n v="1008538"/>
    <x v="1"/>
    <n v="15.13"/>
    <n v="15.18"/>
    <n v="99.6"/>
    <x v="6"/>
    <x v="0"/>
    <x v="1"/>
    <x v="1"/>
  </r>
  <r>
    <n v="1008549"/>
    <x v="1"/>
    <n v="12.81"/>
    <n v="12.86"/>
    <n v="3.9"/>
    <x v="3"/>
    <x v="0"/>
    <x v="1"/>
    <x v="1"/>
  </r>
  <r>
    <n v="1008563"/>
    <x v="1"/>
    <n v="12.81"/>
    <n v="13.37"/>
    <n v="111.9"/>
    <x v="3"/>
    <x v="0"/>
    <x v="1"/>
    <x v="1"/>
  </r>
  <r>
    <n v="1008576"/>
    <x v="1"/>
    <n v="13.71"/>
    <n v="13.76"/>
    <n v="36.700000000000003"/>
    <x v="3"/>
    <x v="0"/>
    <x v="1"/>
    <x v="1"/>
  </r>
  <r>
    <n v="1008577"/>
    <x v="1"/>
    <n v="12.81"/>
    <n v="12.86"/>
    <n v="94.7"/>
    <x v="3"/>
    <x v="0"/>
    <x v="1"/>
    <x v="1"/>
  </r>
  <r>
    <n v="1008604"/>
    <x v="1"/>
    <n v="13.7"/>
    <n v="13.75"/>
    <n v="111.85"/>
    <x v="3"/>
    <x v="0"/>
    <x v="1"/>
    <x v="1"/>
  </r>
  <r>
    <n v="1008634"/>
    <x v="1"/>
    <n v="16.77"/>
    <n v="16.82"/>
    <n v="114.9"/>
    <x v="4"/>
    <x v="0"/>
    <x v="1"/>
    <x v="1"/>
  </r>
  <r>
    <n v="1008641"/>
    <x v="1"/>
    <n v="13.26"/>
    <n v="13.88"/>
    <n v="130.9"/>
    <x v="3"/>
    <x v="0"/>
    <x v="1"/>
    <x v="1"/>
  </r>
  <r>
    <n v="1008684"/>
    <x v="1"/>
    <n v="89.7"/>
    <n v="90.43"/>
    <n v="553.44000000000005"/>
    <x v="5"/>
    <x v="0"/>
    <x v="1"/>
    <x v="1"/>
  </r>
  <r>
    <n v="1008707"/>
    <x v="1"/>
    <n v="16.46"/>
    <n v="16.510000000000002"/>
    <n v="190.4"/>
    <x v="4"/>
    <x v="0"/>
    <x v="1"/>
    <x v="1"/>
  </r>
  <r>
    <n v="1008712"/>
    <x v="1"/>
    <n v="12.81"/>
    <n v="12.9"/>
    <n v="37.4"/>
    <x v="3"/>
    <x v="0"/>
    <x v="1"/>
    <x v="1"/>
  </r>
  <r>
    <n v="1008725"/>
    <x v="1"/>
    <n v="12.69"/>
    <n v="0"/>
    <n v="2227.1999999999998"/>
    <x v="0"/>
    <x v="1"/>
    <x v="2"/>
    <x v="1"/>
  </r>
  <r>
    <n v="1008730"/>
    <x v="1"/>
    <n v="9.6999999999999993"/>
    <n v="13.76"/>
    <n v="72.75"/>
    <x v="0"/>
    <x v="0"/>
    <x v="1"/>
    <x v="1"/>
  </r>
  <r>
    <n v="1008739"/>
    <x v="1"/>
    <n v="9.6999999999999993"/>
    <n v="9.7899999999999991"/>
    <n v="145.30000000000001"/>
    <x v="0"/>
    <x v="0"/>
    <x v="1"/>
    <x v="1"/>
  </r>
  <r>
    <n v="1008742"/>
    <x v="1"/>
    <n v="13.7"/>
    <n v="13.75"/>
    <n v="29.95"/>
    <x v="3"/>
    <x v="0"/>
    <x v="1"/>
    <x v="1"/>
  </r>
  <r>
    <n v="1008743"/>
    <x v="1"/>
    <n v="9.6999999999999993"/>
    <n v="0"/>
    <n v="111"/>
    <x v="0"/>
    <x v="0"/>
    <x v="0"/>
    <x v="9"/>
  </r>
  <r>
    <n v="1008753"/>
    <x v="1"/>
    <n v="12.81"/>
    <n v="12.86"/>
    <n v="49.95"/>
    <x v="3"/>
    <x v="0"/>
    <x v="1"/>
    <x v="1"/>
  </r>
  <r>
    <n v="1008757"/>
    <x v="1"/>
    <n v="12.81"/>
    <n v="0"/>
    <n v="229.5"/>
    <x v="3"/>
    <x v="1"/>
    <x v="2"/>
    <x v="1"/>
  </r>
  <r>
    <n v="1008758"/>
    <x v="1"/>
    <n v="9.6999999999999993"/>
    <n v="9.75"/>
    <n v="49.95"/>
    <x v="0"/>
    <x v="0"/>
    <x v="1"/>
    <x v="1"/>
  </r>
  <r>
    <n v="1008768"/>
    <x v="1"/>
    <n v="12.81"/>
    <n v="12.86"/>
    <n v="33.9"/>
    <x v="3"/>
    <x v="0"/>
    <x v="1"/>
    <x v="1"/>
  </r>
  <r>
    <n v="1008776"/>
    <x v="1"/>
    <n v="9.6999999999999993"/>
    <n v="9.75"/>
    <n v="190.1"/>
    <x v="0"/>
    <x v="0"/>
    <x v="1"/>
    <x v="1"/>
  </r>
  <r>
    <n v="1008785"/>
    <x v="1"/>
    <n v="13.7"/>
    <n v="13.75"/>
    <n v="44.95"/>
    <x v="3"/>
    <x v="0"/>
    <x v="1"/>
    <x v="1"/>
  </r>
  <r>
    <n v="1008791"/>
    <x v="1"/>
    <n v="13.7"/>
    <n v="13.75"/>
    <n v="29.95"/>
    <x v="3"/>
    <x v="0"/>
    <x v="1"/>
    <x v="1"/>
  </r>
  <r>
    <n v="1008793"/>
    <x v="1"/>
    <n v="12.35"/>
    <n v="12.78"/>
    <n v="56.8"/>
    <x v="7"/>
    <x v="0"/>
    <x v="1"/>
    <x v="1"/>
  </r>
  <r>
    <n v="1008799"/>
    <x v="1"/>
    <n v="16.46"/>
    <n v="16.510000000000002"/>
    <n v="26.3"/>
    <x v="4"/>
    <x v="0"/>
    <x v="1"/>
    <x v="1"/>
  </r>
  <r>
    <n v="1008804"/>
    <x v="1"/>
    <n v="9.6999999999999993"/>
    <n v="9.75"/>
    <n v="29.9"/>
    <x v="0"/>
    <x v="0"/>
    <x v="1"/>
    <x v="1"/>
  </r>
  <r>
    <n v="1008826"/>
    <x v="1"/>
    <n v="16.46"/>
    <n v="16.510000000000002"/>
    <n v="110.1"/>
    <x v="4"/>
    <x v="0"/>
    <x v="1"/>
    <x v="1"/>
  </r>
  <r>
    <n v="1008842"/>
    <x v="1"/>
    <n v="13.71"/>
    <n v="13.75"/>
    <n v="86.8"/>
    <x v="3"/>
    <x v="0"/>
    <x v="1"/>
    <x v="1"/>
  </r>
  <r>
    <n v="1008880"/>
    <x v="1"/>
    <n v="19.22"/>
    <n v="23.38"/>
    <n v="49.9"/>
    <x v="10"/>
    <x v="0"/>
    <x v="1"/>
    <x v="1"/>
  </r>
  <r>
    <n v="1008886"/>
    <x v="1"/>
    <n v="12.81"/>
    <n v="12.86"/>
    <n v="42.9"/>
    <x v="3"/>
    <x v="0"/>
    <x v="1"/>
    <x v="1"/>
  </r>
  <r>
    <n v="1008887"/>
    <x v="1"/>
    <n v="11.02"/>
    <n v="11.07"/>
    <n v="111.65"/>
    <x v="8"/>
    <x v="0"/>
    <x v="1"/>
    <x v="1"/>
  </r>
  <r>
    <n v="1008900"/>
    <x v="1"/>
    <n v="13.7"/>
    <n v="13.75"/>
    <n v="71.349999999999994"/>
    <x v="3"/>
    <x v="0"/>
    <x v="1"/>
    <x v="1"/>
  </r>
  <r>
    <n v="1008909"/>
    <x v="1"/>
    <n v="15.44"/>
    <n v="15.49"/>
    <n v="9.9499999999999993"/>
    <x v="6"/>
    <x v="0"/>
    <x v="1"/>
    <x v="1"/>
  </r>
  <r>
    <n v="1008910"/>
    <x v="1"/>
    <n v="17.34"/>
    <n v="0"/>
    <n v="200"/>
    <x v="0"/>
    <x v="1"/>
    <x v="2"/>
    <x v="1"/>
  </r>
  <r>
    <n v="1008920"/>
    <x v="1"/>
    <n v="9.6999999999999993"/>
    <n v="9.75"/>
    <n v="64.349999999999994"/>
    <x v="0"/>
    <x v="0"/>
    <x v="1"/>
    <x v="1"/>
  </r>
  <r>
    <n v="1008924"/>
    <x v="1"/>
    <n v="12.81"/>
    <n v="12.86"/>
    <n v="20.85"/>
    <x v="3"/>
    <x v="0"/>
    <x v="1"/>
    <x v="1"/>
  </r>
  <r>
    <n v="1008925"/>
    <x v="1"/>
    <n v="13.71"/>
    <n v="14.2"/>
    <n v="32.450000000000003"/>
    <x v="3"/>
    <x v="0"/>
    <x v="1"/>
    <x v="1"/>
  </r>
  <r>
    <n v="1008930"/>
    <x v="1"/>
    <n v="16.46"/>
    <n v="16.510000000000002"/>
    <n v="39.950000000000003"/>
    <x v="4"/>
    <x v="0"/>
    <x v="1"/>
    <x v="1"/>
  </r>
  <r>
    <n v="1008936"/>
    <x v="1"/>
    <n v="12.81"/>
    <n v="12.86"/>
    <n v="93.95"/>
    <x v="3"/>
    <x v="0"/>
    <x v="1"/>
    <x v="1"/>
  </r>
  <r>
    <n v="1008956"/>
    <x v="1"/>
    <n v="12.35"/>
    <n v="12.4"/>
    <n v="10.7"/>
    <x v="7"/>
    <x v="0"/>
    <x v="1"/>
    <x v="1"/>
  </r>
  <r>
    <n v="1008960"/>
    <x v="1"/>
    <n v="16.87"/>
    <n v="16.920000000000002"/>
    <n v="53.8"/>
    <x v="4"/>
    <x v="0"/>
    <x v="1"/>
    <x v="1"/>
  </r>
  <r>
    <n v="1008966"/>
    <x v="1"/>
    <n v="13.05"/>
    <n v="0"/>
    <n v="214.95"/>
    <x v="3"/>
    <x v="1"/>
    <x v="2"/>
    <x v="1"/>
  </r>
  <r>
    <n v="1008971"/>
    <x v="1"/>
    <n v="15.13"/>
    <n v="15.18"/>
    <n v="19.95"/>
    <x v="6"/>
    <x v="0"/>
    <x v="1"/>
    <x v="1"/>
  </r>
  <r>
    <n v="1008973"/>
    <x v="1"/>
    <n v="9.7100000000000009"/>
    <n v="9.75"/>
    <n v="34.99"/>
    <x v="0"/>
    <x v="0"/>
    <x v="1"/>
    <x v="1"/>
  </r>
  <r>
    <n v="1008974"/>
    <x v="1"/>
    <n v="9.6999999999999993"/>
    <n v="9.75"/>
    <n v="70.7"/>
    <x v="0"/>
    <x v="0"/>
    <x v="1"/>
    <x v="1"/>
  </r>
  <r>
    <n v="1008989"/>
    <x v="1"/>
    <n v="13.7"/>
    <n v="13.75"/>
    <n v="23.95"/>
    <x v="3"/>
    <x v="0"/>
    <x v="1"/>
    <x v="1"/>
  </r>
  <r>
    <n v="1008998"/>
    <x v="1"/>
    <n v="16.559999999999999"/>
    <n v="16.61"/>
    <n v="24.75"/>
    <x v="4"/>
    <x v="0"/>
    <x v="1"/>
    <x v="1"/>
  </r>
  <r>
    <n v="1009008"/>
    <x v="1"/>
    <n v="12.81"/>
    <n v="12.86"/>
    <n v="32.299999999999997"/>
    <x v="3"/>
    <x v="0"/>
    <x v="1"/>
    <x v="1"/>
  </r>
  <r>
    <n v="1009017"/>
    <x v="1"/>
    <n v="16.77"/>
    <n v="16.82"/>
    <n v="204.7"/>
    <x v="4"/>
    <x v="0"/>
    <x v="1"/>
    <x v="1"/>
  </r>
  <r>
    <n v="1009029"/>
    <x v="1"/>
    <n v="12.81"/>
    <n v="12.86"/>
    <n v="102.35"/>
    <x v="3"/>
    <x v="0"/>
    <x v="1"/>
    <x v="1"/>
  </r>
  <r>
    <n v="1009036"/>
    <x v="1"/>
    <n v="9.6999999999999993"/>
    <n v="9.75"/>
    <n v="25.35"/>
    <x v="0"/>
    <x v="0"/>
    <x v="1"/>
    <x v="1"/>
  </r>
  <r>
    <n v="1009059"/>
    <x v="1"/>
    <n v="13.7"/>
    <n v="13.79"/>
    <n v="53.35"/>
    <x v="3"/>
    <x v="0"/>
    <x v="1"/>
    <x v="1"/>
  </r>
  <r>
    <n v="1009066"/>
    <x v="1"/>
    <n v="12.81"/>
    <n v="13.88"/>
    <n v="12.85"/>
    <x v="3"/>
    <x v="0"/>
    <x v="1"/>
    <x v="1"/>
  </r>
  <r>
    <n v="1009074"/>
    <x v="1"/>
    <n v="9.6999999999999993"/>
    <n v="0"/>
    <n v="464.68"/>
    <x v="0"/>
    <x v="1"/>
    <x v="2"/>
    <x v="1"/>
  </r>
  <r>
    <n v="1009081"/>
    <x v="1"/>
    <n v="12.81"/>
    <n v="12.86"/>
    <n v="64.2"/>
    <x v="3"/>
    <x v="0"/>
    <x v="1"/>
    <x v="1"/>
  </r>
  <r>
    <n v="1009113"/>
    <x v="1"/>
    <n v="15.44"/>
    <n v="15.49"/>
    <n v="54.45"/>
    <x v="6"/>
    <x v="0"/>
    <x v="1"/>
    <x v="1"/>
  </r>
  <r>
    <n v="1009114"/>
    <x v="1"/>
    <n v="9.6999999999999993"/>
    <n v="9.75"/>
    <n v="7.8"/>
    <x v="0"/>
    <x v="0"/>
    <x v="1"/>
    <x v="1"/>
  </r>
  <r>
    <n v="1009115"/>
    <x v="1"/>
    <n v="16.87"/>
    <n v="16.920000000000002"/>
    <n v="71.8"/>
    <x v="4"/>
    <x v="0"/>
    <x v="1"/>
    <x v="1"/>
  </r>
  <r>
    <n v="1009121"/>
    <x v="1"/>
    <n v="13.7"/>
    <n v="13.75"/>
    <n v="59.9"/>
    <x v="3"/>
    <x v="0"/>
    <x v="1"/>
    <x v="1"/>
  </r>
  <r>
    <n v="1009125"/>
    <x v="1"/>
    <n v="13.7"/>
    <n v="13.76"/>
    <n v="172.95"/>
    <x v="3"/>
    <x v="0"/>
    <x v="1"/>
    <x v="1"/>
  </r>
  <r>
    <n v="1009126"/>
    <x v="1"/>
    <n v="13.7"/>
    <n v="13.75"/>
    <n v="19.149999999999999"/>
    <x v="3"/>
    <x v="0"/>
    <x v="1"/>
    <x v="1"/>
  </r>
  <r>
    <n v="1009144"/>
    <x v="1"/>
    <n v="9.7100000000000009"/>
    <n v="0"/>
    <n v="6"/>
    <x v="0"/>
    <x v="0"/>
    <x v="0"/>
    <x v="0"/>
  </r>
  <r>
    <n v="1009165"/>
    <x v="1"/>
    <n v="9.6999999999999993"/>
    <n v="13.75"/>
    <n v="25.45"/>
    <x v="0"/>
    <x v="0"/>
    <x v="1"/>
    <x v="1"/>
  </r>
  <r>
    <n v="1009168"/>
    <x v="1"/>
    <n v="12.81"/>
    <n v="12.86"/>
    <n v="137.69999999999999"/>
    <x v="3"/>
    <x v="0"/>
    <x v="1"/>
    <x v="1"/>
  </r>
  <r>
    <n v="1009170"/>
    <x v="1"/>
    <n v="15.44"/>
    <n v="15.49"/>
    <n v="9.9499999999999993"/>
    <x v="6"/>
    <x v="0"/>
    <x v="1"/>
    <x v="1"/>
  </r>
  <r>
    <n v="1009190"/>
    <x v="1"/>
    <n v="15.44"/>
    <n v="15.49"/>
    <n v="39.15"/>
    <x v="6"/>
    <x v="0"/>
    <x v="1"/>
    <x v="1"/>
  </r>
  <r>
    <n v="1009197"/>
    <x v="1"/>
    <n v="9.6999999999999993"/>
    <n v="9.75"/>
    <n v="148.35"/>
    <x v="0"/>
    <x v="0"/>
    <x v="1"/>
    <x v="1"/>
  </r>
  <r>
    <n v="1009205"/>
    <x v="1"/>
    <n v="13.26"/>
    <n v="13.31"/>
    <n v="193.55"/>
    <x v="3"/>
    <x v="0"/>
    <x v="1"/>
    <x v="1"/>
  </r>
  <r>
    <n v="1009214"/>
    <x v="1"/>
    <n v="9.7100000000000009"/>
    <n v="9.75"/>
    <n v="81"/>
    <x v="0"/>
    <x v="0"/>
    <x v="1"/>
    <x v="1"/>
  </r>
  <r>
    <n v="1009215"/>
    <x v="1"/>
    <n v="16.77"/>
    <n v="16.82"/>
    <n v="50.45"/>
    <x v="4"/>
    <x v="0"/>
    <x v="1"/>
    <x v="1"/>
  </r>
  <r>
    <n v="1009222"/>
    <x v="1"/>
    <n v="9.6999999999999993"/>
    <n v="9.75"/>
    <n v="40.950000000000003"/>
    <x v="0"/>
    <x v="0"/>
    <x v="1"/>
    <x v="1"/>
  </r>
  <r>
    <n v="1009223"/>
    <x v="1"/>
    <n v="13.7"/>
    <n v="0"/>
    <n v="316"/>
    <x v="3"/>
    <x v="1"/>
    <x v="2"/>
    <x v="1"/>
  </r>
  <r>
    <n v="1009224"/>
    <x v="1"/>
    <n v="23.33"/>
    <n v="24.61"/>
    <n v="99.9"/>
    <x v="9"/>
    <x v="0"/>
    <x v="1"/>
    <x v="1"/>
  </r>
  <r>
    <n v="1009228"/>
    <x v="1"/>
    <n v="13.6"/>
    <n v="13.65"/>
    <n v="84.6"/>
    <x v="10"/>
    <x v="0"/>
    <x v="1"/>
    <x v="1"/>
  </r>
  <r>
    <n v="1009234"/>
    <x v="1"/>
    <n v="12.81"/>
    <n v="0"/>
    <n v="208.35"/>
    <x v="3"/>
    <x v="1"/>
    <x v="2"/>
    <x v="1"/>
  </r>
  <r>
    <n v="1009239"/>
    <x v="1"/>
    <n v="9.6999999999999993"/>
    <n v="0"/>
    <n v="400"/>
    <x v="0"/>
    <x v="1"/>
    <x v="2"/>
    <x v="1"/>
  </r>
  <r>
    <n v="1009241"/>
    <x v="1"/>
    <n v="13.7"/>
    <n v="13.75"/>
    <n v="11.9"/>
    <x v="3"/>
    <x v="0"/>
    <x v="1"/>
    <x v="1"/>
  </r>
  <r>
    <n v="1009265"/>
    <x v="1"/>
    <n v="13.7"/>
    <n v="13.75"/>
    <n v="26.9"/>
    <x v="3"/>
    <x v="0"/>
    <x v="1"/>
    <x v="1"/>
  </r>
  <r>
    <n v="1009292"/>
    <x v="1"/>
    <n v="12.81"/>
    <n v="12.86"/>
    <n v="44.75"/>
    <x v="3"/>
    <x v="0"/>
    <x v="1"/>
    <x v="1"/>
  </r>
  <r>
    <n v="1009296"/>
    <x v="1"/>
    <n v="17.7"/>
    <n v="17.75"/>
    <n v="510.6"/>
    <x v="8"/>
    <x v="0"/>
    <x v="1"/>
    <x v="1"/>
  </r>
  <r>
    <n v="1009299"/>
    <x v="1"/>
    <n v="9.6999999999999993"/>
    <n v="0"/>
    <n v="208.95"/>
    <x v="0"/>
    <x v="1"/>
    <x v="2"/>
    <x v="1"/>
  </r>
  <r>
    <n v="1009352"/>
    <x v="1"/>
    <n v="9.6999999999999993"/>
    <n v="14.28"/>
    <n v="176.9"/>
    <x v="0"/>
    <x v="0"/>
    <x v="1"/>
    <x v="1"/>
  </r>
  <r>
    <n v="1009364"/>
    <x v="1"/>
    <n v="12.45"/>
    <n v="14.36"/>
    <n v="71.599999999999994"/>
    <x v="7"/>
    <x v="0"/>
    <x v="1"/>
    <x v="1"/>
  </r>
  <r>
    <n v="1009381"/>
    <x v="1"/>
    <n v="12.81"/>
    <n v="12.86"/>
    <n v="18.899999999999999"/>
    <x v="3"/>
    <x v="0"/>
    <x v="1"/>
    <x v="1"/>
  </r>
  <r>
    <n v="1009383"/>
    <x v="1"/>
    <n v="12.45"/>
    <n v="16.61"/>
    <n v="9.9"/>
    <x v="7"/>
    <x v="0"/>
    <x v="1"/>
    <x v="1"/>
  </r>
  <r>
    <n v="1009386"/>
    <x v="1"/>
    <n v="16.77"/>
    <n v="16.82"/>
    <n v="151.35"/>
    <x v="4"/>
    <x v="0"/>
    <x v="1"/>
    <x v="1"/>
  </r>
  <r>
    <n v="1009422"/>
    <x v="1"/>
    <n v="12.81"/>
    <n v="12.9"/>
    <n v="34.9"/>
    <x v="3"/>
    <x v="0"/>
    <x v="1"/>
    <x v="1"/>
  </r>
  <r>
    <n v="1009427"/>
    <x v="1"/>
    <n v="13.7"/>
    <n v="13.75"/>
    <n v="1.95"/>
    <x v="3"/>
    <x v="0"/>
    <x v="1"/>
    <x v="1"/>
  </r>
  <r>
    <n v="1009431"/>
    <x v="1"/>
    <n v="13.7"/>
    <n v="13.75"/>
    <n v="24.95"/>
    <x v="3"/>
    <x v="0"/>
    <x v="1"/>
    <x v="1"/>
  </r>
  <r>
    <n v="1009440"/>
    <x v="1"/>
    <n v="13.71"/>
    <n v="13.76"/>
    <n v="73.849999999999994"/>
    <x v="3"/>
    <x v="0"/>
    <x v="1"/>
    <x v="1"/>
  </r>
  <r>
    <n v="1009443"/>
    <x v="1"/>
    <n v="13.7"/>
    <n v="13.75"/>
    <n v="34.99"/>
    <x v="3"/>
    <x v="0"/>
    <x v="1"/>
    <x v="1"/>
  </r>
  <r>
    <n v="1009446"/>
    <x v="1"/>
    <n v="11.02"/>
    <n v="11.07"/>
    <n v="67.95"/>
    <x v="8"/>
    <x v="0"/>
    <x v="1"/>
    <x v="1"/>
  </r>
  <r>
    <n v="1009453"/>
    <x v="1"/>
    <n v="12.81"/>
    <n v="12.86"/>
    <n v="19.95"/>
    <x v="3"/>
    <x v="0"/>
    <x v="1"/>
    <x v="1"/>
  </r>
  <r>
    <n v="1009459"/>
    <x v="1"/>
    <n v="15.13"/>
    <n v="15.18"/>
    <n v="39.950000000000003"/>
    <x v="6"/>
    <x v="0"/>
    <x v="1"/>
    <x v="1"/>
  </r>
  <r>
    <n v="1009466"/>
    <x v="1"/>
    <n v="12.81"/>
    <n v="12.86"/>
    <n v="155.25"/>
    <x v="3"/>
    <x v="0"/>
    <x v="1"/>
    <x v="1"/>
  </r>
  <r>
    <n v="1009491"/>
    <x v="1"/>
    <n v="15.44"/>
    <n v="15.49"/>
    <n v="46.4"/>
    <x v="6"/>
    <x v="0"/>
    <x v="1"/>
    <x v="1"/>
  </r>
  <r>
    <n v="1009537"/>
    <x v="1"/>
    <n v="12.81"/>
    <n v="12.86"/>
    <n v="74.75"/>
    <x v="3"/>
    <x v="0"/>
    <x v="1"/>
    <x v="1"/>
  </r>
  <r>
    <n v="1009538"/>
    <x v="1"/>
    <n v="12.81"/>
    <n v="12.86"/>
    <n v="89.6"/>
    <x v="3"/>
    <x v="0"/>
    <x v="1"/>
    <x v="1"/>
  </r>
  <r>
    <n v="1009543"/>
    <x v="1"/>
    <n v="13.71"/>
    <n v="0"/>
    <n v="286.8"/>
    <x v="3"/>
    <x v="1"/>
    <x v="2"/>
    <x v="1"/>
  </r>
  <r>
    <n v="1009556"/>
    <x v="1"/>
    <n v="13.71"/>
    <n v="13.75"/>
    <n v="62.4"/>
    <x v="3"/>
    <x v="0"/>
    <x v="1"/>
    <x v="1"/>
  </r>
  <r>
    <n v="1009558"/>
    <x v="1"/>
    <n v="13.83"/>
    <n v="0"/>
    <n v="297.64999999999998"/>
    <x v="3"/>
    <x v="1"/>
    <x v="2"/>
    <x v="1"/>
  </r>
  <r>
    <n v="1009613"/>
    <x v="1"/>
    <n v="11.02"/>
    <n v="11.07"/>
    <n v="45.6"/>
    <x v="8"/>
    <x v="0"/>
    <x v="1"/>
    <x v="1"/>
  </r>
  <r>
    <n v="1009629"/>
    <x v="1"/>
    <n v="57.52"/>
    <n v="60.39"/>
    <n v="483.95"/>
    <x v="5"/>
    <x v="0"/>
    <x v="1"/>
    <x v="1"/>
  </r>
  <r>
    <n v="1009634"/>
    <x v="1"/>
    <n v="12.81"/>
    <n v="12.86"/>
    <n v="11.95"/>
    <x v="3"/>
    <x v="0"/>
    <x v="1"/>
    <x v="1"/>
  </r>
  <r>
    <n v="1009687"/>
    <x v="1"/>
    <n v="16.87"/>
    <n v="16.920000000000002"/>
    <n v="29.9"/>
    <x v="4"/>
    <x v="0"/>
    <x v="1"/>
    <x v="1"/>
  </r>
  <r>
    <n v="1009726"/>
    <x v="1"/>
    <n v="12.81"/>
    <n v="12.86"/>
    <n v="42.85"/>
    <x v="3"/>
    <x v="0"/>
    <x v="1"/>
    <x v="1"/>
  </r>
  <r>
    <n v="1009732"/>
    <x v="1"/>
    <n v="9.6999999999999993"/>
    <n v="9.75"/>
    <n v="39.950000000000003"/>
    <x v="0"/>
    <x v="0"/>
    <x v="1"/>
    <x v="1"/>
  </r>
  <r>
    <n v="1009737"/>
    <x v="1"/>
    <n v="12.81"/>
    <n v="12.86"/>
    <n v="40.85"/>
    <x v="3"/>
    <x v="0"/>
    <x v="1"/>
    <x v="1"/>
  </r>
  <r>
    <n v="1009743"/>
    <x v="1"/>
    <n v="13.7"/>
    <n v="13.75"/>
    <n v="58.8"/>
    <x v="3"/>
    <x v="0"/>
    <x v="1"/>
    <x v="1"/>
  </r>
  <r>
    <n v="1009748"/>
    <x v="1"/>
    <n v="9.6999999999999993"/>
    <n v="12.86"/>
    <n v="20"/>
    <x v="0"/>
    <x v="0"/>
    <x v="1"/>
    <x v="1"/>
  </r>
  <r>
    <n v="1009755"/>
    <x v="1"/>
    <n v="13.71"/>
    <n v="14.15"/>
    <n v="78.599999999999994"/>
    <x v="3"/>
    <x v="0"/>
    <x v="1"/>
    <x v="1"/>
  </r>
  <r>
    <n v="1009769"/>
    <x v="1"/>
    <n v="59.75"/>
    <n v="59.8"/>
    <n v="124.95"/>
    <x v="2"/>
    <x v="0"/>
    <x v="1"/>
    <x v="1"/>
  </r>
  <r>
    <n v="1009775"/>
    <x v="1"/>
    <n v="15.44"/>
    <n v="15.49"/>
    <n v="4.95"/>
    <x v="6"/>
    <x v="0"/>
    <x v="1"/>
    <x v="1"/>
  </r>
  <r>
    <n v="1009800"/>
    <x v="1"/>
    <n v="74.86"/>
    <n v="88.95"/>
    <n v="131.15"/>
    <x v="5"/>
    <x v="0"/>
    <x v="1"/>
    <x v="1"/>
  </r>
  <r>
    <n v="1009805"/>
    <x v="1"/>
    <n v="9.6999999999999993"/>
    <n v="12.86"/>
    <n v="19.899999999999999"/>
    <x v="0"/>
    <x v="0"/>
    <x v="1"/>
    <x v="1"/>
  </r>
  <r>
    <n v="1009819"/>
    <x v="1"/>
    <n v="12.81"/>
    <n v="12.86"/>
    <n v="37.5"/>
    <x v="3"/>
    <x v="0"/>
    <x v="1"/>
    <x v="1"/>
  </r>
  <r>
    <n v="1009830"/>
    <x v="1"/>
    <n v="15.13"/>
    <n v="15.18"/>
    <n v="14.95"/>
    <x v="6"/>
    <x v="0"/>
    <x v="1"/>
    <x v="1"/>
  </r>
  <r>
    <n v="1009844"/>
    <x v="1"/>
    <n v="12.81"/>
    <n v="12.86"/>
    <n v="9.9499999999999993"/>
    <x v="3"/>
    <x v="0"/>
    <x v="1"/>
    <x v="1"/>
  </r>
  <r>
    <n v="1009848"/>
    <x v="1"/>
    <n v="19.940000000000001"/>
    <n v="18.97"/>
    <n v="146.80000000000001"/>
    <x v="9"/>
    <x v="0"/>
    <x v="0"/>
    <x v="16"/>
  </r>
  <r>
    <n v="1009855"/>
    <x v="1"/>
    <n v="15.44"/>
    <n v="15.49"/>
    <n v="48.7"/>
    <x v="6"/>
    <x v="0"/>
    <x v="1"/>
    <x v="1"/>
  </r>
  <r>
    <n v="1009876"/>
    <x v="1"/>
    <n v="12.81"/>
    <n v="12.86"/>
    <n v="70.400000000000006"/>
    <x v="3"/>
    <x v="0"/>
    <x v="1"/>
    <x v="1"/>
  </r>
  <r>
    <n v="1009878"/>
    <x v="1"/>
    <n v="12.81"/>
    <n v="12.86"/>
    <n v="49.95"/>
    <x v="3"/>
    <x v="0"/>
    <x v="1"/>
    <x v="1"/>
  </r>
  <r>
    <n v="1009879"/>
    <x v="1"/>
    <n v="12.81"/>
    <n v="12.86"/>
    <n v="9.9"/>
    <x v="3"/>
    <x v="0"/>
    <x v="1"/>
    <x v="1"/>
  </r>
  <r>
    <n v="1009907"/>
    <x v="1"/>
    <n v="12.81"/>
    <n v="12.86"/>
    <n v="5"/>
    <x v="3"/>
    <x v="0"/>
    <x v="1"/>
    <x v="1"/>
  </r>
  <r>
    <n v="1009943"/>
    <x v="1"/>
    <n v="12.81"/>
    <n v="12.86"/>
    <n v="130.15"/>
    <x v="3"/>
    <x v="0"/>
    <x v="1"/>
    <x v="1"/>
  </r>
  <r>
    <n v="1009948"/>
    <x v="1"/>
    <n v="12.56"/>
    <n v="0"/>
    <n v="953.9"/>
    <x v="0"/>
    <x v="1"/>
    <x v="2"/>
    <x v="1"/>
  </r>
  <r>
    <n v="1009966"/>
    <x v="1"/>
    <n v="13.7"/>
    <n v="13.75"/>
    <n v="64.95"/>
    <x v="3"/>
    <x v="0"/>
    <x v="1"/>
    <x v="1"/>
  </r>
  <r>
    <n v="1009969"/>
    <x v="1"/>
    <n v="12.81"/>
    <n v="12.86"/>
    <n v="6.9"/>
    <x v="3"/>
    <x v="0"/>
    <x v="1"/>
    <x v="1"/>
  </r>
  <r>
    <n v="1009971"/>
    <x v="1"/>
    <n v="13.7"/>
    <n v="13.75"/>
    <n v="59.75"/>
    <x v="3"/>
    <x v="0"/>
    <x v="1"/>
    <x v="1"/>
  </r>
  <r>
    <n v="1009981"/>
    <x v="1"/>
    <n v="13.7"/>
    <n v="13.75"/>
    <n v="18.05"/>
    <x v="3"/>
    <x v="0"/>
    <x v="1"/>
    <x v="1"/>
  </r>
  <r>
    <n v="1009995"/>
    <x v="1"/>
    <n v="13.7"/>
    <n v="13.75"/>
    <n v="99.9"/>
    <x v="3"/>
    <x v="0"/>
    <x v="1"/>
    <x v="1"/>
  </r>
  <r>
    <n v="1010020"/>
    <x v="1"/>
    <n v="12.81"/>
    <n v="0"/>
    <n v="261.45"/>
    <x v="3"/>
    <x v="1"/>
    <x v="2"/>
    <x v="1"/>
  </r>
  <r>
    <n v="1010025"/>
    <x v="1"/>
    <n v="26.7"/>
    <n v="13.79"/>
    <n v="123.85"/>
    <x v="3"/>
    <x v="0"/>
    <x v="0"/>
    <x v="17"/>
  </r>
  <r>
    <n v="1010050"/>
    <x v="1"/>
    <n v="12.81"/>
    <n v="0"/>
    <n v="238.2"/>
    <x v="3"/>
    <x v="1"/>
    <x v="2"/>
    <x v="1"/>
  </r>
  <r>
    <n v="1010056"/>
    <x v="1"/>
    <n v="13.09"/>
    <n v="0"/>
    <n v="404.15"/>
    <x v="3"/>
    <x v="1"/>
    <x v="2"/>
    <x v="1"/>
  </r>
  <r>
    <n v="1010057"/>
    <x v="1"/>
    <n v="13.7"/>
    <n v="0"/>
    <n v="204.35"/>
    <x v="3"/>
    <x v="1"/>
    <x v="2"/>
    <x v="1"/>
  </r>
  <r>
    <n v="1010097"/>
    <x v="1"/>
    <n v="9.6999999999999993"/>
    <n v="9.75"/>
    <n v="29.7"/>
    <x v="0"/>
    <x v="0"/>
    <x v="1"/>
    <x v="1"/>
  </r>
  <r>
    <n v="1010105"/>
    <x v="1"/>
    <n v="12.81"/>
    <n v="12.86"/>
    <n v="95.8"/>
    <x v="3"/>
    <x v="0"/>
    <x v="1"/>
    <x v="1"/>
  </r>
  <r>
    <n v="1010133"/>
    <x v="1"/>
    <n v="13.7"/>
    <n v="13.75"/>
    <n v="11.95"/>
    <x v="3"/>
    <x v="0"/>
    <x v="1"/>
    <x v="1"/>
  </r>
  <r>
    <n v="1010143"/>
    <x v="1"/>
    <n v="12.81"/>
    <n v="13.02"/>
    <n v="70.55"/>
    <x v="3"/>
    <x v="0"/>
    <x v="1"/>
    <x v="1"/>
  </r>
  <r>
    <n v="1010209"/>
    <x v="1"/>
    <n v="13.7"/>
    <n v="13.75"/>
    <n v="38.700000000000003"/>
    <x v="3"/>
    <x v="0"/>
    <x v="1"/>
    <x v="1"/>
  </r>
  <r>
    <n v="1010211"/>
    <x v="1"/>
    <n v="15.44"/>
    <n v="15.49"/>
    <n v="9.9"/>
    <x v="6"/>
    <x v="0"/>
    <x v="1"/>
    <x v="1"/>
  </r>
  <r>
    <n v="1010232"/>
    <x v="1"/>
    <n v="12.81"/>
    <n v="13.31"/>
    <n v="29.5"/>
    <x v="3"/>
    <x v="0"/>
    <x v="1"/>
    <x v="1"/>
  </r>
  <r>
    <n v="1010236"/>
    <x v="1"/>
    <n v="16.46"/>
    <n v="16.510000000000002"/>
    <n v="36.75"/>
    <x v="4"/>
    <x v="0"/>
    <x v="1"/>
    <x v="1"/>
  </r>
  <r>
    <n v="1010237"/>
    <x v="1"/>
    <n v="12.81"/>
    <n v="12.86"/>
    <n v="39.950000000000003"/>
    <x v="3"/>
    <x v="0"/>
    <x v="1"/>
    <x v="1"/>
  </r>
  <r>
    <n v="1010257"/>
    <x v="1"/>
    <n v="18.46"/>
    <n v="20.3"/>
    <n v="144.5"/>
    <x v="9"/>
    <x v="0"/>
    <x v="1"/>
    <x v="1"/>
  </r>
  <r>
    <n v="1010282"/>
    <x v="1"/>
    <n v="67.25"/>
    <n v="67.3"/>
    <n v="247.3"/>
    <x v="2"/>
    <x v="0"/>
    <x v="1"/>
    <x v="1"/>
  </r>
  <r>
    <n v="1010315"/>
    <x v="1"/>
    <n v="67.459999999999994"/>
    <n v="67.510000000000005"/>
    <n v="299.7"/>
    <x v="2"/>
    <x v="0"/>
    <x v="1"/>
    <x v="1"/>
  </r>
  <r>
    <n v="1010342"/>
    <x v="1"/>
    <n v="12.81"/>
    <n v="12.86"/>
    <n v="49.9"/>
    <x v="3"/>
    <x v="0"/>
    <x v="1"/>
    <x v="1"/>
  </r>
  <r>
    <n v="1010343"/>
    <x v="1"/>
    <n v="13.7"/>
    <n v="13.75"/>
    <n v="29.7"/>
    <x v="3"/>
    <x v="0"/>
    <x v="1"/>
    <x v="1"/>
  </r>
  <r>
    <n v="1010344"/>
    <x v="1"/>
    <n v="18.46"/>
    <n v="18.510000000000002"/>
    <n v="44.95"/>
    <x v="9"/>
    <x v="0"/>
    <x v="1"/>
    <x v="1"/>
  </r>
  <r>
    <n v="1010356"/>
    <x v="1"/>
    <n v="13.7"/>
    <n v="13.75"/>
    <n v="39.75"/>
    <x v="3"/>
    <x v="0"/>
    <x v="1"/>
    <x v="1"/>
  </r>
  <r>
    <n v="1010360"/>
    <x v="1"/>
    <n v="13.26"/>
    <n v="0"/>
    <n v="218.8"/>
    <x v="3"/>
    <x v="1"/>
    <x v="2"/>
    <x v="1"/>
  </r>
  <r>
    <n v="1010383"/>
    <x v="1"/>
    <n v="12.81"/>
    <n v="12.86"/>
    <n v="39.9"/>
    <x v="3"/>
    <x v="0"/>
    <x v="1"/>
    <x v="1"/>
  </r>
  <r>
    <n v="1010404"/>
    <x v="1"/>
    <n v="16.399999999999999"/>
    <n v="16.45"/>
    <n v="19.95"/>
    <x v="6"/>
    <x v="0"/>
    <x v="1"/>
    <x v="1"/>
  </r>
  <r>
    <n v="1010423"/>
    <x v="1"/>
    <n v="13.7"/>
    <n v="13.75"/>
    <n v="14.45"/>
    <x v="3"/>
    <x v="0"/>
    <x v="1"/>
    <x v="1"/>
  </r>
  <r>
    <n v="1010458"/>
    <x v="1"/>
    <n v="13.7"/>
    <n v="13.75"/>
    <n v="24.9"/>
    <x v="3"/>
    <x v="0"/>
    <x v="1"/>
    <x v="1"/>
  </r>
  <r>
    <n v="1010464"/>
    <x v="1"/>
    <n v="9.6999999999999993"/>
    <n v="9.75"/>
    <n v="16.899999999999999"/>
    <x v="0"/>
    <x v="0"/>
    <x v="1"/>
    <x v="1"/>
  </r>
  <r>
    <n v="1010478"/>
    <x v="1"/>
    <n v="11.02"/>
    <n v="11.07"/>
    <n v="9.9499999999999993"/>
    <x v="8"/>
    <x v="0"/>
    <x v="1"/>
    <x v="1"/>
  </r>
  <r>
    <n v="1010530"/>
    <x v="1"/>
    <n v="13.7"/>
    <n v="13.75"/>
    <n v="63.9"/>
    <x v="3"/>
    <x v="0"/>
    <x v="1"/>
    <x v="1"/>
  </r>
  <r>
    <n v="1010541"/>
    <x v="1"/>
    <n v="15.44"/>
    <n v="15.49"/>
    <n v="48.75"/>
    <x v="6"/>
    <x v="0"/>
    <x v="1"/>
    <x v="1"/>
  </r>
  <r>
    <n v="1010542"/>
    <x v="1"/>
    <n v="12.81"/>
    <n v="0"/>
    <n v="206.5"/>
    <x v="3"/>
    <x v="1"/>
    <x v="2"/>
    <x v="1"/>
  </r>
  <r>
    <n v="1010543"/>
    <x v="1"/>
    <n v="13.7"/>
    <n v="13.75"/>
    <n v="34.75"/>
    <x v="3"/>
    <x v="0"/>
    <x v="1"/>
    <x v="1"/>
  </r>
  <r>
    <n v="1010554"/>
    <x v="1"/>
    <n v="12.81"/>
    <n v="12.86"/>
    <n v="35.1"/>
    <x v="3"/>
    <x v="0"/>
    <x v="1"/>
    <x v="1"/>
  </r>
  <r>
    <n v="1010558"/>
    <x v="1"/>
    <n v="12.81"/>
    <n v="12.86"/>
    <n v="63"/>
    <x v="3"/>
    <x v="0"/>
    <x v="1"/>
    <x v="1"/>
  </r>
  <r>
    <n v="1010589"/>
    <x v="1"/>
    <n v="12.81"/>
    <n v="12.86"/>
    <n v="17.899999999999999"/>
    <x v="3"/>
    <x v="0"/>
    <x v="1"/>
    <x v="1"/>
  </r>
  <r>
    <n v="1010590"/>
    <x v="1"/>
    <n v="13.7"/>
    <n v="13.75"/>
    <n v="27.95"/>
    <x v="3"/>
    <x v="0"/>
    <x v="1"/>
    <x v="1"/>
  </r>
  <r>
    <n v="1010593"/>
    <x v="1"/>
    <n v="13.7"/>
    <n v="13.76"/>
    <n v="35.75"/>
    <x v="3"/>
    <x v="0"/>
    <x v="1"/>
    <x v="1"/>
  </r>
  <r>
    <n v="1010605"/>
    <x v="1"/>
    <n v="9.6999999999999993"/>
    <n v="9.75"/>
    <n v="24.95"/>
    <x v="0"/>
    <x v="0"/>
    <x v="1"/>
    <x v="1"/>
  </r>
  <r>
    <n v="1010615"/>
    <x v="1"/>
    <n v="12.81"/>
    <n v="12.86"/>
    <n v="64.150000000000006"/>
    <x v="3"/>
    <x v="0"/>
    <x v="1"/>
    <x v="1"/>
  </r>
  <r>
    <n v="1010631"/>
    <x v="1"/>
    <n v="12.81"/>
    <n v="12.86"/>
    <n v="72.25"/>
    <x v="3"/>
    <x v="0"/>
    <x v="1"/>
    <x v="1"/>
  </r>
  <r>
    <n v="1010646"/>
    <x v="1"/>
    <n v="13.7"/>
    <n v="13.75"/>
    <n v="81.8"/>
    <x v="3"/>
    <x v="0"/>
    <x v="1"/>
    <x v="1"/>
  </r>
  <r>
    <n v="1010675"/>
    <x v="1"/>
    <n v="13.7"/>
    <n v="14.15"/>
    <n v="114.95"/>
    <x v="3"/>
    <x v="0"/>
    <x v="1"/>
    <x v="1"/>
  </r>
  <r>
    <n v="1010700"/>
    <x v="1"/>
    <n v="16.46"/>
    <n v="16.510000000000002"/>
    <n v="75"/>
    <x v="4"/>
    <x v="0"/>
    <x v="1"/>
    <x v="1"/>
  </r>
  <r>
    <n v="1010720"/>
    <x v="1"/>
    <n v="16.77"/>
    <n v="16.82"/>
    <n v="82.75"/>
    <x v="4"/>
    <x v="0"/>
    <x v="1"/>
    <x v="1"/>
  </r>
  <r>
    <n v="1010729"/>
    <x v="1"/>
    <n v="13.7"/>
    <n v="13.76"/>
    <n v="89.4"/>
    <x v="3"/>
    <x v="0"/>
    <x v="1"/>
    <x v="1"/>
  </r>
  <r>
    <n v="1010757"/>
    <x v="1"/>
    <n v="12.81"/>
    <n v="12.86"/>
    <n v="24.95"/>
    <x v="3"/>
    <x v="0"/>
    <x v="1"/>
    <x v="1"/>
  </r>
  <r>
    <n v="1010782"/>
    <x v="1"/>
    <n v="12.81"/>
    <n v="12.86"/>
    <n v="49.85"/>
    <x v="3"/>
    <x v="0"/>
    <x v="1"/>
    <x v="1"/>
  </r>
  <r>
    <n v="1010789"/>
    <x v="1"/>
    <n v="16.559999999999999"/>
    <n v="16.61"/>
    <n v="13.5"/>
    <x v="4"/>
    <x v="0"/>
    <x v="1"/>
    <x v="1"/>
  </r>
  <r>
    <n v="1010792"/>
    <x v="1"/>
    <n v="77.73"/>
    <n v="77.78"/>
    <n v="309.60000000000002"/>
    <x v="2"/>
    <x v="0"/>
    <x v="1"/>
    <x v="1"/>
  </r>
  <r>
    <n v="1010797"/>
    <x v="1"/>
    <n v="12.81"/>
    <n v="12.86"/>
    <n v="8.6999999999999993"/>
    <x v="3"/>
    <x v="0"/>
    <x v="1"/>
    <x v="1"/>
  </r>
  <r>
    <n v="1010798"/>
    <x v="1"/>
    <n v="13.7"/>
    <n v="13.75"/>
    <n v="54.75"/>
    <x v="3"/>
    <x v="0"/>
    <x v="1"/>
    <x v="1"/>
  </r>
  <r>
    <n v="1010812"/>
    <x v="1"/>
    <n v="16.77"/>
    <n v="16.82"/>
    <n v="3.95"/>
    <x v="4"/>
    <x v="0"/>
    <x v="1"/>
    <x v="1"/>
  </r>
  <r>
    <n v="1010819"/>
    <x v="1"/>
    <n v="12.81"/>
    <n v="12.9"/>
    <n v="55.7"/>
    <x v="3"/>
    <x v="0"/>
    <x v="1"/>
    <x v="1"/>
  </r>
  <r>
    <n v="1010825"/>
    <x v="1"/>
    <n v="13.7"/>
    <n v="13.75"/>
    <n v="19.95"/>
    <x v="3"/>
    <x v="0"/>
    <x v="1"/>
    <x v="1"/>
  </r>
  <r>
    <n v="1010840"/>
    <x v="1"/>
    <n v="13.7"/>
    <n v="13.75"/>
    <n v="64.55"/>
    <x v="3"/>
    <x v="0"/>
    <x v="1"/>
    <x v="1"/>
  </r>
  <r>
    <n v="1010841"/>
    <x v="1"/>
    <n v="12.81"/>
    <n v="12.86"/>
    <n v="19.95"/>
    <x v="3"/>
    <x v="0"/>
    <x v="1"/>
    <x v="1"/>
  </r>
  <r>
    <n v="1010845"/>
    <x v="1"/>
    <n v="15.13"/>
    <n v="15.18"/>
    <n v="44.95"/>
    <x v="6"/>
    <x v="0"/>
    <x v="1"/>
    <x v="1"/>
  </r>
  <r>
    <n v="1010851"/>
    <x v="1"/>
    <n v="72.02"/>
    <n v="59.07"/>
    <n v="193.15"/>
    <x v="2"/>
    <x v="0"/>
    <x v="0"/>
    <x v="18"/>
  </r>
  <r>
    <n v="1010868"/>
    <x v="1"/>
    <n v="18.05"/>
    <n v="18.100000000000001"/>
    <n v="145.1"/>
    <x v="4"/>
    <x v="0"/>
    <x v="1"/>
    <x v="1"/>
  </r>
  <r>
    <n v="1010888"/>
    <x v="1"/>
    <n v="15.44"/>
    <n v="15.49"/>
    <n v="26.5"/>
    <x v="6"/>
    <x v="0"/>
    <x v="1"/>
    <x v="1"/>
  </r>
  <r>
    <n v="1010901"/>
    <x v="1"/>
    <n v="12.81"/>
    <n v="12.86"/>
    <n v="34.700000000000003"/>
    <x v="3"/>
    <x v="0"/>
    <x v="1"/>
    <x v="1"/>
  </r>
  <r>
    <n v="1010903"/>
    <x v="1"/>
    <n v="12.81"/>
    <n v="12.86"/>
    <n v="19.899999999999999"/>
    <x v="3"/>
    <x v="0"/>
    <x v="1"/>
    <x v="1"/>
  </r>
  <r>
    <n v="1010918"/>
    <x v="1"/>
    <n v="13.7"/>
    <n v="13.75"/>
    <n v="6"/>
    <x v="3"/>
    <x v="0"/>
    <x v="1"/>
    <x v="1"/>
  </r>
  <r>
    <n v="1010920"/>
    <x v="1"/>
    <n v="20.100000000000001"/>
    <n v="24.57"/>
    <n v="36.6"/>
    <x v="10"/>
    <x v="0"/>
    <x v="1"/>
    <x v="1"/>
  </r>
  <r>
    <n v="1010924"/>
    <x v="1"/>
    <n v="12.81"/>
    <n v="12.86"/>
    <n v="93.65"/>
    <x v="3"/>
    <x v="0"/>
    <x v="1"/>
    <x v="1"/>
  </r>
  <r>
    <n v="1010946"/>
    <x v="1"/>
    <n v="15.13"/>
    <n v="16.45"/>
    <n v="23.75"/>
    <x v="6"/>
    <x v="0"/>
    <x v="1"/>
    <x v="1"/>
  </r>
  <r>
    <n v="1010949"/>
    <x v="1"/>
    <n v="27.81"/>
    <n v="32.69"/>
    <n v="93.65"/>
    <x v="7"/>
    <x v="0"/>
    <x v="1"/>
    <x v="1"/>
  </r>
  <r>
    <n v="1010989"/>
    <x v="1"/>
    <n v="12.81"/>
    <n v="12.86"/>
    <n v="109.95"/>
    <x v="3"/>
    <x v="0"/>
    <x v="1"/>
    <x v="1"/>
  </r>
  <r>
    <n v="1010998"/>
    <x v="1"/>
    <n v="12.81"/>
    <n v="12.86"/>
    <n v="91.65"/>
    <x v="3"/>
    <x v="0"/>
    <x v="1"/>
    <x v="1"/>
  </r>
  <r>
    <n v="1011012"/>
    <x v="1"/>
    <n v="71.73"/>
    <n v="75.53"/>
    <n v="134.9"/>
    <x v="5"/>
    <x v="0"/>
    <x v="1"/>
    <x v="1"/>
  </r>
  <r>
    <n v="1011027"/>
    <x v="1"/>
    <n v="9.6999999999999993"/>
    <n v="12.86"/>
    <n v="82.8"/>
    <x v="0"/>
    <x v="0"/>
    <x v="1"/>
    <x v="1"/>
  </r>
  <r>
    <n v="1011049"/>
    <x v="1"/>
    <n v="12.81"/>
    <n v="12.86"/>
    <n v="58.8"/>
    <x v="3"/>
    <x v="0"/>
    <x v="1"/>
    <x v="1"/>
  </r>
  <r>
    <n v="1011054"/>
    <x v="1"/>
    <n v="13.7"/>
    <n v="13.75"/>
    <n v="60.8"/>
    <x v="3"/>
    <x v="0"/>
    <x v="1"/>
    <x v="1"/>
  </r>
  <r>
    <n v="1011069"/>
    <x v="1"/>
    <n v="16.87"/>
    <n v="16.920000000000002"/>
    <n v="39.950000000000003"/>
    <x v="4"/>
    <x v="0"/>
    <x v="1"/>
    <x v="1"/>
  </r>
  <r>
    <n v="1011107"/>
    <x v="1"/>
    <n v="12.81"/>
    <n v="12.86"/>
    <n v="132.65"/>
    <x v="3"/>
    <x v="0"/>
    <x v="1"/>
    <x v="1"/>
  </r>
  <r>
    <n v="1011124"/>
    <x v="1"/>
    <n v="12.35"/>
    <n v="12.4"/>
    <n v="54.8"/>
    <x v="7"/>
    <x v="0"/>
    <x v="1"/>
    <x v="1"/>
  </r>
  <r>
    <n v="1011130"/>
    <x v="1"/>
    <n v="19.22"/>
    <n v="19.27"/>
    <n v="5.95"/>
    <x v="10"/>
    <x v="0"/>
    <x v="1"/>
    <x v="1"/>
  </r>
  <r>
    <n v="1011131"/>
    <x v="1"/>
    <n v="9.6999999999999993"/>
    <n v="9.75"/>
    <n v="87.9"/>
    <x v="0"/>
    <x v="0"/>
    <x v="1"/>
    <x v="1"/>
  </r>
  <r>
    <n v="1011149"/>
    <x v="1"/>
    <n v="9.6999999999999993"/>
    <n v="9.75"/>
    <n v="143.6"/>
    <x v="0"/>
    <x v="0"/>
    <x v="1"/>
    <x v="1"/>
  </r>
  <r>
    <n v="1011154"/>
    <x v="1"/>
    <n v="13.7"/>
    <n v="13.75"/>
    <n v="39.950000000000003"/>
    <x v="3"/>
    <x v="0"/>
    <x v="1"/>
    <x v="1"/>
  </r>
  <r>
    <n v="1011170"/>
    <x v="1"/>
    <n v="12.81"/>
    <n v="12.9"/>
    <n v="50.3"/>
    <x v="3"/>
    <x v="0"/>
    <x v="1"/>
    <x v="1"/>
  </r>
  <r>
    <n v="1011172"/>
    <x v="1"/>
    <n v="12.81"/>
    <n v="12.86"/>
    <n v="23.95"/>
    <x v="3"/>
    <x v="0"/>
    <x v="1"/>
    <x v="1"/>
  </r>
  <r>
    <n v="1011179"/>
    <x v="1"/>
    <n v="24.22"/>
    <n v="24.27"/>
    <n v="9.9499999999999993"/>
    <x v="9"/>
    <x v="0"/>
    <x v="1"/>
    <x v="1"/>
  </r>
  <r>
    <n v="1011186"/>
    <x v="1"/>
    <n v="9.6999999999999993"/>
    <n v="9.75"/>
    <n v="44.9"/>
    <x v="0"/>
    <x v="0"/>
    <x v="1"/>
    <x v="1"/>
  </r>
  <r>
    <n v="1011190"/>
    <x v="1"/>
    <n v="13.7"/>
    <n v="13.75"/>
    <n v="62.8"/>
    <x v="3"/>
    <x v="0"/>
    <x v="1"/>
    <x v="1"/>
  </r>
  <r>
    <n v="1011193"/>
    <x v="1"/>
    <n v="12.81"/>
    <n v="12.86"/>
    <n v="51.15"/>
    <x v="3"/>
    <x v="0"/>
    <x v="1"/>
    <x v="1"/>
  </r>
  <r>
    <n v="1011201"/>
    <x v="1"/>
    <n v="12.81"/>
    <n v="12.86"/>
    <n v="39.85"/>
    <x v="3"/>
    <x v="0"/>
    <x v="1"/>
    <x v="1"/>
  </r>
  <r>
    <n v="1011218"/>
    <x v="1"/>
    <n v="13.7"/>
    <n v="13.75"/>
    <n v="53.5"/>
    <x v="3"/>
    <x v="0"/>
    <x v="1"/>
    <x v="1"/>
  </r>
  <r>
    <n v="1011220"/>
    <x v="1"/>
    <n v="9.6999999999999993"/>
    <n v="9.75"/>
    <n v="59.95"/>
    <x v="0"/>
    <x v="0"/>
    <x v="1"/>
    <x v="1"/>
  </r>
  <r>
    <n v="1011226"/>
    <x v="1"/>
    <n v="9.6999999999999993"/>
    <n v="9.75"/>
    <n v="17.5"/>
    <x v="0"/>
    <x v="0"/>
    <x v="1"/>
    <x v="1"/>
  </r>
  <r>
    <n v="1011232"/>
    <x v="1"/>
    <n v="9.6999999999999993"/>
    <n v="9.75"/>
    <n v="19.899999999999999"/>
    <x v="0"/>
    <x v="0"/>
    <x v="1"/>
    <x v="1"/>
  </r>
  <r>
    <n v="1011267"/>
    <x v="1"/>
    <n v="15.13"/>
    <n v="15.18"/>
    <n v="41.75"/>
    <x v="6"/>
    <x v="0"/>
    <x v="1"/>
    <x v="1"/>
  </r>
  <r>
    <n v="1011294"/>
    <x v="1"/>
    <n v="12.81"/>
    <n v="12.86"/>
    <n v="54.45"/>
    <x v="3"/>
    <x v="0"/>
    <x v="1"/>
    <x v="1"/>
  </r>
  <r>
    <n v="1011301"/>
    <x v="1"/>
    <n v="12.81"/>
    <n v="12.86"/>
    <n v="121.9"/>
    <x v="3"/>
    <x v="0"/>
    <x v="1"/>
    <x v="1"/>
  </r>
  <r>
    <n v="1011307"/>
    <x v="1"/>
    <n v="14.23"/>
    <n v="0"/>
    <n v="258.8"/>
    <x v="3"/>
    <x v="1"/>
    <x v="2"/>
    <x v="1"/>
  </r>
  <r>
    <n v="1011346"/>
    <x v="1"/>
    <n v="12.81"/>
    <n v="12.86"/>
    <n v="22.4"/>
    <x v="3"/>
    <x v="0"/>
    <x v="1"/>
    <x v="1"/>
  </r>
  <r>
    <n v="1011350"/>
    <x v="1"/>
    <n v="12.81"/>
    <n v="12.86"/>
    <n v="30.35"/>
    <x v="3"/>
    <x v="0"/>
    <x v="1"/>
    <x v="1"/>
  </r>
  <r>
    <n v="1011360"/>
    <x v="1"/>
    <n v="9.6999999999999993"/>
    <n v="9.76"/>
    <n v="99.6"/>
    <x v="0"/>
    <x v="0"/>
    <x v="1"/>
    <x v="1"/>
  </r>
  <r>
    <n v="1011368"/>
    <x v="1"/>
    <n v="12.35"/>
    <n v="13.78"/>
    <n v="84.55"/>
    <x v="7"/>
    <x v="0"/>
    <x v="1"/>
    <x v="1"/>
  </r>
  <r>
    <n v="1011369"/>
    <x v="1"/>
    <n v="9.6999999999999993"/>
    <n v="9.75"/>
    <n v="31.9"/>
    <x v="0"/>
    <x v="0"/>
    <x v="1"/>
    <x v="1"/>
  </r>
  <r>
    <n v="1011379"/>
    <x v="1"/>
    <n v="9.6999999999999993"/>
    <n v="9.75"/>
    <n v="29.9"/>
    <x v="0"/>
    <x v="0"/>
    <x v="1"/>
    <x v="1"/>
  </r>
  <r>
    <n v="1011393"/>
    <x v="1"/>
    <n v="13.7"/>
    <n v="13.75"/>
    <n v="41.9"/>
    <x v="3"/>
    <x v="0"/>
    <x v="1"/>
    <x v="1"/>
  </r>
  <r>
    <n v="1011416"/>
    <x v="1"/>
    <n v="10.26"/>
    <n v="0"/>
    <n v="394.5"/>
    <x v="0"/>
    <x v="1"/>
    <x v="2"/>
    <x v="1"/>
  </r>
  <r>
    <n v="1011433"/>
    <x v="1"/>
    <n v="13.71"/>
    <n v="13.76"/>
    <n v="54.1"/>
    <x v="3"/>
    <x v="0"/>
    <x v="1"/>
    <x v="1"/>
  </r>
  <r>
    <n v="1011439"/>
    <x v="1"/>
    <n v="20.100000000000001"/>
    <n v="20.149999999999999"/>
    <n v="10.32"/>
    <x v="10"/>
    <x v="0"/>
    <x v="1"/>
    <x v="1"/>
  </r>
  <r>
    <n v="1011441"/>
    <x v="1"/>
    <n v="12.81"/>
    <n v="12.86"/>
    <n v="53.05"/>
    <x v="3"/>
    <x v="0"/>
    <x v="1"/>
    <x v="1"/>
  </r>
  <r>
    <n v="1011461"/>
    <x v="1"/>
    <n v="18.36"/>
    <n v="18.41"/>
    <n v="238.41"/>
    <x v="4"/>
    <x v="0"/>
    <x v="1"/>
    <x v="1"/>
  </r>
  <r>
    <n v="1011496"/>
    <x v="1"/>
    <n v="13.7"/>
    <n v="13.75"/>
    <n v="89.85"/>
    <x v="3"/>
    <x v="0"/>
    <x v="1"/>
    <x v="1"/>
  </r>
  <r>
    <n v="1011503"/>
    <x v="1"/>
    <n v="12.81"/>
    <n v="0"/>
    <n v="200.2"/>
    <x v="3"/>
    <x v="1"/>
    <x v="2"/>
    <x v="1"/>
  </r>
  <r>
    <n v="1011509"/>
    <x v="1"/>
    <n v="9.6999999999999993"/>
    <n v="9.75"/>
    <n v="29.9"/>
    <x v="0"/>
    <x v="0"/>
    <x v="1"/>
    <x v="1"/>
  </r>
  <r>
    <n v="1011540"/>
    <x v="1"/>
    <n v="9.6999999999999993"/>
    <n v="9.75"/>
    <n v="33.85"/>
    <x v="0"/>
    <x v="0"/>
    <x v="1"/>
    <x v="1"/>
  </r>
  <r>
    <n v="1011550"/>
    <x v="1"/>
    <n v="12.81"/>
    <n v="12.86"/>
    <n v="141.94999999999999"/>
    <x v="3"/>
    <x v="0"/>
    <x v="1"/>
    <x v="1"/>
  </r>
  <r>
    <n v="1011561"/>
    <x v="1"/>
    <n v="12.81"/>
    <n v="12.86"/>
    <n v="54.25"/>
    <x v="3"/>
    <x v="0"/>
    <x v="1"/>
    <x v="1"/>
  </r>
  <r>
    <n v="1011573"/>
    <x v="1"/>
    <n v="13.6"/>
    <n v="13.65"/>
    <n v="29.9"/>
    <x v="10"/>
    <x v="0"/>
    <x v="1"/>
    <x v="1"/>
  </r>
  <r>
    <n v="1011576"/>
    <x v="1"/>
    <n v="9.6999999999999993"/>
    <n v="9.75"/>
    <n v="75.12"/>
    <x v="0"/>
    <x v="0"/>
    <x v="1"/>
    <x v="1"/>
  </r>
  <r>
    <n v="1011588"/>
    <x v="1"/>
    <n v="12.81"/>
    <n v="12.86"/>
    <n v="115.74"/>
    <x v="3"/>
    <x v="0"/>
    <x v="1"/>
    <x v="1"/>
  </r>
  <r>
    <n v="1011597"/>
    <x v="1"/>
    <n v="13.7"/>
    <n v="13.76"/>
    <n v="85"/>
    <x v="3"/>
    <x v="0"/>
    <x v="1"/>
    <x v="1"/>
  </r>
  <r>
    <n v="1011601"/>
    <x v="1"/>
    <n v="12.81"/>
    <n v="12.86"/>
    <n v="15.95"/>
    <x v="3"/>
    <x v="0"/>
    <x v="1"/>
    <x v="1"/>
  </r>
  <r>
    <n v="1011613"/>
    <x v="1"/>
    <n v="15.13"/>
    <n v="15.18"/>
    <n v="8.9"/>
    <x v="6"/>
    <x v="0"/>
    <x v="1"/>
    <x v="1"/>
  </r>
  <r>
    <n v="1011619"/>
    <x v="1"/>
    <n v="12.81"/>
    <n v="0"/>
    <n v="200.85"/>
    <x v="3"/>
    <x v="1"/>
    <x v="2"/>
    <x v="1"/>
  </r>
  <r>
    <n v="1011620"/>
    <x v="1"/>
    <n v="12.81"/>
    <n v="13.31"/>
    <n v="27.45"/>
    <x v="3"/>
    <x v="0"/>
    <x v="1"/>
    <x v="1"/>
  </r>
  <r>
    <n v="1011622"/>
    <x v="1"/>
    <n v="13.7"/>
    <n v="13.75"/>
    <n v="22.75"/>
    <x v="3"/>
    <x v="0"/>
    <x v="1"/>
    <x v="1"/>
  </r>
  <r>
    <n v="1011623"/>
    <x v="1"/>
    <n v="16.77"/>
    <n v="16.82"/>
    <n v="31.4"/>
    <x v="4"/>
    <x v="0"/>
    <x v="1"/>
    <x v="1"/>
  </r>
  <r>
    <n v="1011631"/>
    <x v="1"/>
    <n v="9.7100000000000009"/>
    <n v="13.75"/>
    <n v="36.450000000000003"/>
    <x v="0"/>
    <x v="0"/>
    <x v="1"/>
    <x v="1"/>
  </r>
  <r>
    <n v="1011649"/>
    <x v="1"/>
    <n v="15"/>
    <n v="0"/>
    <n v="1009.1"/>
    <x v="0"/>
    <x v="1"/>
    <x v="2"/>
    <x v="1"/>
  </r>
  <r>
    <n v="1011658"/>
    <x v="1"/>
    <n v="13.7"/>
    <n v="13.75"/>
    <n v="95.45"/>
    <x v="3"/>
    <x v="0"/>
    <x v="1"/>
    <x v="1"/>
  </r>
  <r>
    <n v="1011674"/>
    <x v="1"/>
    <n v="12.81"/>
    <n v="12.86"/>
    <n v="135.80000000000001"/>
    <x v="3"/>
    <x v="0"/>
    <x v="1"/>
    <x v="1"/>
  </r>
  <r>
    <n v="1011705"/>
    <x v="1"/>
    <n v="12.81"/>
    <n v="12.86"/>
    <n v="29.95"/>
    <x v="3"/>
    <x v="0"/>
    <x v="1"/>
    <x v="1"/>
  </r>
  <r>
    <n v="1011717"/>
    <x v="1"/>
    <n v="13.7"/>
    <n v="13.75"/>
    <n v="17.850000000000001"/>
    <x v="3"/>
    <x v="0"/>
    <x v="1"/>
    <x v="1"/>
  </r>
  <r>
    <n v="1011751"/>
    <x v="1"/>
    <n v="13.7"/>
    <n v="13.76"/>
    <n v="62.6"/>
    <x v="3"/>
    <x v="0"/>
    <x v="1"/>
    <x v="1"/>
  </r>
  <r>
    <n v="1011755"/>
    <x v="1"/>
    <n v="13.7"/>
    <n v="13.75"/>
    <n v="29.85"/>
    <x v="3"/>
    <x v="0"/>
    <x v="1"/>
    <x v="1"/>
  </r>
  <r>
    <n v="1011776"/>
    <x v="1"/>
    <n v="15.13"/>
    <n v="15.18"/>
    <n v="6.45"/>
    <x v="6"/>
    <x v="0"/>
    <x v="1"/>
    <x v="1"/>
  </r>
  <r>
    <n v="1011791"/>
    <x v="1"/>
    <n v="13.7"/>
    <n v="13.75"/>
    <n v="16.8"/>
    <x v="3"/>
    <x v="0"/>
    <x v="1"/>
    <x v="1"/>
  </r>
  <r>
    <n v="1011824"/>
    <x v="1"/>
    <n v="9.6999999999999993"/>
    <n v="9.75"/>
    <n v="44.95"/>
    <x v="0"/>
    <x v="0"/>
    <x v="1"/>
    <x v="1"/>
  </r>
  <r>
    <n v="1011828"/>
    <x v="1"/>
    <n v="9.6999999999999993"/>
    <n v="13.02"/>
    <n v="100"/>
    <x v="0"/>
    <x v="0"/>
    <x v="1"/>
    <x v="1"/>
  </r>
  <r>
    <n v="1011834"/>
    <x v="1"/>
    <n v="13.7"/>
    <n v="13.75"/>
    <n v="13.5"/>
    <x v="3"/>
    <x v="0"/>
    <x v="1"/>
    <x v="1"/>
  </r>
  <r>
    <n v="1011842"/>
    <x v="1"/>
    <n v="14.31"/>
    <n v="20.07"/>
    <n v="114.95"/>
    <x v="7"/>
    <x v="0"/>
    <x v="1"/>
    <x v="1"/>
  </r>
  <r>
    <n v="1011845"/>
    <x v="1"/>
    <n v="13.71"/>
    <n v="0"/>
    <n v="246.85"/>
    <x v="3"/>
    <x v="1"/>
    <x v="2"/>
    <x v="1"/>
  </r>
  <r>
    <n v="1011852"/>
    <x v="1"/>
    <n v="12.81"/>
    <n v="12.86"/>
    <n v="59.94"/>
    <x v="3"/>
    <x v="0"/>
    <x v="1"/>
    <x v="1"/>
  </r>
  <r>
    <n v="1011854"/>
    <x v="1"/>
    <n v="13.7"/>
    <n v="13.75"/>
    <n v="52.9"/>
    <x v="3"/>
    <x v="0"/>
    <x v="1"/>
    <x v="1"/>
  </r>
  <r>
    <n v="1011862"/>
    <x v="1"/>
    <n v="9.6999999999999993"/>
    <n v="12.86"/>
    <n v="47.45"/>
    <x v="0"/>
    <x v="0"/>
    <x v="1"/>
    <x v="1"/>
  </r>
  <r>
    <n v="1011882"/>
    <x v="1"/>
    <n v="13.7"/>
    <n v="13.75"/>
    <n v="66.849999999999994"/>
    <x v="3"/>
    <x v="0"/>
    <x v="1"/>
    <x v="1"/>
  </r>
  <r>
    <n v="1011883"/>
    <x v="1"/>
    <n v="16.71"/>
    <n v="20.61"/>
    <n v="144.9"/>
    <x v="6"/>
    <x v="0"/>
    <x v="1"/>
    <x v="1"/>
  </r>
  <r>
    <n v="1011886"/>
    <x v="1"/>
    <n v="15.44"/>
    <n v="15.49"/>
    <n v="100"/>
    <x v="6"/>
    <x v="0"/>
    <x v="1"/>
    <x v="1"/>
  </r>
  <r>
    <n v="1011900"/>
    <x v="1"/>
    <n v="12.81"/>
    <n v="12.86"/>
    <n v="11.9"/>
    <x v="3"/>
    <x v="0"/>
    <x v="1"/>
    <x v="1"/>
  </r>
  <r>
    <n v="1011915"/>
    <x v="1"/>
    <n v="12.81"/>
    <n v="12.86"/>
    <n v="36.75"/>
    <x v="3"/>
    <x v="0"/>
    <x v="1"/>
    <x v="1"/>
  </r>
  <r>
    <n v="1011924"/>
    <x v="1"/>
    <n v="12.81"/>
    <n v="12.86"/>
    <n v="24.95"/>
    <x v="3"/>
    <x v="0"/>
    <x v="1"/>
    <x v="1"/>
  </r>
  <r>
    <n v="1011928"/>
    <x v="1"/>
    <n v="12.81"/>
    <n v="13.09"/>
    <n v="69.900000000000006"/>
    <x v="3"/>
    <x v="0"/>
    <x v="1"/>
    <x v="1"/>
  </r>
  <r>
    <n v="1011937"/>
    <x v="1"/>
    <n v="9.6999999999999993"/>
    <n v="9.7899999999999991"/>
    <n v="133.4"/>
    <x v="0"/>
    <x v="0"/>
    <x v="1"/>
    <x v="1"/>
  </r>
  <r>
    <n v="1011942"/>
    <x v="1"/>
    <n v="9.6999999999999993"/>
    <n v="9.7899999999999991"/>
    <n v="50.2"/>
    <x v="0"/>
    <x v="0"/>
    <x v="1"/>
    <x v="1"/>
  </r>
  <r>
    <n v="1011955"/>
    <x v="1"/>
    <n v="14.04"/>
    <n v="14.09"/>
    <n v="49.95"/>
    <x v="10"/>
    <x v="0"/>
    <x v="1"/>
    <x v="1"/>
  </r>
  <r>
    <n v="1011958"/>
    <x v="1"/>
    <n v="13.7"/>
    <n v="13.75"/>
    <n v="64.95"/>
    <x v="3"/>
    <x v="0"/>
    <x v="1"/>
    <x v="1"/>
  </r>
  <r>
    <n v="1011979"/>
    <x v="1"/>
    <n v="12.81"/>
    <n v="14.28"/>
    <n v="99.95"/>
    <x v="3"/>
    <x v="0"/>
    <x v="1"/>
    <x v="1"/>
  </r>
  <r>
    <n v="1012022"/>
    <x v="1"/>
    <n v="13.7"/>
    <n v="13.75"/>
    <n v="32.15"/>
    <x v="3"/>
    <x v="0"/>
    <x v="1"/>
    <x v="1"/>
  </r>
  <r>
    <n v="1012024"/>
    <x v="1"/>
    <n v="12.81"/>
    <n v="12.86"/>
    <n v="52.8"/>
    <x v="3"/>
    <x v="0"/>
    <x v="1"/>
    <x v="1"/>
  </r>
  <r>
    <n v="1012025"/>
    <x v="1"/>
    <n v="15.44"/>
    <n v="15.49"/>
    <n v="70.05"/>
    <x v="6"/>
    <x v="0"/>
    <x v="1"/>
    <x v="1"/>
  </r>
  <r>
    <n v="1012045"/>
    <x v="1"/>
    <n v="15.13"/>
    <n v="15.18"/>
    <n v="15.55"/>
    <x v="6"/>
    <x v="0"/>
    <x v="1"/>
    <x v="1"/>
  </r>
  <r>
    <n v="1012049"/>
    <x v="1"/>
    <n v="23.64"/>
    <n v="23.69"/>
    <n v="127.7"/>
    <x v="9"/>
    <x v="0"/>
    <x v="1"/>
    <x v="1"/>
  </r>
  <r>
    <n v="1012072"/>
    <x v="1"/>
    <n v="13.7"/>
    <n v="13.75"/>
    <n v="27.85"/>
    <x v="3"/>
    <x v="0"/>
    <x v="1"/>
    <x v="1"/>
  </r>
  <r>
    <n v="1012147"/>
    <x v="1"/>
    <n v="60.67"/>
    <n v="60.72"/>
    <n v="25.9"/>
    <x v="5"/>
    <x v="0"/>
    <x v="1"/>
    <x v="1"/>
  </r>
  <r>
    <n v="1012174"/>
    <x v="1"/>
    <n v="13.7"/>
    <n v="14.56"/>
    <n v="99.95"/>
    <x v="3"/>
    <x v="0"/>
    <x v="1"/>
    <x v="1"/>
  </r>
  <r>
    <n v="1012202"/>
    <x v="1"/>
    <n v="11.02"/>
    <n v="11.07"/>
    <n v="8.9499999999999993"/>
    <x v="8"/>
    <x v="0"/>
    <x v="1"/>
    <x v="1"/>
  </r>
  <r>
    <n v="1012203"/>
    <x v="1"/>
    <n v="12.81"/>
    <n v="12.86"/>
    <n v="85.45"/>
    <x v="3"/>
    <x v="0"/>
    <x v="1"/>
    <x v="1"/>
  </r>
  <r>
    <n v="1012219"/>
    <x v="1"/>
    <n v="12.81"/>
    <n v="12.86"/>
    <n v="33.950000000000003"/>
    <x v="3"/>
    <x v="0"/>
    <x v="1"/>
    <x v="1"/>
  </r>
  <r>
    <n v="1012244"/>
    <x v="1"/>
    <n v="12.81"/>
    <n v="12.86"/>
    <n v="40.299999999999997"/>
    <x v="3"/>
    <x v="0"/>
    <x v="1"/>
    <x v="1"/>
  </r>
  <r>
    <n v="1012252"/>
    <x v="1"/>
    <n v="12.81"/>
    <n v="12.86"/>
    <n v="14.85"/>
    <x v="3"/>
    <x v="0"/>
    <x v="1"/>
    <x v="1"/>
  </r>
  <r>
    <n v="1012274"/>
    <x v="1"/>
    <n v="15.13"/>
    <n v="15.18"/>
    <n v="154.6"/>
    <x v="6"/>
    <x v="0"/>
    <x v="1"/>
    <x v="1"/>
  </r>
  <r>
    <n v="1012286"/>
    <x v="1"/>
    <n v="13.7"/>
    <n v="13.75"/>
    <n v="23.8"/>
    <x v="3"/>
    <x v="0"/>
    <x v="1"/>
    <x v="1"/>
  </r>
  <r>
    <n v="1012294"/>
    <x v="1"/>
    <n v="9.7100000000000009"/>
    <n v="0"/>
    <n v="59.94"/>
    <x v="0"/>
    <x v="0"/>
    <x v="0"/>
    <x v="0"/>
  </r>
  <r>
    <n v="1012303"/>
    <x v="1"/>
    <n v="13.7"/>
    <n v="14.77"/>
    <n v="39.9"/>
    <x v="3"/>
    <x v="0"/>
    <x v="1"/>
    <x v="1"/>
  </r>
  <r>
    <n v="1012309"/>
    <x v="1"/>
    <n v="9.6999999999999993"/>
    <n v="9.75"/>
    <n v="39"/>
    <x v="0"/>
    <x v="0"/>
    <x v="1"/>
    <x v="1"/>
  </r>
  <r>
    <n v="1012328"/>
    <x v="1"/>
    <n v="16.77"/>
    <n v="16.82"/>
    <n v="17.899999999999999"/>
    <x v="4"/>
    <x v="0"/>
    <x v="1"/>
    <x v="1"/>
  </r>
  <r>
    <n v="1012344"/>
    <x v="1"/>
    <n v="17.440000000000001"/>
    <n v="17.489999999999998"/>
    <n v="88"/>
    <x v="10"/>
    <x v="0"/>
    <x v="1"/>
    <x v="1"/>
  </r>
  <r>
    <n v="1012351"/>
    <x v="1"/>
    <n v="15.13"/>
    <n v="15.18"/>
    <n v="15.85"/>
    <x v="6"/>
    <x v="0"/>
    <x v="1"/>
    <x v="1"/>
  </r>
  <r>
    <n v="1012356"/>
    <x v="1"/>
    <n v="10.3"/>
    <n v="0"/>
    <n v="105"/>
    <x v="0"/>
    <x v="0"/>
    <x v="0"/>
    <x v="19"/>
  </r>
  <r>
    <n v="1012367"/>
    <x v="1"/>
    <n v="12.81"/>
    <n v="12.86"/>
    <n v="39.950000000000003"/>
    <x v="3"/>
    <x v="0"/>
    <x v="1"/>
    <x v="1"/>
  </r>
  <r>
    <n v="1012379"/>
    <x v="1"/>
    <n v="12.81"/>
    <n v="12.86"/>
    <n v="15"/>
    <x v="3"/>
    <x v="0"/>
    <x v="1"/>
    <x v="1"/>
  </r>
  <r>
    <n v="1012401"/>
    <x v="1"/>
    <n v="12.81"/>
    <n v="0"/>
    <n v="280.2"/>
    <x v="3"/>
    <x v="1"/>
    <x v="2"/>
    <x v="1"/>
  </r>
  <r>
    <n v="1012409"/>
    <x v="1"/>
    <n v="9.6999999999999993"/>
    <n v="0"/>
    <n v="407.45"/>
    <x v="0"/>
    <x v="1"/>
    <x v="2"/>
    <x v="1"/>
  </r>
  <r>
    <n v="1012415"/>
    <x v="1"/>
    <n v="12.81"/>
    <n v="0"/>
    <n v="248.75"/>
    <x v="3"/>
    <x v="1"/>
    <x v="2"/>
    <x v="1"/>
  </r>
  <r>
    <n v="1012417"/>
    <x v="1"/>
    <n v="13.7"/>
    <n v="13.76"/>
    <n v="55.6"/>
    <x v="3"/>
    <x v="0"/>
    <x v="1"/>
    <x v="1"/>
  </r>
  <r>
    <n v="1012464"/>
    <x v="1"/>
    <n v="13.7"/>
    <n v="13.75"/>
    <n v="99.95"/>
    <x v="3"/>
    <x v="0"/>
    <x v="1"/>
    <x v="1"/>
  </r>
  <r>
    <n v="1012471"/>
    <x v="1"/>
    <n v="12.35"/>
    <n v="12.4"/>
    <n v="30.8"/>
    <x v="7"/>
    <x v="0"/>
    <x v="1"/>
    <x v="1"/>
  </r>
  <r>
    <n v="1012493"/>
    <x v="1"/>
    <n v="9.6999999999999993"/>
    <n v="13.75"/>
    <n v="5.95"/>
    <x v="0"/>
    <x v="0"/>
    <x v="1"/>
    <x v="1"/>
  </r>
  <r>
    <n v="1012529"/>
    <x v="1"/>
    <n v="12.81"/>
    <n v="12.86"/>
    <n v="127.8"/>
    <x v="3"/>
    <x v="0"/>
    <x v="1"/>
    <x v="1"/>
  </r>
  <r>
    <n v="1012530"/>
    <x v="1"/>
    <n v="13.7"/>
    <n v="13.75"/>
    <n v="40.75"/>
    <x v="3"/>
    <x v="0"/>
    <x v="1"/>
    <x v="1"/>
  </r>
  <r>
    <n v="1012562"/>
    <x v="1"/>
    <n v="12.81"/>
    <n v="12.86"/>
    <n v="29.95"/>
    <x v="3"/>
    <x v="0"/>
    <x v="1"/>
    <x v="1"/>
  </r>
  <r>
    <n v="1012569"/>
    <x v="1"/>
    <n v="9.6999999999999993"/>
    <n v="0"/>
    <n v="313.45"/>
    <x v="0"/>
    <x v="1"/>
    <x v="2"/>
    <x v="1"/>
  </r>
  <r>
    <n v="1012589"/>
    <x v="1"/>
    <n v="12.81"/>
    <n v="12.86"/>
    <n v="5.95"/>
    <x v="3"/>
    <x v="0"/>
    <x v="1"/>
    <x v="1"/>
  </r>
  <r>
    <n v="1012606"/>
    <x v="1"/>
    <n v="14.15"/>
    <n v="14.77"/>
    <n v="102.65"/>
    <x v="3"/>
    <x v="0"/>
    <x v="1"/>
    <x v="1"/>
  </r>
  <r>
    <n v="1012647"/>
    <x v="1"/>
    <n v="9.6999999999999993"/>
    <n v="9.76"/>
    <n v="51.8"/>
    <x v="0"/>
    <x v="0"/>
    <x v="1"/>
    <x v="1"/>
  </r>
  <r>
    <n v="1012652"/>
    <x v="1"/>
    <n v="15.13"/>
    <n v="15.18"/>
    <n v="33.700000000000003"/>
    <x v="6"/>
    <x v="0"/>
    <x v="1"/>
    <x v="1"/>
  </r>
  <r>
    <n v="1012684"/>
    <x v="1"/>
    <n v="14.04"/>
    <n v="14.09"/>
    <n v="7.85"/>
    <x v="10"/>
    <x v="0"/>
    <x v="1"/>
    <x v="1"/>
  </r>
  <r>
    <n v="1012716"/>
    <x v="1"/>
    <n v="9.6999999999999993"/>
    <n v="9.75"/>
    <n v="45.95"/>
    <x v="0"/>
    <x v="0"/>
    <x v="1"/>
    <x v="1"/>
  </r>
  <r>
    <n v="1012725"/>
    <x v="1"/>
    <n v="12.81"/>
    <n v="12.86"/>
    <n v="117.25"/>
    <x v="3"/>
    <x v="0"/>
    <x v="1"/>
    <x v="1"/>
  </r>
  <r>
    <n v="1012744"/>
    <x v="1"/>
    <n v="12.81"/>
    <n v="12.86"/>
    <n v="59.9"/>
    <x v="3"/>
    <x v="0"/>
    <x v="1"/>
    <x v="1"/>
  </r>
  <r>
    <n v="1012750"/>
    <x v="1"/>
    <n v="9.6999999999999993"/>
    <n v="9.75"/>
    <n v="99.95"/>
    <x v="0"/>
    <x v="0"/>
    <x v="1"/>
    <x v="1"/>
  </r>
  <r>
    <n v="1012774"/>
    <x v="1"/>
    <n v="12.45"/>
    <n v="14.36"/>
    <n v="141.75"/>
    <x v="7"/>
    <x v="0"/>
    <x v="1"/>
    <x v="1"/>
  </r>
  <r>
    <n v="1012777"/>
    <x v="1"/>
    <n v="12.81"/>
    <n v="12.86"/>
    <n v="135"/>
    <x v="3"/>
    <x v="0"/>
    <x v="1"/>
    <x v="1"/>
  </r>
  <r>
    <n v="1012778"/>
    <x v="1"/>
    <n v="19.22"/>
    <n v="19.27"/>
    <n v="74.849999999999994"/>
    <x v="10"/>
    <x v="0"/>
    <x v="1"/>
    <x v="1"/>
  </r>
  <r>
    <n v="1012790"/>
    <x v="1"/>
    <n v="23.53"/>
    <n v="22.07"/>
    <n v="350.88"/>
    <x v="10"/>
    <x v="0"/>
    <x v="0"/>
    <x v="13"/>
  </r>
  <r>
    <n v="1012835"/>
    <x v="1"/>
    <n v="12.81"/>
    <n v="12.86"/>
    <n v="7.5"/>
    <x v="3"/>
    <x v="0"/>
    <x v="1"/>
    <x v="1"/>
  </r>
  <r>
    <n v="1012856"/>
    <x v="1"/>
    <n v="9.6999999999999993"/>
    <n v="13.76"/>
    <n v="59.95"/>
    <x v="0"/>
    <x v="0"/>
    <x v="1"/>
    <x v="1"/>
  </r>
  <r>
    <n v="1012869"/>
    <x v="1"/>
    <n v="16.059999999999999"/>
    <n v="17.690000000000001"/>
    <n v="79.95"/>
    <x v="7"/>
    <x v="0"/>
    <x v="1"/>
    <x v="1"/>
  </r>
  <r>
    <n v="1012870"/>
    <x v="1"/>
    <n v="16.77"/>
    <n v="16.82"/>
    <n v="9.75"/>
    <x v="4"/>
    <x v="0"/>
    <x v="1"/>
    <x v="1"/>
  </r>
  <r>
    <n v="1012881"/>
    <x v="1"/>
    <n v="9.6999999999999993"/>
    <n v="9.75"/>
    <n v="149.19999999999999"/>
    <x v="0"/>
    <x v="0"/>
    <x v="1"/>
    <x v="1"/>
  </r>
  <r>
    <n v="1012882"/>
    <x v="1"/>
    <n v="13.7"/>
    <n v="13.75"/>
    <n v="69.900000000000006"/>
    <x v="3"/>
    <x v="0"/>
    <x v="1"/>
    <x v="1"/>
  </r>
  <r>
    <n v="1012913"/>
    <x v="1"/>
    <n v="13.7"/>
    <n v="13.79"/>
    <n v="99.95"/>
    <x v="3"/>
    <x v="0"/>
    <x v="1"/>
    <x v="1"/>
  </r>
  <r>
    <n v="1012918"/>
    <x v="1"/>
    <n v="13.7"/>
    <n v="13.75"/>
    <n v="42.95"/>
    <x v="3"/>
    <x v="0"/>
    <x v="1"/>
    <x v="1"/>
  </r>
  <r>
    <n v="1012929"/>
    <x v="1"/>
    <n v="16.46"/>
    <n v="16.510000000000002"/>
    <n v="2.5"/>
    <x v="4"/>
    <x v="0"/>
    <x v="1"/>
    <x v="1"/>
  </r>
  <r>
    <n v="1012935"/>
    <x v="1"/>
    <n v="12.81"/>
    <n v="12.86"/>
    <n v="38.299999999999997"/>
    <x v="3"/>
    <x v="0"/>
    <x v="1"/>
    <x v="1"/>
  </r>
  <r>
    <n v="1012985"/>
    <x v="1"/>
    <n v="13.7"/>
    <n v="13.79"/>
    <n v="61.75"/>
    <x v="3"/>
    <x v="0"/>
    <x v="1"/>
    <x v="1"/>
  </r>
  <r>
    <n v="1013000"/>
    <x v="1"/>
    <n v="9.7100000000000009"/>
    <n v="9.76"/>
    <n v="22.85"/>
    <x v="0"/>
    <x v="0"/>
    <x v="1"/>
    <x v="1"/>
  </r>
  <r>
    <n v="1013014"/>
    <x v="1"/>
    <n v="12.81"/>
    <n v="12.86"/>
    <n v="154.80000000000001"/>
    <x v="3"/>
    <x v="0"/>
    <x v="1"/>
    <x v="1"/>
  </r>
  <r>
    <n v="1013020"/>
    <x v="1"/>
    <n v="12.81"/>
    <n v="12.86"/>
    <n v="53.8"/>
    <x v="3"/>
    <x v="0"/>
    <x v="1"/>
    <x v="1"/>
  </r>
  <r>
    <n v="1013049"/>
    <x v="1"/>
    <n v="9.6999999999999993"/>
    <n v="9.75"/>
    <n v="46"/>
    <x v="0"/>
    <x v="0"/>
    <x v="1"/>
    <x v="1"/>
  </r>
  <r>
    <n v="1013063"/>
    <x v="1"/>
    <n v="13.7"/>
    <n v="13.75"/>
    <n v="49.4"/>
    <x v="3"/>
    <x v="0"/>
    <x v="1"/>
    <x v="1"/>
  </r>
  <r>
    <n v="1013064"/>
    <x v="1"/>
    <n v="13.7"/>
    <n v="13.76"/>
    <n v="87.75"/>
    <x v="3"/>
    <x v="0"/>
    <x v="1"/>
    <x v="1"/>
  </r>
  <r>
    <n v="1013073"/>
    <x v="1"/>
    <n v="12.81"/>
    <n v="12.86"/>
    <n v="23.9"/>
    <x v="3"/>
    <x v="0"/>
    <x v="1"/>
    <x v="1"/>
  </r>
  <r>
    <n v="1013075"/>
    <x v="1"/>
    <n v="12.81"/>
    <n v="12.86"/>
    <n v="32.85"/>
    <x v="3"/>
    <x v="0"/>
    <x v="1"/>
    <x v="1"/>
  </r>
  <r>
    <n v="1013077"/>
    <x v="1"/>
    <n v="12.81"/>
    <n v="12.86"/>
    <n v="37.950000000000003"/>
    <x v="3"/>
    <x v="0"/>
    <x v="1"/>
    <x v="1"/>
  </r>
  <r>
    <n v="1013087"/>
    <x v="1"/>
    <n v="12.35"/>
    <n v="12.4"/>
    <n v="19.95"/>
    <x v="7"/>
    <x v="0"/>
    <x v="1"/>
    <x v="1"/>
  </r>
  <r>
    <n v="1013103"/>
    <x v="1"/>
    <n v="13.7"/>
    <n v="13.75"/>
    <n v="152.75"/>
    <x v="3"/>
    <x v="0"/>
    <x v="1"/>
    <x v="1"/>
  </r>
  <r>
    <n v="1013106"/>
    <x v="1"/>
    <n v="13.7"/>
    <n v="13.75"/>
    <n v="5.85"/>
    <x v="3"/>
    <x v="0"/>
    <x v="1"/>
    <x v="1"/>
  </r>
  <r>
    <n v="1013114"/>
    <x v="1"/>
    <n v="16.46"/>
    <n v="16.510000000000002"/>
    <n v="16.899999999999999"/>
    <x v="4"/>
    <x v="0"/>
    <x v="1"/>
    <x v="1"/>
  </r>
  <r>
    <n v="1013156"/>
    <x v="1"/>
    <n v="16.559999999999999"/>
    <n v="18.47"/>
    <n v="2.5"/>
    <x v="4"/>
    <x v="0"/>
    <x v="1"/>
    <x v="1"/>
  </r>
  <r>
    <n v="1013164"/>
    <x v="1"/>
    <n v="12.81"/>
    <n v="13.37"/>
    <n v="43.15"/>
    <x v="3"/>
    <x v="0"/>
    <x v="1"/>
    <x v="1"/>
  </r>
  <r>
    <n v="1013171"/>
    <x v="1"/>
    <n v="12.81"/>
    <n v="0"/>
    <n v="202.55"/>
    <x v="3"/>
    <x v="1"/>
    <x v="2"/>
    <x v="1"/>
  </r>
  <r>
    <n v="1013186"/>
    <x v="1"/>
    <n v="12.81"/>
    <n v="12.86"/>
    <n v="7.95"/>
    <x v="3"/>
    <x v="0"/>
    <x v="1"/>
    <x v="1"/>
  </r>
  <r>
    <n v="1013219"/>
    <x v="1"/>
    <n v="15.13"/>
    <n v="15.18"/>
    <n v="45.85"/>
    <x v="6"/>
    <x v="0"/>
    <x v="1"/>
    <x v="1"/>
  </r>
  <r>
    <n v="1013220"/>
    <x v="1"/>
    <n v="13.94"/>
    <n v="0"/>
    <n v="206.65"/>
    <x v="3"/>
    <x v="1"/>
    <x v="2"/>
    <x v="1"/>
  </r>
  <r>
    <n v="1013240"/>
    <x v="1"/>
    <n v="12.81"/>
    <n v="13.88"/>
    <n v="136.44999999999999"/>
    <x v="3"/>
    <x v="0"/>
    <x v="1"/>
    <x v="1"/>
  </r>
  <r>
    <n v="1013249"/>
    <x v="1"/>
    <n v="13.7"/>
    <n v="13.83"/>
    <n v="73.2"/>
    <x v="3"/>
    <x v="0"/>
    <x v="1"/>
    <x v="1"/>
  </r>
  <r>
    <n v="1013293"/>
    <x v="1"/>
    <n v="12.81"/>
    <n v="12.86"/>
    <n v="49.9"/>
    <x v="3"/>
    <x v="0"/>
    <x v="1"/>
    <x v="1"/>
  </r>
  <r>
    <n v="1013323"/>
    <x v="1"/>
    <n v="12.81"/>
    <n v="12.86"/>
    <n v="2.95"/>
    <x v="3"/>
    <x v="0"/>
    <x v="1"/>
    <x v="1"/>
  </r>
  <r>
    <n v="1013327"/>
    <x v="1"/>
    <n v="16.46"/>
    <n v="16.510000000000002"/>
    <n v="29"/>
    <x v="4"/>
    <x v="0"/>
    <x v="1"/>
    <x v="1"/>
  </r>
  <r>
    <n v="1013334"/>
    <x v="1"/>
    <n v="12.81"/>
    <n v="12.86"/>
    <n v="0.95"/>
    <x v="3"/>
    <x v="0"/>
    <x v="1"/>
    <x v="1"/>
  </r>
  <r>
    <n v="1013335"/>
    <x v="1"/>
    <n v="13.08"/>
    <n v="0"/>
    <n v="1139.4000000000001"/>
    <x v="0"/>
    <x v="1"/>
    <x v="2"/>
    <x v="1"/>
  </r>
  <r>
    <n v="1013338"/>
    <x v="1"/>
    <n v="12.81"/>
    <n v="12.86"/>
    <n v="31.8"/>
    <x v="3"/>
    <x v="0"/>
    <x v="1"/>
    <x v="1"/>
  </r>
  <r>
    <n v="1013342"/>
    <x v="1"/>
    <n v="13.7"/>
    <n v="13.75"/>
    <n v="28.5"/>
    <x v="3"/>
    <x v="0"/>
    <x v="1"/>
    <x v="1"/>
  </r>
  <r>
    <n v="1013354"/>
    <x v="1"/>
    <n v="12.81"/>
    <n v="12.86"/>
    <n v="59.9"/>
    <x v="3"/>
    <x v="0"/>
    <x v="1"/>
    <x v="1"/>
  </r>
  <r>
    <n v="1013367"/>
    <x v="1"/>
    <n v="12.56"/>
    <n v="0"/>
    <n v="1096.47"/>
    <x v="0"/>
    <x v="1"/>
    <x v="2"/>
    <x v="1"/>
  </r>
  <r>
    <n v="1013370"/>
    <x v="1"/>
    <n v="27.44"/>
    <n v="27.49"/>
    <n v="203.74"/>
    <x v="9"/>
    <x v="0"/>
    <x v="1"/>
    <x v="1"/>
  </r>
  <r>
    <n v="1013381"/>
    <x v="1"/>
    <n v="12.81"/>
    <n v="12.86"/>
    <n v="19.899999999999999"/>
    <x v="3"/>
    <x v="0"/>
    <x v="1"/>
    <x v="1"/>
  </r>
  <r>
    <n v="1013397"/>
    <x v="1"/>
    <n v="13.6"/>
    <n v="13.65"/>
    <n v="85.85"/>
    <x v="10"/>
    <x v="0"/>
    <x v="1"/>
    <x v="1"/>
  </r>
  <r>
    <n v="1013413"/>
    <x v="1"/>
    <n v="9.6999999999999993"/>
    <n v="9.75"/>
    <n v="34.99"/>
    <x v="0"/>
    <x v="0"/>
    <x v="1"/>
    <x v="1"/>
  </r>
  <r>
    <n v="1013417"/>
    <x v="1"/>
    <n v="9.6999999999999993"/>
    <n v="12.86"/>
    <n v="69.95"/>
    <x v="0"/>
    <x v="0"/>
    <x v="1"/>
    <x v="1"/>
  </r>
  <r>
    <n v="1013424"/>
    <x v="1"/>
    <n v="12.81"/>
    <n v="0"/>
    <n v="368.9"/>
    <x v="3"/>
    <x v="1"/>
    <x v="2"/>
    <x v="1"/>
  </r>
  <r>
    <n v="1013449"/>
    <x v="1"/>
    <n v="12.81"/>
    <n v="0"/>
    <n v="276"/>
    <x v="3"/>
    <x v="1"/>
    <x v="2"/>
    <x v="1"/>
  </r>
  <r>
    <n v="1013475"/>
    <x v="1"/>
    <n v="13.7"/>
    <n v="13.75"/>
    <n v="13.9"/>
    <x v="3"/>
    <x v="0"/>
    <x v="1"/>
    <x v="1"/>
  </r>
  <r>
    <n v="1013493"/>
    <x v="1"/>
    <n v="9.6999999999999993"/>
    <n v="9.75"/>
    <n v="11.85"/>
    <x v="0"/>
    <x v="0"/>
    <x v="1"/>
    <x v="1"/>
  </r>
  <r>
    <n v="1013496"/>
    <x v="1"/>
    <n v="12.81"/>
    <n v="13.02"/>
    <n v="9.9499999999999993"/>
    <x v="3"/>
    <x v="0"/>
    <x v="1"/>
    <x v="1"/>
  </r>
  <r>
    <n v="1013512"/>
    <x v="1"/>
    <n v="12.81"/>
    <n v="12.86"/>
    <n v="4.95"/>
    <x v="3"/>
    <x v="0"/>
    <x v="1"/>
    <x v="1"/>
  </r>
  <r>
    <n v="1013529"/>
    <x v="1"/>
    <n v="12.81"/>
    <n v="12.86"/>
    <n v="5.95"/>
    <x v="3"/>
    <x v="0"/>
    <x v="1"/>
    <x v="1"/>
  </r>
  <r>
    <n v="1013532"/>
    <x v="1"/>
    <n v="13.7"/>
    <n v="13.75"/>
    <n v="9.9"/>
    <x v="3"/>
    <x v="0"/>
    <x v="1"/>
    <x v="1"/>
  </r>
  <r>
    <n v="1013533"/>
    <x v="1"/>
    <n v="18.46"/>
    <n v="18.510000000000002"/>
    <n v="34.950000000000003"/>
    <x v="9"/>
    <x v="0"/>
    <x v="1"/>
    <x v="1"/>
  </r>
  <r>
    <n v="1013536"/>
    <x v="1"/>
    <n v="13.7"/>
    <n v="13.75"/>
    <n v="32.700000000000003"/>
    <x v="3"/>
    <x v="0"/>
    <x v="1"/>
    <x v="1"/>
  </r>
  <r>
    <n v="1013538"/>
    <x v="1"/>
    <n v="13.7"/>
    <n v="13.75"/>
    <n v="18"/>
    <x v="3"/>
    <x v="0"/>
    <x v="1"/>
    <x v="1"/>
  </r>
  <r>
    <n v="1013555"/>
    <x v="1"/>
    <n v="12.81"/>
    <n v="12.86"/>
    <n v="34.950000000000003"/>
    <x v="3"/>
    <x v="0"/>
    <x v="1"/>
    <x v="1"/>
  </r>
  <r>
    <n v="1013558"/>
    <x v="1"/>
    <n v="12.81"/>
    <n v="12.86"/>
    <n v="6.4"/>
    <x v="3"/>
    <x v="0"/>
    <x v="1"/>
    <x v="1"/>
  </r>
  <r>
    <n v="1013588"/>
    <x v="1"/>
    <n v="26.81"/>
    <n v="22.97"/>
    <n v="208.5"/>
    <x v="9"/>
    <x v="0"/>
    <x v="0"/>
    <x v="20"/>
  </r>
  <r>
    <n v="1013594"/>
    <x v="1"/>
    <n v="13.7"/>
    <n v="13.75"/>
    <n v="58.1"/>
    <x v="3"/>
    <x v="0"/>
    <x v="1"/>
    <x v="1"/>
  </r>
  <r>
    <n v="1013617"/>
    <x v="1"/>
    <n v="20.45"/>
    <n v="20.5"/>
    <n v="244.5"/>
    <x v="4"/>
    <x v="0"/>
    <x v="1"/>
    <x v="1"/>
  </r>
  <r>
    <n v="1013621"/>
    <x v="1"/>
    <n v="9.6999999999999993"/>
    <n v="9.76"/>
    <n v="99.65"/>
    <x v="0"/>
    <x v="0"/>
    <x v="1"/>
    <x v="1"/>
  </r>
  <r>
    <n v="1013643"/>
    <x v="1"/>
    <n v="9.6999999999999993"/>
    <n v="9.75"/>
    <n v="29.95"/>
    <x v="0"/>
    <x v="0"/>
    <x v="1"/>
    <x v="1"/>
  </r>
  <r>
    <n v="1013655"/>
    <x v="1"/>
    <n v="13.09"/>
    <n v="13.13"/>
    <n v="29.95"/>
    <x v="3"/>
    <x v="0"/>
    <x v="1"/>
    <x v="1"/>
  </r>
  <r>
    <n v="1013661"/>
    <x v="1"/>
    <n v="9.7100000000000009"/>
    <n v="9.76"/>
    <n v="35"/>
    <x v="0"/>
    <x v="0"/>
    <x v="1"/>
    <x v="1"/>
  </r>
  <r>
    <n v="1013676"/>
    <x v="1"/>
    <n v="12.81"/>
    <n v="12.86"/>
    <n v="80.2"/>
    <x v="3"/>
    <x v="0"/>
    <x v="1"/>
    <x v="1"/>
  </r>
  <r>
    <n v="1013678"/>
    <x v="1"/>
    <n v="13.7"/>
    <n v="13.76"/>
    <n v="37.4"/>
    <x v="3"/>
    <x v="0"/>
    <x v="1"/>
    <x v="1"/>
  </r>
  <r>
    <n v="1013686"/>
    <x v="1"/>
    <n v="9.6999999999999993"/>
    <n v="12.86"/>
    <n v="69.98"/>
    <x v="0"/>
    <x v="0"/>
    <x v="1"/>
    <x v="1"/>
  </r>
  <r>
    <n v="1013705"/>
    <x v="1"/>
    <n v="13.74"/>
    <n v="0"/>
    <n v="262.35000000000002"/>
    <x v="3"/>
    <x v="1"/>
    <x v="2"/>
    <x v="1"/>
  </r>
  <r>
    <n v="1013716"/>
    <x v="1"/>
    <n v="12.35"/>
    <n v="12.4"/>
    <n v="51"/>
    <x v="7"/>
    <x v="0"/>
    <x v="1"/>
    <x v="1"/>
  </r>
  <r>
    <n v="1013718"/>
    <x v="1"/>
    <n v="12.81"/>
    <n v="12.86"/>
    <n v="88.6"/>
    <x v="3"/>
    <x v="0"/>
    <x v="1"/>
    <x v="1"/>
  </r>
  <r>
    <n v="1013729"/>
    <x v="1"/>
    <n v="9.6999999999999993"/>
    <n v="9.75"/>
    <n v="53.55"/>
    <x v="0"/>
    <x v="0"/>
    <x v="1"/>
    <x v="1"/>
  </r>
  <r>
    <n v="1013748"/>
    <x v="1"/>
    <n v="9.6999999999999993"/>
    <n v="12.86"/>
    <n v="63.35"/>
    <x v="0"/>
    <x v="0"/>
    <x v="1"/>
    <x v="1"/>
  </r>
  <r>
    <n v="1013770"/>
    <x v="1"/>
    <n v="13.7"/>
    <n v="13.75"/>
    <n v="14.85"/>
    <x v="3"/>
    <x v="0"/>
    <x v="1"/>
    <x v="1"/>
  </r>
  <r>
    <n v="1013773"/>
    <x v="1"/>
    <n v="16.46"/>
    <n v="16.510000000000002"/>
    <n v="99.25"/>
    <x v="4"/>
    <x v="0"/>
    <x v="1"/>
    <x v="1"/>
  </r>
  <r>
    <n v="1013793"/>
    <x v="1"/>
    <n v="9.6999999999999993"/>
    <n v="9.75"/>
    <n v="5.9"/>
    <x v="0"/>
    <x v="0"/>
    <x v="1"/>
    <x v="1"/>
  </r>
  <r>
    <n v="1013801"/>
    <x v="1"/>
    <n v="9.7100000000000009"/>
    <n v="0"/>
    <n v="20.36"/>
    <x v="0"/>
    <x v="0"/>
    <x v="0"/>
    <x v="0"/>
  </r>
  <r>
    <n v="1013811"/>
    <x v="1"/>
    <n v="11.02"/>
    <n v="11.07"/>
    <n v="89.6"/>
    <x v="8"/>
    <x v="0"/>
    <x v="1"/>
    <x v="1"/>
  </r>
  <r>
    <n v="1013827"/>
    <x v="1"/>
    <n v="13.7"/>
    <n v="13.76"/>
    <n v="7.95"/>
    <x v="3"/>
    <x v="0"/>
    <x v="1"/>
    <x v="1"/>
  </r>
  <r>
    <n v="1013828"/>
    <x v="1"/>
    <n v="12.81"/>
    <n v="12.86"/>
    <n v="44.35"/>
    <x v="3"/>
    <x v="0"/>
    <x v="1"/>
    <x v="1"/>
  </r>
  <r>
    <n v="1013860"/>
    <x v="1"/>
    <n v="12.55"/>
    <n v="0"/>
    <n v="740.45"/>
    <x v="0"/>
    <x v="1"/>
    <x v="2"/>
    <x v="1"/>
  </r>
  <r>
    <n v="1013862"/>
    <x v="1"/>
    <n v="12.81"/>
    <n v="12.86"/>
    <n v="18.8"/>
    <x v="3"/>
    <x v="0"/>
    <x v="1"/>
    <x v="1"/>
  </r>
  <r>
    <n v="1013869"/>
    <x v="1"/>
    <n v="9.6999999999999993"/>
    <n v="9.75"/>
    <n v="81.7"/>
    <x v="0"/>
    <x v="0"/>
    <x v="1"/>
    <x v="1"/>
  </r>
  <r>
    <n v="1013878"/>
    <x v="1"/>
    <n v="9.6999999999999993"/>
    <n v="12.86"/>
    <n v="77.7"/>
    <x v="0"/>
    <x v="0"/>
    <x v="1"/>
    <x v="1"/>
  </r>
  <r>
    <n v="1013880"/>
    <x v="1"/>
    <n v="20.100000000000001"/>
    <n v="22.46"/>
    <n v="50.4"/>
    <x v="10"/>
    <x v="0"/>
    <x v="1"/>
    <x v="1"/>
  </r>
  <r>
    <n v="1013891"/>
    <x v="1"/>
    <n v="12.81"/>
    <n v="12.86"/>
    <n v="173.6"/>
    <x v="3"/>
    <x v="0"/>
    <x v="1"/>
    <x v="1"/>
  </r>
  <r>
    <n v="1013901"/>
    <x v="1"/>
    <n v="13.7"/>
    <n v="13.75"/>
    <n v="5.95"/>
    <x v="3"/>
    <x v="0"/>
    <x v="1"/>
    <x v="1"/>
  </r>
  <r>
    <n v="1013904"/>
    <x v="1"/>
    <n v="13.7"/>
    <n v="13.75"/>
    <n v="13.95"/>
    <x v="3"/>
    <x v="0"/>
    <x v="1"/>
    <x v="1"/>
  </r>
  <r>
    <n v="1013927"/>
    <x v="1"/>
    <n v="12.45"/>
    <n v="12.5"/>
    <n v="27.5"/>
    <x v="7"/>
    <x v="0"/>
    <x v="1"/>
    <x v="1"/>
  </r>
  <r>
    <n v="1013943"/>
    <x v="1"/>
    <n v="16.77"/>
    <n v="16.82"/>
    <n v="26.25"/>
    <x v="4"/>
    <x v="0"/>
    <x v="1"/>
    <x v="1"/>
  </r>
  <r>
    <n v="1013945"/>
    <x v="1"/>
    <n v="12.55"/>
    <n v="0"/>
    <n v="1100"/>
    <x v="0"/>
    <x v="1"/>
    <x v="2"/>
    <x v="1"/>
  </r>
  <r>
    <n v="1013953"/>
    <x v="1"/>
    <n v="13.7"/>
    <n v="13.79"/>
    <n v="34.6"/>
    <x v="3"/>
    <x v="0"/>
    <x v="1"/>
    <x v="1"/>
  </r>
  <r>
    <n v="1013963"/>
    <x v="1"/>
    <n v="12.86"/>
    <n v="13.37"/>
    <n v="45.31"/>
    <x v="3"/>
    <x v="0"/>
    <x v="1"/>
    <x v="1"/>
  </r>
  <r>
    <n v="1013964"/>
    <x v="1"/>
    <n v="12.81"/>
    <n v="12.86"/>
    <n v="8.9"/>
    <x v="3"/>
    <x v="0"/>
    <x v="1"/>
    <x v="1"/>
  </r>
  <r>
    <n v="1013988"/>
    <x v="1"/>
    <n v="9.6999999999999993"/>
    <n v="9.75"/>
    <n v="8.9"/>
    <x v="0"/>
    <x v="0"/>
    <x v="1"/>
    <x v="1"/>
  </r>
  <r>
    <n v="1014018"/>
    <x v="1"/>
    <n v="13.7"/>
    <n v="13.76"/>
    <n v="143.75"/>
    <x v="3"/>
    <x v="0"/>
    <x v="1"/>
    <x v="1"/>
  </r>
  <r>
    <n v="1014031"/>
    <x v="1"/>
    <n v="13.7"/>
    <n v="13.75"/>
    <n v="67.8"/>
    <x v="3"/>
    <x v="0"/>
    <x v="1"/>
    <x v="1"/>
  </r>
  <r>
    <n v="1014037"/>
    <x v="1"/>
    <n v="27.81"/>
    <n v="28.8"/>
    <n v="203.4"/>
    <x v="7"/>
    <x v="0"/>
    <x v="1"/>
    <x v="1"/>
  </r>
  <r>
    <n v="1014055"/>
    <x v="1"/>
    <n v="13.71"/>
    <n v="13.76"/>
    <n v="99.95"/>
    <x v="3"/>
    <x v="0"/>
    <x v="1"/>
    <x v="1"/>
  </r>
  <r>
    <n v="1014080"/>
    <x v="1"/>
    <n v="9.7100000000000009"/>
    <n v="9.76"/>
    <n v="37.85"/>
    <x v="0"/>
    <x v="0"/>
    <x v="1"/>
    <x v="1"/>
  </r>
  <r>
    <n v="1014110"/>
    <x v="1"/>
    <n v="12.81"/>
    <n v="12.86"/>
    <n v="22.5"/>
    <x v="3"/>
    <x v="0"/>
    <x v="1"/>
    <x v="1"/>
  </r>
  <r>
    <n v="1014117"/>
    <x v="1"/>
    <n v="10.32"/>
    <n v="0"/>
    <n v="490"/>
    <x v="0"/>
    <x v="1"/>
    <x v="2"/>
    <x v="1"/>
  </r>
  <r>
    <n v="1014129"/>
    <x v="1"/>
    <n v="12.81"/>
    <n v="12.86"/>
    <n v="70.2"/>
    <x v="3"/>
    <x v="0"/>
    <x v="1"/>
    <x v="1"/>
  </r>
  <r>
    <n v="1014142"/>
    <x v="1"/>
    <n v="67.25"/>
    <n v="67.3"/>
    <n v="417.55"/>
    <x v="2"/>
    <x v="0"/>
    <x v="1"/>
    <x v="1"/>
  </r>
  <r>
    <n v="1014143"/>
    <x v="1"/>
    <n v="9.6999999999999993"/>
    <n v="12.86"/>
    <n v="100.55"/>
    <x v="0"/>
    <x v="0"/>
    <x v="1"/>
    <x v="1"/>
  </r>
  <r>
    <n v="1014147"/>
    <x v="1"/>
    <n v="13.7"/>
    <n v="13.75"/>
    <n v="18.850000000000001"/>
    <x v="3"/>
    <x v="0"/>
    <x v="1"/>
    <x v="1"/>
  </r>
  <r>
    <n v="1014155"/>
    <x v="1"/>
    <n v="18.010000000000002"/>
    <n v="18.07"/>
    <n v="99.95"/>
    <x v="9"/>
    <x v="0"/>
    <x v="1"/>
    <x v="1"/>
  </r>
  <r>
    <n v="1014160"/>
    <x v="1"/>
    <n v="12.81"/>
    <n v="12.86"/>
    <n v="154.25"/>
    <x v="3"/>
    <x v="0"/>
    <x v="1"/>
    <x v="1"/>
  </r>
  <r>
    <n v="1014164"/>
    <x v="1"/>
    <n v="13.7"/>
    <n v="13.76"/>
    <n v="59.9"/>
    <x v="3"/>
    <x v="0"/>
    <x v="1"/>
    <x v="1"/>
  </r>
  <r>
    <n v="1014174"/>
    <x v="1"/>
    <n v="12.81"/>
    <n v="12.86"/>
    <n v="67.8"/>
    <x v="3"/>
    <x v="0"/>
    <x v="1"/>
    <x v="1"/>
  </r>
  <r>
    <n v="1014175"/>
    <x v="1"/>
    <n v="21.55"/>
    <n v="21.6"/>
    <n v="19.95"/>
    <x v="9"/>
    <x v="0"/>
    <x v="1"/>
    <x v="1"/>
  </r>
  <r>
    <n v="1014180"/>
    <x v="1"/>
    <n v="13.7"/>
    <n v="13.75"/>
    <n v="35.65"/>
    <x v="3"/>
    <x v="0"/>
    <x v="1"/>
    <x v="1"/>
  </r>
  <r>
    <n v="1014184"/>
    <x v="1"/>
    <n v="15.13"/>
    <n v="15.18"/>
    <n v="98.9"/>
    <x v="6"/>
    <x v="0"/>
    <x v="1"/>
    <x v="1"/>
  </r>
  <r>
    <n v="1014188"/>
    <x v="1"/>
    <n v="13.19"/>
    <n v="0"/>
    <n v="554.9"/>
    <x v="0"/>
    <x v="1"/>
    <x v="2"/>
    <x v="1"/>
  </r>
  <r>
    <n v="1014189"/>
    <x v="1"/>
    <n v="26.83"/>
    <n v="26.88"/>
    <n v="57.9"/>
    <x v="9"/>
    <x v="0"/>
    <x v="1"/>
    <x v="1"/>
  </r>
  <r>
    <n v="1014193"/>
    <x v="1"/>
    <n v="9.7100000000000009"/>
    <n v="9.75"/>
    <n v="46.55"/>
    <x v="0"/>
    <x v="0"/>
    <x v="1"/>
    <x v="1"/>
  </r>
  <r>
    <n v="1014211"/>
    <x v="1"/>
    <n v="14.21"/>
    <n v="0"/>
    <n v="210.15"/>
    <x v="3"/>
    <x v="1"/>
    <x v="2"/>
    <x v="1"/>
  </r>
  <r>
    <n v="1014247"/>
    <x v="1"/>
    <n v="12.81"/>
    <n v="13.37"/>
    <n v="111.35"/>
    <x v="3"/>
    <x v="0"/>
    <x v="1"/>
    <x v="1"/>
  </r>
  <r>
    <n v="1014254"/>
    <x v="1"/>
    <n v="13.7"/>
    <n v="13.75"/>
    <n v="29.9"/>
    <x v="3"/>
    <x v="0"/>
    <x v="1"/>
    <x v="1"/>
  </r>
  <r>
    <n v="1014260"/>
    <x v="1"/>
    <n v="13.29"/>
    <n v="13.34"/>
    <n v="142.94999999999999"/>
    <x v="3"/>
    <x v="0"/>
    <x v="1"/>
    <x v="1"/>
  </r>
  <r>
    <n v="1014278"/>
    <x v="1"/>
    <n v="13.7"/>
    <n v="14.27"/>
    <n v="44.55"/>
    <x v="3"/>
    <x v="0"/>
    <x v="1"/>
    <x v="1"/>
  </r>
  <r>
    <n v="1014280"/>
    <x v="1"/>
    <n v="13.7"/>
    <n v="13.75"/>
    <n v="64.95"/>
    <x v="3"/>
    <x v="0"/>
    <x v="1"/>
    <x v="1"/>
  </r>
  <r>
    <n v="1014282"/>
    <x v="1"/>
    <n v="9.6999999999999993"/>
    <n v="9.76"/>
    <n v="73.2"/>
    <x v="0"/>
    <x v="0"/>
    <x v="1"/>
    <x v="1"/>
  </r>
  <r>
    <n v="1014284"/>
    <x v="1"/>
    <n v="13.7"/>
    <n v="13.75"/>
    <n v="79.8"/>
    <x v="3"/>
    <x v="0"/>
    <x v="1"/>
    <x v="1"/>
  </r>
  <r>
    <n v="1014301"/>
    <x v="1"/>
    <n v="12.81"/>
    <n v="12.86"/>
    <n v="25.4"/>
    <x v="3"/>
    <x v="0"/>
    <x v="1"/>
    <x v="1"/>
  </r>
  <r>
    <n v="1014316"/>
    <x v="1"/>
    <n v="13.71"/>
    <n v="13.75"/>
    <n v="80.849999999999994"/>
    <x v="3"/>
    <x v="0"/>
    <x v="1"/>
    <x v="1"/>
  </r>
  <r>
    <n v="1014332"/>
    <x v="1"/>
    <n v="16.87"/>
    <n v="16.920000000000002"/>
    <n v="86.75"/>
    <x v="4"/>
    <x v="0"/>
    <x v="1"/>
    <x v="1"/>
  </r>
  <r>
    <n v="1014354"/>
    <x v="1"/>
    <n v="67.459999999999994"/>
    <n v="67.510000000000005"/>
    <n v="74.75"/>
    <x v="2"/>
    <x v="0"/>
    <x v="1"/>
    <x v="1"/>
  </r>
  <r>
    <n v="1014364"/>
    <x v="1"/>
    <n v="13.7"/>
    <n v="13.75"/>
    <n v="15.8"/>
    <x v="3"/>
    <x v="0"/>
    <x v="1"/>
    <x v="1"/>
  </r>
  <r>
    <n v="1014369"/>
    <x v="1"/>
    <n v="67.459999999999994"/>
    <n v="67.510000000000005"/>
    <n v="404.7"/>
    <x v="2"/>
    <x v="0"/>
    <x v="1"/>
    <x v="1"/>
  </r>
  <r>
    <n v="1014382"/>
    <x v="1"/>
    <n v="12.81"/>
    <n v="12.86"/>
    <n v="30.4"/>
    <x v="3"/>
    <x v="0"/>
    <x v="1"/>
    <x v="1"/>
  </r>
  <r>
    <n v="1014389"/>
    <x v="1"/>
    <n v="12.81"/>
    <n v="12.86"/>
    <n v="174.85"/>
    <x v="3"/>
    <x v="0"/>
    <x v="1"/>
    <x v="1"/>
  </r>
  <r>
    <n v="1014423"/>
    <x v="1"/>
    <n v="12.81"/>
    <n v="12.86"/>
    <n v="99.95"/>
    <x v="3"/>
    <x v="0"/>
    <x v="1"/>
    <x v="1"/>
  </r>
  <r>
    <n v="1014427"/>
    <x v="1"/>
    <n v="12.81"/>
    <n v="12.86"/>
    <n v="15"/>
    <x v="3"/>
    <x v="0"/>
    <x v="1"/>
    <x v="1"/>
  </r>
  <r>
    <n v="1014445"/>
    <x v="1"/>
    <n v="16.55"/>
    <n v="0"/>
    <n v="599.95000000000005"/>
    <x v="3"/>
    <x v="1"/>
    <x v="2"/>
    <x v="1"/>
  </r>
  <r>
    <n v="1014469"/>
    <x v="1"/>
    <n v="9.6999999999999993"/>
    <n v="9.75"/>
    <n v="11.25"/>
    <x v="0"/>
    <x v="0"/>
    <x v="1"/>
    <x v="1"/>
  </r>
  <r>
    <n v="1014476"/>
    <x v="1"/>
    <n v="12.81"/>
    <n v="12.86"/>
    <n v="22.5"/>
    <x v="3"/>
    <x v="0"/>
    <x v="1"/>
    <x v="1"/>
  </r>
  <r>
    <n v="1014492"/>
    <x v="1"/>
    <n v="9.6999999999999993"/>
    <n v="9.75"/>
    <n v="21.12"/>
    <x v="0"/>
    <x v="0"/>
    <x v="1"/>
    <x v="1"/>
  </r>
  <r>
    <n v="1014508"/>
    <x v="1"/>
    <n v="12.35"/>
    <n v="12.4"/>
    <n v="25.95"/>
    <x v="7"/>
    <x v="0"/>
    <x v="1"/>
    <x v="1"/>
  </r>
  <r>
    <n v="1014519"/>
    <x v="1"/>
    <n v="14.04"/>
    <n v="14.09"/>
    <n v="50"/>
    <x v="10"/>
    <x v="0"/>
    <x v="1"/>
    <x v="1"/>
  </r>
  <r>
    <n v="1014547"/>
    <x v="1"/>
    <n v="11.02"/>
    <n v="15.49"/>
    <n v="74.400000000000006"/>
    <x v="8"/>
    <x v="0"/>
    <x v="1"/>
    <x v="1"/>
  </r>
  <r>
    <n v="1014554"/>
    <x v="1"/>
    <n v="74.86"/>
    <n v="44.01"/>
    <n v="254.9"/>
    <x v="5"/>
    <x v="0"/>
    <x v="0"/>
    <x v="21"/>
  </r>
  <r>
    <n v="1014556"/>
    <x v="1"/>
    <n v="13.7"/>
    <n v="13.75"/>
    <n v="44.85"/>
    <x v="3"/>
    <x v="0"/>
    <x v="1"/>
    <x v="1"/>
  </r>
  <r>
    <n v="1014559"/>
    <x v="1"/>
    <n v="11.02"/>
    <n v="11.07"/>
    <n v="48.45"/>
    <x v="8"/>
    <x v="0"/>
    <x v="1"/>
    <x v="1"/>
  </r>
  <r>
    <n v="1014573"/>
    <x v="1"/>
    <n v="9.6999999999999993"/>
    <n v="9.75"/>
    <n v="34.950000000000003"/>
    <x v="0"/>
    <x v="0"/>
    <x v="1"/>
    <x v="1"/>
  </r>
  <r>
    <n v="1014582"/>
    <x v="1"/>
    <n v="16.87"/>
    <n v="16.920000000000002"/>
    <n v="29.95"/>
    <x v="4"/>
    <x v="0"/>
    <x v="1"/>
    <x v="1"/>
  </r>
  <r>
    <n v="1014596"/>
    <x v="1"/>
    <n v="9.7100000000000009"/>
    <n v="9.76"/>
    <n v="11.8"/>
    <x v="0"/>
    <x v="0"/>
    <x v="1"/>
    <x v="1"/>
  </r>
  <r>
    <n v="1014613"/>
    <x v="1"/>
    <n v="9.7100000000000009"/>
    <n v="12.86"/>
    <n v="53.4"/>
    <x v="0"/>
    <x v="0"/>
    <x v="1"/>
    <x v="1"/>
  </r>
  <r>
    <n v="1014615"/>
    <x v="1"/>
    <n v="12.81"/>
    <n v="12.86"/>
    <n v="21.85"/>
    <x v="3"/>
    <x v="0"/>
    <x v="1"/>
    <x v="1"/>
  </r>
  <r>
    <n v="1014617"/>
    <x v="1"/>
    <n v="13.7"/>
    <n v="13.75"/>
    <n v="15.9"/>
    <x v="3"/>
    <x v="0"/>
    <x v="1"/>
    <x v="1"/>
  </r>
  <r>
    <n v="1014624"/>
    <x v="1"/>
    <n v="13.7"/>
    <n v="13.75"/>
    <n v="19.5"/>
    <x v="3"/>
    <x v="0"/>
    <x v="1"/>
    <x v="1"/>
  </r>
  <r>
    <n v="1014634"/>
    <x v="1"/>
    <n v="12.81"/>
    <n v="12.86"/>
    <n v="90.1"/>
    <x v="3"/>
    <x v="0"/>
    <x v="1"/>
    <x v="1"/>
  </r>
  <r>
    <n v="1014641"/>
    <x v="1"/>
    <n v="12.81"/>
    <n v="12.86"/>
    <n v="32.65"/>
    <x v="3"/>
    <x v="0"/>
    <x v="1"/>
    <x v="1"/>
  </r>
  <r>
    <n v="1014677"/>
    <x v="1"/>
    <n v="12.81"/>
    <n v="12.86"/>
    <n v="45.25"/>
    <x v="3"/>
    <x v="0"/>
    <x v="1"/>
    <x v="1"/>
  </r>
  <r>
    <n v="1014684"/>
    <x v="1"/>
    <n v="9.6999999999999993"/>
    <n v="13.75"/>
    <n v="53.52"/>
    <x v="0"/>
    <x v="0"/>
    <x v="1"/>
    <x v="1"/>
  </r>
  <r>
    <n v="1014690"/>
    <x v="1"/>
    <n v="9.6999999999999993"/>
    <n v="9.75"/>
    <n v="74.95"/>
    <x v="0"/>
    <x v="0"/>
    <x v="1"/>
    <x v="1"/>
  </r>
  <r>
    <n v="1014698"/>
    <x v="1"/>
    <n v="9.6999999999999993"/>
    <n v="9.75"/>
    <n v="4.95"/>
    <x v="0"/>
    <x v="0"/>
    <x v="1"/>
    <x v="1"/>
  </r>
  <r>
    <n v="1014701"/>
    <x v="1"/>
    <n v="17.149999999999999"/>
    <n v="22.11"/>
    <n v="125.45"/>
    <x v="4"/>
    <x v="0"/>
    <x v="1"/>
    <x v="1"/>
  </r>
  <r>
    <n v="1014703"/>
    <x v="1"/>
    <n v="12.81"/>
    <n v="12.86"/>
    <n v="40.85"/>
    <x v="3"/>
    <x v="0"/>
    <x v="1"/>
    <x v="1"/>
  </r>
  <r>
    <n v="1014713"/>
    <x v="1"/>
    <n v="12.81"/>
    <n v="12.86"/>
    <n v="59.95"/>
    <x v="3"/>
    <x v="0"/>
    <x v="1"/>
    <x v="1"/>
  </r>
  <r>
    <n v="1014719"/>
    <x v="1"/>
    <n v="13.7"/>
    <n v="13.75"/>
    <n v="25"/>
    <x v="3"/>
    <x v="0"/>
    <x v="1"/>
    <x v="1"/>
  </r>
  <r>
    <n v="1014722"/>
    <x v="1"/>
    <n v="9.6999999999999993"/>
    <n v="0"/>
    <n v="339.4"/>
    <x v="0"/>
    <x v="1"/>
    <x v="2"/>
    <x v="1"/>
  </r>
  <r>
    <n v="1014809"/>
    <x v="1"/>
    <n v="13.77"/>
    <n v="0"/>
    <n v="311.39999999999998"/>
    <x v="3"/>
    <x v="1"/>
    <x v="2"/>
    <x v="1"/>
  </r>
  <r>
    <n v="1014818"/>
    <x v="1"/>
    <n v="12.81"/>
    <n v="12.86"/>
    <n v="37.75"/>
    <x v="3"/>
    <x v="0"/>
    <x v="1"/>
    <x v="1"/>
  </r>
  <r>
    <n v="1014828"/>
    <x v="1"/>
    <n v="11.02"/>
    <n v="11.07"/>
    <n v="38.25"/>
    <x v="8"/>
    <x v="0"/>
    <x v="1"/>
    <x v="1"/>
  </r>
  <r>
    <n v="1014829"/>
    <x v="1"/>
    <n v="15.13"/>
    <n v="15.18"/>
    <n v="83.2"/>
    <x v="6"/>
    <x v="0"/>
    <x v="1"/>
    <x v="1"/>
  </r>
  <r>
    <n v="1014887"/>
    <x v="1"/>
    <n v="12.35"/>
    <n v="12.4"/>
    <n v="14.75"/>
    <x v="7"/>
    <x v="0"/>
    <x v="1"/>
    <x v="1"/>
  </r>
  <r>
    <n v="1014892"/>
    <x v="1"/>
    <n v="18.72"/>
    <n v="20.5"/>
    <n v="79.7"/>
    <x v="4"/>
    <x v="0"/>
    <x v="1"/>
    <x v="1"/>
  </r>
  <r>
    <n v="1014901"/>
    <x v="1"/>
    <n v="20.100000000000001"/>
    <n v="20.149999999999999"/>
    <n v="59.9"/>
    <x v="10"/>
    <x v="0"/>
    <x v="1"/>
    <x v="1"/>
  </r>
  <r>
    <n v="1014910"/>
    <x v="1"/>
    <n v="9.6999999999999993"/>
    <n v="9.75"/>
    <n v="23.9"/>
    <x v="0"/>
    <x v="0"/>
    <x v="1"/>
    <x v="1"/>
  </r>
  <r>
    <n v="1014915"/>
    <x v="1"/>
    <n v="15.13"/>
    <n v="15.18"/>
    <n v="21.9"/>
    <x v="6"/>
    <x v="0"/>
    <x v="1"/>
    <x v="1"/>
  </r>
  <r>
    <n v="1014927"/>
    <x v="1"/>
    <n v="9.6999999999999993"/>
    <n v="9.75"/>
    <n v="29.85"/>
    <x v="0"/>
    <x v="0"/>
    <x v="1"/>
    <x v="1"/>
  </r>
  <r>
    <n v="1014929"/>
    <x v="1"/>
    <n v="15.44"/>
    <n v="15.49"/>
    <n v="34.75"/>
    <x v="6"/>
    <x v="0"/>
    <x v="1"/>
    <x v="1"/>
  </r>
  <r>
    <n v="1014930"/>
    <x v="1"/>
    <n v="12.81"/>
    <n v="12.86"/>
    <n v="44.7"/>
    <x v="3"/>
    <x v="0"/>
    <x v="1"/>
    <x v="1"/>
  </r>
  <r>
    <n v="1014936"/>
    <x v="1"/>
    <n v="22.46"/>
    <n v="22.51"/>
    <n v="87.15"/>
    <x v="10"/>
    <x v="0"/>
    <x v="1"/>
    <x v="1"/>
  </r>
  <r>
    <n v="1014960"/>
    <x v="1"/>
    <n v="9.6999999999999993"/>
    <n v="0"/>
    <n v="251.4"/>
    <x v="0"/>
    <x v="1"/>
    <x v="2"/>
    <x v="1"/>
  </r>
  <r>
    <n v="1014968"/>
    <x v="1"/>
    <n v="18.149999999999999"/>
    <n v="18.97"/>
    <n v="72.349999999999994"/>
    <x v="9"/>
    <x v="0"/>
    <x v="1"/>
    <x v="1"/>
  </r>
  <r>
    <n v="1014999"/>
    <x v="1"/>
    <n v="12.81"/>
    <n v="0"/>
    <n v="317.85000000000002"/>
    <x v="3"/>
    <x v="1"/>
    <x v="2"/>
    <x v="1"/>
  </r>
  <r>
    <n v="1015003"/>
    <x v="1"/>
    <n v="13.7"/>
    <n v="13.75"/>
    <n v="9.9499999999999993"/>
    <x v="3"/>
    <x v="0"/>
    <x v="1"/>
    <x v="1"/>
  </r>
  <r>
    <n v="1015007"/>
    <x v="1"/>
    <n v="16.46"/>
    <n v="16.510000000000002"/>
    <n v="14.85"/>
    <x v="4"/>
    <x v="0"/>
    <x v="1"/>
    <x v="1"/>
  </r>
  <r>
    <n v="1015033"/>
    <x v="1"/>
    <n v="21.58"/>
    <n v="0"/>
    <n v="3496.5"/>
    <x v="0"/>
    <x v="1"/>
    <x v="2"/>
    <x v="1"/>
  </r>
  <r>
    <n v="1015056"/>
    <x v="1"/>
    <n v="29.37"/>
    <n v="30.23"/>
    <n v="114.85"/>
    <x v="9"/>
    <x v="0"/>
    <x v="1"/>
    <x v="1"/>
  </r>
  <r>
    <n v="1015074"/>
    <x v="1"/>
    <n v="15.44"/>
    <n v="15.49"/>
    <n v="29.95"/>
    <x v="6"/>
    <x v="0"/>
    <x v="1"/>
    <x v="1"/>
  </r>
  <r>
    <n v="1015075"/>
    <x v="1"/>
    <n v="17.760000000000002"/>
    <n v="17.82"/>
    <n v="49.9"/>
    <x v="6"/>
    <x v="0"/>
    <x v="1"/>
    <x v="1"/>
  </r>
  <r>
    <n v="1015096"/>
    <x v="1"/>
    <n v="12.81"/>
    <n v="12.86"/>
    <n v="99.95"/>
    <x v="3"/>
    <x v="0"/>
    <x v="1"/>
    <x v="1"/>
  </r>
  <r>
    <n v="1015115"/>
    <x v="1"/>
    <n v="16.46"/>
    <n v="16.510000000000002"/>
    <n v="125.5"/>
    <x v="4"/>
    <x v="0"/>
    <x v="1"/>
    <x v="1"/>
  </r>
  <r>
    <n v="1015122"/>
    <x v="1"/>
    <n v="12.81"/>
    <n v="0"/>
    <n v="208.45"/>
    <x v="3"/>
    <x v="1"/>
    <x v="2"/>
    <x v="1"/>
  </r>
  <r>
    <n v="1015124"/>
    <x v="1"/>
    <n v="12.81"/>
    <n v="12.86"/>
    <n v="44.9"/>
    <x v="3"/>
    <x v="0"/>
    <x v="1"/>
    <x v="1"/>
  </r>
  <r>
    <n v="1015129"/>
    <x v="1"/>
    <n v="16.46"/>
    <n v="16.510000000000002"/>
    <n v="16.95"/>
    <x v="4"/>
    <x v="0"/>
    <x v="1"/>
    <x v="1"/>
  </r>
  <r>
    <n v="1015130"/>
    <x v="1"/>
    <n v="9.6999999999999993"/>
    <n v="13.75"/>
    <n v="19.95"/>
    <x v="0"/>
    <x v="0"/>
    <x v="1"/>
    <x v="1"/>
  </r>
  <r>
    <n v="1015132"/>
    <x v="1"/>
    <n v="13.7"/>
    <n v="13.75"/>
    <n v="14.95"/>
    <x v="3"/>
    <x v="0"/>
    <x v="1"/>
    <x v="1"/>
  </r>
  <r>
    <n v="1015134"/>
    <x v="1"/>
    <n v="13.7"/>
    <n v="13.76"/>
    <n v="161.55000000000001"/>
    <x v="3"/>
    <x v="0"/>
    <x v="1"/>
    <x v="1"/>
  </r>
  <r>
    <n v="1015138"/>
    <x v="1"/>
    <n v="12.81"/>
    <n v="12.86"/>
    <n v="83.25"/>
    <x v="3"/>
    <x v="0"/>
    <x v="1"/>
    <x v="1"/>
  </r>
  <r>
    <n v="1015140"/>
    <x v="1"/>
    <n v="12.81"/>
    <n v="12.86"/>
    <n v="17.8"/>
    <x v="3"/>
    <x v="0"/>
    <x v="1"/>
    <x v="1"/>
  </r>
  <r>
    <n v="1015163"/>
    <x v="1"/>
    <n v="13.71"/>
    <n v="13.76"/>
    <n v="66.75"/>
    <x v="3"/>
    <x v="0"/>
    <x v="1"/>
    <x v="1"/>
  </r>
  <r>
    <n v="1015177"/>
    <x v="1"/>
    <n v="13.7"/>
    <n v="13.75"/>
    <n v="55"/>
    <x v="3"/>
    <x v="0"/>
    <x v="1"/>
    <x v="1"/>
  </r>
  <r>
    <n v="1015187"/>
    <x v="1"/>
    <n v="13.7"/>
    <n v="13.75"/>
    <n v="22.5"/>
    <x v="3"/>
    <x v="0"/>
    <x v="1"/>
    <x v="1"/>
  </r>
  <r>
    <n v="1015197"/>
    <x v="1"/>
    <n v="13.7"/>
    <n v="13.76"/>
    <n v="196.65"/>
    <x v="3"/>
    <x v="0"/>
    <x v="1"/>
    <x v="1"/>
  </r>
  <r>
    <n v="1015220"/>
    <x v="1"/>
    <n v="13.7"/>
    <n v="13.76"/>
    <n v="123.9"/>
    <x v="3"/>
    <x v="0"/>
    <x v="1"/>
    <x v="1"/>
  </r>
  <r>
    <n v="1015229"/>
    <x v="1"/>
    <n v="16.46"/>
    <n v="16.510000000000002"/>
    <n v="48.3"/>
    <x v="4"/>
    <x v="0"/>
    <x v="1"/>
    <x v="1"/>
  </r>
  <r>
    <n v="1015242"/>
    <x v="1"/>
    <n v="9.6999999999999993"/>
    <n v="9.75"/>
    <n v="14.85"/>
    <x v="0"/>
    <x v="0"/>
    <x v="1"/>
    <x v="1"/>
  </r>
  <r>
    <n v="1015252"/>
    <x v="1"/>
    <n v="15.45"/>
    <n v="16.5"/>
    <n v="101.85"/>
    <x v="6"/>
    <x v="0"/>
    <x v="1"/>
    <x v="1"/>
  </r>
  <r>
    <n v="1015258"/>
    <x v="1"/>
    <n v="12.81"/>
    <n v="0"/>
    <n v="232.75"/>
    <x v="3"/>
    <x v="1"/>
    <x v="2"/>
    <x v="1"/>
  </r>
  <r>
    <n v="1015265"/>
    <x v="1"/>
    <n v="18.149999999999999"/>
    <n v="18.2"/>
    <n v="11.95"/>
    <x v="9"/>
    <x v="0"/>
    <x v="1"/>
    <x v="1"/>
  </r>
  <r>
    <n v="1015283"/>
    <x v="1"/>
    <n v="16.46"/>
    <n v="16.510000000000002"/>
    <n v="24.95"/>
    <x v="4"/>
    <x v="0"/>
    <x v="1"/>
    <x v="1"/>
  </r>
  <r>
    <n v="1015357"/>
    <x v="1"/>
    <n v="13.6"/>
    <n v="13.65"/>
    <n v="14.95"/>
    <x v="10"/>
    <x v="0"/>
    <x v="1"/>
    <x v="1"/>
  </r>
  <r>
    <n v="1015367"/>
    <x v="1"/>
    <n v="15.44"/>
    <n v="15.49"/>
    <n v="41.9"/>
    <x v="6"/>
    <x v="0"/>
    <x v="1"/>
    <x v="1"/>
  </r>
  <r>
    <n v="1015370"/>
    <x v="1"/>
    <n v="9.6999999999999993"/>
    <n v="0"/>
    <n v="214.45"/>
    <x v="0"/>
    <x v="1"/>
    <x v="2"/>
    <x v="1"/>
  </r>
  <r>
    <n v="1015375"/>
    <x v="1"/>
    <n v="12.81"/>
    <n v="12.86"/>
    <n v="7.45"/>
    <x v="3"/>
    <x v="0"/>
    <x v="1"/>
    <x v="1"/>
  </r>
  <r>
    <n v="1015383"/>
    <x v="1"/>
    <n v="9.7100000000000009"/>
    <n v="0"/>
    <n v="23.97"/>
    <x v="0"/>
    <x v="0"/>
    <x v="0"/>
    <x v="0"/>
  </r>
  <r>
    <n v="1015394"/>
    <x v="1"/>
    <n v="12.55"/>
    <n v="0"/>
    <n v="549.04999999999995"/>
    <x v="0"/>
    <x v="1"/>
    <x v="2"/>
    <x v="1"/>
  </r>
  <r>
    <n v="1015395"/>
    <x v="1"/>
    <n v="13.7"/>
    <n v="13.75"/>
    <n v="93.85"/>
    <x v="3"/>
    <x v="0"/>
    <x v="1"/>
    <x v="1"/>
  </r>
  <r>
    <n v="1015400"/>
    <x v="1"/>
    <n v="34.19"/>
    <n v="0"/>
    <n v="1299"/>
    <x v="0"/>
    <x v="1"/>
    <x v="2"/>
    <x v="1"/>
  </r>
  <r>
    <n v="1015409"/>
    <x v="1"/>
    <n v="11.02"/>
    <n v="11.66"/>
    <n v="116.05"/>
    <x v="8"/>
    <x v="0"/>
    <x v="1"/>
    <x v="1"/>
  </r>
  <r>
    <n v="1015419"/>
    <x v="1"/>
    <n v="12.81"/>
    <n v="12.86"/>
    <n v="72.599999999999994"/>
    <x v="3"/>
    <x v="0"/>
    <x v="1"/>
    <x v="1"/>
  </r>
  <r>
    <n v="1015424"/>
    <x v="1"/>
    <n v="13.7"/>
    <n v="13.75"/>
    <n v="44.9"/>
    <x v="3"/>
    <x v="0"/>
    <x v="1"/>
    <x v="1"/>
  </r>
  <r>
    <n v="1015426"/>
    <x v="1"/>
    <n v="9.7100000000000009"/>
    <n v="13.75"/>
    <n v="94.75"/>
    <x v="0"/>
    <x v="0"/>
    <x v="1"/>
    <x v="1"/>
  </r>
  <r>
    <n v="1015440"/>
    <x v="1"/>
    <n v="16.77"/>
    <n v="16.82"/>
    <n v="63.75"/>
    <x v="4"/>
    <x v="0"/>
    <x v="1"/>
    <x v="1"/>
  </r>
  <r>
    <n v="1015470"/>
    <x v="1"/>
    <n v="9.6999999999999993"/>
    <n v="13.76"/>
    <n v="70.849999999999994"/>
    <x v="0"/>
    <x v="0"/>
    <x v="1"/>
    <x v="1"/>
  </r>
  <r>
    <n v="1015479"/>
    <x v="1"/>
    <n v="12.81"/>
    <n v="0"/>
    <n v="207.95"/>
    <x v="3"/>
    <x v="1"/>
    <x v="2"/>
    <x v="1"/>
  </r>
  <r>
    <n v="1015513"/>
    <x v="1"/>
    <n v="12.81"/>
    <n v="0"/>
    <n v="208.9"/>
    <x v="3"/>
    <x v="1"/>
    <x v="2"/>
    <x v="1"/>
  </r>
  <r>
    <n v="1015517"/>
    <x v="1"/>
    <n v="17.64"/>
    <n v="14.29"/>
    <n v="249.9"/>
    <x v="7"/>
    <x v="0"/>
    <x v="0"/>
    <x v="22"/>
  </r>
  <r>
    <n v="1015523"/>
    <x v="1"/>
    <n v="13.7"/>
    <n v="13.75"/>
    <n v="20.85"/>
    <x v="3"/>
    <x v="0"/>
    <x v="1"/>
    <x v="1"/>
  </r>
  <r>
    <n v="1015524"/>
    <x v="1"/>
    <n v="13.7"/>
    <n v="13.91"/>
    <n v="23.75"/>
    <x v="3"/>
    <x v="0"/>
    <x v="1"/>
    <x v="1"/>
  </r>
  <r>
    <n v="1015529"/>
    <x v="1"/>
    <n v="12.81"/>
    <n v="12.86"/>
    <n v="69.849999999999994"/>
    <x v="3"/>
    <x v="0"/>
    <x v="1"/>
    <x v="1"/>
  </r>
  <r>
    <n v="1015551"/>
    <x v="1"/>
    <n v="24.88"/>
    <n v="27.49"/>
    <n v="121.2"/>
    <x v="9"/>
    <x v="0"/>
    <x v="1"/>
    <x v="1"/>
  </r>
  <r>
    <n v="1015554"/>
    <x v="1"/>
    <n v="12.81"/>
    <n v="12.86"/>
    <n v="51.95"/>
    <x v="3"/>
    <x v="0"/>
    <x v="1"/>
    <x v="1"/>
  </r>
  <r>
    <n v="1015555"/>
    <x v="1"/>
    <n v="12.81"/>
    <n v="12.86"/>
    <n v="29.85"/>
    <x v="3"/>
    <x v="0"/>
    <x v="1"/>
    <x v="1"/>
  </r>
  <r>
    <n v="1015558"/>
    <x v="1"/>
    <n v="9.7100000000000009"/>
    <n v="0"/>
    <n v="276.10000000000002"/>
    <x v="0"/>
    <x v="1"/>
    <x v="2"/>
    <x v="1"/>
  </r>
  <r>
    <n v="1015570"/>
    <x v="1"/>
    <n v="13.7"/>
    <n v="13.75"/>
    <n v="85.8"/>
    <x v="3"/>
    <x v="0"/>
    <x v="1"/>
    <x v="1"/>
  </r>
  <r>
    <n v="1015588"/>
    <x v="1"/>
    <n v="9.6999999999999993"/>
    <n v="0"/>
    <n v="337.5"/>
    <x v="0"/>
    <x v="1"/>
    <x v="2"/>
    <x v="1"/>
  </r>
  <r>
    <n v="1015592"/>
    <x v="1"/>
    <n v="15.13"/>
    <n v="15.18"/>
    <n v="21.95"/>
    <x v="6"/>
    <x v="0"/>
    <x v="1"/>
    <x v="1"/>
  </r>
  <r>
    <n v="1015599"/>
    <x v="1"/>
    <n v="12.55"/>
    <n v="0"/>
    <n v="674.7"/>
    <x v="0"/>
    <x v="1"/>
    <x v="2"/>
    <x v="1"/>
  </r>
  <r>
    <n v="1015623"/>
    <x v="1"/>
    <n v="13.7"/>
    <n v="13.75"/>
    <n v="89.85"/>
    <x v="3"/>
    <x v="0"/>
    <x v="1"/>
    <x v="1"/>
  </r>
  <r>
    <n v="1015640"/>
    <x v="1"/>
    <n v="16.71"/>
    <n v="16.760000000000002"/>
    <n v="53.7"/>
    <x v="6"/>
    <x v="0"/>
    <x v="1"/>
    <x v="1"/>
  </r>
  <r>
    <n v="1015641"/>
    <x v="1"/>
    <n v="12.81"/>
    <n v="13.31"/>
    <n v="69.95"/>
    <x v="3"/>
    <x v="0"/>
    <x v="1"/>
    <x v="1"/>
  </r>
  <r>
    <n v="1015655"/>
    <x v="1"/>
    <n v="16.559999999999999"/>
    <n v="16.61"/>
    <n v="11.95"/>
    <x v="4"/>
    <x v="0"/>
    <x v="1"/>
    <x v="1"/>
  </r>
  <r>
    <n v="1015666"/>
    <x v="1"/>
    <n v="22.92"/>
    <n v="22.97"/>
    <n v="132.80000000000001"/>
    <x v="9"/>
    <x v="0"/>
    <x v="1"/>
    <x v="1"/>
  </r>
  <r>
    <n v="1015669"/>
    <x v="1"/>
    <n v="13.7"/>
    <n v="13.75"/>
    <n v="17.850000000000001"/>
    <x v="3"/>
    <x v="0"/>
    <x v="1"/>
    <x v="1"/>
  </r>
  <r>
    <n v="1015675"/>
    <x v="1"/>
    <n v="13.7"/>
    <n v="13.79"/>
    <n v="34.9"/>
    <x v="3"/>
    <x v="0"/>
    <x v="1"/>
    <x v="1"/>
  </r>
  <r>
    <n v="1015678"/>
    <x v="1"/>
    <n v="12.81"/>
    <n v="12.9"/>
    <n v="84.95"/>
    <x v="3"/>
    <x v="0"/>
    <x v="1"/>
    <x v="1"/>
  </r>
  <r>
    <n v="1015699"/>
    <x v="1"/>
    <n v="13.7"/>
    <n v="13.75"/>
    <n v="10.35"/>
    <x v="3"/>
    <x v="0"/>
    <x v="1"/>
    <x v="1"/>
  </r>
  <r>
    <n v="1015709"/>
    <x v="1"/>
    <n v="9.6999999999999993"/>
    <n v="12.86"/>
    <n v="84.9"/>
    <x v="0"/>
    <x v="0"/>
    <x v="1"/>
    <x v="1"/>
  </r>
  <r>
    <n v="1015714"/>
    <x v="1"/>
    <n v="9.6999999999999993"/>
    <n v="9.76"/>
    <n v="126.45"/>
    <x v="0"/>
    <x v="0"/>
    <x v="1"/>
    <x v="1"/>
  </r>
  <r>
    <n v="1015721"/>
    <x v="1"/>
    <n v="12.81"/>
    <n v="12.86"/>
    <n v="48.2"/>
    <x v="3"/>
    <x v="0"/>
    <x v="1"/>
    <x v="1"/>
  </r>
  <r>
    <n v="1015722"/>
    <x v="1"/>
    <n v="12.81"/>
    <n v="12.86"/>
    <n v="29.95"/>
    <x v="3"/>
    <x v="0"/>
    <x v="1"/>
    <x v="1"/>
  </r>
  <r>
    <n v="1015734"/>
    <x v="1"/>
    <n v="12.81"/>
    <n v="12.86"/>
    <n v="29.95"/>
    <x v="3"/>
    <x v="0"/>
    <x v="1"/>
    <x v="1"/>
  </r>
  <r>
    <n v="1015741"/>
    <x v="1"/>
    <n v="15.13"/>
    <n v="15.18"/>
    <n v="19.95"/>
    <x v="6"/>
    <x v="0"/>
    <x v="1"/>
    <x v="1"/>
  </r>
  <r>
    <n v="1015744"/>
    <x v="1"/>
    <n v="9.7100000000000009"/>
    <n v="9.75"/>
    <n v="34.85"/>
    <x v="0"/>
    <x v="0"/>
    <x v="1"/>
    <x v="1"/>
  </r>
  <r>
    <n v="1015751"/>
    <x v="1"/>
    <n v="12.81"/>
    <n v="12.86"/>
    <n v="37.700000000000003"/>
    <x v="3"/>
    <x v="0"/>
    <x v="1"/>
    <x v="1"/>
  </r>
  <r>
    <n v="1015757"/>
    <x v="1"/>
    <n v="13.7"/>
    <n v="13.75"/>
    <n v="21.9"/>
    <x v="3"/>
    <x v="0"/>
    <x v="1"/>
    <x v="1"/>
  </r>
  <r>
    <n v="1015775"/>
    <x v="1"/>
    <n v="9.6999999999999993"/>
    <n v="9.75"/>
    <n v="90.15"/>
    <x v="0"/>
    <x v="0"/>
    <x v="1"/>
    <x v="1"/>
  </r>
  <r>
    <n v="1015789"/>
    <x v="1"/>
    <n v="9.6999999999999993"/>
    <n v="0"/>
    <n v="300.85000000000002"/>
    <x v="0"/>
    <x v="1"/>
    <x v="2"/>
    <x v="1"/>
  </r>
  <r>
    <n v="1015814"/>
    <x v="1"/>
    <n v="13.7"/>
    <n v="13.76"/>
    <n v="62"/>
    <x v="3"/>
    <x v="0"/>
    <x v="1"/>
    <x v="1"/>
  </r>
  <r>
    <n v="1015815"/>
    <x v="1"/>
    <n v="13.71"/>
    <n v="13.75"/>
    <n v="137.85"/>
    <x v="3"/>
    <x v="0"/>
    <x v="1"/>
    <x v="1"/>
  </r>
  <r>
    <n v="1015846"/>
    <x v="1"/>
    <n v="9.6999999999999993"/>
    <n v="9.75"/>
    <n v="19.95"/>
    <x v="0"/>
    <x v="0"/>
    <x v="1"/>
    <x v="1"/>
  </r>
  <r>
    <n v="1015853"/>
    <x v="1"/>
    <n v="12.81"/>
    <n v="12.86"/>
    <n v="29.95"/>
    <x v="3"/>
    <x v="0"/>
    <x v="1"/>
    <x v="1"/>
  </r>
  <r>
    <n v="1015878"/>
    <x v="1"/>
    <n v="12.55"/>
    <n v="0"/>
    <n v="504.1"/>
    <x v="0"/>
    <x v="1"/>
    <x v="2"/>
    <x v="1"/>
  </r>
  <r>
    <n v="1015881"/>
    <x v="1"/>
    <n v="16.46"/>
    <n v="16.510000000000002"/>
    <n v="3.95"/>
    <x v="4"/>
    <x v="0"/>
    <x v="1"/>
    <x v="1"/>
  </r>
  <r>
    <n v="1015882"/>
    <x v="1"/>
    <n v="35.07"/>
    <n v="0"/>
    <n v="1299"/>
    <x v="0"/>
    <x v="1"/>
    <x v="2"/>
    <x v="1"/>
  </r>
  <r>
    <n v="1015890"/>
    <x v="1"/>
    <n v="12.45"/>
    <n v="16.61"/>
    <n v="29.9"/>
    <x v="7"/>
    <x v="0"/>
    <x v="1"/>
    <x v="1"/>
  </r>
  <r>
    <n v="1015902"/>
    <x v="1"/>
    <n v="12.81"/>
    <n v="12.86"/>
    <n v="7.95"/>
    <x v="3"/>
    <x v="0"/>
    <x v="1"/>
    <x v="1"/>
  </r>
  <r>
    <n v="1015903"/>
    <x v="1"/>
    <n v="12.81"/>
    <n v="12.86"/>
    <n v="7.9"/>
    <x v="3"/>
    <x v="0"/>
    <x v="1"/>
    <x v="1"/>
  </r>
  <r>
    <n v="1015920"/>
    <x v="1"/>
    <n v="10.07"/>
    <n v="0"/>
    <n v="209.7"/>
    <x v="0"/>
    <x v="1"/>
    <x v="2"/>
    <x v="1"/>
  </r>
  <r>
    <n v="1015950"/>
    <x v="1"/>
    <n v="12.81"/>
    <n v="13.31"/>
    <n v="23.65"/>
    <x v="3"/>
    <x v="0"/>
    <x v="1"/>
    <x v="1"/>
  </r>
  <r>
    <n v="1015982"/>
    <x v="1"/>
    <n v="13.7"/>
    <n v="13.76"/>
    <n v="43.3"/>
    <x v="3"/>
    <x v="0"/>
    <x v="1"/>
    <x v="1"/>
  </r>
  <r>
    <n v="1016016"/>
    <x v="1"/>
    <n v="9.6999999999999993"/>
    <n v="9.75"/>
    <n v="89.1"/>
    <x v="0"/>
    <x v="0"/>
    <x v="1"/>
    <x v="1"/>
  </r>
  <r>
    <n v="1016019"/>
    <x v="1"/>
    <n v="16.77"/>
    <n v="16.82"/>
    <n v="56.55"/>
    <x v="4"/>
    <x v="0"/>
    <x v="1"/>
    <x v="1"/>
  </r>
  <r>
    <n v="1016021"/>
    <x v="1"/>
    <n v="12.81"/>
    <n v="12.86"/>
    <n v="46.25"/>
    <x v="3"/>
    <x v="0"/>
    <x v="1"/>
    <x v="1"/>
  </r>
  <r>
    <n v="1016081"/>
    <x v="1"/>
    <n v="13.7"/>
    <n v="13.75"/>
    <n v="24.6"/>
    <x v="3"/>
    <x v="0"/>
    <x v="1"/>
    <x v="1"/>
  </r>
  <r>
    <n v="1016104"/>
    <x v="1"/>
    <n v="12.81"/>
    <n v="14.28"/>
    <n v="124.9"/>
    <x v="3"/>
    <x v="0"/>
    <x v="1"/>
    <x v="1"/>
  </r>
  <r>
    <n v="1016105"/>
    <x v="1"/>
    <n v="16.87"/>
    <n v="20.5"/>
    <n v="156.80000000000001"/>
    <x v="4"/>
    <x v="0"/>
    <x v="1"/>
    <x v="1"/>
  </r>
  <r>
    <n v="1016121"/>
    <x v="1"/>
    <n v="12.81"/>
    <n v="12.86"/>
    <n v="19.899999999999999"/>
    <x v="3"/>
    <x v="0"/>
    <x v="1"/>
    <x v="1"/>
  </r>
  <r>
    <n v="1016131"/>
    <x v="1"/>
    <n v="9.6999999999999993"/>
    <n v="0"/>
    <n v="259.2"/>
    <x v="0"/>
    <x v="1"/>
    <x v="2"/>
    <x v="1"/>
  </r>
  <r>
    <n v="1016132"/>
    <x v="1"/>
    <n v="13.78"/>
    <n v="13.96"/>
    <n v="154.30000000000001"/>
    <x v="3"/>
    <x v="0"/>
    <x v="1"/>
    <x v="1"/>
  </r>
  <r>
    <n v="1016149"/>
    <x v="1"/>
    <n v="12.81"/>
    <n v="12.86"/>
    <n v="192.96"/>
    <x v="3"/>
    <x v="0"/>
    <x v="1"/>
    <x v="1"/>
  </r>
  <r>
    <n v="1016157"/>
    <x v="1"/>
    <n v="12.81"/>
    <n v="12.86"/>
    <n v="34.950000000000003"/>
    <x v="3"/>
    <x v="0"/>
    <x v="1"/>
    <x v="1"/>
  </r>
  <r>
    <n v="1016187"/>
    <x v="1"/>
    <n v="13.7"/>
    <n v="13.75"/>
    <n v="80.3"/>
    <x v="3"/>
    <x v="0"/>
    <x v="1"/>
    <x v="1"/>
  </r>
  <r>
    <n v="1016241"/>
    <x v="1"/>
    <n v="14.22"/>
    <n v="14.47"/>
    <n v="95.95"/>
    <x v="3"/>
    <x v="0"/>
    <x v="1"/>
    <x v="1"/>
  </r>
  <r>
    <n v="1016246"/>
    <x v="1"/>
    <n v="13.7"/>
    <n v="13.79"/>
    <n v="88"/>
    <x v="3"/>
    <x v="0"/>
    <x v="1"/>
    <x v="1"/>
  </r>
  <r>
    <n v="1016248"/>
    <x v="1"/>
    <n v="13.7"/>
    <n v="13.75"/>
    <n v="49.75"/>
    <x v="3"/>
    <x v="0"/>
    <x v="1"/>
    <x v="1"/>
  </r>
  <r>
    <n v="1016277"/>
    <x v="1"/>
    <n v="30.63"/>
    <n v="31.62"/>
    <n v="101"/>
    <x v="4"/>
    <x v="0"/>
    <x v="1"/>
    <x v="1"/>
  </r>
  <r>
    <n v="1016295"/>
    <x v="1"/>
    <n v="15.13"/>
    <n v="15.18"/>
    <n v="19.75"/>
    <x v="6"/>
    <x v="0"/>
    <x v="1"/>
    <x v="1"/>
  </r>
  <r>
    <n v="1016307"/>
    <x v="1"/>
    <n v="13.7"/>
    <n v="13.79"/>
    <n v="14.95"/>
    <x v="3"/>
    <x v="0"/>
    <x v="1"/>
    <x v="1"/>
  </r>
  <r>
    <n v="1016318"/>
    <x v="1"/>
    <n v="13.7"/>
    <n v="13.75"/>
    <n v="36.549999999999997"/>
    <x v="3"/>
    <x v="0"/>
    <x v="1"/>
    <x v="1"/>
  </r>
  <r>
    <n v="1016326"/>
    <x v="1"/>
    <n v="13.7"/>
    <n v="13.75"/>
    <n v="13.05"/>
    <x v="3"/>
    <x v="0"/>
    <x v="1"/>
    <x v="1"/>
  </r>
  <r>
    <n v="1016329"/>
    <x v="1"/>
    <n v="27.44"/>
    <n v="24.92"/>
    <n v="155"/>
    <x v="9"/>
    <x v="0"/>
    <x v="0"/>
    <x v="23"/>
  </r>
  <r>
    <n v="1016345"/>
    <x v="1"/>
    <n v="15.13"/>
    <n v="15.18"/>
    <n v="0.95"/>
    <x v="6"/>
    <x v="0"/>
    <x v="1"/>
    <x v="1"/>
  </r>
  <r>
    <n v="1016354"/>
    <x v="1"/>
    <n v="13.29"/>
    <n v="0"/>
    <n v="342.6"/>
    <x v="3"/>
    <x v="1"/>
    <x v="2"/>
    <x v="1"/>
  </r>
  <r>
    <n v="1016356"/>
    <x v="1"/>
    <n v="13.7"/>
    <n v="13.75"/>
    <n v="11.95"/>
    <x v="3"/>
    <x v="0"/>
    <x v="1"/>
    <x v="1"/>
  </r>
  <r>
    <n v="1016362"/>
    <x v="1"/>
    <n v="12.81"/>
    <n v="12.86"/>
    <n v="14.85"/>
    <x v="3"/>
    <x v="0"/>
    <x v="1"/>
    <x v="1"/>
  </r>
  <r>
    <n v="1016366"/>
    <x v="1"/>
    <n v="12.81"/>
    <n v="12.86"/>
    <n v="86.6"/>
    <x v="3"/>
    <x v="0"/>
    <x v="1"/>
    <x v="1"/>
  </r>
  <r>
    <n v="1016382"/>
    <x v="1"/>
    <n v="13.7"/>
    <n v="14.52"/>
    <n v="89.9"/>
    <x v="3"/>
    <x v="0"/>
    <x v="1"/>
    <x v="1"/>
  </r>
  <r>
    <n v="1016383"/>
    <x v="1"/>
    <n v="12.81"/>
    <n v="12.86"/>
    <n v="90.4"/>
    <x v="3"/>
    <x v="0"/>
    <x v="1"/>
    <x v="1"/>
  </r>
  <r>
    <n v="1016386"/>
    <x v="1"/>
    <n v="12.81"/>
    <n v="12.86"/>
    <n v="4.95"/>
    <x v="3"/>
    <x v="0"/>
    <x v="1"/>
    <x v="1"/>
  </r>
  <r>
    <n v="1016389"/>
    <x v="1"/>
    <n v="15.45"/>
    <n v="15.5"/>
    <n v="56.5"/>
    <x v="6"/>
    <x v="0"/>
    <x v="1"/>
    <x v="1"/>
  </r>
  <r>
    <n v="1016402"/>
    <x v="1"/>
    <n v="12.35"/>
    <n v="12.4"/>
    <n v="44.95"/>
    <x v="7"/>
    <x v="0"/>
    <x v="1"/>
    <x v="1"/>
  </r>
  <r>
    <n v="1016406"/>
    <x v="1"/>
    <n v="13.7"/>
    <n v="13.76"/>
    <n v="111.15"/>
    <x v="3"/>
    <x v="0"/>
    <x v="1"/>
    <x v="1"/>
  </r>
  <r>
    <n v="1016415"/>
    <x v="1"/>
    <n v="12.81"/>
    <n v="12.86"/>
    <n v="16.899999999999999"/>
    <x v="3"/>
    <x v="0"/>
    <x v="1"/>
    <x v="1"/>
  </r>
  <r>
    <n v="1016416"/>
    <x v="1"/>
    <n v="15.13"/>
    <n v="15.18"/>
    <n v="22.9"/>
    <x v="6"/>
    <x v="0"/>
    <x v="1"/>
    <x v="1"/>
  </r>
  <r>
    <n v="1016418"/>
    <x v="1"/>
    <n v="13.7"/>
    <n v="0"/>
    <n v="202.55"/>
    <x v="3"/>
    <x v="1"/>
    <x v="2"/>
    <x v="1"/>
  </r>
  <r>
    <n v="1016419"/>
    <x v="1"/>
    <n v="13.74"/>
    <n v="13.79"/>
    <n v="148.65"/>
    <x v="3"/>
    <x v="0"/>
    <x v="1"/>
    <x v="1"/>
  </r>
  <r>
    <n v="1016424"/>
    <x v="1"/>
    <n v="13.7"/>
    <n v="0"/>
    <n v="202.9"/>
    <x v="3"/>
    <x v="1"/>
    <x v="2"/>
    <x v="1"/>
  </r>
  <r>
    <n v="1016428"/>
    <x v="1"/>
    <n v="16.46"/>
    <n v="16.510000000000002"/>
    <n v="155.15"/>
    <x v="4"/>
    <x v="0"/>
    <x v="1"/>
    <x v="1"/>
  </r>
  <r>
    <n v="1016463"/>
    <x v="1"/>
    <n v="15.44"/>
    <n v="15.49"/>
    <n v="71.7"/>
    <x v="6"/>
    <x v="0"/>
    <x v="1"/>
    <x v="1"/>
  </r>
  <r>
    <n v="1016471"/>
    <x v="1"/>
    <n v="9.7100000000000009"/>
    <n v="12.86"/>
    <n v="44.95"/>
    <x v="0"/>
    <x v="0"/>
    <x v="1"/>
    <x v="1"/>
  </r>
  <r>
    <n v="1016493"/>
    <x v="1"/>
    <n v="12.81"/>
    <n v="12.86"/>
    <n v="62.45"/>
    <x v="3"/>
    <x v="0"/>
    <x v="1"/>
    <x v="1"/>
  </r>
  <r>
    <n v="1016502"/>
    <x v="1"/>
    <n v="13.7"/>
    <n v="13.75"/>
    <n v="47.9"/>
    <x v="3"/>
    <x v="0"/>
    <x v="1"/>
    <x v="1"/>
  </r>
  <r>
    <n v="1016509"/>
    <x v="1"/>
    <n v="16.77"/>
    <n v="16.82"/>
    <n v="42.9"/>
    <x v="4"/>
    <x v="0"/>
    <x v="1"/>
    <x v="1"/>
  </r>
  <r>
    <n v="1016510"/>
    <x v="1"/>
    <n v="13.7"/>
    <n v="13.75"/>
    <n v="23.85"/>
    <x v="3"/>
    <x v="0"/>
    <x v="1"/>
    <x v="1"/>
  </r>
  <r>
    <n v="1016514"/>
    <x v="1"/>
    <n v="12.56"/>
    <n v="0"/>
    <n v="600"/>
    <x v="0"/>
    <x v="1"/>
    <x v="2"/>
    <x v="1"/>
  </r>
  <r>
    <n v="1016520"/>
    <x v="1"/>
    <n v="13.7"/>
    <n v="13.76"/>
    <n v="15.95"/>
    <x v="3"/>
    <x v="0"/>
    <x v="1"/>
    <x v="1"/>
  </r>
  <r>
    <n v="1016538"/>
    <x v="1"/>
    <n v="9.6999999999999993"/>
    <n v="9.76"/>
    <n v="110.4"/>
    <x v="0"/>
    <x v="0"/>
    <x v="1"/>
    <x v="1"/>
  </r>
  <r>
    <n v="1016542"/>
    <x v="1"/>
    <n v="15.13"/>
    <n v="15.18"/>
    <n v="73.25"/>
    <x v="6"/>
    <x v="0"/>
    <x v="1"/>
    <x v="1"/>
  </r>
  <r>
    <n v="1016548"/>
    <x v="1"/>
    <n v="12.81"/>
    <n v="12.86"/>
    <n v="15.4"/>
    <x v="3"/>
    <x v="0"/>
    <x v="1"/>
    <x v="1"/>
  </r>
  <r>
    <n v="1016559"/>
    <x v="1"/>
    <n v="15.44"/>
    <n v="15.49"/>
    <n v="31"/>
    <x v="6"/>
    <x v="0"/>
    <x v="1"/>
    <x v="1"/>
  </r>
  <r>
    <n v="1016564"/>
    <x v="1"/>
    <n v="16.84"/>
    <n v="18.41"/>
    <n v="116.8"/>
    <x v="4"/>
    <x v="0"/>
    <x v="1"/>
    <x v="1"/>
  </r>
  <r>
    <n v="1016567"/>
    <x v="1"/>
    <n v="13.7"/>
    <n v="13.75"/>
    <n v="28.9"/>
    <x v="3"/>
    <x v="0"/>
    <x v="1"/>
    <x v="1"/>
  </r>
  <r>
    <n v="1016568"/>
    <x v="1"/>
    <n v="13.7"/>
    <n v="13.75"/>
    <n v="69.400000000000006"/>
    <x v="3"/>
    <x v="0"/>
    <x v="1"/>
    <x v="1"/>
  </r>
  <r>
    <n v="1016572"/>
    <x v="1"/>
    <n v="13.7"/>
    <n v="13.75"/>
    <n v="8.9"/>
    <x v="3"/>
    <x v="0"/>
    <x v="1"/>
    <x v="1"/>
  </r>
  <r>
    <n v="1016586"/>
    <x v="1"/>
    <n v="15.44"/>
    <n v="15.49"/>
    <n v="29.95"/>
    <x v="6"/>
    <x v="0"/>
    <x v="1"/>
    <x v="1"/>
  </r>
  <r>
    <n v="1016588"/>
    <x v="1"/>
    <n v="14.22"/>
    <n v="0"/>
    <n v="315.55"/>
    <x v="3"/>
    <x v="1"/>
    <x v="2"/>
    <x v="1"/>
  </r>
  <r>
    <n v="1016591"/>
    <x v="1"/>
    <n v="13.7"/>
    <n v="13.75"/>
    <n v="19.95"/>
    <x v="3"/>
    <x v="0"/>
    <x v="1"/>
    <x v="1"/>
  </r>
  <r>
    <n v="1016626"/>
    <x v="1"/>
    <n v="17.7"/>
    <n v="17.760000000000002"/>
    <n v="65.2"/>
    <x v="9"/>
    <x v="0"/>
    <x v="1"/>
    <x v="1"/>
  </r>
  <r>
    <n v="1016648"/>
    <x v="1"/>
    <n v="9.6999999999999993"/>
    <n v="9.75"/>
    <n v="117.55"/>
    <x v="0"/>
    <x v="0"/>
    <x v="1"/>
    <x v="1"/>
  </r>
  <r>
    <n v="1016649"/>
    <x v="1"/>
    <n v="12.81"/>
    <n v="12.86"/>
    <n v="59.9"/>
    <x v="3"/>
    <x v="0"/>
    <x v="1"/>
    <x v="1"/>
  </r>
  <r>
    <n v="1016685"/>
    <x v="1"/>
    <n v="12.81"/>
    <n v="12.86"/>
    <n v="79.349999999999994"/>
    <x v="3"/>
    <x v="0"/>
    <x v="1"/>
    <x v="1"/>
  </r>
  <r>
    <n v="1016711"/>
    <x v="1"/>
    <n v="12.81"/>
    <n v="13.31"/>
    <n v="15.9"/>
    <x v="3"/>
    <x v="0"/>
    <x v="1"/>
    <x v="1"/>
  </r>
  <r>
    <n v="1016751"/>
    <x v="1"/>
    <n v="12.81"/>
    <n v="12.86"/>
    <n v="6.95"/>
    <x v="3"/>
    <x v="0"/>
    <x v="1"/>
    <x v="1"/>
  </r>
  <r>
    <n v="1016755"/>
    <x v="1"/>
    <n v="12.81"/>
    <n v="12.86"/>
    <n v="27.9"/>
    <x v="3"/>
    <x v="0"/>
    <x v="1"/>
    <x v="1"/>
  </r>
  <r>
    <n v="1016787"/>
    <x v="1"/>
    <n v="12.81"/>
    <n v="12.86"/>
    <n v="39"/>
    <x v="3"/>
    <x v="0"/>
    <x v="1"/>
    <x v="1"/>
  </r>
  <r>
    <n v="1016804"/>
    <x v="1"/>
    <n v="12.81"/>
    <n v="12.86"/>
    <n v="78.3"/>
    <x v="3"/>
    <x v="0"/>
    <x v="1"/>
    <x v="1"/>
  </r>
  <r>
    <n v="1016829"/>
    <x v="1"/>
    <n v="16.46"/>
    <n v="16.510000000000002"/>
    <n v="27.55"/>
    <x v="4"/>
    <x v="0"/>
    <x v="1"/>
    <x v="1"/>
  </r>
  <r>
    <n v="1016854"/>
    <x v="1"/>
    <n v="13.7"/>
    <n v="0"/>
    <n v="282.7"/>
    <x v="3"/>
    <x v="1"/>
    <x v="2"/>
    <x v="1"/>
  </r>
  <r>
    <n v="1016862"/>
    <x v="1"/>
    <n v="16.77"/>
    <n v="16.82"/>
    <n v="169.6"/>
    <x v="4"/>
    <x v="0"/>
    <x v="1"/>
    <x v="1"/>
  </r>
  <r>
    <n v="1016876"/>
    <x v="1"/>
    <n v="12.81"/>
    <n v="12.86"/>
    <n v="7.95"/>
    <x v="3"/>
    <x v="0"/>
    <x v="1"/>
    <x v="1"/>
  </r>
  <r>
    <n v="1016886"/>
    <x v="1"/>
    <n v="12.81"/>
    <n v="12.86"/>
    <n v="3.9"/>
    <x v="3"/>
    <x v="0"/>
    <x v="1"/>
    <x v="1"/>
  </r>
  <r>
    <n v="1016905"/>
    <x v="1"/>
    <n v="13.7"/>
    <n v="13.75"/>
    <n v="20.7"/>
    <x v="3"/>
    <x v="0"/>
    <x v="1"/>
    <x v="1"/>
  </r>
  <r>
    <n v="1016918"/>
    <x v="1"/>
    <n v="18.920000000000002"/>
    <n v="18.97"/>
    <n v="123.55"/>
    <x v="9"/>
    <x v="0"/>
    <x v="1"/>
    <x v="1"/>
  </r>
  <r>
    <n v="1016921"/>
    <x v="1"/>
    <n v="13.7"/>
    <n v="14.56"/>
    <n v="94.85"/>
    <x v="3"/>
    <x v="0"/>
    <x v="1"/>
    <x v="1"/>
  </r>
  <r>
    <n v="1016924"/>
    <x v="1"/>
    <n v="16.77"/>
    <n v="16.82"/>
    <n v="9.9"/>
    <x v="4"/>
    <x v="0"/>
    <x v="1"/>
    <x v="1"/>
  </r>
  <r>
    <n v="1016935"/>
    <x v="1"/>
    <n v="15.44"/>
    <n v="15.49"/>
    <n v="83.65"/>
    <x v="6"/>
    <x v="0"/>
    <x v="1"/>
    <x v="1"/>
  </r>
  <r>
    <n v="1016943"/>
    <x v="1"/>
    <n v="13.7"/>
    <n v="13.76"/>
    <n v="99.2"/>
    <x v="3"/>
    <x v="0"/>
    <x v="1"/>
    <x v="1"/>
  </r>
  <r>
    <n v="1016946"/>
    <x v="1"/>
    <n v="67.459999999999994"/>
    <n v="67.510000000000005"/>
    <n v="78.8"/>
    <x v="2"/>
    <x v="0"/>
    <x v="1"/>
    <x v="1"/>
  </r>
  <r>
    <n v="1016965"/>
    <x v="1"/>
    <n v="12.81"/>
    <n v="12.86"/>
    <n v="138.85"/>
    <x v="3"/>
    <x v="0"/>
    <x v="1"/>
    <x v="1"/>
  </r>
  <r>
    <n v="1016967"/>
    <x v="1"/>
    <n v="59.76"/>
    <n v="61.26"/>
    <n v="155.25"/>
    <x v="2"/>
    <x v="0"/>
    <x v="1"/>
    <x v="1"/>
  </r>
  <r>
    <n v="1017003"/>
    <x v="1"/>
    <n v="12.81"/>
    <n v="12.86"/>
    <n v="29.95"/>
    <x v="3"/>
    <x v="0"/>
    <x v="1"/>
    <x v="1"/>
  </r>
  <r>
    <n v="1017010"/>
    <x v="1"/>
    <n v="13.7"/>
    <n v="13.75"/>
    <n v="37.450000000000003"/>
    <x v="3"/>
    <x v="0"/>
    <x v="1"/>
    <x v="1"/>
  </r>
  <r>
    <n v="1017021"/>
    <x v="1"/>
    <n v="12.81"/>
    <n v="12.86"/>
    <n v="118"/>
    <x v="3"/>
    <x v="0"/>
    <x v="1"/>
    <x v="1"/>
  </r>
  <r>
    <n v="1017022"/>
    <x v="1"/>
    <n v="9.6999999999999993"/>
    <n v="12.9"/>
    <n v="116.9"/>
    <x v="0"/>
    <x v="0"/>
    <x v="1"/>
    <x v="1"/>
  </r>
  <r>
    <n v="1017023"/>
    <x v="1"/>
    <n v="13.7"/>
    <n v="13.75"/>
    <n v="34.950000000000003"/>
    <x v="3"/>
    <x v="0"/>
    <x v="1"/>
    <x v="1"/>
  </r>
  <r>
    <n v="1017033"/>
    <x v="1"/>
    <n v="12.81"/>
    <n v="12.86"/>
    <n v="140.55000000000001"/>
    <x v="3"/>
    <x v="0"/>
    <x v="1"/>
    <x v="1"/>
  </r>
  <r>
    <n v="1017036"/>
    <x v="1"/>
    <n v="15.44"/>
    <n v="15.49"/>
    <n v="8.85"/>
    <x v="6"/>
    <x v="0"/>
    <x v="1"/>
    <x v="1"/>
  </r>
  <r>
    <n v="1017038"/>
    <x v="1"/>
    <n v="16.46"/>
    <n v="16.510000000000002"/>
    <n v="29.7"/>
    <x v="4"/>
    <x v="0"/>
    <x v="1"/>
    <x v="1"/>
  </r>
  <r>
    <n v="1017062"/>
    <x v="1"/>
    <n v="12.81"/>
    <n v="12.86"/>
    <n v="39.950000000000003"/>
    <x v="3"/>
    <x v="0"/>
    <x v="1"/>
    <x v="1"/>
  </r>
  <r>
    <n v="1017101"/>
    <x v="1"/>
    <n v="12.81"/>
    <n v="12.86"/>
    <n v="89.85"/>
    <x v="3"/>
    <x v="0"/>
    <x v="1"/>
    <x v="1"/>
  </r>
  <r>
    <n v="1017103"/>
    <x v="1"/>
    <n v="12.81"/>
    <n v="12.86"/>
    <n v="40.200000000000003"/>
    <x v="3"/>
    <x v="0"/>
    <x v="1"/>
    <x v="1"/>
  </r>
  <r>
    <n v="1017130"/>
    <x v="1"/>
    <n v="13.83"/>
    <n v="12.86"/>
    <n v="81.8"/>
    <x v="3"/>
    <x v="0"/>
    <x v="0"/>
    <x v="24"/>
  </r>
  <r>
    <n v="1017136"/>
    <x v="1"/>
    <n v="9.6999999999999993"/>
    <n v="0"/>
    <n v="226.55"/>
    <x v="0"/>
    <x v="1"/>
    <x v="2"/>
    <x v="1"/>
  </r>
  <r>
    <n v="1017143"/>
    <x v="1"/>
    <n v="12.81"/>
    <n v="12.86"/>
    <n v="5.95"/>
    <x v="3"/>
    <x v="0"/>
    <x v="1"/>
    <x v="1"/>
  </r>
  <r>
    <n v="1017165"/>
    <x v="1"/>
    <n v="13.7"/>
    <n v="13.75"/>
    <n v="25"/>
    <x v="3"/>
    <x v="0"/>
    <x v="1"/>
    <x v="1"/>
  </r>
  <r>
    <n v="1017167"/>
    <x v="1"/>
    <n v="12.81"/>
    <n v="12.86"/>
    <n v="106.55"/>
    <x v="3"/>
    <x v="0"/>
    <x v="1"/>
    <x v="1"/>
  </r>
  <r>
    <n v="1017191"/>
    <x v="1"/>
    <n v="13.7"/>
    <n v="13.83"/>
    <n v="69.400000000000006"/>
    <x v="3"/>
    <x v="0"/>
    <x v="1"/>
    <x v="1"/>
  </r>
  <r>
    <n v="1017212"/>
    <x v="1"/>
    <n v="16.940000000000001"/>
    <n v="0"/>
    <n v="503.9"/>
    <x v="3"/>
    <x v="1"/>
    <x v="2"/>
    <x v="1"/>
  </r>
  <r>
    <n v="1017228"/>
    <x v="1"/>
    <n v="13.7"/>
    <n v="13.75"/>
    <n v="32.799999999999997"/>
    <x v="3"/>
    <x v="0"/>
    <x v="1"/>
    <x v="1"/>
  </r>
  <r>
    <n v="1017233"/>
    <x v="1"/>
    <n v="19.920000000000002"/>
    <n v="21.81"/>
    <n v="129.9"/>
    <x v="4"/>
    <x v="0"/>
    <x v="1"/>
    <x v="1"/>
  </r>
  <r>
    <n v="1017238"/>
    <x v="1"/>
    <n v="22.46"/>
    <n v="22.51"/>
    <n v="78.7"/>
    <x v="10"/>
    <x v="0"/>
    <x v="1"/>
    <x v="1"/>
  </r>
  <r>
    <n v="1017240"/>
    <x v="1"/>
    <n v="13.7"/>
    <n v="13.75"/>
    <n v="89.95"/>
    <x v="3"/>
    <x v="0"/>
    <x v="1"/>
    <x v="1"/>
  </r>
  <r>
    <n v="1017241"/>
    <x v="1"/>
    <n v="13.7"/>
    <n v="13.75"/>
    <n v="39.950000000000003"/>
    <x v="3"/>
    <x v="0"/>
    <x v="1"/>
    <x v="1"/>
  </r>
  <r>
    <n v="1017251"/>
    <x v="1"/>
    <n v="12.81"/>
    <n v="14.28"/>
    <n v="136.75"/>
    <x v="3"/>
    <x v="0"/>
    <x v="1"/>
    <x v="1"/>
  </r>
  <r>
    <n v="1017255"/>
    <x v="1"/>
    <n v="16.46"/>
    <n v="16.510000000000002"/>
    <n v="69.900000000000006"/>
    <x v="4"/>
    <x v="0"/>
    <x v="1"/>
    <x v="1"/>
  </r>
  <r>
    <n v="1017256"/>
    <x v="1"/>
    <n v="12.81"/>
    <n v="12.86"/>
    <n v="101.4"/>
    <x v="3"/>
    <x v="0"/>
    <x v="1"/>
    <x v="1"/>
  </r>
  <r>
    <n v="1017267"/>
    <x v="1"/>
    <n v="12.81"/>
    <n v="12.86"/>
    <n v="27.95"/>
    <x v="3"/>
    <x v="0"/>
    <x v="1"/>
    <x v="1"/>
  </r>
  <r>
    <n v="1017268"/>
    <x v="1"/>
    <n v="12.81"/>
    <n v="12.86"/>
    <n v="23.8"/>
    <x v="3"/>
    <x v="0"/>
    <x v="1"/>
    <x v="1"/>
  </r>
  <r>
    <n v="1017270"/>
    <x v="1"/>
    <n v="12.81"/>
    <n v="12.86"/>
    <n v="7.95"/>
    <x v="3"/>
    <x v="0"/>
    <x v="1"/>
    <x v="1"/>
  </r>
  <r>
    <n v="1017283"/>
    <x v="1"/>
    <n v="13.7"/>
    <n v="13.76"/>
    <n v="134.24"/>
    <x v="3"/>
    <x v="0"/>
    <x v="1"/>
    <x v="1"/>
  </r>
  <r>
    <n v="1017291"/>
    <x v="1"/>
    <n v="12.81"/>
    <n v="12.86"/>
    <n v="18.75"/>
    <x v="3"/>
    <x v="0"/>
    <x v="1"/>
    <x v="1"/>
  </r>
  <r>
    <n v="1017298"/>
    <x v="1"/>
    <n v="12.81"/>
    <n v="12.86"/>
    <n v="110.25"/>
    <x v="3"/>
    <x v="0"/>
    <x v="1"/>
    <x v="1"/>
  </r>
  <r>
    <n v="1017312"/>
    <x v="1"/>
    <n v="12.81"/>
    <n v="13.88"/>
    <n v="54.8"/>
    <x v="3"/>
    <x v="0"/>
    <x v="1"/>
    <x v="1"/>
  </r>
  <r>
    <n v="1017330"/>
    <x v="1"/>
    <n v="12.81"/>
    <n v="12.86"/>
    <n v="19.95"/>
    <x v="3"/>
    <x v="0"/>
    <x v="1"/>
    <x v="1"/>
  </r>
  <r>
    <n v="1017347"/>
    <x v="1"/>
    <n v="12.81"/>
    <n v="12.86"/>
    <n v="40.9"/>
    <x v="3"/>
    <x v="0"/>
    <x v="1"/>
    <x v="1"/>
  </r>
  <r>
    <n v="1017376"/>
    <x v="1"/>
    <n v="12.81"/>
    <n v="12.86"/>
    <n v="12.5"/>
    <x v="3"/>
    <x v="0"/>
    <x v="1"/>
    <x v="1"/>
  </r>
  <r>
    <n v="1017378"/>
    <x v="1"/>
    <n v="13.7"/>
    <n v="13.75"/>
    <n v="58.8"/>
    <x v="3"/>
    <x v="0"/>
    <x v="1"/>
    <x v="1"/>
  </r>
  <r>
    <n v="1017401"/>
    <x v="1"/>
    <n v="13.7"/>
    <n v="13.75"/>
    <n v="8"/>
    <x v="3"/>
    <x v="0"/>
    <x v="1"/>
    <x v="1"/>
  </r>
  <r>
    <n v="1017403"/>
    <x v="1"/>
    <n v="13.7"/>
    <n v="13.75"/>
    <n v="39.950000000000003"/>
    <x v="3"/>
    <x v="0"/>
    <x v="1"/>
    <x v="1"/>
  </r>
  <r>
    <n v="1017407"/>
    <x v="1"/>
    <n v="12.81"/>
    <n v="12.86"/>
    <n v="65.95"/>
    <x v="3"/>
    <x v="0"/>
    <x v="1"/>
    <x v="1"/>
  </r>
  <r>
    <n v="1017416"/>
    <x v="1"/>
    <n v="12.81"/>
    <n v="12.86"/>
    <n v="24.9"/>
    <x v="3"/>
    <x v="0"/>
    <x v="1"/>
    <x v="1"/>
  </r>
  <r>
    <n v="1017438"/>
    <x v="1"/>
    <n v="12.81"/>
    <n v="0"/>
    <n v="300.10000000000002"/>
    <x v="3"/>
    <x v="1"/>
    <x v="2"/>
    <x v="1"/>
  </r>
  <r>
    <n v="1017449"/>
    <x v="1"/>
    <n v="13.7"/>
    <n v="13.75"/>
    <n v="17.399999999999999"/>
    <x v="3"/>
    <x v="0"/>
    <x v="1"/>
    <x v="1"/>
  </r>
  <r>
    <n v="1017458"/>
    <x v="1"/>
    <n v="16.87"/>
    <n v="16.920000000000002"/>
    <n v="9.4600000000000009"/>
    <x v="4"/>
    <x v="0"/>
    <x v="1"/>
    <x v="1"/>
  </r>
  <r>
    <n v="1017462"/>
    <x v="1"/>
    <n v="30.97"/>
    <n v="28.94"/>
    <n v="489.6"/>
    <x v="9"/>
    <x v="0"/>
    <x v="0"/>
    <x v="25"/>
  </r>
  <r>
    <n v="1017500"/>
    <x v="1"/>
    <n v="12.45"/>
    <n v="14.36"/>
    <n v="99"/>
    <x v="7"/>
    <x v="0"/>
    <x v="1"/>
    <x v="1"/>
  </r>
  <r>
    <n v="1017506"/>
    <x v="1"/>
    <n v="13.7"/>
    <n v="13.75"/>
    <n v="49.95"/>
    <x v="3"/>
    <x v="0"/>
    <x v="1"/>
    <x v="1"/>
  </r>
  <r>
    <n v="1017513"/>
    <x v="1"/>
    <n v="12.81"/>
    <n v="12.86"/>
    <n v="13.9"/>
    <x v="3"/>
    <x v="0"/>
    <x v="1"/>
    <x v="1"/>
  </r>
  <r>
    <n v="1017532"/>
    <x v="1"/>
    <n v="9.6999999999999993"/>
    <n v="0"/>
    <n v="229.7"/>
    <x v="0"/>
    <x v="1"/>
    <x v="2"/>
    <x v="1"/>
  </r>
  <r>
    <n v="1017538"/>
    <x v="1"/>
    <n v="9.6999999999999993"/>
    <n v="0"/>
    <n v="222.54"/>
    <x v="0"/>
    <x v="1"/>
    <x v="2"/>
    <x v="1"/>
  </r>
  <r>
    <n v="1017547"/>
    <x v="1"/>
    <n v="17.84"/>
    <n v="19.66"/>
    <n v="51.65"/>
    <x v="4"/>
    <x v="0"/>
    <x v="1"/>
    <x v="1"/>
  </r>
  <r>
    <n v="1017548"/>
    <x v="1"/>
    <n v="13.7"/>
    <n v="13.75"/>
    <n v="63.8"/>
    <x v="3"/>
    <x v="0"/>
    <x v="1"/>
    <x v="1"/>
  </r>
  <r>
    <n v="1017570"/>
    <x v="1"/>
    <n v="26.34"/>
    <n v="27.72"/>
    <n v="139.85"/>
    <x v="9"/>
    <x v="0"/>
    <x v="1"/>
    <x v="1"/>
  </r>
  <r>
    <n v="1017592"/>
    <x v="1"/>
    <n v="12.81"/>
    <n v="12.86"/>
    <n v="57.7"/>
    <x v="3"/>
    <x v="0"/>
    <x v="1"/>
    <x v="1"/>
  </r>
  <r>
    <n v="1017606"/>
    <x v="1"/>
    <n v="76.67"/>
    <n v="79.569999999999993"/>
    <n v="263.7"/>
    <x v="2"/>
    <x v="0"/>
    <x v="1"/>
    <x v="1"/>
  </r>
  <r>
    <n v="1017613"/>
    <x v="1"/>
    <n v="9.86"/>
    <n v="0"/>
    <n v="340"/>
    <x v="0"/>
    <x v="1"/>
    <x v="2"/>
    <x v="1"/>
  </r>
  <r>
    <n v="1017634"/>
    <x v="1"/>
    <n v="12.81"/>
    <n v="13.26"/>
    <n v="114.95"/>
    <x v="3"/>
    <x v="0"/>
    <x v="1"/>
    <x v="1"/>
  </r>
  <r>
    <n v="1017638"/>
    <x v="1"/>
    <n v="9.6999999999999993"/>
    <n v="9.75"/>
    <n v="57.15"/>
    <x v="0"/>
    <x v="0"/>
    <x v="1"/>
    <x v="1"/>
  </r>
  <r>
    <n v="1017649"/>
    <x v="1"/>
    <n v="19.22"/>
    <n v="19.27"/>
    <n v="3.95"/>
    <x v="10"/>
    <x v="0"/>
    <x v="1"/>
    <x v="1"/>
  </r>
  <r>
    <n v="1017656"/>
    <x v="1"/>
    <n v="9.6999999999999993"/>
    <n v="9.75"/>
    <n v="99.15"/>
    <x v="0"/>
    <x v="0"/>
    <x v="1"/>
    <x v="1"/>
  </r>
  <r>
    <n v="1017679"/>
    <x v="1"/>
    <n v="12.81"/>
    <n v="12.86"/>
    <n v="13.9"/>
    <x v="3"/>
    <x v="0"/>
    <x v="1"/>
    <x v="1"/>
  </r>
  <r>
    <n v="1017685"/>
    <x v="1"/>
    <n v="21.55"/>
    <n v="21.6"/>
    <n v="14.95"/>
    <x v="9"/>
    <x v="0"/>
    <x v="1"/>
    <x v="1"/>
  </r>
  <r>
    <n v="1017686"/>
    <x v="1"/>
    <n v="15.13"/>
    <n v="15.18"/>
    <n v="15.95"/>
    <x v="6"/>
    <x v="0"/>
    <x v="1"/>
    <x v="1"/>
  </r>
  <r>
    <n v="1017688"/>
    <x v="1"/>
    <n v="9.7100000000000009"/>
    <n v="9.75"/>
    <n v="46.9"/>
    <x v="0"/>
    <x v="0"/>
    <x v="1"/>
    <x v="1"/>
  </r>
  <r>
    <n v="1017695"/>
    <x v="1"/>
    <n v="12.35"/>
    <n v="12.4"/>
    <n v="7.6"/>
    <x v="7"/>
    <x v="0"/>
    <x v="1"/>
    <x v="1"/>
  </r>
  <r>
    <n v="1017701"/>
    <x v="1"/>
    <n v="16.559999999999999"/>
    <n v="16.61"/>
    <n v="187.6"/>
    <x v="4"/>
    <x v="0"/>
    <x v="1"/>
    <x v="1"/>
  </r>
  <r>
    <n v="1017715"/>
    <x v="1"/>
    <n v="18.920000000000002"/>
    <n v="18.2"/>
    <n v="144.35"/>
    <x v="9"/>
    <x v="0"/>
    <x v="0"/>
    <x v="26"/>
  </r>
  <r>
    <n v="1017717"/>
    <x v="1"/>
    <n v="12.81"/>
    <n v="0"/>
    <n v="202.3"/>
    <x v="3"/>
    <x v="1"/>
    <x v="2"/>
    <x v="1"/>
  </r>
  <r>
    <n v="1017731"/>
    <x v="1"/>
    <n v="12.81"/>
    <n v="12.86"/>
    <n v="39.9"/>
    <x v="3"/>
    <x v="0"/>
    <x v="1"/>
    <x v="1"/>
  </r>
  <r>
    <n v="1017735"/>
    <x v="1"/>
    <n v="12.45"/>
    <n v="12.5"/>
    <n v="34.950000000000003"/>
    <x v="7"/>
    <x v="0"/>
    <x v="1"/>
    <x v="1"/>
  </r>
  <r>
    <n v="1017738"/>
    <x v="1"/>
    <n v="15.44"/>
    <n v="16.760000000000002"/>
    <n v="23.85"/>
    <x v="6"/>
    <x v="0"/>
    <x v="1"/>
    <x v="1"/>
  </r>
  <r>
    <n v="1017744"/>
    <x v="1"/>
    <n v="34.82"/>
    <n v="45.64"/>
    <n v="251.6"/>
    <x v="10"/>
    <x v="0"/>
    <x v="1"/>
    <x v="1"/>
  </r>
  <r>
    <n v="1017746"/>
    <x v="1"/>
    <n v="89.75"/>
    <n v="86.38"/>
    <n v="490.5"/>
    <x v="2"/>
    <x v="0"/>
    <x v="0"/>
    <x v="27"/>
  </r>
  <r>
    <n v="1017747"/>
    <x v="1"/>
    <n v="12.81"/>
    <n v="12.86"/>
    <n v="46.15"/>
    <x v="3"/>
    <x v="0"/>
    <x v="1"/>
    <x v="1"/>
  </r>
  <r>
    <n v="1017788"/>
    <x v="1"/>
    <n v="11.02"/>
    <n v="11.07"/>
    <n v="9.9499999999999993"/>
    <x v="8"/>
    <x v="0"/>
    <x v="1"/>
    <x v="1"/>
  </r>
  <r>
    <n v="1017806"/>
    <x v="1"/>
    <n v="12.81"/>
    <n v="12.86"/>
    <n v="42.65"/>
    <x v="3"/>
    <x v="0"/>
    <x v="1"/>
    <x v="1"/>
  </r>
  <r>
    <n v="1017808"/>
    <x v="1"/>
    <n v="18.149999999999999"/>
    <n v="18.2"/>
    <n v="20.9"/>
    <x v="9"/>
    <x v="0"/>
    <x v="1"/>
    <x v="1"/>
  </r>
  <r>
    <n v="1017816"/>
    <x v="1"/>
    <n v="12.81"/>
    <n v="12.86"/>
    <n v="29.95"/>
    <x v="3"/>
    <x v="0"/>
    <x v="1"/>
    <x v="1"/>
  </r>
  <r>
    <n v="1017837"/>
    <x v="1"/>
    <n v="16.46"/>
    <n v="16.510000000000002"/>
    <n v="5"/>
    <x v="4"/>
    <x v="0"/>
    <x v="1"/>
    <x v="1"/>
  </r>
  <r>
    <n v="1017838"/>
    <x v="1"/>
    <n v="13.05"/>
    <n v="0"/>
    <n v="213.7"/>
    <x v="3"/>
    <x v="1"/>
    <x v="2"/>
    <x v="1"/>
  </r>
  <r>
    <n v="1017842"/>
    <x v="1"/>
    <n v="14.72"/>
    <n v="15.17"/>
    <n v="132.85"/>
    <x v="3"/>
    <x v="0"/>
    <x v="1"/>
    <x v="1"/>
  </r>
  <r>
    <n v="1017844"/>
    <x v="1"/>
    <n v="14.41"/>
    <n v="0"/>
    <n v="206.94"/>
    <x v="3"/>
    <x v="1"/>
    <x v="2"/>
    <x v="1"/>
  </r>
  <r>
    <n v="1017851"/>
    <x v="1"/>
    <n v="16.77"/>
    <n v="16.82"/>
    <n v="57.55"/>
    <x v="4"/>
    <x v="0"/>
    <x v="1"/>
    <x v="1"/>
  </r>
  <r>
    <n v="1017886"/>
    <x v="1"/>
    <n v="12.81"/>
    <n v="13.09"/>
    <n v="114.95"/>
    <x v="3"/>
    <x v="0"/>
    <x v="1"/>
    <x v="1"/>
  </r>
  <r>
    <n v="1017901"/>
    <x v="1"/>
    <n v="12.81"/>
    <n v="12.86"/>
    <n v="56.25"/>
    <x v="3"/>
    <x v="0"/>
    <x v="1"/>
    <x v="1"/>
  </r>
  <r>
    <n v="1017908"/>
    <x v="1"/>
    <n v="9.6999999999999993"/>
    <n v="9.75"/>
    <n v="11.8"/>
    <x v="0"/>
    <x v="0"/>
    <x v="1"/>
    <x v="1"/>
  </r>
  <r>
    <n v="1017926"/>
    <x v="1"/>
    <n v="12.81"/>
    <n v="12.86"/>
    <n v="31.75"/>
    <x v="3"/>
    <x v="0"/>
    <x v="1"/>
    <x v="1"/>
  </r>
  <r>
    <n v="1017933"/>
    <x v="1"/>
    <n v="16.77"/>
    <n v="18.2"/>
    <n v="38.75"/>
    <x v="4"/>
    <x v="0"/>
    <x v="1"/>
    <x v="1"/>
  </r>
  <r>
    <n v="1017952"/>
    <x v="1"/>
    <n v="9.6999999999999993"/>
    <n v="0"/>
    <n v="232.4"/>
    <x v="0"/>
    <x v="1"/>
    <x v="2"/>
    <x v="1"/>
  </r>
  <r>
    <n v="1017961"/>
    <x v="1"/>
    <n v="9.6999999999999993"/>
    <n v="9.75"/>
    <n v="116.15"/>
    <x v="0"/>
    <x v="0"/>
    <x v="1"/>
    <x v="1"/>
  </r>
  <r>
    <n v="1017968"/>
    <x v="1"/>
    <n v="13.7"/>
    <n v="13.75"/>
    <n v="30.75"/>
    <x v="3"/>
    <x v="0"/>
    <x v="1"/>
    <x v="1"/>
  </r>
  <r>
    <n v="1017972"/>
    <x v="1"/>
    <n v="16.46"/>
    <n v="16.510000000000002"/>
    <n v="130.4"/>
    <x v="4"/>
    <x v="0"/>
    <x v="1"/>
    <x v="1"/>
  </r>
  <r>
    <n v="1017979"/>
    <x v="1"/>
    <n v="13.7"/>
    <n v="13.75"/>
    <n v="89.6"/>
    <x v="3"/>
    <x v="0"/>
    <x v="1"/>
    <x v="1"/>
  </r>
  <r>
    <n v="1017981"/>
    <x v="1"/>
    <n v="12.55"/>
    <n v="0"/>
    <n v="767.03"/>
    <x v="0"/>
    <x v="1"/>
    <x v="2"/>
    <x v="1"/>
  </r>
  <r>
    <n v="1017990"/>
    <x v="1"/>
    <n v="9.6999999999999993"/>
    <n v="0"/>
    <n v="221.75"/>
    <x v="0"/>
    <x v="1"/>
    <x v="2"/>
    <x v="1"/>
  </r>
  <r>
    <n v="1018007"/>
    <x v="1"/>
    <n v="12.81"/>
    <n v="12.86"/>
    <n v="89.3"/>
    <x v="3"/>
    <x v="0"/>
    <x v="1"/>
    <x v="1"/>
  </r>
  <r>
    <n v="1018020"/>
    <x v="1"/>
    <n v="13.7"/>
    <n v="13.75"/>
    <n v="7.9"/>
    <x v="3"/>
    <x v="0"/>
    <x v="1"/>
    <x v="1"/>
  </r>
  <r>
    <n v="1018027"/>
    <x v="1"/>
    <n v="13.7"/>
    <n v="13.75"/>
    <n v="48.9"/>
    <x v="3"/>
    <x v="0"/>
    <x v="1"/>
    <x v="1"/>
  </r>
  <r>
    <n v="1018029"/>
    <x v="1"/>
    <n v="16.46"/>
    <n v="16.510000000000002"/>
    <n v="71.2"/>
    <x v="4"/>
    <x v="0"/>
    <x v="1"/>
    <x v="1"/>
  </r>
  <r>
    <n v="1018032"/>
    <x v="1"/>
    <n v="12.81"/>
    <n v="12.86"/>
    <n v="13"/>
    <x v="3"/>
    <x v="0"/>
    <x v="1"/>
    <x v="1"/>
  </r>
  <r>
    <n v="1018034"/>
    <x v="1"/>
    <n v="12.81"/>
    <n v="0"/>
    <n v="212.55"/>
    <x v="3"/>
    <x v="1"/>
    <x v="2"/>
    <x v="1"/>
  </r>
  <r>
    <n v="1018042"/>
    <x v="1"/>
    <n v="13.7"/>
    <n v="13.75"/>
    <n v="41.35"/>
    <x v="3"/>
    <x v="0"/>
    <x v="1"/>
    <x v="1"/>
  </r>
  <r>
    <n v="1018056"/>
    <x v="1"/>
    <n v="12.81"/>
    <n v="12.86"/>
    <n v="147.30000000000001"/>
    <x v="3"/>
    <x v="0"/>
    <x v="1"/>
    <x v="1"/>
  </r>
  <r>
    <n v="1018057"/>
    <x v="1"/>
    <n v="12.81"/>
    <n v="12.86"/>
    <n v="39.950000000000003"/>
    <x v="3"/>
    <x v="0"/>
    <x v="1"/>
    <x v="1"/>
  </r>
  <r>
    <n v="1018069"/>
    <x v="1"/>
    <n v="13.7"/>
    <n v="13.75"/>
    <n v="23.7"/>
    <x v="3"/>
    <x v="0"/>
    <x v="1"/>
    <x v="1"/>
  </r>
  <r>
    <n v="1018083"/>
    <x v="1"/>
    <n v="12.35"/>
    <n v="12.4"/>
    <n v="142.30000000000001"/>
    <x v="7"/>
    <x v="0"/>
    <x v="1"/>
    <x v="1"/>
  </r>
  <r>
    <n v="1018114"/>
    <x v="1"/>
    <n v="12.81"/>
    <n v="12.86"/>
    <n v="52.75"/>
    <x v="3"/>
    <x v="0"/>
    <x v="1"/>
    <x v="1"/>
  </r>
  <r>
    <n v="1018141"/>
    <x v="1"/>
    <n v="13.7"/>
    <n v="13.75"/>
    <n v="63"/>
    <x v="3"/>
    <x v="0"/>
    <x v="1"/>
    <x v="1"/>
  </r>
  <r>
    <n v="1018173"/>
    <x v="1"/>
    <n v="9.6999999999999993"/>
    <n v="12.86"/>
    <n v="79.900000000000006"/>
    <x v="0"/>
    <x v="0"/>
    <x v="1"/>
    <x v="1"/>
  </r>
  <r>
    <n v="1018175"/>
    <x v="1"/>
    <n v="13.22"/>
    <n v="0"/>
    <n v="291.5"/>
    <x v="3"/>
    <x v="1"/>
    <x v="2"/>
    <x v="1"/>
  </r>
  <r>
    <n v="1018179"/>
    <x v="1"/>
    <n v="13.75"/>
    <n v="0"/>
    <n v="1003.14"/>
    <x v="0"/>
    <x v="1"/>
    <x v="2"/>
    <x v="1"/>
  </r>
  <r>
    <n v="1018190"/>
    <x v="1"/>
    <n v="13.7"/>
    <n v="0"/>
    <n v="201.6"/>
    <x v="3"/>
    <x v="1"/>
    <x v="2"/>
    <x v="1"/>
  </r>
  <r>
    <n v="1018222"/>
    <x v="1"/>
    <n v="20.46"/>
    <n v="23.07"/>
    <n v="24.95"/>
    <x v="10"/>
    <x v="0"/>
    <x v="1"/>
    <x v="1"/>
  </r>
  <r>
    <n v="1018228"/>
    <x v="1"/>
    <n v="12.81"/>
    <n v="12.86"/>
    <n v="3.95"/>
    <x v="3"/>
    <x v="0"/>
    <x v="1"/>
    <x v="1"/>
  </r>
  <r>
    <n v="1018230"/>
    <x v="1"/>
    <n v="12.81"/>
    <n v="12.86"/>
    <n v="32.85"/>
    <x v="3"/>
    <x v="0"/>
    <x v="1"/>
    <x v="1"/>
  </r>
  <r>
    <n v="1018255"/>
    <x v="1"/>
    <n v="15.44"/>
    <n v="15.49"/>
    <n v="101.8"/>
    <x v="6"/>
    <x v="0"/>
    <x v="1"/>
    <x v="1"/>
  </r>
  <r>
    <n v="1018271"/>
    <x v="1"/>
    <n v="12.81"/>
    <n v="0"/>
    <n v="253.7"/>
    <x v="3"/>
    <x v="1"/>
    <x v="2"/>
    <x v="1"/>
  </r>
  <r>
    <n v="1018292"/>
    <x v="1"/>
    <n v="12.45"/>
    <n v="12.5"/>
    <n v="47.8"/>
    <x v="7"/>
    <x v="0"/>
    <x v="1"/>
    <x v="1"/>
  </r>
  <r>
    <n v="1018295"/>
    <x v="1"/>
    <n v="13.7"/>
    <n v="13.76"/>
    <n v="145.35"/>
    <x v="3"/>
    <x v="0"/>
    <x v="1"/>
    <x v="1"/>
  </r>
  <r>
    <n v="1018311"/>
    <x v="1"/>
    <n v="13.7"/>
    <n v="0"/>
    <n v="218.3"/>
    <x v="3"/>
    <x v="1"/>
    <x v="2"/>
    <x v="1"/>
  </r>
  <r>
    <n v="1018323"/>
    <x v="1"/>
    <n v="13.7"/>
    <n v="13.75"/>
    <n v="18.899999999999999"/>
    <x v="3"/>
    <x v="0"/>
    <x v="1"/>
    <x v="1"/>
  </r>
  <r>
    <n v="1018327"/>
    <x v="1"/>
    <n v="15.44"/>
    <n v="15.49"/>
    <n v="24.9"/>
    <x v="6"/>
    <x v="0"/>
    <x v="1"/>
    <x v="1"/>
  </r>
  <r>
    <n v="1018350"/>
    <x v="1"/>
    <n v="13.71"/>
    <n v="13.76"/>
    <n v="99.95"/>
    <x v="3"/>
    <x v="0"/>
    <x v="1"/>
    <x v="1"/>
  </r>
  <r>
    <n v="1018351"/>
    <x v="1"/>
    <n v="12.81"/>
    <n v="12.86"/>
    <n v="57.15"/>
    <x v="3"/>
    <x v="0"/>
    <x v="1"/>
    <x v="1"/>
  </r>
  <r>
    <n v="1018360"/>
    <x v="1"/>
    <n v="15.44"/>
    <n v="15.49"/>
    <n v="34.950000000000003"/>
    <x v="6"/>
    <x v="0"/>
    <x v="1"/>
    <x v="1"/>
  </r>
  <r>
    <n v="1018364"/>
    <x v="1"/>
    <n v="13.71"/>
    <n v="13.76"/>
    <n v="87.4"/>
    <x v="3"/>
    <x v="0"/>
    <x v="1"/>
    <x v="1"/>
  </r>
  <r>
    <n v="1018375"/>
    <x v="1"/>
    <n v="15.44"/>
    <n v="19.41"/>
    <n v="161.6"/>
    <x v="6"/>
    <x v="0"/>
    <x v="1"/>
    <x v="1"/>
  </r>
  <r>
    <n v="1018379"/>
    <x v="1"/>
    <n v="16.46"/>
    <n v="16.510000000000002"/>
    <n v="82.8"/>
    <x v="4"/>
    <x v="0"/>
    <x v="1"/>
    <x v="1"/>
  </r>
  <r>
    <n v="1018381"/>
    <x v="1"/>
    <n v="13.7"/>
    <n v="13.75"/>
    <n v="57.35"/>
    <x v="3"/>
    <x v="0"/>
    <x v="1"/>
    <x v="1"/>
  </r>
  <r>
    <n v="1018414"/>
    <x v="1"/>
    <n v="18.97"/>
    <n v="19.010000000000002"/>
    <n v="108.65"/>
    <x v="6"/>
    <x v="0"/>
    <x v="1"/>
    <x v="1"/>
  </r>
  <r>
    <n v="1018458"/>
    <x v="1"/>
    <n v="13.26"/>
    <n v="13.31"/>
    <n v="36.65"/>
    <x v="3"/>
    <x v="0"/>
    <x v="1"/>
    <x v="1"/>
  </r>
  <r>
    <n v="1018468"/>
    <x v="1"/>
    <n v="13.7"/>
    <n v="13.76"/>
    <n v="17.45"/>
    <x v="3"/>
    <x v="0"/>
    <x v="1"/>
    <x v="1"/>
  </r>
  <r>
    <n v="1018487"/>
    <x v="1"/>
    <n v="67.459999999999994"/>
    <n v="36.61"/>
    <n v="62.6"/>
    <x v="2"/>
    <x v="0"/>
    <x v="0"/>
    <x v="28"/>
  </r>
  <r>
    <n v="1018492"/>
    <x v="1"/>
    <n v="19.940000000000001"/>
    <n v="19.989999999999998"/>
    <n v="158.5"/>
    <x v="9"/>
    <x v="0"/>
    <x v="1"/>
    <x v="1"/>
  </r>
  <r>
    <n v="1018497"/>
    <x v="1"/>
    <n v="13.7"/>
    <n v="13.75"/>
    <n v="9"/>
    <x v="3"/>
    <x v="0"/>
    <x v="1"/>
    <x v="1"/>
  </r>
  <r>
    <n v="1018498"/>
    <x v="1"/>
    <n v="20.100000000000001"/>
    <n v="24.62"/>
    <n v="281.39999999999998"/>
    <x v="10"/>
    <x v="0"/>
    <x v="1"/>
    <x v="1"/>
  </r>
  <r>
    <n v="1018500"/>
    <x v="1"/>
    <n v="15.11"/>
    <n v="0"/>
    <n v="574.71"/>
    <x v="0"/>
    <x v="1"/>
    <x v="2"/>
    <x v="1"/>
  </r>
  <r>
    <n v="1018501"/>
    <x v="1"/>
    <n v="16.46"/>
    <n v="16.510000000000002"/>
    <n v="36.549999999999997"/>
    <x v="4"/>
    <x v="0"/>
    <x v="1"/>
    <x v="1"/>
  </r>
  <r>
    <n v="1018506"/>
    <x v="1"/>
    <n v="13.7"/>
    <n v="13.75"/>
    <n v="4.75"/>
    <x v="3"/>
    <x v="0"/>
    <x v="1"/>
    <x v="1"/>
  </r>
  <r>
    <n v="1018522"/>
    <x v="1"/>
    <n v="18.149999999999999"/>
    <n v="18.2"/>
    <n v="8"/>
    <x v="9"/>
    <x v="0"/>
    <x v="1"/>
    <x v="1"/>
  </r>
  <r>
    <n v="1018531"/>
    <x v="1"/>
    <n v="9.6999999999999993"/>
    <n v="9.75"/>
    <n v="159.9"/>
    <x v="0"/>
    <x v="0"/>
    <x v="1"/>
    <x v="1"/>
  </r>
  <r>
    <n v="1018546"/>
    <x v="1"/>
    <n v="9.6999999999999993"/>
    <n v="9.75"/>
    <n v="117.75"/>
    <x v="0"/>
    <x v="0"/>
    <x v="1"/>
    <x v="1"/>
  </r>
  <r>
    <n v="1018582"/>
    <x v="1"/>
    <n v="9.6999999999999993"/>
    <n v="9.75"/>
    <n v="3.95"/>
    <x v="0"/>
    <x v="0"/>
    <x v="1"/>
    <x v="1"/>
  </r>
  <r>
    <n v="1018589"/>
    <x v="1"/>
    <n v="21.86"/>
    <n v="21.91"/>
    <n v="5.95"/>
    <x v="9"/>
    <x v="0"/>
    <x v="1"/>
    <x v="1"/>
  </r>
  <r>
    <n v="1018590"/>
    <x v="1"/>
    <n v="15.13"/>
    <n v="15.77"/>
    <n v="49.75"/>
    <x v="6"/>
    <x v="0"/>
    <x v="1"/>
    <x v="1"/>
  </r>
  <r>
    <n v="1018603"/>
    <x v="1"/>
    <n v="13.71"/>
    <n v="13.76"/>
    <n v="15.9"/>
    <x v="3"/>
    <x v="0"/>
    <x v="1"/>
    <x v="1"/>
  </r>
  <r>
    <n v="1018610"/>
    <x v="1"/>
    <n v="18.46"/>
    <n v="18.510000000000002"/>
    <n v="19.5"/>
    <x v="9"/>
    <x v="0"/>
    <x v="1"/>
    <x v="1"/>
  </r>
  <r>
    <n v="1018614"/>
    <x v="1"/>
    <n v="15.44"/>
    <n v="15.49"/>
    <n v="19.600000000000001"/>
    <x v="6"/>
    <x v="0"/>
    <x v="1"/>
    <x v="1"/>
  </r>
  <r>
    <n v="1018627"/>
    <x v="1"/>
    <n v="13.49"/>
    <n v="0"/>
    <n v="561.6"/>
    <x v="0"/>
    <x v="1"/>
    <x v="2"/>
    <x v="1"/>
  </r>
  <r>
    <n v="1018632"/>
    <x v="1"/>
    <n v="13.7"/>
    <n v="13.75"/>
    <n v="88.55"/>
    <x v="3"/>
    <x v="0"/>
    <x v="1"/>
    <x v="1"/>
  </r>
  <r>
    <n v="1018639"/>
    <x v="1"/>
    <n v="12.81"/>
    <n v="12.86"/>
    <n v="51.85"/>
    <x v="3"/>
    <x v="0"/>
    <x v="1"/>
    <x v="1"/>
  </r>
  <r>
    <n v="1018640"/>
    <x v="1"/>
    <n v="12.81"/>
    <n v="12.86"/>
    <n v="11.85"/>
    <x v="3"/>
    <x v="0"/>
    <x v="1"/>
    <x v="1"/>
  </r>
  <r>
    <n v="1018646"/>
    <x v="1"/>
    <n v="13.26"/>
    <n v="14.15"/>
    <n v="118.5"/>
    <x v="3"/>
    <x v="0"/>
    <x v="1"/>
    <x v="1"/>
  </r>
  <r>
    <n v="1018658"/>
    <x v="1"/>
    <n v="16.84"/>
    <n v="16.89"/>
    <n v="63.7"/>
    <x v="4"/>
    <x v="0"/>
    <x v="1"/>
    <x v="1"/>
  </r>
  <r>
    <n v="1018692"/>
    <x v="1"/>
    <n v="15.45"/>
    <n v="16.5"/>
    <n v="221.55"/>
    <x v="6"/>
    <x v="0"/>
    <x v="1"/>
    <x v="1"/>
  </r>
  <r>
    <n v="1018700"/>
    <x v="1"/>
    <n v="12.81"/>
    <n v="12.86"/>
    <n v="22.5"/>
    <x v="3"/>
    <x v="0"/>
    <x v="1"/>
    <x v="1"/>
  </r>
  <r>
    <n v="1018702"/>
    <x v="1"/>
    <n v="18.809999999999999"/>
    <n v="18.86"/>
    <n v="197.6"/>
    <x v="10"/>
    <x v="0"/>
    <x v="1"/>
    <x v="1"/>
  </r>
  <r>
    <n v="1018703"/>
    <x v="1"/>
    <n v="15.44"/>
    <n v="15.49"/>
    <n v="147.80000000000001"/>
    <x v="6"/>
    <x v="0"/>
    <x v="1"/>
    <x v="1"/>
  </r>
  <r>
    <n v="1018728"/>
    <x v="1"/>
    <n v="12.81"/>
    <n v="0"/>
    <n v="393.7"/>
    <x v="3"/>
    <x v="1"/>
    <x v="2"/>
    <x v="1"/>
  </r>
  <r>
    <n v="1018733"/>
    <x v="1"/>
    <n v="13.7"/>
    <n v="13.76"/>
    <n v="135.55000000000001"/>
    <x v="3"/>
    <x v="0"/>
    <x v="1"/>
    <x v="1"/>
  </r>
  <r>
    <n v="1018745"/>
    <x v="1"/>
    <n v="13.7"/>
    <n v="13.76"/>
    <n v="15.95"/>
    <x v="3"/>
    <x v="0"/>
    <x v="1"/>
    <x v="1"/>
  </r>
  <r>
    <n v="1018747"/>
    <x v="1"/>
    <n v="12.35"/>
    <n v="12.4"/>
    <n v="35.200000000000003"/>
    <x v="7"/>
    <x v="0"/>
    <x v="1"/>
    <x v="1"/>
  </r>
  <r>
    <n v="1018769"/>
    <x v="1"/>
    <n v="16.46"/>
    <n v="16.510000000000002"/>
    <n v="131.6"/>
    <x v="4"/>
    <x v="0"/>
    <x v="1"/>
    <x v="1"/>
  </r>
  <r>
    <n v="1018805"/>
    <x v="1"/>
    <n v="21.76"/>
    <n v="21.81"/>
    <n v="49.9"/>
    <x v="4"/>
    <x v="0"/>
    <x v="1"/>
    <x v="1"/>
  </r>
  <r>
    <n v="1018809"/>
    <x v="1"/>
    <n v="13.7"/>
    <n v="13.75"/>
    <n v="16.8"/>
    <x v="3"/>
    <x v="0"/>
    <x v="1"/>
    <x v="1"/>
  </r>
  <r>
    <n v="1018815"/>
    <x v="1"/>
    <n v="9.6999999999999993"/>
    <n v="9.75"/>
    <n v="10"/>
    <x v="0"/>
    <x v="0"/>
    <x v="1"/>
    <x v="1"/>
  </r>
  <r>
    <n v="1018828"/>
    <x v="1"/>
    <n v="68.8"/>
    <n v="68.849999999999994"/>
    <n v="218.55"/>
    <x v="2"/>
    <x v="0"/>
    <x v="1"/>
    <x v="1"/>
  </r>
  <r>
    <n v="1018834"/>
    <x v="1"/>
    <n v="12.81"/>
    <n v="13.31"/>
    <n v="98.25"/>
    <x v="3"/>
    <x v="0"/>
    <x v="1"/>
    <x v="1"/>
  </r>
  <r>
    <n v="1018869"/>
    <x v="1"/>
    <n v="12.81"/>
    <n v="12.86"/>
    <n v="118.9"/>
    <x v="3"/>
    <x v="0"/>
    <x v="1"/>
    <x v="1"/>
  </r>
  <r>
    <n v="1018902"/>
    <x v="1"/>
    <n v="20.46"/>
    <n v="23.07"/>
    <n v="58.8"/>
    <x v="10"/>
    <x v="0"/>
    <x v="1"/>
    <x v="1"/>
  </r>
  <r>
    <n v="1018921"/>
    <x v="1"/>
    <n v="9.7100000000000009"/>
    <n v="0"/>
    <n v="50.03"/>
    <x v="0"/>
    <x v="0"/>
    <x v="0"/>
    <x v="0"/>
  </r>
  <r>
    <n v="1018925"/>
    <x v="1"/>
    <n v="11.02"/>
    <n v="11.07"/>
    <n v="14.95"/>
    <x v="8"/>
    <x v="0"/>
    <x v="1"/>
    <x v="1"/>
  </r>
  <r>
    <n v="1018927"/>
    <x v="1"/>
    <n v="12.81"/>
    <n v="12.86"/>
    <n v="51.85"/>
    <x v="3"/>
    <x v="0"/>
    <x v="1"/>
    <x v="1"/>
  </r>
  <r>
    <n v="1018970"/>
    <x v="1"/>
    <n v="12.81"/>
    <n v="12.86"/>
    <n v="22.5"/>
    <x v="3"/>
    <x v="0"/>
    <x v="1"/>
    <x v="1"/>
  </r>
  <r>
    <n v="1018978"/>
    <x v="1"/>
    <n v="12.35"/>
    <n v="12.4"/>
    <n v="99.8"/>
    <x v="7"/>
    <x v="0"/>
    <x v="1"/>
    <x v="1"/>
  </r>
  <r>
    <n v="1018979"/>
    <x v="1"/>
    <n v="13.7"/>
    <n v="13.75"/>
    <n v="37.85"/>
    <x v="3"/>
    <x v="0"/>
    <x v="1"/>
    <x v="1"/>
  </r>
  <r>
    <n v="1018980"/>
    <x v="1"/>
    <n v="11.02"/>
    <n v="12.34"/>
    <n v="66.75"/>
    <x v="8"/>
    <x v="0"/>
    <x v="1"/>
    <x v="1"/>
  </r>
  <r>
    <n v="1018990"/>
    <x v="1"/>
    <n v="12.81"/>
    <n v="12.86"/>
    <n v="105.75"/>
    <x v="3"/>
    <x v="0"/>
    <x v="1"/>
    <x v="1"/>
  </r>
  <r>
    <n v="1018991"/>
    <x v="1"/>
    <n v="13.7"/>
    <n v="13.75"/>
    <n v="40.950000000000003"/>
    <x v="3"/>
    <x v="0"/>
    <x v="1"/>
    <x v="1"/>
  </r>
  <r>
    <n v="1019007"/>
    <x v="1"/>
    <n v="12.81"/>
    <n v="12.86"/>
    <n v="55.1"/>
    <x v="3"/>
    <x v="0"/>
    <x v="1"/>
    <x v="1"/>
  </r>
  <r>
    <n v="1019022"/>
    <x v="1"/>
    <n v="9.6999999999999993"/>
    <n v="9.75"/>
    <n v="13.9"/>
    <x v="0"/>
    <x v="0"/>
    <x v="1"/>
    <x v="1"/>
  </r>
  <r>
    <n v="1019034"/>
    <x v="1"/>
    <n v="19.03"/>
    <n v="26.35"/>
    <n v="1407.2"/>
    <x v="10"/>
    <x v="0"/>
    <x v="1"/>
    <x v="1"/>
  </r>
  <r>
    <n v="1019042"/>
    <x v="1"/>
    <n v="12.81"/>
    <n v="0"/>
    <n v="233.35"/>
    <x v="3"/>
    <x v="1"/>
    <x v="2"/>
    <x v="1"/>
  </r>
  <r>
    <n v="1019048"/>
    <x v="1"/>
    <n v="12.81"/>
    <n v="12.86"/>
    <n v="42.9"/>
    <x v="3"/>
    <x v="0"/>
    <x v="1"/>
    <x v="1"/>
  </r>
  <r>
    <n v="1019063"/>
    <x v="1"/>
    <n v="13.7"/>
    <n v="13.75"/>
    <n v="52.9"/>
    <x v="3"/>
    <x v="0"/>
    <x v="1"/>
    <x v="1"/>
  </r>
  <r>
    <n v="1019086"/>
    <x v="1"/>
    <n v="12.81"/>
    <n v="12.86"/>
    <n v="14.95"/>
    <x v="3"/>
    <x v="0"/>
    <x v="1"/>
    <x v="1"/>
  </r>
  <r>
    <n v="1019102"/>
    <x v="1"/>
    <n v="15.44"/>
    <n v="15.49"/>
    <n v="115.4"/>
    <x v="6"/>
    <x v="0"/>
    <x v="1"/>
    <x v="1"/>
  </r>
  <r>
    <n v="1019103"/>
    <x v="1"/>
    <n v="13.7"/>
    <n v="13.96"/>
    <n v="17.2"/>
    <x v="3"/>
    <x v="0"/>
    <x v="1"/>
    <x v="1"/>
  </r>
  <r>
    <n v="1019125"/>
    <x v="1"/>
    <n v="13.7"/>
    <n v="13.75"/>
    <n v="50.85"/>
    <x v="3"/>
    <x v="0"/>
    <x v="1"/>
    <x v="1"/>
  </r>
  <r>
    <n v="1019130"/>
    <x v="1"/>
    <n v="13.7"/>
    <n v="13.75"/>
    <n v="35.700000000000003"/>
    <x v="3"/>
    <x v="0"/>
    <x v="1"/>
    <x v="1"/>
  </r>
  <r>
    <n v="1019140"/>
    <x v="1"/>
    <n v="18.149999999999999"/>
    <n v="19.989999999999998"/>
    <n v="153.15"/>
    <x v="9"/>
    <x v="0"/>
    <x v="1"/>
    <x v="1"/>
  </r>
  <r>
    <n v="1019165"/>
    <x v="1"/>
    <n v="9.7100000000000009"/>
    <n v="9.76"/>
    <n v="123.2"/>
    <x v="0"/>
    <x v="0"/>
    <x v="1"/>
    <x v="1"/>
  </r>
  <r>
    <n v="1019185"/>
    <x v="1"/>
    <n v="9.6999999999999993"/>
    <n v="9.75"/>
    <n v="192.15"/>
    <x v="0"/>
    <x v="0"/>
    <x v="1"/>
    <x v="1"/>
  </r>
  <r>
    <n v="1019189"/>
    <x v="1"/>
    <n v="13.7"/>
    <n v="13.75"/>
    <n v="25.85"/>
    <x v="3"/>
    <x v="0"/>
    <x v="1"/>
    <x v="1"/>
  </r>
  <r>
    <n v="1019230"/>
    <x v="1"/>
    <n v="9.6999999999999993"/>
    <n v="10.31"/>
    <n v="124.75"/>
    <x v="0"/>
    <x v="0"/>
    <x v="1"/>
    <x v="1"/>
  </r>
  <r>
    <n v="1019239"/>
    <x v="1"/>
    <n v="10.89"/>
    <n v="0"/>
    <n v="470"/>
    <x v="0"/>
    <x v="1"/>
    <x v="2"/>
    <x v="1"/>
  </r>
  <r>
    <n v="1019240"/>
    <x v="1"/>
    <n v="23.64"/>
    <n v="24.92"/>
    <n v="66.75"/>
    <x v="9"/>
    <x v="0"/>
    <x v="1"/>
    <x v="1"/>
  </r>
  <r>
    <n v="1019279"/>
    <x v="1"/>
    <n v="12.81"/>
    <n v="12.86"/>
    <n v="51.2"/>
    <x v="3"/>
    <x v="0"/>
    <x v="1"/>
    <x v="1"/>
  </r>
  <r>
    <n v="1019290"/>
    <x v="1"/>
    <n v="12.81"/>
    <n v="12.86"/>
    <n v="12.9"/>
    <x v="3"/>
    <x v="0"/>
    <x v="1"/>
    <x v="1"/>
  </r>
  <r>
    <n v="1019333"/>
    <x v="1"/>
    <n v="15.14"/>
    <n v="15.19"/>
    <n v="82.05"/>
    <x v="6"/>
    <x v="0"/>
    <x v="1"/>
    <x v="1"/>
  </r>
  <r>
    <n v="1019340"/>
    <x v="1"/>
    <n v="15.13"/>
    <n v="15.23"/>
    <n v="114.95"/>
    <x v="6"/>
    <x v="0"/>
    <x v="1"/>
    <x v="1"/>
  </r>
  <r>
    <n v="1019344"/>
    <x v="1"/>
    <n v="12.81"/>
    <n v="12.86"/>
    <n v="117.65"/>
    <x v="3"/>
    <x v="0"/>
    <x v="1"/>
    <x v="1"/>
  </r>
  <r>
    <n v="1019368"/>
    <x v="1"/>
    <n v="13.7"/>
    <n v="13.76"/>
    <n v="39.950000000000003"/>
    <x v="3"/>
    <x v="0"/>
    <x v="1"/>
    <x v="1"/>
  </r>
  <r>
    <n v="1019374"/>
    <x v="1"/>
    <n v="9.6999999999999993"/>
    <n v="12.86"/>
    <n v="9.9"/>
    <x v="0"/>
    <x v="0"/>
    <x v="1"/>
    <x v="1"/>
  </r>
  <r>
    <n v="1019382"/>
    <x v="1"/>
    <n v="20.25"/>
    <n v="20.3"/>
    <n v="83.7"/>
    <x v="9"/>
    <x v="0"/>
    <x v="1"/>
    <x v="1"/>
  </r>
  <r>
    <n v="1019390"/>
    <x v="1"/>
    <n v="15.44"/>
    <n v="15.49"/>
    <n v="3.95"/>
    <x v="6"/>
    <x v="0"/>
    <x v="1"/>
    <x v="1"/>
  </r>
  <r>
    <n v="1019440"/>
    <x v="1"/>
    <n v="12.81"/>
    <n v="12.86"/>
    <n v="24.95"/>
    <x v="3"/>
    <x v="0"/>
    <x v="1"/>
    <x v="1"/>
  </r>
  <r>
    <n v="1019448"/>
    <x v="1"/>
    <n v="61.93"/>
    <n v="61.99"/>
    <n v="100"/>
    <x v="2"/>
    <x v="0"/>
    <x v="1"/>
    <x v="1"/>
  </r>
  <r>
    <n v="1019452"/>
    <x v="1"/>
    <n v="13.77"/>
    <n v="0"/>
    <n v="242.55"/>
    <x v="3"/>
    <x v="1"/>
    <x v="2"/>
    <x v="1"/>
  </r>
  <r>
    <n v="1019505"/>
    <x v="1"/>
    <n v="12.81"/>
    <n v="12.86"/>
    <n v="161.75"/>
    <x v="3"/>
    <x v="0"/>
    <x v="1"/>
    <x v="1"/>
  </r>
  <r>
    <n v="1019507"/>
    <x v="1"/>
    <n v="12.81"/>
    <n v="12.86"/>
    <n v="114.75"/>
    <x v="3"/>
    <x v="0"/>
    <x v="1"/>
    <x v="1"/>
  </r>
  <r>
    <n v="1019515"/>
    <x v="1"/>
    <n v="15.44"/>
    <n v="15.49"/>
    <n v="20.55"/>
    <x v="6"/>
    <x v="0"/>
    <x v="1"/>
    <x v="1"/>
  </r>
  <r>
    <n v="1019573"/>
    <x v="1"/>
    <n v="16.46"/>
    <n v="16.510000000000002"/>
    <n v="30.65"/>
    <x v="4"/>
    <x v="0"/>
    <x v="1"/>
    <x v="1"/>
  </r>
  <r>
    <n v="1019609"/>
    <x v="1"/>
    <n v="9.6999999999999993"/>
    <n v="9.75"/>
    <n v="18.649999999999999"/>
    <x v="0"/>
    <x v="0"/>
    <x v="1"/>
    <x v="1"/>
  </r>
  <r>
    <n v="1019620"/>
    <x v="1"/>
    <n v="9.6999999999999993"/>
    <n v="12.86"/>
    <n v="29.95"/>
    <x v="0"/>
    <x v="0"/>
    <x v="1"/>
    <x v="1"/>
  </r>
  <r>
    <n v="1019633"/>
    <x v="1"/>
    <n v="13.7"/>
    <n v="13.75"/>
    <n v="106.95"/>
    <x v="3"/>
    <x v="0"/>
    <x v="1"/>
    <x v="1"/>
  </r>
  <r>
    <n v="1019636"/>
    <x v="1"/>
    <n v="13.7"/>
    <n v="13.76"/>
    <n v="21.8"/>
    <x v="3"/>
    <x v="0"/>
    <x v="1"/>
    <x v="1"/>
  </r>
  <r>
    <n v="1019641"/>
    <x v="1"/>
    <n v="12.81"/>
    <n v="12.86"/>
    <n v="40.950000000000003"/>
    <x v="3"/>
    <x v="0"/>
    <x v="1"/>
    <x v="1"/>
  </r>
  <r>
    <n v="1019672"/>
    <x v="1"/>
    <n v="13.7"/>
    <n v="13.75"/>
    <n v="9.9499999999999993"/>
    <x v="3"/>
    <x v="0"/>
    <x v="1"/>
    <x v="1"/>
  </r>
  <r>
    <n v="1019681"/>
    <x v="1"/>
    <n v="13.7"/>
    <n v="13.75"/>
    <n v="38.9"/>
    <x v="3"/>
    <x v="0"/>
    <x v="1"/>
    <x v="1"/>
  </r>
  <r>
    <n v="1019691"/>
    <x v="1"/>
    <n v="12.81"/>
    <n v="12.86"/>
    <n v="99.6"/>
    <x v="3"/>
    <x v="0"/>
    <x v="1"/>
    <x v="1"/>
  </r>
  <r>
    <n v="1019692"/>
    <x v="1"/>
    <n v="18.46"/>
    <n v="19.28"/>
    <n v="17.600000000000001"/>
    <x v="9"/>
    <x v="0"/>
    <x v="1"/>
    <x v="1"/>
  </r>
  <r>
    <n v="1019694"/>
    <x v="1"/>
    <n v="12.81"/>
    <n v="12.86"/>
    <n v="27.6"/>
    <x v="3"/>
    <x v="0"/>
    <x v="1"/>
    <x v="1"/>
  </r>
  <r>
    <n v="1019699"/>
    <x v="1"/>
    <n v="16.46"/>
    <n v="16.97"/>
    <n v="75.150000000000006"/>
    <x v="4"/>
    <x v="0"/>
    <x v="1"/>
    <x v="1"/>
  </r>
  <r>
    <n v="1019730"/>
    <x v="1"/>
    <n v="64.430000000000007"/>
    <n v="105.64"/>
    <n v="1288.8"/>
    <x v="2"/>
    <x v="0"/>
    <x v="1"/>
    <x v="1"/>
  </r>
  <r>
    <n v="1019775"/>
    <x v="1"/>
    <n v="13.7"/>
    <n v="13.75"/>
    <n v="31.9"/>
    <x v="3"/>
    <x v="0"/>
    <x v="1"/>
    <x v="1"/>
  </r>
  <r>
    <n v="1019779"/>
    <x v="1"/>
    <n v="16.77"/>
    <n v="16.82"/>
    <n v="74.400000000000006"/>
    <x v="4"/>
    <x v="0"/>
    <x v="1"/>
    <x v="1"/>
  </r>
  <r>
    <n v="1019780"/>
    <x v="1"/>
    <n v="12.81"/>
    <n v="12.86"/>
    <n v="9.9499999999999993"/>
    <x v="3"/>
    <x v="0"/>
    <x v="1"/>
    <x v="1"/>
  </r>
  <r>
    <n v="1019789"/>
    <x v="1"/>
    <n v="9.6999999999999993"/>
    <n v="9.75"/>
    <n v="13.9"/>
    <x v="0"/>
    <x v="0"/>
    <x v="1"/>
    <x v="1"/>
  </r>
  <r>
    <n v="1019834"/>
    <x v="1"/>
    <n v="12.81"/>
    <n v="12.86"/>
    <n v="1.95"/>
    <x v="3"/>
    <x v="0"/>
    <x v="1"/>
    <x v="1"/>
  </r>
  <r>
    <n v="1019838"/>
    <x v="1"/>
    <n v="9.7100000000000009"/>
    <n v="0"/>
    <n v="361.3"/>
    <x v="0"/>
    <x v="1"/>
    <x v="2"/>
    <x v="1"/>
  </r>
  <r>
    <n v="1019852"/>
    <x v="1"/>
    <n v="12.81"/>
    <n v="12.86"/>
    <n v="9.9499999999999993"/>
    <x v="3"/>
    <x v="0"/>
    <x v="1"/>
    <x v="1"/>
  </r>
  <r>
    <n v="1019882"/>
    <x v="1"/>
    <n v="9.6999999999999993"/>
    <n v="9.75"/>
    <n v="35.9"/>
    <x v="0"/>
    <x v="0"/>
    <x v="1"/>
    <x v="1"/>
  </r>
  <r>
    <n v="1019885"/>
    <x v="1"/>
    <n v="12.81"/>
    <n v="12.86"/>
    <n v="64.95"/>
    <x v="3"/>
    <x v="0"/>
    <x v="1"/>
    <x v="1"/>
  </r>
  <r>
    <n v="1019897"/>
    <x v="1"/>
    <n v="13.7"/>
    <n v="13.75"/>
    <n v="71.55"/>
    <x v="3"/>
    <x v="0"/>
    <x v="1"/>
    <x v="1"/>
  </r>
  <r>
    <n v="1019915"/>
    <x v="1"/>
    <n v="12.81"/>
    <n v="12.86"/>
    <n v="100.25"/>
    <x v="3"/>
    <x v="0"/>
    <x v="1"/>
    <x v="1"/>
  </r>
  <r>
    <n v="1019931"/>
    <x v="1"/>
    <n v="11.02"/>
    <n v="15.49"/>
    <n v="19.899999999999999"/>
    <x v="8"/>
    <x v="0"/>
    <x v="1"/>
    <x v="1"/>
  </r>
  <r>
    <n v="1019941"/>
    <x v="1"/>
    <n v="24.52"/>
    <n v="26.88"/>
    <n v="109.9"/>
    <x v="9"/>
    <x v="0"/>
    <x v="1"/>
    <x v="1"/>
  </r>
  <r>
    <n v="1019950"/>
    <x v="1"/>
    <n v="15.13"/>
    <n v="15.18"/>
    <n v="105.15"/>
    <x v="6"/>
    <x v="0"/>
    <x v="1"/>
    <x v="1"/>
  </r>
  <r>
    <n v="1019955"/>
    <x v="1"/>
    <n v="12.81"/>
    <n v="12.86"/>
    <n v="50.85"/>
    <x v="3"/>
    <x v="0"/>
    <x v="1"/>
    <x v="1"/>
  </r>
  <r>
    <n v="1019958"/>
    <x v="1"/>
    <n v="12.79"/>
    <n v="0"/>
    <n v="1270.0899999999999"/>
    <x v="0"/>
    <x v="1"/>
    <x v="2"/>
    <x v="1"/>
  </r>
  <r>
    <n v="1019966"/>
    <x v="1"/>
    <n v="13.7"/>
    <n v="13.75"/>
    <n v="20.9"/>
    <x v="3"/>
    <x v="0"/>
    <x v="1"/>
    <x v="1"/>
  </r>
  <r>
    <n v="1019969"/>
    <x v="1"/>
    <n v="12.81"/>
    <n v="12.86"/>
    <n v="37.5"/>
    <x v="3"/>
    <x v="0"/>
    <x v="1"/>
    <x v="1"/>
  </r>
  <r>
    <n v="1019977"/>
    <x v="1"/>
    <n v="9.6999999999999993"/>
    <n v="9.76"/>
    <n v="114.95"/>
    <x v="0"/>
    <x v="0"/>
    <x v="1"/>
    <x v="1"/>
  </r>
  <r>
    <n v="1019988"/>
    <x v="1"/>
    <n v="12.81"/>
    <n v="13.31"/>
    <n v="25.65"/>
    <x v="3"/>
    <x v="0"/>
    <x v="1"/>
    <x v="1"/>
  </r>
  <r>
    <n v="1020012"/>
    <x v="1"/>
    <n v="12.81"/>
    <n v="12.86"/>
    <n v="61.1"/>
    <x v="3"/>
    <x v="0"/>
    <x v="1"/>
    <x v="1"/>
  </r>
  <r>
    <n v="1020039"/>
    <x v="1"/>
    <n v="12.81"/>
    <n v="12.86"/>
    <n v="3.9"/>
    <x v="3"/>
    <x v="0"/>
    <x v="1"/>
    <x v="1"/>
  </r>
  <r>
    <n v="1020043"/>
    <x v="1"/>
    <n v="16.77"/>
    <n v="16.82"/>
    <n v="99.8"/>
    <x v="4"/>
    <x v="0"/>
    <x v="1"/>
    <x v="1"/>
  </r>
  <r>
    <n v="1020046"/>
    <x v="1"/>
    <n v="12.81"/>
    <n v="12.86"/>
    <n v="79.95"/>
    <x v="3"/>
    <x v="0"/>
    <x v="1"/>
    <x v="1"/>
  </r>
  <r>
    <n v="1020049"/>
    <x v="1"/>
    <n v="12.81"/>
    <n v="12.86"/>
    <n v="1.95"/>
    <x v="3"/>
    <x v="0"/>
    <x v="1"/>
    <x v="1"/>
  </r>
  <r>
    <n v="1020074"/>
    <x v="1"/>
    <n v="13.71"/>
    <n v="13.76"/>
    <n v="114.95"/>
    <x v="3"/>
    <x v="0"/>
    <x v="1"/>
    <x v="1"/>
  </r>
  <r>
    <n v="1020089"/>
    <x v="1"/>
    <n v="9.6999999999999993"/>
    <n v="9.75"/>
    <n v="6.95"/>
    <x v="0"/>
    <x v="0"/>
    <x v="1"/>
    <x v="1"/>
  </r>
  <r>
    <n v="1020106"/>
    <x v="1"/>
    <n v="12.55"/>
    <n v="0"/>
    <n v="1637.88"/>
    <x v="0"/>
    <x v="1"/>
    <x v="2"/>
    <x v="1"/>
  </r>
  <r>
    <n v="1020107"/>
    <x v="1"/>
    <n v="12.81"/>
    <n v="14.28"/>
    <n v="114.95"/>
    <x v="3"/>
    <x v="0"/>
    <x v="1"/>
    <x v="1"/>
  </r>
  <r>
    <n v="1020128"/>
    <x v="1"/>
    <n v="67.849999999999994"/>
    <n v="67.900000000000006"/>
    <n v="151.75"/>
    <x v="5"/>
    <x v="0"/>
    <x v="1"/>
    <x v="1"/>
  </r>
  <r>
    <n v="1020133"/>
    <x v="1"/>
    <n v="9.6999999999999993"/>
    <n v="0"/>
    <n v="98.6"/>
    <x v="0"/>
    <x v="0"/>
    <x v="0"/>
    <x v="9"/>
  </r>
  <r>
    <n v="1029842"/>
    <x v="0"/>
    <n v="66.67"/>
    <n v="66.72"/>
    <n v="260"/>
    <x v="2"/>
    <x v="0"/>
    <x v="1"/>
    <x v="1"/>
  </r>
  <r>
    <n v="1020151"/>
    <x v="1"/>
    <n v="12.55"/>
    <n v="0"/>
    <n v="799.14"/>
    <x v="0"/>
    <x v="1"/>
    <x v="2"/>
    <x v="1"/>
  </r>
  <r>
    <n v="1020161"/>
    <x v="1"/>
    <n v="13.7"/>
    <n v="13.75"/>
    <n v="121.7"/>
    <x v="3"/>
    <x v="0"/>
    <x v="1"/>
    <x v="1"/>
  </r>
  <r>
    <n v="1020181"/>
    <x v="1"/>
    <n v="16.46"/>
    <n v="16.510000000000002"/>
    <n v="27.7"/>
    <x v="4"/>
    <x v="0"/>
    <x v="1"/>
    <x v="1"/>
  </r>
  <r>
    <n v="1020198"/>
    <x v="1"/>
    <n v="12.81"/>
    <n v="12.86"/>
    <n v="13.9"/>
    <x v="3"/>
    <x v="0"/>
    <x v="1"/>
    <x v="1"/>
  </r>
  <r>
    <n v="1020200"/>
    <x v="1"/>
    <n v="12.81"/>
    <n v="12.86"/>
    <n v="24.95"/>
    <x v="3"/>
    <x v="0"/>
    <x v="1"/>
    <x v="1"/>
  </r>
  <r>
    <n v="1020203"/>
    <x v="1"/>
    <n v="15.44"/>
    <n v="15.49"/>
    <n v="47.9"/>
    <x v="6"/>
    <x v="0"/>
    <x v="1"/>
    <x v="1"/>
  </r>
  <r>
    <n v="1020219"/>
    <x v="1"/>
    <n v="12.81"/>
    <n v="12.86"/>
    <n v="34.950000000000003"/>
    <x v="3"/>
    <x v="0"/>
    <x v="1"/>
    <x v="1"/>
  </r>
  <r>
    <n v="1020241"/>
    <x v="1"/>
    <n v="12.81"/>
    <n v="12.86"/>
    <n v="24.9"/>
    <x v="3"/>
    <x v="0"/>
    <x v="1"/>
    <x v="1"/>
  </r>
  <r>
    <n v="1020245"/>
    <x v="1"/>
    <n v="13.7"/>
    <n v="13.75"/>
    <n v="58.4"/>
    <x v="3"/>
    <x v="0"/>
    <x v="1"/>
    <x v="1"/>
  </r>
  <r>
    <n v="1020265"/>
    <x v="1"/>
    <n v="12.35"/>
    <n v="12.78"/>
    <n v="154.4"/>
    <x v="7"/>
    <x v="0"/>
    <x v="1"/>
    <x v="1"/>
  </r>
  <r>
    <n v="1020267"/>
    <x v="1"/>
    <n v="16.46"/>
    <n v="16.510000000000002"/>
    <n v="84.9"/>
    <x v="4"/>
    <x v="0"/>
    <x v="1"/>
    <x v="1"/>
  </r>
  <r>
    <n v="1020274"/>
    <x v="1"/>
    <n v="16.04"/>
    <n v="20.07"/>
    <n v="64.319999999999993"/>
    <x v="7"/>
    <x v="0"/>
    <x v="1"/>
    <x v="1"/>
  </r>
  <r>
    <n v="1020278"/>
    <x v="1"/>
    <n v="12.81"/>
    <n v="12.86"/>
    <n v="47.9"/>
    <x v="3"/>
    <x v="0"/>
    <x v="1"/>
    <x v="1"/>
  </r>
  <r>
    <n v="1020286"/>
    <x v="1"/>
    <n v="9.7100000000000009"/>
    <n v="0"/>
    <n v="252"/>
    <x v="0"/>
    <x v="1"/>
    <x v="2"/>
    <x v="1"/>
  </r>
  <r>
    <n v="1020291"/>
    <x v="1"/>
    <n v="17.440000000000001"/>
    <n v="18.86"/>
    <n v="68.7"/>
    <x v="10"/>
    <x v="0"/>
    <x v="1"/>
    <x v="1"/>
  </r>
  <r>
    <n v="1020299"/>
    <x v="1"/>
    <n v="12.81"/>
    <n v="0"/>
    <n v="201.3"/>
    <x v="3"/>
    <x v="1"/>
    <x v="2"/>
    <x v="1"/>
  </r>
  <r>
    <n v="1020311"/>
    <x v="1"/>
    <n v="13.71"/>
    <n v="0"/>
    <n v="336.9"/>
    <x v="3"/>
    <x v="1"/>
    <x v="2"/>
    <x v="1"/>
  </r>
  <r>
    <n v="1020314"/>
    <x v="1"/>
    <n v="12.35"/>
    <n v="12.4"/>
    <n v="41.2"/>
    <x v="7"/>
    <x v="0"/>
    <x v="1"/>
    <x v="1"/>
  </r>
  <r>
    <n v="1020319"/>
    <x v="1"/>
    <n v="16.77"/>
    <n v="16.82"/>
    <n v="30.8"/>
    <x v="4"/>
    <x v="0"/>
    <x v="1"/>
    <x v="1"/>
  </r>
  <r>
    <n v="1020327"/>
    <x v="1"/>
    <n v="12.81"/>
    <n v="12.86"/>
    <n v="45.85"/>
    <x v="3"/>
    <x v="0"/>
    <x v="1"/>
    <x v="1"/>
  </r>
  <r>
    <n v="1020331"/>
    <x v="1"/>
    <n v="16.46"/>
    <n v="16.510000000000002"/>
    <n v="136.69999999999999"/>
    <x v="4"/>
    <x v="0"/>
    <x v="1"/>
    <x v="1"/>
  </r>
  <r>
    <n v="1020371"/>
    <x v="1"/>
    <n v="15.13"/>
    <n v="15.77"/>
    <n v="96.9"/>
    <x v="6"/>
    <x v="0"/>
    <x v="1"/>
    <x v="1"/>
  </r>
  <r>
    <n v="1020374"/>
    <x v="1"/>
    <n v="13.7"/>
    <n v="13.75"/>
    <n v="7.9"/>
    <x v="3"/>
    <x v="0"/>
    <x v="1"/>
    <x v="1"/>
  </r>
  <r>
    <n v="1020378"/>
    <x v="1"/>
    <n v="13.7"/>
    <n v="13.75"/>
    <n v="89.95"/>
    <x v="3"/>
    <x v="0"/>
    <x v="1"/>
    <x v="1"/>
  </r>
  <r>
    <n v="1020397"/>
    <x v="1"/>
    <n v="26.56"/>
    <n v="26.61"/>
    <n v="80.349999999999994"/>
    <x v="9"/>
    <x v="0"/>
    <x v="1"/>
    <x v="1"/>
  </r>
  <r>
    <n v="1020420"/>
    <x v="1"/>
    <n v="9.6999999999999993"/>
    <n v="0"/>
    <n v="200.8"/>
    <x v="0"/>
    <x v="1"/>
    <x v="2"/>
    <x v="1"/>
  </r>
  <r>
    <n v="1020427"/>
    <x v="1"/>
    <n v="13.7"/>
    <n v="13.75"/>
    <n v="57.25"/>
    <x v="3"/>
    <x v="0"/>
    <x v="1"/>
    <x v="1"/>
  </r>
  <r>
    <n v="1020434"/>
    <x v="1"/>
    <n v="12.81"/>
    <n v="12.86"/>
    <n v="18.899999999999999"/>
    <x v="3"/>
    <x v="0"/>
    <x v="1"/>
    <x v="1"/>
  </r>
  <r>
    <n v="1020450"/>
    <x v="1"/>
    <n v="13.7"/>
    <n v="13.75"/>
    <n v="19.899999999999999"/>
    <x v="3"/>
    <x v="0"/>
    <x v="1"/>
    <x v="1"/>
  </r>
  <r>
    <n v="1020469"/>
    <x v="1"/>
    <n v="13.7"/>
    <n v="0"/>
    <n v="242.45"/>
    <x v="3"/>
    <x v="1"/>
    <x v="2"/>
    <x v="1"/>
  </r>
  <r>
    <n v="1020483"/>
    <x v="1"/>
    <n v="13.7"/>
    <n v="13.75"/>
    <n v="21.95"/>
    <x v="3"/>
    <x v="0"/>
    <x v="1"/>
    <x v="1"/>
  </r>
  <r>
    <n v="1020498"/>
    <x v="1"/>
    <n v="9.6999999999999993"/>
    <n v="9.75"/>
    <n v="47.5"/>
    <x v="0"/>
    <x v="0"/>
    <x v="1"/>
    <x v="1"/>
  </r>
  <r>
    <n v="1020503"/>
    <x v="1"/>
    <n v="13.7"/>
    <n v="13.75"/>
    <n v="28.95"/>
    <x v="3"/>
    <x v="0"/>
    <x v="1"/>
    <x v="1"/>
  </r>
  <r>
    <n v="1020523"/>
    <x v="1"/>
    <n v="12.81"/>
    <n v="12.86"/>
    <n v="37.35"/>
    <x v="3"/>
    <x v="0"/>
    <x v="1"/>
    <x v="1"/>
  </r>
  <r>
    <n v="1020528"/>
    <x v="1"/>
    <n v="13.7"/>
    <n v="13.75"/>
    <n v="172.7"/>
    <x v="3"/>
    <x v="0"/>
    <x v="1"/>
    <x v="1"/>
  </r>
  <r>
    <n v="1020537"/>
    <x v="1"/>
    <n v="12.81"/>
    <n v="12.86"/>
    <n v="31.75"/>
    <x v="3"/>
    <x v="0"/>
    <x v="1"/>
    <x v="1"/>
  </r>
  <r>
    <n v="1020551"/>
    <x v="1"/>
    <n v="12.35"/>
    <n v="12.4"/>
    <n v="44.6"/>
    <x v="7"/>
    <x v="0"/>
    <x v="1"/>
    <x v="1"/>
  </r>
  <r>
    <n v="1020560"/>
    <x v="1"/>
    <n v="13.7"/>
    <n v="13.75"/>
    <n v="47.25"/>
    <x v="3"/>
    <x v="0"/>
    <x v="1"/>
    <x v="1"/>
  </r>
  <r>
    <n v="1020562"/>
    <x v="1"/>
    <n v="12.81"/>
    <n v="12.86"/>
    <n v="21.4"/>
    <x v="3"/>
    <x v="0"/>
    <x v="1"/>
    <x v="1"/>
  </r>
  <r>
    <n v="1020568"/>
    <x v="1"/>
    <n v="11.02"/>
    <n v="15.18"/>
    <n v="132.85"/>
    <x v="8"/>
    <x v="0"/>
    <x v="1"/>
    <x v="1"/>
  </r>
  <r>
    <n v="1020570"/>
    <x v="1"/>
    <n v="15.44"/>
    <n v="15.49"/>
    <n v="38.700000000000003"/>
    <x v="6"/>
    <x v="0"/>
    <x v="1"/>
    <x v="1"/>
  </r>
  <r>
    <n v="1020578"/>
    <x v="1"/>
    <n v="12.81"/>
    <n v="12.86"/>
    <n v="14.95"/>
    <x v="3"/>
    <x v="0"/>
    <x v="1"/>
    <x v="1"/>
  </r>
  <r>
    <n v="1020583"/>
    <x v="1"/>
    <n v="13.7"/>
    <n v="13.76"/>
    <n v="66.650000000000006"/>
    <x v="3"/>
    <x v="0"/>
    <x v="1"/>
    <x v="1"/>
  </r>
  <r>
    <n v="1020595"/>
    <x v="1"/>
    <n v="13.7"/>
    <n v="13.75"/>
    <n v="21.95"/>
    <x v="3"/>
    <x v="0"/>
    <x v="1"/>
    <x v="1"/>
  </r>
  <r>
    <n v="1020597"/>
    <x v="1"/>
    <n v="9.6999999999999993"/>
    <n v="9.75"/>
    <n v="30"/>
    <x v="0"/>
    <x v="0"/>
    <x v="1"/>
    <x v="1"/>
  </r>
  <r>
    <n v="1020627"/>
    <x v="1"/>
    <n v="67.040000000000006"/>
    <n v="67.09"/>
    <n v="296"/>
    <x v="5"/>
    <x v="0"/>
    <x v="1"/>
    <x v="1"/>
  </r>
  <r>
    <n v="1020629"/>
    <x v="1"/>
    <n v="12.85"/>
    <n v="0"/>
    <n v="323.05"/>
    <x v="3"/>
    <x v="1"/>
    <x v="2"/>
    <x v="1"/>
  </r>
  <r>
    <n v="1020643"/>
    <x v="1"/>
    <n v="18.41"/>
    <n v="20.2"/>
    <n v="90.6"/>
    <x v="4"/>
    <x v="0"/>
    <x v="1"/>
    <x v="1"/>
  </r>
  <r>
    <n v="1020662"/>
    <x v="1"/>
    <n v="12.81"/>
    <n v="12.86"/>
    <n v="36.799999999999997"/>
    <x v="3"/>
    <x v="0"/>
    <x v="1"/>
    <x v="1"/>
  </r>
  <r>
    <n v="1020680"/>
    <x v="1"/>
    <n v="12.81"/>
    <n v="12.86"/>
    <n v="75.95"/>
    <x v="3"/>
    <x v="0"/>
    <x v="1"/>
    <x v="1"/>
  </r>
  <r>
    <n v="1020701"/>
    <x v="1"/>
    <n v="13.7"/>
    <n v="13.75"/>
    <n v="6"/>
    <x v="3"/>
    <x v="0"/>
    <x v="1"/>
    <x v="1"/>
  </r>
  <r>
    <n v="1020708"/>
    <x v="1"/>
    <n v="16.46"/>
    <n v="16.510000000000002"/>
    <n v="74.95"/>
    <x v="4"/>
    <x v="0"/>
    <x v="1"/>
    <x v="1"/>
  </r>
  <r>
    <n v="1020713"/>
    <x v="1"/>
    <n v="9.6999999999999993"/>
    <n v="9.75"/>
    <n v="9"/>
    <x v="0"/>
    <x v="0"/>
    <x v="1"/>
    <x v="1"/>
  </r>
  <r>
    <n v="1020715"/>
    <x v="1"/>
    <n v="9.6999999999999993"/>
    <n v="9.75"/>
    <n v="60.8"/>
    <x v="0"/>
    <x v="0"/>
    <x v="1"/>
    <x v="1"/>
  </r>
  <r>
    <n v="1020728"/>
    <x v="1"/>
    <n v="15.44"/>
    <n v="15.5"/>
    <n v="62.65"/>
    <x v="6"/>
    <x v="0"/>
    <x v="1"/>
    <x v="1"/>
  </r>
  <r>
    <n v="1020732"/>
    <x v="1"/>
    <n v="16.46"/>
    <n v="16.510000000000002"/>
    <n v="100.15"/>
    <x v="4"/>
    <x v="0"/>
    <x v="1"/>
    <x v="1"/>
  </r>
  <r>
    <n v="1020734"/>
    <x v="1"/>
    <n v="12.81"/>
    <n v="12.86"/>
    <n v="108.75"/>
    <x v="3"/>
    <x v="0"/>
    <x v="1"/>
    <x v="1"/>
  </r>
  <r>
    <n v="1020762"/>
    <x v="1"/>
    <n v="13.7"/>
    <n v="13.75"/>
    <n v="19.75"/>
    <x v="3"/>
    <x v="0"/>
    <x v="1"/>
    <x v="1"/>
  </r>
  <r>
    <n v="1031106"/>
    <x v="0"/>
    <n v="15.44"/>
    <n v="15.54"/>
    <n v="179.85"/>
    <x v="6"/>
    <x v="0"/>
    <x v="1"/>
    <x v="1"/>
  </r>
  <r>
    <n v="1020768"/>
    <x v="1"/>
    <n v="13.7"/>
    <n v="13.76"/>
    <n v="119.9"/>
    <x v="3"/>
    <x v="0"/>
    <x v="1"/>
    <x v="1"/>
  </r>
  <r>
    <n v="1020780"/>
    <x v="1"/>
    <n v="26.7"/>
    <n v="13.75"/>
    <n v="33.65"/>
    <x v="3"/>
    <x v="0"/>
    <x v="0"/>
    <x v="29"/>
  </r>
  <r>
    <n v="1020798"/>
    <x v="1"/>
    <n v="13.7"/>
    <n v="13.75"/>
    <n v="15.95"/>
    <x v="3"/>
    <x v="0"/>
    <x v="1"/>
    <x v="1"/>
  </r>
  <r>
    <n v="1020806"/>
    <x v="1"/>
    <n v="12.81"/>
    <n v="12.86"/>
    <n v="27.35"/>
    <x v="3"/>
    <x v="0"/>
    <x v="1"/>
    <x v="1"/>
  </r>
  <r>
    <n v="1020843"/>
    <x v="1"/>
    <n v="67.459999999999994"/>
    <n v="67.510000000000005"/>
    <n v="79.8"/>
    <x v="2"/>
    <x v="0"/>
    <x v="1"/>
    <x v="1"/>
  </r>
  <r>
    <n v="1020855"/>
    <x v="1"/>
    <n v="12.81"/>
    <n v="12.86"/>
    <n v="13.9"/>
    <x v="3"/>
    <x v="0"/>
    <x v="1"/>
    <x v="1"/>
  </r>
  <r>
    <n v="1020879"/>
    <x v="1"/>
    <n v="9.6999999999999993"/>
    <n v="9.75"/>
    <n v="69.900000000000006"/>
    <x v="0"/>
    <x v="0"/>
    <x v="1"/>
    <x v="1"/>
  </r>
  <r>
    <n v="1020899"/>
    <x v="1"/>
    <n v="16.399999999999999"/>
    <n v="17.82"/>
    <n v="12"/>
    <x v="6"/>
    <x v="0"/>
    <x v="1"/>
    <x v="1"/>
  </r>
  <r>
    <n v="1020912"/>
    <x v="1"/>
    <n v="12.81"/>
    <n v="12.86"/>
    <n v="6.95"/>
    <x v="3"/>
    <x v="0"/>
    <x v="1"/>
    <x v="1"/>
  </r>
  <r>
    <n v="1020926"/>
    <x v="1"/>
    <n v="12.81"/>
    <n v="12.86"/>
    <n v="101.8"/>
    <x v="3"/>
    <x v="0"/>
    <x v="1"/>
    <x v="1"/>
  </r>
  <r>
    <n v="1020963"/>
    <x v="1"/>
    <n v="13.7"/>
    <n v="13.99"/>
    <n v="114.95"/>
    <x v="3"/>
    <x v="0"/>
    <x v="1"/>
    <x v="1"/>
  </r>
  <r>
    <n v="1020999"/>
    <x v="1"/>
    <n v="9.6999999999999993"/>
    <n v="9.75"/>
    <n v="70.349999999999994"/>
    <x v="0"/>
    <x v="0"/>
    <x v="1"/>
    <x v="1"/>
  </r>
  <r>
    <n v="1021001"/>
    <x v="1"/>
    <n v="17.7"/>
    <n v="17.75"/>
    <n v="21.8"/>
    <x v="9"/>
    <x v="0"/>
    <x v="1"/>
    <x v="1"/>
  </r>
  <r>
    <n v="1021006"/>
    <x v="1"/>
    <n v="57.96"/>
    <n v="58.01"/>
    <n v="61.3"/>
    <x v="5"/>
    <x v="0"/>
    <x v="1"/>
    <x v="1"/>
  </r>
  <r>
    <n v="1021007"/>
    <x v="1"/>
    <n v="16.04"/>
    <n v="18.47"/>
    <n v="47.8"/>
    <x v="7"/>
    <x v="0"/>
    <x v="1"/>
    <x v="1"/>
  </r>
  <r>
    <n v="1021010"/>
    <x v="1"/>
    <n v="11.02"/>
    <n v="15.18"/>
    <n v="29.95"/>
    <x v="8"/>
    <x v="0"/>
    <x v="1"/>
    <x v="1"/>
  </r>
  <r>
    <n v="1021012"/>
    <x v="1"/>
    <n v="15.44"/>
    <n v="15.49"/>
    <n v="45.95"/>
    <x v="6"/>
    <x v="0"/>
    <x v="1"/>
    <x v="1"/>
  </r>
  <r>
    <n v="1021018"/>
    <x v="1"/>
    <n v="12.35"/>
    <n v="12.4"/>
    <n v="83.7"/>
    <x v="7"/>
    <x v="0"/>
    <x v="1"/>
    <x v="1"/>
  </r>
  <r>
    <n v="1021036"/>
    <x v="1"/>
    <n v="12.81"/>
    <n v="12.86"/>
    <n v="26.95"/>
    <x v="3"/>
    <x v="0"/>
    <x v="1"/>
    <x v="1"/>
  </r>
  <r>
    <n v="1021065"/>
    <x v="1"/>
    <n v="12.81"/>
    <n v="0"/>
    <n v="245.6"/>
    <x v="3"/>
    <x v="1"/>
    <x v="2"/>
    <x v="1"/>
  </r>
  <r>
    <n v="1021066"/>
    <x v="1"/>
    <n v="12.81"/>
    <n v="12.86"/>
    <n v="73.099999999999994"/>
    <x v="3"/>
    <x v="0"/>
    <x v="1"/>
    <x v="1"/>
  </r>
  <r>
    <n v="1021069"/>
    <x v="1"/>
    <n v="15.13"/>
    <n v="15.18"/>
    <n v="39.950000000000003"/>
    <x v="6"/>
    <x v="0"/>
    <x v="1"/>
    <x v="1"/>
  </r>
  <r>
    <n v="1021073"/>
    <x v="1"/>
    <n v="13.7"/>
    <n v="13.75"/>
    <n v="64.95"/>
    <x v="3"/>
    <x v="0"/>
    <x v="1"/>
    <x v="1"/>
  </r>
  <r>
    <n v="1021097"/>
    <x v="1"/>
    <n v="9.6999999999999993"/>
    <n v="0"/>
    <n v="255.2"/>
    <x v="0"/>
    <x v="1"/>
    <x v="2"/>
    <x v="1"/>
  </r>
  <r>
    <n v="1021113"/>
    <x v="1"/>
    <n v="30.97"/>
    <n v="33.159999999999997"/>
    <n v="19.3"/>
    <x v="9"/>
    <x v="0"/>
    <x v="1"/>
    <x v="1"/>
  </r>
  <r>
    <n v="1021145"/>
    <x v="1"/>
    <n v="9.6999999999999993"/>
    <n v="0"/>
    <n v="284.25"/>
    <x v="0"/>
    <x v="1"/>
    <x v="2"/>
    <x v="1"/>
  </r>
  <r>
    <n v="1021163"/>
    <x v="1"/>
    <n v="15.44"/>
    <n v="15.49"/>
    <n v="125.9"/>
    <x v="6"/>
    <x v="0"/>
    <x v="1"/>
    <x v="1"/>
  </r>
  <r>
    <n v="1021166"/>
    <x v="1"/>
    <n v="13.7"/>
    <n v="13.75"/>
    <n v="22.5"/>
    <x v="3"/>
    <x v="0"/>
    <x v="1"/>
    <x v="1"/>
  </r>
  <r>
    <n v="1021177"/>
    <x v="1"/>
    <n v="13.7"/>
    <n v="13.76"/>
    <n v="85.75"/>
    <x v="3"/>
    <x v="0"/>
    <x v="1"/>
    <x v="1"/>
  </r>
  <r>
    <n v="1021187"/>
    <x v="1"/>
    <n v="13.7"/>
    <n v="13.75"/>
    <n v="23.85"/>
    <x v="3"/>
    <x v="0"/>
    <x v="1"/>
    <x v="1"/>
  </r>
  <r>
    <n v="1021193"/>
    <x v="1"/>
    <n v="13.7"/>
    <n v="13.75"/>
    <n v="14.95"/>
    <x v="3"/>
    <x v="0"/>
    <x v="1"/>
    <x v="1"/>
  </r>
  <r>
    <n v="1021194"/>
    <x v="1"/>
    <n v="16.77"/>
    <n v="17.2"/>
    <n v="148.6"/>
    <x v="4"/>
    <x v="0"/>
    <x v="1"/>
    <x v="1"/>
  </r>
  <r>
    <n v="1021204"/>
    <x v="1"/>
    <n v="13.7"/>
    <n v="13.75"/>
    <n v="17.2"/>
    <x v="3"/>
    <x v="0"/>
    <x v="1"/>
    <x v="1"/>
  </r>
  <r>
    <n v="1021209"/>
    <x v="1"/>
    <n v="13.7"/>
    <n v="0"/>
    <n v="209.5"/>
    <x v="3"/>
    <x v="1"/>
    <x v="2"/>
    <x v="1"/>
  </r>
  <r>
    <n v="1021242"/>
    <x v="1"/>
    <n v="12.81"/>
    <n v="0"/>
    <n v="203.8"/>
    <x v="3"/>
    <x v="1"/>
    <x v="2"/>
    <x v="1"/>
  </r>
  <r>
    <n v="1021301"/>
    <x v="1"/>
    <n v="9.6999999999999993"/>
    <n v="9.75"/>
    <n v="14.95"/>
    <x v="0"/>
    <x v="0"/>
    <x v="1"/>
    <x v="1"/>
  </r>
  <r>
    <n v="1021306"/>
    <x v="1"/>
    <n v="12.55"/>
    <n v="0"/>
    <n v="1304.8599999999999"/>
    <x v="0"/>
    <x v="1"/>
    <x v="2"/>
    <x v="1"/>
  </r>
  <r>
    <n v="1021322"/>
    <x v="1"/>
    <n v="9.6999999999999993"/>
    <n v="13.31"/>
    <n v="93.66"/>
    <x v="0"/>
    <x v="0"/>
    <x v="1"/>
    <x v="1"/>
  </r>
  <r>
    <n v="1021328"/>
    <x v="1"/>
    <n v="28.89"/>
    <n v="31.02"/>
    <n v="358.1"/>
    <x v="9"/>
    <x v="0"/>
    <x v="1"/>
    <x v="1"/>
  </r>
  <r>
    <n v="1021339"/>
    <x v="1"/>
    <n v="13.7"/>
    <n v="13.76"/>
    <n v="85"/>
    <x v="3"/>
    <x v="0"/>
    <x v="1"/>
    <x v="1"/>
  </r>
  <r>
    <n v="1021340"/>
    <x v="1"/>
    <n v="16.46"/>
    <n v="16.510000000000002"/>
    <n v="35.200000000000003"/>
    <x v="4"/>
    <x v="0"/>
    <x v="1"/>
    <x v="1"/>
  </r>
  <r>
    <n v="1021351"/>
    <x v="1"/>
    <n v="9.6999999999999993"/>
    <n v="12.86"/>
    <n v="51.7"/>
    <x v="0"/>
    <x v="0"/>
    <x v="1"/>
    <x v="1"/>
  </r>
  <r>
    <n v="1021353"/>
    <x v="1"/>
    <n v="12.81"/>
    <n v="12.86"/>
    <n v="19.8"/>
    <x v="3"/>
    <x v="0"/>
    <x v="1"/>
    <x v="1"/>
  </r>
  <r>
    <n v="1021369"/>
    <x v="1"/>
    <n v="16.46"/>
    <n v="16.510000000000002"/>
    <n v="17.75"/>
    <x v="4"/>
    <x v="0"/>
    <x v="1"/>
    <x v="1"/>
  </r>
  <r>
    <n v="1021397"/>
    <x v="1"/>
    <n v="9.7100000000000009"/>
    <n v="9.76"/>
    <n v="89.85"/>
    <x v="0"/>
    <x v="0"/>
    <x v="1"/>
    <x v="1"/>
  </r>
  <r>
    <n v="1021400"/>
    <x v="1"/>
    <n v="9.6999999999999993"/>
    <n v="10.69"/>
    <n v="99.95"/>
    <x v="0"/>
    <x v="0"/>
    <x v="1"/>
    <x v="1"/>
  </r>
  <r>
    <n v="1021413"/>
    <x v="1"/>
    <n v="17.7"/>
    <n v="17.760000000000002"/>
    <n v="85"/>
    <x v="9"/>
    <x v="0"/>
    <x v="1"/>
    <x v="1"/>
  </r>
  <r>
    <n v="1021421"/>
    <x v="1"/>
    <n v="15.44"/>
    <n v="15.49"/>
    <n v="9.9499999999999993"/>
    <x v="6"/>
    <x v="0"/>
    <x v="1"/>
    <x v="1"/>
  </r>
  <r>
    <n v="1021469"/>
    <x v="1"/>
    <n v="12.81"/>
    <n v="12.86"/>
    <n v="104.05"/>
    <x v="3"/>
    <x v="0"/>
    <x v="1"/>
    <x v="1"/>
  </r>
  <r>
    <n v="1021472"/>
    <x v="1"/>
    <n v="15.44"/>
    <n v="15.49"/>
    <n v="7.95"/>
    <x v="6"/>
    <x v="0"/>
    <x v="1"/>
    <x v="1"/>
  </r>
  <r>
    <n v="1021477"/>
    <x v="1"/>
    <n v="15.44"/>
    <n v="16.760000000000002"/>
    <n v="58.6"/>
    <x v="6"/>
    <x v="0"/>
    <x v="1"/>
    <x v="1"/>
  </r>
  <r>
    <n v="1021486"/>
    <x v="1"/>
    <n v="9.6999999999999993"/>
    <n v="9.75"/>
    <n v="116.65"/>
    <x v="0"/>
    <x v="0"/>
    <x v="1"/>
    <x v="1"/>
  </r>
  <r>
    <n v="1021513"/>
    <x v="1"/>
    <n v="12.81"/>
    <n v="12.86"/>
    <n v="44.9"/>
    <x v="3"/>
    <x v="0"/>
    <x v="1"/>
    <x v="1"/>
  </r>
  <r>
    <n v="1021518"/>
    <x v="1"/>
    <n v="16.46"/>
    <n v="16.510000000000002"/>
    <n v="46.55"/>
    <x v="4"/>
    <x v="0"/>
    <x v="1"/>
    <x v="1"/>
  </r>
  <r>
    <n v="1021529"/>
    <x v="1"/>
    <n v="13.7"/>
    <n v="13.75"/>
    <n v="79.2"/>
    <x v="3"/>
    <x v="0"/>
    <x v="1"/>
    <x v="1"/>
  </r>
  <r>
    <n v="1021532"/>
    <x v="1"/>
    <n v="13.7"/>
    <n v="13.75"/>
    <n v="39.35"/>
    <x v="3"/>
    <x v="0"/>
    <x v="1"/>
    <x v="1"/>
  </r>
  <r>
    <n v="1021534"/>
    <x v="1"/>
    <n v="12.81"/>
    <n v="12.86"/>
    <n v="32.85"/>
    <x v="3"/>
    <x v="0"/>
    <x v="1"/>
    <x v="1"/>
  </r>
  <r>
    <n v="1021543"/>
    <x v="1"/>
    <n v="16.46"/>
    <n v="16.510000000000002"/>
    <n v="44.85"/>
    <x v="4"/>
    <x v="0"/>
    <x v="1"/>
    <x v="1"/>
  </r>
  <r>
    <n v="1021551"/>
    <x v="1"/>
    <n v="16.46"/>
    <n v="16.510000000000002"/>
    <n v="59.8"/>
    <x v="4"/>
    <x v="0"/>
    <x v="1"/>
    <x v="1"/>
  </r>
  <r>
    <n v="1021559"/>
    <x v="1"/>
    <n v="14.22"/>
    <n v="14.27"/>
    <n v="61.95"/>
    <x v="3"/>
    <x v="0"/>
    <x v="1"/>
    <x v="1"/>
  </r>
  <r>
    <n v="1021571"/>
    <x v="1"/>
    <n v="15.72"/>
    <n v="16.75"/>
    <n v="104.65"/>
    <x v="6"/>
    <x v="0"/>
    <x v="1"/>
    <x v="1"/>
  </r>
  <r>
    <n v="1021595"/>
    <x v="1"/>
    <n v="12.81"/>
    <n v="12.86"/>
    <n v="23.9"/>
    <x v="3"/>
    <x v="0"/>
    <x v="1"/>
    <x v="1"/>
  </r>
  <r>
    <n v="1021609"/>
    <x v="1"/>
    <n v="23.03"/>
    <n v="25.91"/>
    <n v="204.35"/>
    <x v="6"/>
    <x v="0"/>
    <x v="1"/>
    <x v="1"/>
  </r>
  <r>
    <n v="1021647"/>
    <x v="1"/>
    <n v="12.81"/>
    <n v="12.86"/>
    <n v="88.65"/>
    <x v="3"/>
    <x v="0"/>
    <x v="1"/>
    <x v="1"/>
  </r>
  <r>
    <n v="1021655"/>
    <x v="1"/>
    <n v="12.81"/>
    <n v="12.86"/>
    <n v="44.95"/>
    <x v="3"/>
    <x v="0"/>
    <x v="1"/>
    <x v="1"/>
  </r>
  <r>
    <n v="1021666"/>
    <x v="1"/>
    <n v="12.81"/>
    <n v="12.86"/>
    <n v="74.25"/>
    <x v="3"/>
    <x v="0"/>
    <x v="1"/>
    <x v="1"/>
  </r>
  <r>
    <n v="1021669"/>
    <x v="1"/>
    <n v="13.71"/>
    <n v="13.76"/>
    <n v="27.8"/>
    <x v="3"/>
    <x v="0"/>
    <x v="1"/>
    <x v="1"/>
  </r>
  <r>
    <n v="1021673"/>
    <x v="1"/>
    <n v="16.46"/>
    <n v="16.510000000000002"/>
    <n v="109.7"/>
    <x v="4"/>
    <x v="0"/>
    <x v="1"/>
    <x v="1"/>
  </r>
  <r>
    <n v="1021699"/>
    <x v="1"/>
    <n v="9.6999999999999993"/>
    <n v="9.75"/>
    <n v="19.8"/>
    <x v="0"/>
    <x v="0"/>
    <x v="1"/>
    <x v="1"/>
  </r>
  <r>
    <n v="1021717"/>
    <x v="1"/>
    <n v="12.81"/>
    <n v="13.26"/>
    <n v="99.95"/>
    <x v="3"/>
    <x v="0"/>
    <x v="1"/>
    <x v="1"/>
  </r>
  <r>
    <n v="1021725"/>
    <x v="1"/>
    <n v="13.94"/>
    <n v="0"/>
    <n v="342.6"/>
    <x v="3"/>
    <x v="1"/>
    <x v="2"/>
    <x v="1"/>
  </r>
  <r>
    <n v="1021748"/>
    <x v="1"/>
    <n v="16.46"/>
    <n v="16.510000000000002"/>
    <n v="35"/>
    <x v="4"/>
    <x v="0"/>
    <x v="1"/>
    <x v="1"/>
  </r>
  <r>
    <n v="1021749"/>
    <x v="1"/>
    <n v="16.559999999999999"/>
    <n v="16.61"/>
    <n v="9.8000000000000007"/>
    <x v="4"/>
    <x v="0"/>
    <x v="1"/>
    <x v="1"/>
  </r>
  <r>
    <n v="1021752"/>
    <x v="1"/>
    <n v="13.7"/>
    <n v="13.75"/>
    <n v="19.5"/>
    <x v="3"/>
    <x v="0"/>
    <x v="1"/>
    <x v="1"/>
  </r>
  <r>
    <n v="1021759"/>
    <x v="1"/>
    <n v="12.81"/>
    <n v="12.86"/>
    <n v="39.950000000000003"/>
    <x v="3"/>
    <x v="0"/>
    <x v="1"/>
    <x v="1"/>
  </r>
  <r>
    <n v="1021760"/>
    <x v="1"/>
    <n v="9.6999999999999993"/>
    <n v="9.75"/>
    <n v="17.850000000000001"/>
    <x v="0"/>
    <x v="0"/>
    <x v="1"/>
    <x v="1"/>
  </r>
  <r>
    <n v="1021762"/>
    <x v="1"/>
    <n v="12.81"/>
    <n v="12.86"/>
    <n v="19.95"/>
    <x v="3"/>
    <x v="0"/>
    <x v="1"/>
    <x v="1"/>
  </r>
  <r>
    <n v="1021763"/>
    <x v="1"/>
    <n v="13.7"/>
    <n v="13.75"/>
    <n v="53.8"/>
    <x v="3"/>
    <x v="0"/>
    <x v="1"/>
    <x v="1"/>
  </r>
  <r>
    <n v="1021769"/>
    <x v="1"/>
    <n v="13.71"/>
    <n v="13.75"/>
    <n v="63.3"/>
    <x v="3"/>
    <x v="0"/>
    <x v="1"/>
    <x v="1"/>
  </r>
  <r>
    <n v="1021787"/>
    <x v="1"/>
    <n v="59.75"/>
    <n v="28.9"/>
    <n v="52.85"/>
    <x v="2"/>
    <x v="0"/>
    <x v="0"/>
    <x v="21"/>
  </r>
  <r>
    <n v="1021792"/>
    <x v="1"/>
    <n v="12.81"/>
    <n v="12.86"/>
    <n v="54.9"/>
    <x v="3"/>
    <x v="0"/>
    <x v="1"/>
    <x v="1"/>
  </r>
  <r>
    <n v="1021812"/>
    <x v="1"/>
    <n v="13.7"/>
    <n v="13.75"/>
    <n v="41.7"/>
    <x v="3"/>
    <x v="0"/>
    <x v="1"/>
    <x v="1"/>
  </r>
  <r>
    <n v="1021814"/>
    <x v="1"/>
    <n v="12.81"/>
    <n v="12.86"/>
    <n v="34.950000000000003"/>
    <x v="3"/>
    <x v="0"/>
    <x v="1"/>
    <x v="1"/>
  </r>
  <r>
    <n v="1021823"/>
    <x v="1"/>
    <n v="12.81"/>
    <n v="12.86"/>
    <n v="29.75"/>
    <x v="3"/>
    <x v="0"/>
    <x v="1"/>
    <x v="1"/>
  </r>
  <r>
    <n v="1021825"/>
    <x v="1"/>
    <n v="12.35"/>
    <n v="12.4"/>
    <n v="39.950000000000003"/>
    <x v="7"/>
    <x v="0"/>
    <x v="1"/>
    <x v="1"/>
  </r>
  <r>
    <n v="1021835"/>
    <x v="1"/>
    <n v="9.6999999999999993"/>
    <n v="9.75"/>
    <n v="45.75"/>
    <x v="0"/>
    <x v="0"/>
    <x v="1"/>
    <x v="1"/>
  </r>
  <r>
    <n v="1021837"/>
    <x v="1"/>
    <n v="12.35"/>
    <n v="12.4"/>
    <n v="39.950000000000003"/>
    <x v="7"/>
    <x v="0"/>
    <x v="1"/>
    <x v="1"/>
  </r>
  <r>
    <n v="1021838"/>
    <x v="1"/>
    <n v="14.67"/>
    <n v="14.72"/>
    <n v="100"/>
    <x v="3"/>
    <x v="0"/>
    <x v="1"/>
    <x v="1"/>
  </r>
  <r>
    <n v="1021842"/>
    <x v="1"/>
    <n v="12.81"/>
    <n v="12.86"/>
    <n v="44.9"/>
    <x v="3"/>
    <x v="0"/>
    <x v="1"/>
    <x v="1"/>
  </r>
  <r>
    <n v="1021845"/>
    <x v="1"/>
    <n v="17.7"/>
    <n v="17.760000000000002"/>
    <n v="334.75"/>
    <x v="9"/>
    <x v="0"/>
    <x v="1"/>
    <x v="1"/>
  </r>
  <r>
    <n v="1021851"/>
    <x v="1"/>
    <n v="12.81"/>
    <n v="13.31"/>
    <n v="60.75"/>
    <x v="3"/>
    <x v="0"/>
    <x v="1"/>
    <x v="1"/>
  </r>
  <r>
    <n v="1021862"/>
    <x v="1"/>
    <n v="17.7"/>
    <n v="17.75"/>
    <n v="59.8"/>
    <x v="9"/>
    <x v="0"/>
    <x v="1"/>
    <x v="1"/>
  </r>
  <r>
    <n v="1021873"/>
    <x v="1"/>
    <n v="13.71"/>
    <n v="13.75"/>
    <n v="42.45"/>
    <x v="3"/>
    <x v="0"/>
    <x v="1"/>
    <x v="1"/>
  </r>
  <r>
    <n v="1021878"/>
    <x v="1"/>
    <n v="13.7"/>
    <n v="13.76"/>
    <n v="68.55"/>
    <x v="3"/>
    <x v="0"/>
    <x v="1"/>
    <x v="1"/>
  </r>
  <r>
    <n v="1021882"/>
    <x v="1"/>
    <n v="16.46"/>
    <n v="16.510000000000002"/>
    <n v="39.75"/>
    <x v="4"/>
    <x v="0"/>
    <x v="1"/>
    <x v="1"/>
  </r>
  <r>
    <n v="1021888"/>
    <x v="1"/>
    <n v="12.81"/>
    <n v="12.86"/>
    <n v="101.75"/>
    <x v="3"/>
    <x v="0"/>
    <x v="1"/>
    <x v="1"/>
  </r>
  <r>
    <n v="1021890"/>
    <x v="1"/>
    <n v="12.81"/>
    <n v="12.86"/>
    <n v="74"/>
    <x v="3"/>
    <x v="0"/>
    <x v="1"/>
    <x v="1"/>
  </r>
  <r>
    <n v="1021901"/>
    <x v="1"/>
    <n v="13.7"/>
    <n v="13.76"/>
    <n v="44.95"/>
    <x v="3"/>
    <x v="0"/>
    <x v="1"/>
    <x v="1"/>
  </r>
  <r>
    <n v="1021928"/>
    <x v="1"/>
    <n v="9.6999999999999993"/>
    <n v="9.75"/>
    <n v="30.85"/>
    <x v="0"/>
    <x v="0"/>
    <x v="1"/>
    <x v="1"/>
  </r>
  <r>
    <n v="1021937"/>
    <x v="1"/>
    <n v="9.6999999999999993"/>
    <n v="9.75"/>
    <n v="114.95"/>
    <x v="0"/>
    <x v="0"/>
    <x v="1"/>
    <x v="1"/>
  </r>
  <r>
    <n v="1021943"/>
    <x v="1"/>
    <n v="9.6999999999999993"/>
    <n v="12.86"/>
    <n v="29.9"/>
    <x v="0"/>
    <x v="0"/>
    <x v="1"/>
    <x v="1"/>
  </r>
  <r>
    <n v="1021951"/>
    <x v="1"/>
    <n v="12.81"/>
    <n v="12.86"/>
    <n v="62.6"/>
    <x v="3"/>
    <x v="0"/>
    <x v="1"/>
    <x v="1"/>
  </r>
  <r>
    <n v="1021953"/>
    <x v="1"/>
    <n v="9.6999999999999993"/>
    <n v="13.75"/>
    <n v="30.75"/>
    <x v="0"/>
    <x v="0"/>
    <x v="1"/>
    <x v="1"/>
  </r>
  <r>
    <n v="1021997"/>
    <x v="1"/>
    <n v="12.81"/>
    <n v="12.86"/>
    <n v="4.95"/>
    <x v="3"/>
    <x v="0"/>
    <x v="1"/>
    <x v="1"/>
  </r>
  <r>
    <n v="1022004"/>
    <x v="1"/>
    <n v="12.81"/>
    <n v="12.86"/>
    <n v="88.75"/>
    <x v="3"/>
    <x v="0"/>
    <x v="1"/>
    <x v="1"/>
  </r>
  <r>
    <n v="1022018"/>
    <x v="1"/>
    <n v="12.81"/>
    <n v="12.86"/>
    <n v="42.9"/>
    <x v="3"/>
    <x v="0"/>
    <x v="1"/>
    <x v="1"/>
  </r>
  <r>
    <n v="1022025"/>
    <x v="1"/>
    <n v="13.71"/>
    <n v="13.76"/>
    <n v="57.7"/>
    <x v="3"/>
    <x v="0"/>
    <x v="1"/>
    <x v="1"/>
  </r>
  <r>
    <n v="1022026"/>
    <x v="1"/>
    <n v="13.71"/>
    <n v="14.2"/>
    <n v="15.9"/>
    <x v="3"/>
    <x v="0"/>
    <x v="1"/>
    <x v="1"/>
  </r>
  <r>
    <n v="1022057"/>
    <x v="1"/>
    <n v="12.81"/>
    <n v="12.86"/>
    <n v="115.75"/>
    <x v="3"/>
    <x v="0"/>
    <x v="1"/>
    <x v="1"/>
  </r>
  <r>
    <n v="1022063"/>
    <x v="1"/>
    <n v="9.7100000000000009"/>
    <n v="0"/>
    <n v="251.22"/>
    <x v="0"/>
    <x v="1"/>
    <x v="2"/>
    <x v="1"/>
  </r>
  <r>
    <n v="1022119"/>
    <x v="1"/>
    <n v="12.81"/>
    <n v="12.86"/>
    <n v="56.9"/>
    <x v="3"/>
    <x v="0"/>
    <x v="1"/>
    <x v="1"/>
  </r>
  <r>
    <n v="1022134"/>
    <x v="1"/>
    <n v="13.7"/>
    <n v="13.75"/>
    <n v="21.9"/>
    <x v="3"/>
    <x v="0"/>
    <x v="1"/>
    <x v="1"/>
  </r>
  <r>
    <n v="1022144"/>
    <x v="1"/>
    <n v="12.81"/>
    <n v="12.86"/>
    <n v="29.9"/>
    <x v="3"/>
    <x v="0"/>
    <x v="1"/>
    <x v="1"/>
  </r>
  <r>
    <n v="1022171"/>
    <x v="1"/>
    <n v="12.81"/>
    <n v="13.31"/>
    <n v="62.55"/>
    <x v="3"/>
    <x v="0"/>
    <x v="1"/>
    <x v="1"/>
  </r>
  <r>
    <n v="1022175"/>
    <x v="1"/>
    <n v="13.7"/>
    <n v="13.75"/>
    <n v="45.65"/>
    <x v="3"/>
    <x v="0"/>
    <x v="1"/>
    <x v="1"/>
  </r>
  <r>
    <n v="1022182"/>
    <x v="1"/>
    <n v="9.6999999999999993"/>
    <n v="9.75"/>
    <n v="93.9"/>
    <x v="0"/>
    <x v="0"/>
    <x v="1"/>
    <x v="1"/>
  </r>
  <r>
    <n v="1022200"/>
    <x v="1"/>
    <n v="12.81"/>
    <n v="12.86"/>
    <n v="21.9"/>
    <x v="3"/>
    <x v="0"/>
    <x v="1"/>
    <x v="1"/>
  </r>
  <r>
    <n v="1022213"/>
    <x v="1"/>
    <n v="9.6999999999999993"/>
    <n v="9.75"/>
    <n v="9.9"/>
    <x v="0"/>
    <x v="0"/>
    <x v="1"/>
    <x v="1"/>
  </r>
  <r>
    <n v="1022222"/>
    <x v="1"/>
    <n v="17.440000000000001"/>
    <n v="21.6"/>
    <n v="29.85"/>
    <x v="10"/>
    <x v="0"/>
    <x v="1"/>
    <x v="1"/>
  </r>
  <r>
    <n v="1022224"/>
    <x v="1"/>
    <n v="9.6999999999999993"/>
    <n v="9.75"/>
    <n v="69.849999999999994"/>
    <x v="0"/>
    <x v="0"/>
    <x v="1"/>
    <x v="1"/>
  </r>
  <r>
    <n v="1022228"/>
    <x v="1"/>
    <n v="9.6999999999999993"/>
    <n v="9.75"/>
    <n v="52.4"/>
    <x v="0"/>
    <x v="0"/>
    <x v="1"/>
    <x v="1"/>
  </r>
  <r>
    <n v="1022235"/>
    <x v="1"/>
    <n v="11.02"/>
    <n v="11.07"/>
    <n v="24.9"/>
    <x v="8"/>
    <x v="0"/>
    <x v="1"/>
    <x v="1"/>
  </r>
  <r>
    <n v="1022241"/>
    <x v="1"/>
    <n v="13.7"/>
    <n v="13.75"/>
    <n v="49.95"/>
    <x v="3"/>
    <x v="0"/>
    <x v="1"/>
    <x v="1"/>
  </r>
  <r>
    <n v="1022255"/>
    <x v="1"/>
    <n v="16.13"/>
    <n v="0"/>
    <n v="989.56"/>
    <x v="0"/>
    <x v="1"/>
    <x v="2"/>
    <x v="1"/>
  </r>
  <r>
    <n v="1022256"/>
    <x v="1"/>
    <n v="12.81"/>
    <n v="12.86"/>
    <n v="47.45"/>
    <x v="3"/>
    <x v="0"/>
    <x v="1"/>
    <x v="1"/>
  </r>
  <r>
    <n v="1022262"/>
    <x v="1"/>
    <n v="9.6999999999999993"/>
    <n v="9.75"/>
    <n v="84.2"/>
    <x v="0"/>
    <x v="0"/>
    <x v="1"/>
    <x v="1"/>
  </r>
  <r>
    <n v="1022265"/>
    <x v="1"/>
    <n v="13.7"/>
    <n v="13.75"/>
    <n v="100.65"/>
    <x v="3"/>
    <x v="0"/>
    <x v="1"/>
    <x v="1"/>
  </r>
  <r>
    <n v="1022267"/>
    <x v="1"/>
    <n v="9.6999999999999993"/>
    <n v="9.75"/>
    <n v="17.5"/>
    <x v="0"/>
    <x v="0"/>
    <x v="1"/>
    <x v="1"/>
  </r>
  <r>
    <n v="1022274"/>
    <x v="1"/>
    <n v="13.7"/>
    <n v="13.76"/>
    <n v="85"/>
    <x v="3"/>
    <x v="0"/>
    <x v="1"/>
    <x v="1"/>
  </r>
  <r>
    <n v="1022292"/>
    <x v="1"/>
    <n v="12.81"/>
    <n v="12.86"/>
    <n v="39.9"/>
    <x v="3"/>
    <x v="0"/>
    <x v="1"/>
    <x v="1"/>
  </r>
  <r>
    <n v="1022301"/>
    <x v="1"/>
    <n v="12.81"/>
    <n v="12.86"/>
    <n v="17.5"/>
    <x v="3"/>
    <x v="0"/>
    <x v="1"/>
    <x v="1"/>
  </r>
  <r>
    <n v="1022316"/>
    <x v="1"/>
    <n v="13.7"/>
    <n v="14.15"/>
    <n v="114.95"/>
    <x v="3"/>
    <x v="0"/>
    <x v="1"/>
    <x v="1"/>
  </r>
  <r>
    <n v="1022374"/>
    <x v="1"/>
    <n v="13.71"/>
    <n v="13.75"/>
    <n v="85.4"/>
    <x v="3"/>
    <x v="0"/>
    <x v="1"/>
    <x v="1"/>
  </r>
  <r>
    <n v="1022383"/>
    <x v="1"/>
    <n v="9.6999999999999993"/>
    <n v="9.75"/>
    <n v="100.1"/>
    <x v="0"/>
    <x v="0"/>
    <x v="1"/>
    <x v="1"/>
  </r>
  <r>
    <n v="1022391"/>
    <x v="1"/>
    <n v="15.12"/>
    <n v="14.77"/>
    <n v="185.65"/>
    <x v="3"/>
    <x v="0"/>
    <x v="0"/>
    <x v="30"/>
  </r>
  <r>
    <n v="1022416"/>
    <x v="1"/>
    <n v="13.7"/>
    <n v="14.2"/>
    <n v="91.55"/>
    <x v="3"/>
    <x v="0"/>
    <x v="1"/>
    <x v="1"/>
  </r>
  <r>
    <n v="1022424"/>
    <x v="1"/>
    <n v="12.81"/>
    <n v="12.86"/>
    <n v="67.849999999999994"/>
    <x v="3"/>
    <x v="0"/>
    <x v="1"/>
    <x v="1"/>
  </r>
  <r>
    <n v="1022435"/>
    <x v="1"/>
    <n v="26.7"/>
    <n v="13.79"/>
    <n v="27.85"/>
    <x v="3"/>
    <x v="0"/>
    <x v="0"/>
    <x v="17"/>
  </r>
  <r>
    <n v="1022439"/>
    <x v="1"/>
    <n v="12.81"/>
    <n v="12.86"/>
    <n v="14.95"/>
    <x v="3"/>
    <x v="0"/>
    <x v="1"/>
    <x v="1"/>
  </r>
  <r>
    <n v="1022450"/>
    <x v="1"/>
    <n v="15.44"/>
    <n v="15.49"/>
    <n v="52.9"/>
    <x v="6"/>
    <x v="0"/>
    <x v="1"/>
    <x v="1"/>
  </r>
  <r>
    <n v="1022466"/>
    <x v="1"/>
    <n v="15.13"/>
    <n v="15.18"/>
    <n v="114.95"/>
    <x v="6"/>
    <x v="0"/>
    <x v="1"/>
    <x v="1"/>
  </r>
  <r>
    <n v="1022467"/>
    <x v="1"/>
    <n v="13.7"/>
    <n v="13.75"/>
    <n v="3.95"/>
    <x v="3"/>
    <x v="0"/>
    <x v="1"/>
    <x v="1"/>
  </r>
  <r>
    <n v="1022468"/>
    <x v="1"/>
    <n v="12.81"/>
    <n v="12.86"/>
    <n v="37.85"/>
    <x v="3"/>
    <x v="0"/>
    <x v="1"/>
    <x v="1"/>
  </r>
  <r>
    <n v="1022478"/>
    <x v="1"/>
    <n v="14.23"/>
    <n v="0"/>
    <n v="249.85"/>
    <x v="3"/>
    <x v="1"/>
    <x v="2"/>
    <x v="1"/>
  </r>
  <r>
    <n v="1022483"/>
    <x v="1"/>
    <n v="12.81"/>
    <n v="13.26"/>
    <n v="99.95"/>
    <x v="3"/>
    <x v="0"/>
    <x v="1"/>
    <x v="1"/>
  </r>
  <r>
    <n v="1022503"/>
    <x v="1"/>
    <n v="12.81"/>
    <n v="12.86"/>
    <n v="74.900000000000006"/>
    <x v="3"/>
    <x v="0"/>
    <x v="1"/>
    <x v="1"/>
  </r>
  <r>
    <n v="1022536"/>
    <x v="1"/>
    <n v="13.7"/>
    <n v="13.75"/>
    <n v="17.5"/>
    <x v="3"/>
    <x v="0"/>
    <x v="1"/>
    <x v="1"/>
  </r>
  <r>
    <n v="1022539"/>
    <x v="1"/>
    <n v="12.81"/>
    <n v="12.86"/>
    <n v="8.85"/>
    <x v="3"/>
    <x v="0"/>
    <x v="1"/>
    <x v="1"/>
  </r>
  <r>
    <n v="1022541"/>
    <x v="1"/>
    <n v="9.6999999999999993"/>
    <n v="9.75"/>
    <n v="22.5"/>
    <x v="0"/>
    <x v="0"/>
    <x v="1"/>
    <x v="1"/>
  </r>
  <r>
    <n v="1022555"/>
    <x v="1"/>
    <n v="12.81"/>
    <n v="12.86"/>
    <n v="58.8"/>
    <x v="3"/>
    <x v="0"/>
    <x v="1"/>
    <x v="1"/>
  </r>
  <r>
    <n v="1022556"/>
    <x v="1"/>
    <n v="13.7"/>
    <n v="13.75"/>
    <n v="116.6"/>
    <x v="3"/>
    <x v="0"/>
    <x v="1"/>
    <x v="1"/>
  </r>
  <r>
    <n v="1022558"/>
    <x v="1"/>
    <n v="13.7"/>
    <n v="13.75"/>
    <n v="52.65"/>
    <x v="3"/>
    <x v="0"/>
    <x v="1"/>
    <x v="1"/>
  </r>
  <r>
    <n v="1022564"/>
    <x v="1"/>
    <n v="16.77"/>
    <n v="16.82"/>
    <n v="59.35"/>
    <x v="4"/>
    <x v="0"/>
    <x v="1"/>
    <x v="1"/>
  </r>
  <r>
    <n v="1022569"/>
    <x v="1"/>
    <n v="23.64"/>
    <n v="23.69"/>
    <n v="132.65"/>
    <x v="9"/>
    <x v="0"/>
    <x v="1"/>
    <x v="1"/>
  </r>
  <r>
    <n v="1022570"/>
    <x v="1"/>
    <n v="12.81"/>
    <n v="12.86"/>
    <n v="54.9"/>
    <x v="3"/>
    <x v="0"/>
    <x v="1"/>
    <x v="1"/>
  </r>
  <r>
    <n v="1022572"/>
    <x v="1"/>
    <n v="13.7"/>
    <n v="13.75"/>
    <n v="7.95"/>
    <x v="3"/>
    <x v="0"/>
    <x v="1"/>
    <x v="1"/>
  </r>
  <r>
    <n v="1022575"/>
    <x v="1"/>
    <n v="13.7"/>
    <n v="13.75"/>
    <n v="134.85"/>
    <x v="3"/>
    <x v="0"/>
    <x v="1"/>
    <x v="1"/>
  </r>
  <r>
    <n v="1022580"/>
    <x v="1"/>
    <n v="12.81"/>
    <n v="12.86"/>
    <n v="27.5"/>
    <x v="3"/>
    <x v="0"/>
    <x v="1"/>
    <x v="1"/>
  </r>
  <r>
    <n v="1022598"/>
    <x v="1"/>
    <n v="12.81"/>
    <n v="0"/>
    <n v="207.8"/>
    <x v="3"/>
    <x v="1"/>
    <x v="2"/>
    <x v="1"/>
  </r>
  <r>
    <n v="1022616"/>
    <x v="1"/>
    <n v="16.46"/>
    <n v="16.510000000000002"/>
    <n v="39.950000000000003"/>
    <x v="4"/>
    <x v="0"/>
    <x v="1"/>
    <x v="1"/>
  </r>
  <r>
    <n v="1022622"/>
    <x v="1"/>
    <n v="18.41"/>
    <n v="20.2"/>
    <n v="108.1"/>
    <x v="4"/>
    <x v="0"/>
    <x v="1"/>
    <x v="1"/>
  </r>
  <r>
    <n v="1022638"/>
    <x v="1"/>
    <n v="12.81"/>
    <n v="12.86"/>
    <n v="92.85"/>
    <x v="3"/>
    <x v="0"/>
    <x v="1"/>
    <x v="1"/>
  </r>
  <r>
    <n v="1022668"/>
    <x v="1"/>
    <n v="12.81"/>
    <n v="12.86"/>
    <n v="7.8"/>
    <x v="3"/>
    <x v="0"/>
    <x v="1"/>
    <x v="1"/>
  </r>
  <r>
    <n v="1022677"/>
    <x v="1"/>
    <n v="13.7"/>
    <n v="13.75"/>
    <n v="153.19999999999999"/>
    <x v="3"/>
    <x v="0"/>
    <x v="1"/>
    <x v="1"/>
  </r>
  <r>
    <n v="1022686"/>
    <x v="1"/>
    <n v="13.7"/>
    <n v="13.75"/>
    <n v="106.75"/>
    <x v="3"/>
    <x v="0"/>
    <x v="1"/>
    <x v="1"/>
  </r>
  <r>
    <n v="1022687"/>
    <x v="1"/>
    <n v="12.81"/>
    <n v="12.86"/>
    <n v="6.95"/>
    <x v="3"/>
    <x v="0"/>
    <x v="1"/>
    <x v="1"/>
  </r>
  <r>
    <n v="1022692"/>
    <x v="1"/>
    <n v="12.81"/>
    <n v="12.86"/>
    <n v="94.9"/>
    <x v="3"/>
    <x v="0"/>
    <x v="1"/>
    <x v="1"/>
  </r>
  <r>
    <n v="1022695"/>
    <x v="1"/>
    <n v="12.81"/>
    <n v="12.86"/>
    <n v="16.850000000000001"/>
    <x v="3"/>
    <x v="0"/>
    <x v="1"/>
    <x v="1"/>
  </r>
  <r>
    <n v="1022706"/>
    <x v="1"/>
    <n v="13.7"/>
    <n v="13.75"/>
    <n v="31.3"/>
    <x v="3"/>
    <x v="0"/>
    <x v="1"/>
    <x v="1"/>
  </r>
  <r>
    <n v="1022719"/>
    <x v="1"/>
    <n v="13.7"/>
    <n v="13.75"/>
    <n v="64.900000000000006"/>
    <x v="3"/>
    <x v="0"/>
    <x v="1"/>
    <x v="1"/>
  </r>
  <r>
    <n v="1022720"/>
    <x v="1"/>
    <n v="12.81"/>
    <n v="12.86"/>
    <n v="68.7"/>
    <x v="3"/>
    <x v="0"/>
    <x v="1"/>
    <x v="1"/>
  </r>
  <r>
    <n v="1022724"/>
    <x v="1"/>
    <n v="13.73"/>
    <n v="13.78"/>
    <n v="81.150000000000006"/>
    <x v="7"/>
    <x v="0"/>
    <x v="1"/>
    <x v="1"/>
  </r>
  <r>
    <n v="1022762"/>
    <x v="1"/>
    <n v="12.81"/>
    <n v="12.86"/>
    <n v="63.8"/>
    <x v="3"/>
    <x v="0"/>
    <x v="1"/>
    <x v="1"/>
  </r>
  <r>
    <n v="1022792"/>
    <x v="1"/>
    <n v="18.07"/>
    <n v="20.61"/>
    <n v="149.9"/>
    <x v="6"/>
    <x v="0"/>
    <x v="1"/>
    <x v="1"/>
  </r>
  <r>
    <n v="1022796"/>
    <x v="1"/>
    <n v="13.7"/>
    <n v="13.75"/>
    <n v="29.35"/>
    <x v="3"/>
    <x v="0"/>
    <x v="1"/>
    <x v="1"/>
  </r>
  <r>
    <n v="1022801"/>
    <x v="1"/>
    <n v="13.7"/>
    <n v="13.76"/>
    <n v="99.6"/>
    <x v="3"/>
    <x v="0"/>
    <x v="1"/>
    <x v="1"/>
  </r>
  <r>
    <n v="1022836"/>
    <x v="1"/>
    <n v="13.7"/>
    <n v="13.75"/>
    <n v="26.9"/>
    <x v="3"/>
    <x v="0"/>
    <x v="1"/>
    <x v="1"/>
  </r>
  <r>
    <n v="1022860"/>
    <x v="1"/>
    <n v="12.81"/>
    <n v="12.86"/>
    <n v="4.5"/>
    <x v="3"/>
    <x v="0"/>
    <x v="1"/>
    <x v="1"/>
  </r>
  <r>
    <n v="1022891"/>
    <x v="1"/>
    <n v="15.44"/>
    <n v="15.49"/>
    <n v="119.5"/>
    <x v="6"/>
    <x v="0"/>
    <x v="1"/>
    <x v="1"/>
  </r>
  <r>
    <n v="1022910"/>
    <x v="1"/>
    <n v="12.81"/>
    <n v="12.86"/>
    <n v="99.95"/>
    <x v="3"/>
    <x v="0"/>
    <x v="1"/>
    <x v="1"/>
  </r>
  <r>
    <n v="1022920"/>
    <x v="1"/>
    <n v="12.81"/>
    <n v="12.86"/>
    <n v="36.75"/>
    <x v="3"/>
    <x v="0"/>
    <x v="1"/>
    <x v="1"/>
  </r>
  <r>
    <n v="1022928"/>
    <x v="1"/>
    <n v="12.81"/>
    <n v="12.86"/>
    <n v="68.75"/>
    <x v="3"/>
    <x v="0"/>
    <x v="1"/>
    <x v="1"/>
  </r>
  <r>
    <n v="1022951"/>
    <x v="1"/>
    <n v="12.81"/>
    <n v="12.86"/>
    <n v="29.8"/>
    <x v="3"/>
    <x v="0"/>
    <x v="1"/>
    <x v="1"/>
  </r>
  <r>
    <n v="1022958"/>
    <x v="1"/>
    <n v="15.13"/>
    <n v="15.18"/>
    <n v="19.899999999999999"/>
    <x v="6"/>
    <x v="0"/>
    <x v="1"/>
    <x v="1"/>
  </r>
  <r>
    <n v="1022964"/>
    <x v="1"/>
    <n v="12.81"/>
    <n v="12.86"/>
    <n v="20.9"/>
    <x v="3"/>
    <x v="0"/>
    <x v="1"/>
    <x v="1"/>
  </r>
  <r>
    <n v="1022969"/>
    <x v="1"/>
    <n v="12.81"/>
    <n v="12.86"/>
    <n v="43.95"/>
    <x v="3"/>
    <x v="0"/>
    <x v="1"/>
    <x v="1"/>
  </r>
  <r>
    <n v="1022978"/>
    <x v="1"/>
    <n v="13.7"/>
    <n v="13.76"/>
    <n v="106.5"/>
    <x v="3"/>
    <x v="0"/>
    <x v="1"/>
    <x v="1"/>
  </r>
  <r>
    <n v="1022984"/>
    <x v="1"/>
    <n v="13.71"/>
    <n v="13.75"/>
    <n v="29.45"/>
    <x v="3"/>
    <x v="0"/>
    <x v="1"/>
    <x v="1"/>
  </r>
  <r>
    <n v="1022988"/>
    <x v="1"/>
    <n v="13.7"/>
    <n v="14.47"/>
    <n v="54.05"/>
    <x v="3"/>
    <x v="0"/>
    <x v="1"/>
    <x v="1"/>
  </r>
  <r>
    <n v="1022991"/>
    <x v="1"/>
    <n v="12.81"/>
    <n v="12.86"/>
    <n v="79.75"/>
    <x v="3"/>
    <x v="0"/>
    <x v="1"/>
    <x v="1"/>
  </r>
  <r>
    <n v="1022993"/>
    <x v="1"/>
    <n v="12.81"/>
    <n v="12.86"/>
    <n v="3.65"/>
    <x v="3"/>
    <x v="0"/>
    <x v="1"/>
    <x v="1"/>
  </r>
  <r>
    <n v="1023031"/>
    <x v="1"/>
    <n v="13.7"/>
    <n v="13.75"/>
    <n v="18.95"/>
    <x v="3"/>
    <x v="0"/>
    <x v="1"/>
    <x v="1"/>
  </r>
  <r>
    <n v="1023043"/>
    <x v="1"/>
    <n v="12.81"/>
    <n v="0"/>
    <n v="226.65"/>
    <x v="3"/>
    <x v="1"/>
    <x v="2"/>
    <x v="1"/>
  </r>
  <r>
    <n v="1023062"/>
    <x v="1"/>
    <n v="26.7"/>
    <n v="13.75"/>
    <n v="96.7"/>
    <x v="3"/>
    <x v="0"/>
    <x v="0"/>
    <x v="29"/>
  </r>
  <r>
    <n v="1023082"/>
    <x v="1"/>
    <n v="13.7"/>
    <n v="0"/>
    <n v="296.5"/>
    <x v="3"/>
    <x v="1"/>
    <x v="2"/>
    <x v="1"/>
  </r>
  <r>
    <n v="1023095"/>
    <x v="1"/>
    <n v="13.7"/>
    <n v="13.75"/>
    <n v="45.3"/>
    <x v="3"/>
    <x v="0"/>
    <x v="1"/>
    <x v="1"/>
  </r>
  <r>
    <n v="1023097"/>
    <x v="1"/>
    <n v="13.7"/>
    <n v="14.15"/>
    <n v="99.95"/>
    <x v="3"/>
    <x v="0"/>
    <x v="1"/>
    <x v="1"/>
  </r>
  <r>
    <n v="1023099"/>
    <x v="1"/>
    <n v="16.46"/>
    <n v="16.510000000000002"/>
    <n v="69.900000000000006"/>
    <x v="4"/>
    <x v="0"/>
    <x v="1"/>
    <x v="1"/>
  </r>
  <r>
    <n v="1023113"/>
    <x v="1"/>
    <n v="18.149999999999999"/>
    <n v="18.2"/>
    <n v="23.75"/>
    <x v="9"/>
    <x v="0"/>
    <x v="1"/>
    <x v="1"/>
  </r>
  <r>
    <n v="1023116"/>
    <x v="1"/>
    <n v="13.7"/>
    <n v="13.75"/>
    <n v="60"/>
    <x v="3"/>
    <x v="0"/>
    <x v="1"/>
    <x v="1"/>
  </r>
  <r>
    <n v="1023127"/>
    <x v="1"/>
    <n v="13.7"/>
    <n v="13.75"/>
    <n v="19.75"/>
    <x v="3"/>
    <x v="0"/>
    <x v="1"/>
    <x v="1"/>
  </r>
  <r>
    <n v="1023129"/>
    <x v="1"/>
    <n v="12.81"/>
    <n v="12.86"/>
    <n v="9.1999999999999993"/>
    <x v="3"/>
    <x v="0"/>
    <x v="1"/>
    <x v="1"/>
  </r>
  <r>
    <n v="1023175"/>
    <x v="1"/>
    <n v="26.7"/>
    <n v="13.75"/>
    <n v="25.3"/>
    <x v="3"/>
    <x v="0"/>
    <x v="0"/>
    <x v="29"/>
  </r>
  <r>
    <n v="1023184"/>
    <x v="1"/>
    <n v="16.77"/>
    <n v="16.82"/>
    <n v="49.9"/>
    <x v="4"/>
    <x v="0"/>
    <x v="1"/>
    <x v="1"/>
  </r>
  <r>
    <n v="1023194"/>
    <x v="1"/>
    <n v="13.7"/>
    <n v="13.75"/>
    <n v="37.799999999999997"/>
    <x v="3"/>
    <x v="0"/>
    <x v="1"/>
    <x v="1"/>
  </r>
  <r>
    <n v="1023227"/>
    <x v="1"/>
    <n v="16.559999999999999"/>
    <n v="16.61"/>
    <n v="100.85"/>
    <x v="4"/>
    <x v="0"/>
    <x v="1"/>
    <x v="1"/>
  </r>
  <r>
    <n v="1023229"/>
    <x v="1"/>
    <n v="22.01"/>
    <n v="27.8"/>
    <n v="144.65"/>
    <x v="4"/>
    <x v="0"/>
    <x v="1"/>
    <x v="1"/>
  </r>
  <r>
    <n v="1023247"/>
    <x v="1"/>
    <n v="12.81"/>
    <n v="12.86"/>
    <n v="19.899999999999999"/>
    <x v="3"/>
    <x v="0"/>
    <x v="1"/>
    <x v="1"/>
  </r>
  <r>
    <n v="1023251"/>
    <x v="1"/>
    <n v="9.6999999999999993"/>
    <n v="9.75"/>
    <n v="9.9499999999999993"/>
    <x v="0"/>
    <x v="0"/>
    <x v="1"/>
    <x v="1"/>
  </r>
  <r>
    <n v="1031127"/>
    <x v="0"/>
    <n v="9.6999999999999993"/>
    <n v="13.75"/>
    <n v="29.95"/>
    <x v="0"/>
    <x v="0"/>
    <x v="1"/>
    <x v="1"/>
  </r>
  <r>
    <n v="1023271"/>
    <x v="1"/>
    <n v="16.46"/>
    <n v="16.510000000000002"/>
    <n v="114.95"/>
    <x v="4"/>
    <x v="0"/>
    <x v="1"/>
    <x v="1"/>
  </r>
  <r>
    <n v="1023288"/>
    <x v="1"/>
    <n v="9.7100000000000009"/>
    <n v="9.76"/>
    <n v="20"/>
    <x v="0"/>
    <x v="0"/>
    <x v="1"/>
    <x v="1"/>
  </r>
  <r>
    <n v="1023294"/>
    <x v="1"/>
    <n v="13.7"/>
    <n v="13.75"/>
    <n v="67.8"/>
    <x v="3"/>
    <x v="0"/>
    <x v="1"/>
    <x v="1"/>
  </r>
  <r>
    <n v="1023297"/>
    <x v="1"/>
    <n v="16.77"/>
    <n v="16.82"/>
    <n v="25.95"/>
    <x v="4"/>
    <x v="0"/>
    <x v="1"/>
    <x v="1"/>
  </r>
  <r>
    <n v="1023301"/>
    <x v="1"/>
    <n v="12.81"/>
    <n v="12.86"/>
    <n v="53.35"/>
    <x v="3"/>
    <x v="0"/>
    <x v="1"/>
    <x v="1"/>
  </r>
  <r>
    <n v="1023306"/>
    <x v="1"/>
    <n v="13.71"/>
    <n v="13.76"/>
    <n v="107.75"/>
    <x v="3"/>
    <x v="0"/>
    <x v="1"/>
    <x v="1"/>
  </r>
  <r>
    <n v="1023309"/>
    <x v="1"/>
    <n v="60.85"/>
    <n v="60.9"/>
    <n v="140.1"/>
    <x v="2"/>
    <x v="0"/>
    <x v="1"/>
    <x v="1"/>
  </r>
  <r>
    <n v="1023310"/>
    <x v="1"/>
    <n v="12.81"/>
    <n v="0"/>
    <n v="219.8"/>
    <x v="3"/>
    <x v="1"/>
    <x v="2"/>
    <x v="1"/>
  </r>
  <r>
    <n v="1023313"/>
    <x v="1"/>
    <n v="13.71"/>
    <n v="13.75"/>
    <n v="24.95"/>
    <x v="3"/>
    <x v="0"/>
    <x v="1"/>
    <x v="1"/>
  </r>
  <r>
    <n v="1023333"/>
    <x v="1"/>
    <n v="13.7"/>
    <n v="0"/>
    <n v="227.05"/>
    <x v="3"/>
    <x v="1"/>
    <x v="2"/>
    <x v="1"/>
  </r>
  <r>
    <n v="1023351"/>
    <x v="1"/>
    <n v="13.7"/>
    <n v="13.76"/>
    <n v="105.9"/>
    <x v="3"/>
    <x v="0"/>
    <x v="1"/>
    <x v="1"/>
  </r>
  <r>
    <n v="1023355"/>
    <x v="1"/>
    <n v="13.7"/>
    <n v="13.75"/>
    <n v="70.2"/>
    <x v="3"/>
    <x v="0"/>
    <x v="1"/>
    <x v="1"/>
  </r>
  <r>
    <n v="1023359"/>
    <x v="1"/>
    <n v="13.71"/>
    <n v="13.76"/>
    <n v="27.8"/>
    <x v="3"/>
    <x v="0"/>
    <x v="1"/>
    <x v="1"/>
  </r>
  <r>
    <n v="1023361"/>
    <x v="1"/>
    <n v="13.7"/>
    <n v="13.75"/>
    <n v="29.7"/>
    <x v="3"/>
    <x v="0"/>
    <x v="1"/>
    <x v="1"/>
  </r>
  <r>
    <n v="1023377"/>
    <x v="1"/>
    <n v="16.399999999999999"/>
    <n v="19.010000000000002"/>
    <n v="46.5"/>
    <x v="6"/>
    <x v="0"/>
    <x v="1"/>
    <x v="1"/>
  </r>
  <r>
    <n v="1023382"/>
    <x v="1"/>
    <n v="13.7"/>
    <n v="13.75"/>
    <n v="11.95"/>
    <x v="3"/>
    <x v="0"/>
    <x v="1"/>
    <x v="1"/>
  </r>
  <r>
    <n v="1023390"/>
    <x v="1"/>
    <n v="13.7"/>
    <n v="13.75"/>
    <n v="44.85"/>
    <x v="3"/>
    <x v="0"/>
    <x v="1"/>
    <x v="1"/>
  </r>
  <r>
    <n v="1023402"/>
    <x v="1"/>
    <n v="16.77"/>
    <n v="16.82"/>
    <n v="114.95"/>
    <x v="4"/>
    <x v="0"/>
    <x v="1"/>
    <x v="1"/>
  </r>
  <r>
    <n v="1023404"/>
    <x v="1"/>
    <n v="12.81"/>
    <n v="12.86"/>
    <n v="64.3"/>
    <x v="3"/>
    <x v="0"/>
    <x v="1"/>
    <x v="1"/>
  </r>
  <r>
    <n v="1023408"/>
    <x v="1"/>
    <n v="12.81"/>
    <n v="12.86"/>
    <n v="33.85"/>
    <x v="3"/>
    <x v="0"/>
    <x v="1"/>
    <x v="1"/>
  </r>
  <r>
    <n v="1023427"/>
    <x v="1"/>
    <n v="15.44"/>
    <n v="15.49"/>
    <n v="165"/>
    <x v="6"/>
    <x v="0"/>
    <x v="1"/>
    <x v="1"/>
  </r>
  <r>
    <n v="1023428"/>
    <x v="1"/>
    <n v="12.81"/>
    <n v="12.86"/>
    <n v="24.4"/>
    <x v="3"/>
    <x v="0"/>
    <x v="1"/>
    <x v="1"/>
  </r>
  <r>
    <n v="1023445"/>
    <x v="1"/>
    <n v="12.81"/>
    <n v="0"/>
    <n v="287.73"/>
    <x v="3"/>
    <x v="1"/>
    <x v="2"/>
    <x v="1"/>
  </r>
  <r>
    <n v="1023463"/>
    <x v="1"/>
    <n v="13.7"/>
    <n v="13.75"/>
    <n v="32.9"/>
    <x v="3"/>
    <x v="0"/>
    <x v="1"/>
    <x v="1"/>
  </r>
  <r>
    <n v="1023486"/>
    <x v="1"/>
    <n v="12.81"/>
    <n v="12.86"/>
    <n v="42"/>
    <x v="3"/>
    <x v="0"/>
    <x v="1"/>
    <x v="1"/>
  </r>
  <r>
    <n v="1023502"/>
    <x v="1"/>
    <n v="12.73"/>
    <n v="0"/>
    <n v="1275.45"/>
    <x v="0"/>
    <x v="1"/>
    <x v="2"/>
    <x v="1"/>
  </r>
  <r>
    <n v="1023522"/>
    <x v="1"/>
    <n v="12.81"/>
    <n v="12.86"/>
    <n v="29.75"/>
    <x v="3"/>
    <x v="0"/>
    <x v="1"/>
    <x v="1"/>
  </r>
  <r>
    <n v="1023523"/>
    <x v="1"/>
    <n v="16.46"/>
    <n v="16.510000000000002"/>
    <n v="79.900000000000006"/>
    <x v="4"/>
    <x v="0"/>
    <x v="1"/>
    <x v="1"/>
  </r>
  <r>
    <n v="1023549"/>
    <x v="1"/>
    <n v="12.81"/>
    <n v="12.86"/>
    <n v="178"/>
    <x v="3"/>
    <x v="0"/>
    <x v="1"/>
    <x v="1"/>
  </r>
  <r>
    <n v="1023573"/>
    <x v="1"/>
    <n v="13.7"/>
    <n v="13.75"/>
    <n v="17.95"/>
    <x v="3"/>
    <x v="0"/>
    <x v="1"/>
    <x v="1"/>
  </r>
  <r>
    <n v="1023580"/>
    <x v="1"/>
    <n v="12.81"/>
    <n v="12.86"/>
    <n v="59.85"/>
    <x v="3"/>
    <x v="0"/>
    <x v="1"/>
    <x v="1"/>
  </r>
  <r>
    <n v="1023646"/>
    <x v="1"/>
    <n v="15.44"/>
    <n v="15.49"/>
    <n v="115.75"/>
    <x v="6"/>
    <x v="0"/>
    <x v="1"/>
    <x v="1"/>
  </r>
  <r>
    <n v="1023652"/>
    <x v="1"/>
    <n v="15.13"/>
    <n v="15.18"/>
    <n v="81.25"/>
    <x v="6"/>
    <x v="0"/>
    <x v="1"/>
    <x v="1"/>
  </r>
  <r>
    <n v="1023653"/>
    <x v="1"/>
    <n v="12.81"/>
    <n v="12.86"/>
    <n v="33.65"/>
    <x v="3"/>
    <x v="0"/>
    <x v="1"/>
    <x v="1"/>
  </r>
  <r>
    <n v="1023654"/>
    <x v="1"/>
    <n v="16.87"/>
    <n v="16.920000000000002"/>
    <n v="60.95"/>
    <x v="4"/>
    <x v="0"/>
    <x v="1"/>
    <x v="1"/>
  </r>
  <r>
    <n v="1023662"/>
    <x v="1"/>
    <n v="13.7"/>
    <n v="15.17"/>
    <n v="99.95"/>
    <x v="3"/>
    <x v="0"/>
    <x v="1"/>
    <x v="1"/>
  </r>
  <r>
    <n v="1023667"/>
    <x v="1"/>
    <n v="12.81"/>
    <n v="0"/>
    <n v="300.5"/>
    <x v="3"/>
    <x v="1"/>
    <x v="2"/>
    <x v="1"/>
  </r>
  <r>
    <n v="1023671"/>
    <x v="1"/>
    <n v="15.44"/>
    <n v="15.49"/>
    <n v="70.900000000000006"/>
    <x v="6"/>
    <x v="0"/>
    <x v="1"/>
    <x v="1"/>
  </r>
  <r>
    <n v="1023684"/>
    <x v="1"/>
    <n v="12.81"/>
    <n v="12.86"/>
    <n v="74.900000000000006"/>
    <x v="3"/>
    <x v="0"/>
    <x v="1"/>
    <x v="1"/>
  </r>
  <r>
    <n v="1023692"/>
    <x v="1"/>
    <n v="21.18"/>
    <n v="22.31"/>
    <n v="393.8"/>
    <x v="6"/>
    <x v="0"/>
    <x v="1"/>
    <x v="1"/>
  </r>
  <r>
    <n v="1023718"/>
    <x v="1"/>
    <n v="12.81"/>
    <n v="12.86"/>
    <n v="18.75"/>
    <x v="3"/>
    <x v="0"/>
    <x v="1"/>
    <x v="1"/>
  </r>
  <r>
    <n v="1023732"/>
    <x v="1"/>
    <n v="14.23"/>
    <n v="14.28"/>
    <n v="47.2"/>
    <x v="3"/>
    <x v="0"/>
    <x v="1"/>
    <x v="1"/>
  </r>
  <r>
    <n v="1023737"/>
    <x v="1"/>
    <n v="12.81"/>
    <n v="12.86"/>
    <n v="34.950000000000003"/>
    <x v="3"/>
    <x v="0"/>
    <x v="1"/>
    <x v="1"/>
  </r>
  <r>
    <n v="1023763"/>
    <x v="1"/>
    <n v="16.399999999999999"/>
    <n v="20.3"/>
    <n v="101.95"/>
    <x v="6"/>
    <x v="0"/>
    <x v="1"/>
    <x v="1"/>
  </r>
  <r>
    <n v="1023775"/>
    <x v="1"/>
    <n v="12.81"/>
    <n v="13.31"/>
    <n v="29.9"/>
    <x v="3"/>
    <x v="0"/>
    <x v="1"/>
    <x v="1"/>
  </r>
  <r>
    <n v="1023777"/>
    <x v="1"/>
    <n v="15.44"/>
    <n v="15.49"/>
    <n v="34.950000000000003"/>
    <x v="6"/>
    <x v="0"/>
    <x v="1"/>
    <x v="1"/>
  </r>
  <r>
    <n v="1023780"/>
    <x v="1"/>
    <n v="9.6999999999999993"/>
    <n v="9.75"/>
    <n v="31.8"/>
    <x v="0"/>
    <x v="0"/>
    <x v="1"/>
    <x v="1"/>
  </r>
  <r>
    <n v="1023794"/>
    <x v="1"/>
    <n v="13.7"/>
    <n v="13.75"/>
    <n v="22.85"/>
    <x v="3"/>
    <x v="0"/>
    <x v="1"/>
    <x v="1"/>
  </r>
  <r>
    <n v="1023802"/>
    <x v="1"/>
    <n v="13.7"/>
    <n v="13.83"/>
    <n v="47.35"/>
    <x v="3"/>
    <x v="0"/>
    <x v="1"/>
    <x v="1"/>
  </r>
  <r>
    <n v="1023854"/>
    <x v="1"/>
    <n v="13.7"/>
    <n v="13.75"/>
    <n v="9.8000000000000007"/>
    <x v="3"/>
    <x v="0"/>
    <x v="1"/>
    <x v="1"/>
  </r>
  <r>
    <n v="1023855"/>
    <x v="1"/>
    <n v="13.71"/>
    <n v="9.7899999999999991"/>
    <n v="66"/>
    <x v="3"/>
    <x v="0"/>
    <x v="0"/>
    <x v="31"/>
  </r>
  <r>
    <n v="1023862"/>
    <x v="1"/>
    <n v="18.149999999999999"/>
    <n v="18.2"/>
    <n v="147.55000000000001"/>
    <x v="4"/>
    <x v="0"/>
    <x v="1"/>
    <x v="1"/>
  </r>
  <r>
    <n v="1023875"/>
    <x v="1"/>
    <n v="16.46"/>
    <n v="16.510000000000002"/>
    <n v="44.15"/>
    <x v="4"/>
    <x v="0"/>
    <x v="1"/>
    <x v="1"/>
  </r>
  <r>
    <n v="1023898"/>
    <x v="1"/>
    <n v="15.13"/>
    <n v="16.45"/>
    <n v="99.8"/>
    <x v="6"/>
    <x v="0"/>
    <x v="1"/>
    <x v="1"/>
  </r>
  <r>
    <n v="1023940"/>
    <x v="1"/>
    <n v="68.94"/>
    <n v="77.78"/>
    <n v="307.3"/>
    <x v="2"/>
    <x v="0"/>
    <x v="1"/>
    <x v="1"/>
  </r>
  <r>
    <n v="1023941"/>
    <x v="1"/>
    <n v="16.77"/>
    <n v="16.82"/>
    <n v="17.850000000000001"/>
    <x v="4"/>
    <x v="0"/>
    <x v="1"/>
    <x v="1"/>
  </r>
  <r>
    <n v="1023966"/>
    <x v="1"/>
    <n v="12.81"/>
    <n v="12.86"/>
    <n v="52.85"/>
    <x v="3"/>
    <x v="0"/>
    <x v="1"/>
    <x v="1"/>
  </r>
  <r>
    <n v="1023975"/>
    <x v="1"/>
    <n v="16.77"/>
    <n v="16.82"/>
    <n v="62.9"/>
    <x v="4"/>
    <x v="0"/>
    <x v="1"/>
    <x v="1"/>
  </r>
  <r>
    <n v="1023976"/>
    <x v="1"/>
    <n v="15.44"/>
    <n v="15.49"/>
    <n v="29.9"/>
    <x v="6"/>
    <x v="0"/>
    <x v="1"/>
    <x v="1"/>
  </r>
  <r>
    <n v="1023987"/>
    <x v="1"/>
    <n v="9.6999999999999993"/>
    <n v="9.75"/>
    <n v="36.75"/>
    <x v="0"/>
    <x v="0"/>
    <x v="1"/>
    <x v="1"/>
  </r>
  <r>
    <n v="1023992"/>
    <x v="1"/>
    <n v="16.46"/>
    <n v="16.510000000000002"/>
    <n v="69.95"/>
    <x v="4"/>
    <x v="0"/>
    <x v="1"/>
    <x v="1"/>
  </r>
  <r>
    <n v="1023998"/>
    <x v="1"/>
    <n v="13.7"/>
    <n v="13.75"/>
    <n v="49.9"/>
    <x v="3"/>
    <x v="0"/>
    <x v="1"/>
    <x v="1"/>
  </r>
  <r>
    <n v="1024002"/>
    <x v="1"/>
    <n v="17.7"/>
    <n v="17.75"/>
    <n v="14.95"/>
    <x v="9"/>
    <x v="0"/>
    <x v="1"/>
    <x v="1"/>
  </r>
  <r>
    <n v="1024007"/>
    <x v="1"/>
    <n v="12.81"/>
    <n v="12.86"/>
    <n v="36.25"/>
    <x v="3"/>
    <x v="0"/>
    <x v="1"/>
    <x v="1"/>
  </r>
  <r>
    <n v="1024013"/>
    <x v="1"/>
    <n v="14.24"/>
    <n v="16.12"/>
    <n v="241.75"/>
    <x v="7"/>
    <x v="0"/>
    <x v="1"/>
    <x v="1"/>
  </r>
  <r>
    <n v="1024018"/>
    <x v="1"/>
    <n v="12.81"/>
    <n v="12.86"/>
    <n v="37.85"/>
    <x v="3"/>
    <x v="0"/>
    <x v="1"/>
    <x v="1"/>
  </r>
  <r>
    <n v="1024025"/>
    <x v="1"/>
    <n v="12.81"/>
    <n v="12.86"/>
    <n v="1.95"/>
    <x v="3"/>
    <x v="0"/>
    <x v="1"/>
    <x v="1"/>
  </r>
  <r>
    <n v="1024030"/>
    <x v="1"/>
    <n v="9.6999999999999993"/>
    <n v="9.75"/>
    <n v="7.9"/>
    <x v="0"/>
    <x v="0"/>
    <x v="1"/>
    <x v="1"/>
  </r>
  <r>
    <n v="1024036"/>
    <x v="1"/>
    <n v="12.81"/>
    <n v="12.86"/>
    <n v="37.5"/>
    <x v="3"/>
    <x v="0"/>
    <x v="1"/>
    <x v="1"/>
  </r>
  <r>
    <n v="1024038"/>
    <x v="1"/>
    <n v="13.71"/>
    <n v="13.75"/>
    <n v="88.35"/>
    <x v="3"/>
    <x v="0"/>
    <x v="1"/>
    <x v="1"/>
  </r>
  <r>
    <n v="1024044"/>
    <x v="1"/>
    <n v="12.81"/>
    <n v="12.86"/>
    <n v="17.5"/>
    <x v="3"/>
    <x v="0"/>
    <x v="1"/>
    <x v="1"/>
  </r>
  <r>
    <n v="1024045"/>
    <x v="1"/>
    <n v="17.7"/>
    <n v="17.75"/>
    <n v="99.8"/>
    <x v="9"/>
    <x v="0"/>
    <x v="1"/>
    <x v="1"/>
  </r>
  <r>
    <n v="1024068"/>
    <x v="1"/>
    <n v="13.74"/>
    <n v="0"/>
    <n v="240.9"/>
    <x v="3"/>
    <x v="1"/>
    <x v="2"/>
    <x v="1"/>
  </r>
  <r>
    <n v="1024070"/>
    <x v="1"/>
    <n v="12.81"/>
    <n v="12.86"/>
    <n v="36.450000000000003"/>
    <x v="3"/>
    <x v="0"/>
    <x v="1"/>
    <x v="1"/>
  </r>
  <r>
    <n v="1024078"/>
    <x v="1"/>
    <n v="12.81"/>
    <n v="12.86"/>
    <n v="12.9"/>
    <x v="3"/>
    <x v="0"/>
    <x v="1"/>
    <x v="1"/>
  </r>
  <r>
    <n v="1024084"/>
    <x v="1"/>
    <n v="13.71"/>
    <n v="13.76"/>
    <n v="47.95"/>
    <x v="3"/>
    <x v="0"/>
    <x v="1"/>
    <x v="1"/>
  </r>
  <r>
    <n v="1024085"/>
    <x v="1"/>
    <n v="13.7"/>
    <n v="13.76"/>
    <n v="95.75"/>
    <x v="3"/>
    <x v="0"/>
    <x v="1"/>
    <x v="1"/>
  </r>
  <r>
    <n v="1024129"/>
    <x v="1"/>
    <n v="12.81"/>
    <n v="0"/>
    <n v="342.7"/>
    <x v="3"/>
    <x v="1"/>
    <x v="2"/>
    <x v="1"/>
  </r>
  <r>
    <n v="1024158"/>
    <x v="1"/>
    <n v="13.7"/>
    <n v="13.75"/>
    <n v="20"/>
    <x v="3"/>
    <x v="0"/>
    <x v="1"/>
    <x v="1"/>
  </r>
  <r>
    <n v="1024161"/>
    <x v="1"/>
    <n v="16.46"/>
    <n v="16.510000000000002"/>
    <n v="27.9"/>
    <x v="4"/>
    <x v="0"/>
    <x v="1"/>
    <x v="1"/>
  </r>
  <r>
    <n v="1024172"/>
    <x v="1"/>
    <n v="16.46"/>
    <n v="16.510000000000002"/>
    <n v="47.94"/>
    <x v="4"/>
    <x v="0"/>
    <x v="1"/>
    <x v="1"/>
  </r>
  <r>
    <n v="1024176"/>
    <x v="1"/>
    <n v="16.46"/>
    <n v="16.510000000000002"/>
    <n v="40.9"/>
    <x v="4"/>
    <x v="0"/>
    <x v="1"/>
    <x v="1"/>
  </r>
  <r>
    <n v="1024195"/>
    <x v="1"/>
    <n v="13.7"/>
    <n v="0"/>
    <n v="245.05"/>
    <x v="3"/>
    <x v="1"/>
    <x v="2"/>
    <x v="1"/>
  </r>
  <r>
    <n v="1024224"/>
    <x v="1"/>
    <n v="13.7"/>
    <n v="13.75"/>
    <n v="20"/>
    <x v="3"/>
    <x v="0"/>
    <x v="1"/>
    <x v="1"/>
  </r>
  <r>
    <n v="1024258"/>
    <x v="1"/>
    <n v="15.44"/>
    <n v="15.49"/>
    <n v="5.95"/>
    <x v="6"/>
    <x v="0"/>
    <x v="1"/>
    <x v="1"/>
  </r>
  <r>
    <n v="1024278"/>
    <x v="1"/>
    <n v="15.13"/>
    <n v="15.18"/>
    <n v="25.95"/>
    <x v="6"/>
    <x v="0"/>
    <x v="1"/>
    <x v="1"/>
  </r>
  <r>
    <n v="1024280"/>
    <x v="1"/>
    <n v="27.44"/>
    <n v="27.49"/>
    <n v="246.75"/>
    <x v="9"/>
    <x v="0"/>
    <x v="1"/>
    <x v="1"/>
  </r>
  <r>
    <n v="1024317"/>
    <x v="1"/>
    <n v="32.130000000000003"/>
    <n v="32.19"/>
    <n v="222.25"/>
    <x v="4"/>
    <x v="0"/>
    <x v="1"/>
    <x v="1"/>
  </r>
  <r>
    <n v="1024325"/>
    <x v="1"/>
    <n v="9.6999999999999993"/>
    <n v="0"/>
    <n v="359.6"/>
    <x v="0"/>
    <x v="1"/>
    <x v="2"/>
    <x v="1"/>
  </r>
  <r>
    <n v="1024330"/>
    <x v="1"/>
    <n v="12.81"/>
    <n v="12.86"/>
    <n v="35"/>
    <x v="3"/>
    <x v="0"/>
    <x v="1"/>
    <x v="1"/>
  </r>
  <r>
    <n v="1024335"/>
    <x v="1"/>
    <n v="17.7"/>
    <n v="17.75"/>
    <n v="9.9499999999999993"/>
    <x v="9"/>
    <x v="0"/>
    <x v="1"/>
    <x v="1"/>
  </r>
  <r>
    <n v="1024346"/>
    <x v="1"/>
    <n v="27.11"/>
    <n v="27.16"/>
    <n v="266.7"/>
    <x v="9"/>
    <x v="0"/>
    <x v="1"/>
    <x v="1"/>
  </r>
  <r>
    <n v="1024365"/>
    <x v="1"/>
    <n v="13.71"/>
    <n v="13.76"/>
    <n v="19.95"/>
    <x v="3"/>
    <x v="0"/>
    <x v="1"/>
    <x v="1"/>
  </r>
  <r>
    <n v="1024381"/>
    <x v="1"/>
    <n v="12.81"/>
    <n v="12.86"/>
    <n v="100.25"/>
    <x v="3"/>
    <x v="0"/>
    <x v="1"/>
    <x v="1"/>
  </r>
  <r>
    <n v="1024390"/>
    <x v="1"/>
    <n v="16.77"/>
    <n v="18.41"/>
    <n v="159.80000000000001"/>
    <x v="4"/>
    <x v="0"/>
    <x v="1"/>
    <x v="1"/>
  </r>
  <r>
    <n v="1024402"/>
    <x v="1"/>
    <n v="13.7"/>
    <n v="0"/>
    <n v="201.1"/>
    <x v="3"/>
    <x v="1"/>
    <x v="2"/>
    <x v="1"/>
  </r>
  <r>
    <n v="1024464"/>
    <x v="1"/>
    <n v="12.81"/>
    <n v="12.86"/>
    <n v="53.85"/>
    <x v="3"/>
    <x v="0"/>
    <x v="1"/>
    <x v="1"/>
  </r>
  <r>
    <n v="1024465"/>
    <x v="1"/>
    <n v="13.7"/>
    <n v="13.75"/>
    <n v="47.9"/>
    <x v="3"/>
    <x v="0"/>
    <x v="1"/>
    <x v="1"/>
  </r>
  <r>
    <n v="1024469"/>
    <x v="1"/>
    <n v="10.61"/>
    <n v="0"/>
    <n v="359.6"/>
    <x v="0"/>
    <x v="1"/>
    <x v="2"/>
    <x v="1"/>
  </r>
  <r>
    <n v="1024474"/>
    <x v="1"/>
    <n v="12.81"/>
    <n v="12.86"/>
    <n v="63.05"/>
    <x v="3"/>
    <x v="0"/>
    <x v="1"/>
    <x v="1"/>
  </r>
  <r>
    <n v="1024513"/>
    <x v="1"/>
    <n v="9.7100000000000009"/>
    <n v="13.75"/>
    <n v="29.95"/>
    <x v="0"/>
    <x v="0"/>
    <x v="1"/>
    <x v="1"/>
  </r>
  <r>
    <n v="1024518"/>
    <x v="1"/>
    <n v="9.6999999999999993"/>
    <n v="0"/>
    <n v="216.4"/>
    <x v="0"/>
    <x v="1"/>
    <x v="2"/>
    <x v="1"/>
  </r>
  <r>
    <n v="1024522"/>
    <x v="1"/>
    <n v="13.71"/>
    <n v="13.75"/>
    <n v="34.549999999999997"/>
    <x v="3"/>
    <x v="0"/>
    <x v="1"/>
    <x v="1"/>
  </r>
  <r>
    <n v="1024524"/>
    <x v="1"/>
    <n v="9.7100000000000009"/>
    <n v="9.76"/>
    <n v="112.02"/>
    <x v="0"/>
    <x v="0"/>
    <x v="1"/>
    <x v="1"/>
  </r>
  <r>
    <n v="1024539"/>
    <x v="1"/>
    <n v="12.81"/>
    <n v="12.86"/>
    <n v="13.9"/>
    <x v="3"/>
    <x v="0"/>
    <x v="1"/>
    <x v="1"/>
  </r>
  <r>
    <n v="1024550"/>
    <x v="1"/>
    <n v="9.6999999999999993"/>
    <n v="9.75"/>
    <n v="18.7"/>
    <x v="0"/>
    <x v="0"/>
    <x v="1"/>
    <x v="1"/>
  </r>
  <r>
    <n v="1024579"/>
    <x v="1"/>
    <n v="15.13"/>
    <n v="15.18"/>
    <n v="31.8"/>
    <x v="6"/>
    <x v="0"/>
    <x v="1"/>
    <x v="1"/>
  </r>
  <r>
    <n v="1024592"/>
    <x v="1"/>
    <n v="23.02"/>
    <n v="29.05"/>
    <n v="214.25"/>
    <x v="10"/>
    <x v="0"/>
    <x v="1"/>
    <x v="1"/>
  </r>
  <r>
    <n v="1024593"/>
    <x v="1"/>
    <n v="17.77"/>
    <n v="19.010000000000002"/>
    <n v="121.8"/>
    <x v="6"/>
    <x v="0"/>
    <x v="1"/>
    <x v="1"/>
  </r>
  <r>
    <n v="1024600"/>
    <x v="1"/>
    <n v="12.81"/>
    <n v="12.86"/>
    <n v="47.2"/>
    <x v="3"/>
    <x v="0"/>
    <x v="1"/>
    <x v="1"/>
  </r>
  <r>
    <n v="1024606"/>
    <x v="1"/>
    <n v="9.6999999999999993"/>
    <n v="9.75"/>
    <n v="21.9"/>
    <x v="0"/>
    <x v="0"/>
    <x v="1"/>
    <x v="1"/>
  </r>
  <r>
    <n v="1024609"/>
    <x v="1"/>
    <n v="23.64"/>
    <n v="23.69"/>
    <n v="29.95"/>
    <x v="9"/>
    <x v="0"/>
    <x v="1"/>
    <x v="1"/>
  </r>
  <r>
    <n v="1024610"/>
    <x v="1"/>
    <n v="13.7"/>
    <n v="13.75"/>
    <n v="37.450000000000003"/>
    <x v="3"/>
    <x v="0"/>
    <x v="1"/>
    <x v="1"/>
  </r>
  <r>
    <n v="1024635"/>
    <x v="1"/>
    <n v="16.46"/>
    <n v="16.510000000000002"/>
    <n v="59.25"/>
    <x v="4"/>
    <x v="0"/>
    <x v="1"/>
    <x v="1"/>
  </r>
  <r>
    <n v="1024669"/>
    <x v="1"/>
    <n v="12.81"/>
    <n v="12.86"/>
    <n v="39.950000000000003"/>
    <x v="3"/>
    <x v="0"/>
    <x v="1"/>
    <x v="1"/>
  </r>
  <r>
    <n v="1024706"/>
    <x v="1"/>
    <n v="12.55"/>
    <n v="0"/>
    <n v="856.11"/>
    <x v="0"/>
    <x v="1"/>
    <x v="2"/>
    <x v="1"/>
  </r>
  <r>
    <n v="1024707"/>
    <x v="1"/>
    <n v="16.71"/>
    <n v="16.760000000000002"/>
    <n v="231.3"/>
    <x v="6"/>
    <x v="0"/>
    <x v="1"/>
    <x v="1"/>
  </r>
  <r>
    <n v="1024716"/>
    <x v="1"/>
    <n v="16.71"/>
    <n v="16.760000000000002"/>
    <n v="99.75"/>
    <x v="6"/>
    <x v="0"/>
    <x v="1"/>
    <x v="1"/>
  </r>
  <r>
    <n v="1024718"/>
    <x v="1"/>
    <n v="15.45"/>
    <n v="16.5"/>
    <n v="356.45"/>
    <x v="6"/>
    <x v="0"/>
    <x v="1"/>
    <x v="1"/>
  </r>
  <r>
    <n v="1024722"/>
    <x v="1"/>
    <n v="16.23"/>
    <n v="0"/>
    <n v="593.54999999999995"/>
    <x v="0"/>
    <x v="1"/>
    <x v="2"/>
    <x v="1"/>
  </r>
  <r>
    <n v="1024743"/>
    <x v="1"/>
    <n v="12.81"/>
    <n v="12.86"/>
    <n v="36.4"/>
    <x v="3"/>
    <x v="0"/>
    <x v="1"/>
    <x v="1"/>
  </r>
  <r>
    <n v="1024745"/>
    <x v="1"/>
    <n v="12.81"/>
    <n v="12.86"/>
    <n v="84.1"/>
    <x v="3"/>
    <x v="0"/>
    <x v="1"/>
    <x v="1"/>
  </r>
  <r>
    <n v="1024766"/>
    <x v="1"/>
    <n v="12.81"/>
    <n v="12.86"/>
    <n v="71.55"/>
    <x v="3"/>
    <x v="0"/>
    <x v="1"/>
    <x v="1"/>
  </r>
  <r>
    <n v="1024790"/>
    <x v="1"/>
    <n v="12.81"/>
    <n v="13.31"/>
    <n v="47.25"/>
    <x v="3"/>
    <x v="0"/>
    <x v="1"/>
    <x v="1"/>
  </r>
  <r>
    <n v="1024799"/>
    <x v="1"/>
    <n v="16.46"/>
    <n v="16.510000000000002"/>
    <n v="89.95"/>
    <x v="4"/>
    <x v="0"/>
    <x v="1"/>
    <x v="1"/>
  </r>
  <r>
    <n v="1024812"/>
    <x v="1"/>
    <n v="16.46"/>
    <n v="16.510000000000002"/>
    <n v="229.5"/>
    <x v="4"/>
    <x v="0"/>
    <x v="1"/>
    <x v="1"/>
  </r>
  <r>
    <n v="1024813"/>
    <x v="1"/>
    <n v="60.67"/>
    <n v="60.72"/>
    <n v="296.39999999999998"/>
    <x v="5"/>
    <x v="0"/>
    <x v="1"/>
    <x v="1"/>
  </r>
  <r>
    <n v="1024829"/>
    <x v="1"/>
    <n v="16.77"/>
    <n v="16.82"/>
    <n v="35.700000000000003"/>
    <x v="4"/>
    <x v="0"/>
    <x v="1"/>
    <x v="1"/>
  </r>
  <r>
    <n v="1024858"/>
    <x v="1"/>
    <n v="15.44"/>
    <n v="15.49"/>
    <n v="29.3"/>
    <x v="6"/>
    <x v="0"/>
    <x v="1"/>
    <x v="1"/>
  </r>
  <r>
    <n v="1024873"/>
    <x v="1"/>
    <n v="16.77"/>
    <n v="16.82"/>
    <n v="34.950000000000003"/>
    <x v="4"/>
    <x v="0"/>
    <x v="1"/>
    <x v="1"/>
  </r>
  <r>
    <n v="1024876"/>
    <x v="1"/>
    <n v="18.350000000000001"/>
    <n v="19.41"/>
    <n v="119.65"/>
    <x v="6"/>
    <x v="0"/>
    <x v="1"/>
    <x v="1"/>
  </r>
  <r>
    <n v="1024892"/>
    <x v="1"/>
    <n v="13.7"/>
    <n v="13.75"/>
    <n v="13.6"/>
    <x v="3"/>
    <x v="0"/>
    <x v="1"/>
    <x v="1"/>
  </r>
  <r>
    <n v="1024914"/>
    <x v="1"/>
    <n v="9.6999999999999993"/>
    <n v="9.75"/>
    <n v="69.45"/>
    <x v="0"/>
    <x v="0"/>
    <x v="1"/>
    <x v="1"/>
  </r>
  <r>
    <n v="1024919"/>
    <x v="1"/>
    <n v="15.13"/>
    <n v="15.18"/>
    <n v="136.6"/>
    <x v="6"/>
    <x v="0"/>
    <x v="1"/>
    <x v="1"/>
  </r>
  <r>
    <n v="1024921"/>
    <x v="1"/>
    <n v="13.26"/>
    <n v="13.82"/>
    <n v="150.35"/>
    <x v="3"/>
    <x v="0"/>
    <x v="1"/>
    <x v="1"/>
  </r>
  <r>
    <n v="1024929"/>
    <x v="1"/>
    <n v="12.81"/>
    <n v="13.26"/>
    <n v="92.95"/>
    <x v="3"/>
    <x v="0"/>
    <x v="1"/>
    <x v="1"/>
  </r>
  <r>
    <n v="1024932"/>
    <x v="1"/>
    <n v="16.77"/>
    <n v="16.82"/>
    <n v="7.95"/>
    <x v="4"/>
    <x v="0"/>
    <x v="1"/>
    <x v="1"/>
  </r>
  <r>
    <n v="1024935"/>
    <x v="1"/>
    <n v="12.81"/>
    <n v="12.86"/>
    <n v="33.6"/>
    <x v="3"/>
    <x v="0"/>
    <x v="1"/>
    <x v="1"/>
  </r>
  <r>
    <n v="1024968"/>
    <x v="1"/>
    <n v="13.7"/>
    <n v="13.75"/>
    <n v="27.7"/>
    <x v="3"/>
    <x v="0"/>
    <x v="1"/>
    <x v="1"/>
  </r>
  <r>
    <n v="1025004"/>
    <x v="1"/>
    <n v="12.81"/>
    <n v="12.86"/>
    <n v="47.95"/>
    <x v="3"/>
    <x v="0"/>
    <x v="1"/>
    <x v="1"/>
  </r>
  <r>
    <n v="1025011"/>
    <x v="1"/>
    <n v="12.81"/>
    <n v="0"/>
    <n v="222.75"/>
    <x v="3"/>
    <x v="1"/>
    <x v="2"/>
    <x v="1"/>
  </r>
  <r>
    <n v="1025063"/>
    <x v="1"/>
    <n v="29.06"/>
    <n v="29.12"/>
    <n v="192.7"/>
    <x v="9"/>
    <x v="0"/>
    <x v="1"/>
    <x v="1"/>
  </r>
  <r>
    <n v="1025072"/>
    <x v="1"/>
    <n v="12.81"/>
    <n v="12.86"/>
    <n v="28.9"/>
    <x v="3"/>
    <x v="0"/>
    <x v="1"/>
    <x v="1"/>
  </r>
  <r>
    <n v="1025075"/>
    <x v="1"/>
    <n v="16.77"/>
    <n v="16.82"/>
    <n v="22.9"/>
    <x v="4"/>
    <x v="0"/>
    <x v="1"/>
    <x v="1"/>
  </r>
  <r>
    <n v="1025111"/>
    <x v="1"/>
    <n v="22.46"/>
    <n v="22.51"/>
    <n v="69.900000000000006"/>
    <x v="10"/>
    <x v="0"/>
    <x v="1"/>
    <x v="1"/>
  </r>
  <r>
    <n v="1025121"/>
    <x v="1"/>
    <n v="12.81"/>
    <n v="12.86"/>
    <n v="19.899999999999999"/>
    <x v="3"/>
    <x v="0"/>
    <x v="1"/>
    <x v="1"/>
  </r>
  <r>
    <n v="1025135"/>
    <x v="1"/>
    <n v="12.81"/>
    <n v="12.86"/>
    <n v="64.95"/>
    <x v="3"/>
    <x v="0"/>
    <x v="1"/>
    <x v="1"/>
  </r>
  <r>
    <n v="1025141"/>
    <x v="1"/>
    <n v="12.55"/>
    <n v="0"/>
    <n v="3300"/>
    <x v="0"/>
    <x v="1"/>
    <x v="2"/>
    <x v="1"/>
  </r>
  <r>
    <n v="1025169"/>
    <x v="1"/>
    <n v="9.6999999999999993"/>
    <n v="0"/>
    <n v="247.9"/>
    <x v="0"/>
    <x v="1"/>
    <x v="2"/>
    <x v="1"/>
  </r>
  <r>
    <n v="1025178"/>
    <x v="1"/>
    <n v="13.7"/>
    <n v="13.75"/>
    <n v="74.8"/>
    <x v="3"/>
    <x v="0"/>
    <x v="1"/>
    <x v="1"/>
  </r>
  <r>
    <n v="1025180"/>
    <x v="1"/>
    <n v="13.26"/>
    <n v="13.31"/>
    <n v="124.25"/>
    <x v="3"/>
    <x v="0"/>
    <x v="1"/>
    <x v="1"/>
  </r>
  <r>
    <n v="1025181"/>
    <x v="1"/>
    <n v="9.6999999999999993"/>
    <n v="0"/>
    <n v="413.05"/>
    <x v="0"/>
    <x v="1"/>
    <x v="2"/>
    <x v="1"/>
  </r>
  <r>
    <n v="1025191"/>
    <x v="1"/>
    <n v="12.81"/>
    <n v="12.86"/>
    <n v="64.95"/>
    <x v="3"/>
    <x v="0"/>
    <x v="1"/>
    <x v="1"/>
  </r>
  <r>
    <n v="1025210"/>
    <x v="1"/>
    <n v="13.7"/>
    <n v="13.75"/>
    <n v="42.5"/>
    <x v="3"/>
    <x v="0"/>
    <x v="1"/>
    <x v="1"/>
  </r>
  <r>
    <n v="1025222"/>
    <x v="1"/>
    <n v="12.81"/>
    <n v="12.86"/>
    <n v="79.849999999999994"/>
    <x v="3"/>
    <x v="0"/>
    <x v="1"/>
    <x v="1"/>
  </r>
  <r>
    <n v="1025225"/>
    <x v="1"/>
    <n v="13.83"/>
    <n v="14.28"/>
    <n v="159.94999999999999"/>
    <x v="3"/>
    <x v="0"/>
    <x v="1"/>
    <x v="1"/>
  </r>
  <r>
    <n v="1025242"/>
    <x v="1"/>
    <n v="12.81"/>
    <n v="0"/>
    <n v="206.9"/>
    <x v="3"/>
    <x v="1"/>
    <x v="2"/>
    <x v="1"/>
  </r>
  <r>
    <n v="1025244"/>
    <x v="1"/>
    <n v="12.55"/>
    <n v="0"/>
    <n v="2059.59"/>
    <x v="0"/>
    <x v="1"/>
    <x v="2"/>
    <x v="1"/>
  </r>
  <r>
    <n v="1025258"/>
    <x v="1"/>
    <n v="13.7"/>
    <n v="13.75"/>
    <n v="44.95"/>
    <x v="3"/>
    <x v="0"/>
    <x v="1"/>
    <x v="1"/>
  </r>
  <r>
    <n v="1025270"/>
    <x v="1"/>
    <n v="13.7"/>
    <n v="13.99"/>
    <n v="99.95"/>
    <x v="3"/>
    <x v="0"/>
    <x v="1"/>
    <x v="1"/>
  </r>
  <r>
    <n v="1025276"/>
    <x v="1"/>
    <n v="13.7"/>
    <n v="13.75"/>
    <n v="40.9"/>
    <x v="3"/>
    <x v="0"/>
    <x v="1"/>
    <x v="1"/>
  </r>
  <r>
    <n v="1025291"/>
    <x v="1"/>
    <n v="11.02"/>
    <n v="15.49"/>
    <n v="49.95"/>
    <x v="8"/>
    <x v="0"/>
    <x v="1"/>
    <x v="1"/>
  </r>
  <r>
    <n v="1025316"/>
    <x v="1"/>
    <n v="10.7"/>
    <n v="0"/>
    <n v="468"/>
    <x v="0"/>
    <x v="1"/>
    <x v="2"/>
    <x v="1"/>
  </r>
  <r>
    <n v="1025385"/>
    <x v="1"/>
    <n v="9.6999999999999993"/>
    <n v="9.75"/>
    <n v="14.9"/>
    <x v="0"/>
    <x v="0"/>
    <x v="1"/>
    <x v="1"/>
  </r>
  <r>
    <n v="1025416"/>
    <x v="1"/>
    <n v="12.35"/>
    <n v="12.4"/>
    <n v="26.4"/>
    <x v="7"/>
    <x v="0"/>
    <x v="1"/>
    <x v="1"/>
  </r>
  <r>
    <n v="1025442"/>
    <x v="1"/>
    <n v="9.7100000000000009"/>
    <n v="9.76"/>
    <n v="9.9499999999999993"/>
    <x v="0"/>
    <x v="0"/>
    <x v="1"/>
    <x v="1"/>
  </r>
  <r>
    <n v="1025461"/>
    <x v="1"/>
    <n v="16.77"/>
    <n v="18.41"/>
    <n v="162.69999999999999"/>
    <x v="4"/>
    <x v="0"/>
    <x v="1"/>
    <x v="1"/>
  </r>
  <r>
    <n v="1025462"/>
    <x v="1"/>
    <n v="15.44"/>
    <n v="15.49"/>
    <n v="43.9"/>
    <x v="6"/>
    <x v="0"/>
    <x v="1"/>
    <x v="1"/>
  </r>
  <r>
    <n v="1025488"/>
    <x v="1"/>
    <n v="12.81"/>
    <n v="10"/>
    <n v="79.95"/>
    <x v="3"/>
    <x v="0"/>
    <x v="0"/>
    <x v="32"/>
  </r>
  <r>
    <n v="1025496"/>
    <x v="1"/>
    <n v="11.02"/>
    <n v="11.07"/>
    <n v="85"/>
    <x v="8"/>
    <x v="0"/>
    <x v="1"/>
    <x v="1"/>
  </r>
  <r>
    <n v="1025528"/>
    <x v="1"/>
    <n v="15.45"/>
    <n v="18.98"/>
    <n v="114.95"/>
    <x v="6"/>
    <x v="0"/>
    <x v="1"/>
    <x v="1"/>
  </r>
  <r>
    <n v="1025529"/>
    <x v="1"/>
    <n v="12.35"/>
    <n v="12.4"/>
    <n v="64.95"/>
    <x v="7"/>
    <x v="0"/>
    <x v="1"/>
    <x v="1"/>
  </r>
  <r>
    <n v="1025532"/>
    <x v="1"/>
    <n v="9.6999999999999993"/>
    <n v="0"/>
    <n v="251.6"/>
    <x v="0"/>
    <x v="1"/>
    <x v="2"/>
    <x v="1"/>
  </r>
  <r>
    <n v="1025539"/>
    <x v="1"/>
    <n v="13.7"/>
    <n v="13.75"/>
    <n v="74.900000000000006"/>
    <x v="3"/>
    <x v="0"/>
    <x v="1"/>
    <x v="1"/>
  </r>
  <r>
    <n v="1025540"/>
    <x v="1"/>
    <n v="12.81"/>
    <n v="12.86"/>
    <n v="68.849999999999994"/>
    <x v="3"/>
    <x v="0"/>
    <x v="1"/>
    <x v="1"/>
  </r>
  <r>
    <n v="1025545"/>
    <x v="1"/>
    <n v="9.6999999999999993"/>
    <n v="9.75"/>
    <n v="177.95"/>
    <x v="0"/>
    <x v="0"/>
    <x v="1"/>
    <x v="1"/>
  </r>
  <r>
    <n v="1025556"/>
    <x v="1"/>
    <n v="12.55"/>
    <n v="0"/>
    <n v="717.21"/>
    <x v="0"/>
    <x v="1"/>
    <x v="2"/>
    <x v="1"/>
  </r>
  <r>
    <n v="1025557"/>
    <x v="1"/>
    <n v="12.55"/>
    <n v="0"/>
    <n v="997.43"/>
    <x v="0"/>
    <x v="1"/>
    <x v="2"/>
    <x v="1"/>
  </r>
  <r>
    <n v="1025559"/>
    <x v="1"/>
    <n v="13.71"/>
    <n v="13.76"/>
    <n v="119.95"/>
    <x v="3"/>
    <x v="0"/>
    <x v="1"/>
    <x v="1"/>
  </r>
  <r>
    <n v="1025573"/>
    <x v="1"/>
    <n v="9.6999999999999993"/>
    <n v="9.75"/>
    <n v="136.75"/>
    <x v="0"/>
    <x v="0"/>
    <x v="1"/>
    <x v="1"/>
  </r>
  <r>
    <n v="1025586"/>
    <x v="1"/>
    <n v="9.6999999999999993"/>
    <n v="9.75"/>
    <n v="149.69999999999999"/>
    <x v="0"/>
    <x v="0"/>
    <x v="1"/>
    <x v="1"/>
  </r>
  <r>
    <n v="1025594"/>
    <x v="1"/>
    <n v="15.13"/>
    <n v="15.18"/>
    <n v="81.900000000000006"/>
    <x v="6"/>
    <x v="0"/>
    <x v="1"/>
    <x v="1"/>
  </r>
  <r>
    <n v="1025606"/>
    <x v="1"/>
    <n v="12.81"/>
    <n v="12.86"/>
    <n v="12.85"/>
    <x v="3"/>
    <x v="0"/>
    <x v="1"/>
    <x v="1"/>
  </r>
  <r>
    <n v="1025612"/>
    <x v="1"/>
    <n v="9.6999999999999993"/>
    <n v="9.75"/>
    <n v="107.6"/>
    <x v="0"/>
    <x v="0"/>
    <x v="1"/>
    <x v="1"/>
  </r>
  <r>
    <n v="1025630"/>
    <x v="1"/>
    <n v="12.81"/>
    <n v="12.86"/>
    <n v="142.65"/>
    <x v="3"/>
    <x v="0"/>
    <x v="1"/>
    <x v="1"/>
  </r>
  <r>
    <n v="1025636"/>
    <x v="1"/>
    <n v="12.55"/>
    <n v="0"/>
    <n v="688.77"/>
    <x v="0"/>
    <x v="1"/>
    <x v="2"/>
    <x v="1"/>
  </r>
  <r>
    <n v="1025643"/>
    <x v="1"/>
    <n v="12.81"/>
    <n v="12.86"/>
    <n v="22.5"/>
    <x v="3"/>
    <x v="0"/>
    <x v="1"/>
    <x v="1"/>
  </r>
  <r>
    <n v="1025656"/>
    <x v="1"/>
    <n v="9.6999999999999993"/>
    <n v="9.75"/>
    <n v="119.9"/>
    <x v="0"/>
    <x v="0"/>
    <x v="1"/>
    <x v="1"/>
  </r>
  <r>
    <n v="1025676"/>
    <x v="1"/>
    <n v="13.7"/>
    <n v="13.75"/>
    <n v="138.19999999999999"/>
    <x v="3"/>
    <x v="0"/>
    <x v="1"/>
    <x v="1"/>
  </r>
  <r>
    <n v="1025680"/>
    <x v="1"/>
    <n v="72"/>
    <n v="89.75"/>
    <n v="160"/>
    <x v="5"/>
    <x v="0"/>
    <x v="1"/>
    <x v="1"/>
  </r>
  <r>
    <n v="1025694"/>
    <x v="1"/>
    <n v="16.87"/>
    <n v="18.77"/>
    <n v="137.5"/>
    <x v="4"/>
    <x v="0"/>
    <x v="1"/>
    <x v="1"/>
  </r>
  <r>
    <n v="1025708"/>
    <x v="1"/>
    <n v="16.87"/>
    <n v="16.920000000000002"/>
    <n v="11.4"/>
    <x v="4"/>
    <x v="0"/>
    <x v="1"/>
    <x v="1"/>
  </r>
  <r>
    <n v="1025714"/>
    <x v="1"/>
    <n v="12.35"/>
    <n v="12.4"/>
    <n v="44.85"/>
    <x v="7"/>
    <x v="0"/>
    <x v="1"/>
    <x v="1"/>
  </r>
  <r>
    <n v="1025728"/>
    <x v="1"/>
    <n v="13.7"/>
    <n v="13.75"/>
    <n v="131.55000000000001"/>
    <x v="3"/>
    <x v="0"/>
    <x v="1"/>
    <x v="1"/>
  </r>
  <r>
    <n v="1025772"/>
    <x v="1"/>
    <n v="13.7"/>
    <n v="13.75"/>
    <n v="97.8"/>
    <x v="3"/>
    <x v="0"/>
    <x v="1"/>
    <x v="1"/>
  </r>
  <r>
    <n v="1025781"/>
    <x v="1"/>
    <n v="12.81"/>
    <n v="12.86"/>
    <n v="21.6"/>
    <x v="3"/>
    <x v="0"/>
    <x v="1"/>
    <x v="1"/>
  </r>
  <r>
    <n v="1025805"/>
    <x v="1"/>
    <n v="16.77"/>
    <n v="16.82"/>
    <n v="217.3"/>
    <x v="4"/>
    <x v="0"/>
    <x v="1"/>
    <x v="1"/>
  </r>
  <r>
    <n v="1025809"/>
    <x v="1"/>
    <n v="13.7"/>
    <n v="13.76"/>
    <n v="155.69999999999999"/>
    <x v="3"/>
    <x v="0"/>
    <x v="1"/>
    <x v="1"/>
  </r>
  <r>
    <n v="1025811"/>
    <x v="1"/>
    <n v="12.81"/>
    <n v="12.86"/>
    <n v="49.95"/>
    <x v="3"/>
    <x v="0"/>
    <x v="1"/>
    <x v="1"/>
  </r>
  <r>
    <n v="1025819"/>
    <x v="1"/>
    <n v="13.71"/>
    <n v="13.76"/>
    <n v="79.900000000000006"/>
    <x v="3"/>
    <x v="0"/>
    <x v="1"/>
    <x v="1"/>
  </r>
  <r>
    <n v="1025841"/>
    <x v="1"/>
    <n v="9.6999999999999993"/>
    <n v="13.75"/>
    <n v="63"/>
    <x v="0"/>
    <x v="0"/>
    <x v="1"/>
    <x v="1"/>
  </r>
  <r>
    <n v="1025862"/>
    <x v="1"/>
    <n v="18.149999999999999"/>
    <n v="19.97"/>
    <n v="41.8"/>
    <x v="4"/>
    <x v="0"/>
    <x v="1"/>
    <x v="1"/>
  </r>
  <r>
    <n v="1025864"/>
    <x v="1"/>
    <n v="12.81"/>
    <n v="12.86"/>
    <n v="14.95"/>
    <x v="3"/>
    <x v="0"/>
    <x v="1"/>
    <x v="1"/>
  </r>
  <r>
    <n v="1025867"/>
    <x v="1"/>
    <n v="12.81"/>
    <n v="12.86"/>
    <n v="16.850000000000001"/>
    <x v="3"/>
    <x v="0"/>
    <x v="1"/>
    <x v="1"/>
  </r>
  <r>
    <n v="1025870"/>
    <x v="1"/>
    <n v="13.7"/>
    <n v="13.75"/>
    <n v="77.8"/>
    <x v="3"/>
    <x v="0"/>
    <x v="1"/>
    <x v="1"/>
  </r>
  <r>
    <n v="1025874"/>
    <x v="1"/>
    <n v="13.7"/>
    <n v="13.75"/>
    <n v="7.95"/>
    <x v="3"/>
    <x v="0"/>
    <x v="1"/>
    <x v="1"/>
  </r>
  <r>
    <n v="1025875"/>
    <x v="1"/>
    <n v="13.7"/>
    <n v="13.75"/>
    <n v="54.35"/>
    <x v="3"/>
    <x v="0"/>
    <x v="1"/>
    <x v="1"/>
  </r>
  <r>
    <n v="1025876"/>
    <x v="1"/>
    <n v="12.81"/>
    <n v="12.86"/>
    <n v="53.4"/>
    <x v="3"/>
    <x v="0"/>
    <x v="1"/>
    <x v="1"/>
  </r>
  <r>
    <n v="1025891"/>
    <x v="1"/>
    <n v="12.81"/>
    <n v="12.86"/>
    <n v="124.6"/>
    <x v="3"/>
    <x v="0"/>
    <x v="1"/>
    <x v="1"/>
  </r>
  <r>
    <n v="1025897"/>
    <x v="1"/>
    <n v="13.7"/>
    <n v="13.75"/>
    <n v="21.95"/>
    <x v="3"/>
    <x v="0"/>
    <x v="1"/>
    <x v="1"/>
  </r>
  <r>
    <n v="1025905"/>
    <x v="1"/>
    <n v="9.6999999999999993"/>
    <n v="9.75"/>
    <n v="33.9"/>
    <x v="0"/>
    <x v="0"/>
    <x v="1"/>
    <x v="1"/>
  </r>
  <r>
    <n v="1025909"/>
    <x v="1"/>
    <n v="13.7"/>
    <n v="13.75"/>
    <n v="25"/>
    <x v="3"/>
    <x v="0"/>
    <x v="1"/>
    <x v="1"/>
  </r>
  <r>
    <n v="1025915"/>
    <x v="1"/>
    <n v="12.81"/>
    <n v="0"/>
    <n v="207.35"/>
    <x v="3"/>
    <x v="1"/>
    <x v="2"/>
    <x v="1"/>
  </r>
  <r>
    <n v="1025943"/>
    <x v="1"/>
    <n v="16.46"/>
    <n v="12.4"/>
    <n v="39.950000000000003"/>
    <x v="4"/>
    <x v="0"/>
    <x v="0"/>
    <x v="33"/>
  </r>
  <r>
    <n v="1025946"/>
    <x v="1"/>
    <n v="13.71"/>
    <n v="13.76"/>
    <n v="48.2"/>
    <x v="3"/>
    <x v="0"/>
    <x v="1"/>
    <x v="1"/>
  </r>
  <r>
    <n v="1025954"/>
    <x v="1"/>
    <n v="12.81"/>
    <n v="12.86"/>
    <n v="61.8"/>
    <x v="3"/>
    <x v="0"/>
    <x v="1"/>
    <x v="1"/>
  </r>
  <r>
    <n v="1025977"/>
    <x v="1"/>
    <n v="12.81"/>
    <n v="12.86"/>
    <n v="61.8"/>
    <x v="3"/>
    <x v="0"/>
    <x v="1"/>
    <x v="1"/>
  </r>
  <r>
    <n v="1025982"/>
    <x v="1"/>
    <n v="12.81"/>
    <n v="12.86"/>
    <n v="64.25"/>
    <x v="3"/>
    <x v="0"/>
    <x v="1"/>
    <x v="1"/>
  </r>
  <r>
    <n v="1025992"/>
    <x v="1"/>
    <n v="9.7100000000000009"/>
    <n v="9.76"/>
    <n v="4.2"/>
    <x v="0"/>
    <x v="0"/>
    <x v="1"/>
    <x v="1"/>
  </r>
  <r>
    <n v="1025996"/>
    <x v="1"/>
    <n v="12.81"/>
    <n v="12.86"/>
    <n v="51.5"/>
    <x v="3"/>
    <x v="0"/>
    <x v="1"/>
    <x v="1"/>
  </r>
  <r>
    <n v="1025997"/>
    <x v="1"/>
    <n v="9.6999999999999993"/>
    <n v="13.75"/>
    <n v="14.95"/>
    <x v="0"/>
    <x v="0"/>
    <x v="1"/>
    <x v="1"/>
  </r>
  <r>
    <n v="1026001"/>
    <x v="1"/>
    <n v="15.13"/>
    <n v="15.18"/>
    <n v="59.9"/>
    <x v="6"/>
    <x v="0"/>
    <x v="1"/>
    <x v="1"/>
  </r>
  <r>
    <n v="1026003"/>
    <x v="1"/>
    <n v="12.81"/>
    <n v="12.86"/>
    <n v="11.85"/>
    <x v="3"/>
    <x v="0"/>
    <x v="1"/>
    <x v="1"/>
  </r>
  <r>
    <n v="1026004"/>
    <x v="1"/>
    <n v="12.81"/>
    <n v="12.86"/>
    <n v="38"/>
    <x v="3"/>
    <x v="0"/>
    <x v="1"/>
    <x v="1"/>
  </r>
  <r>
    <n v="1026033"/>
    <x v="1"/>
    <n v="18.07"/>
    <n v="16.760000000000002"/>
    <n v="27.35"/>
    <x v="6"/>
    <x v="0"/>
    <x v="0"/>
    <x v="15"/>
  </r>
  <r>
    <n v="1026034"/>
    <x v="1"/>
    <n v="12.81"/>
    <n v="12.86"/>
    <n v="13.45"/>
    <x v="3"/>
    <x v="0"/>
    <x v="1"/>
    <x v="1"/>
  </r>
  <r>
    <n v="1026037"/>
    <x v="1"/>
    <n v="13.7"/>
    <n v="13.75"/>
    <n v="89.8"/>
    <x v="3"/>
    <x v="0"/>
    <x v="1"/>
    <x v="1"/>
  </r>
  <r>
    <n v="1026052"/>
    <x v="1"/>
    <n v="16.14"/>
    <n v="15.19"/>
    <n v="49.05"/>
    <x v="6"/>
    <x v="0"/>
    <x v="0"/>
    <x v="34"/>
  </r>
  <r>
    <n v="1026094"/>
    <x v="1"/>
    <n v="18.46"/>
    <n v="20.3"/>
    <n v="208.8"/>
    <x v="9"/>
    <x v="0"/>
    <x v="1"/>
    <x v="1"/>
  </r>
  <r>
    <n v="1026101"/>
    <x v="1"/>
    <n v="16.77"/>
    <n v="16.82"/>
    <n v="104.9"/>
    <x v="4"/>
    <x v="0"/>
    <x v="1"/>
    <x v="1"/>
  </r>
  <r>
    <n v="1026110"/>
    <x v="1"/>
    <n v="13.7"/>
    <n v="13.75"/>
    <n v="27.95"/>
    <x v="3"/>
    <x v="0"/>
    <x v="1"/>
    <x v="1"/>
  </r>
  <r>
    <n v="1026144"/>
    <x v="1"/>
    <n v="16.77"/>
    <n v="16.82"/>
    <n v="33.700000000000003"/>
    <x v="4"/>
    <x v="0"/>
    <x v="1"/>
    <x v="1"/>
  </r>
  <r>
    <n v="1026145"/>
    <x v="1"/>
    <n v="12.81"/>
    <n v="12.86"/>
    <n v="75.849999999999994"/>
    <x v="3"/>
    <x v="0"/>
    <x v="1"/>
    <x v="1"/>
  </r>
  <r>
    <n v="1026151"/>
    <x v="1"/>
    <n v="12.81"/>
    <n v="12.86"/>
    <n v="56.31"/>
    <x v="3"/>
    <x v="0"/>
    <x v="1"/>
    <x v="1"/>
  </r>
  <r>
    <n v="1026174"/>
    <x v="1"/>
    <n v="9.7100000000000009"/>
    <n v="9.76"/>
    <n v="8"/>
    <x v="0"/>
    <x v="0"/>
    <x v="1"/>
    <x v="1"/>
  </r>
  <r>
    <n v="1026176"/>
    <x v="1"/>
    <n v="13.7"/>
    <n v="13.75"/>
    <n v="4"/>
    <x v="3"/>
    <x v="0"/>
    <x v="1"/>
    <x v="1"/>
  </r>
  <r>
    <n v="1026183"/>
    <x v="1"/>
    <n v="13.7"/>
    <n v="13.75"/>
    <n v="32.85"/>
    <x v="3"/>
    <x v="0"/>
    <x v="1"/>
    <x v="1"/>
  </r>
  <r>
    <n v="1026192"/>
    <x v="1"/>
    <n v="12.81"/>
    <n v="12.86"/>
    <n v="113.25"/>
    <x v="3"/>
    <x v="0"/>
    <x v="1"/>
    <x v="1"/>
  </r>
  <r>
    <n v="1026201"/>
    <x v="1"/>
    <n v="16.46"/>
    <n v="16.510000000000002"/>
    <n v="81.849999999999994"/>
    <x v="4"/>
    <x v="0"/>
    <x v="1"/>
    <x v="1"/>
  </r>
  <r>
    <n v="1026216"/>
    <x v="1"/>
    <n v="18.46"/>
    <n v="18.510000000000002"/>
    <n v="57.7"/>
    <x v="9"/>
    <x v="0"/>
    <x v="1"/>
    <x v="1"/>
  </r>
  <r>
    <n v="1026219"/>
    <x v="1"/>
    <n v="9.6999999999999993"/>
    <n v="9.75"/>
    <n v="14.4"/>
    <x v="0"/>
    <x v="0"/>
    <x v="1"/>
    <x v="1"/>
  </r>
  <r>
    <n v="1026231"/>
    <x v="1"/>
    <n v="12.55"/>
    <n v="0"/>
    <n v="3618.06"/>
    <x v="0"/>
    <x v="1"/>
    <x v="2"/>
    <x v="1"/>
  </r>
  <r>
    <n v="1026276"/>
    <x v="1"/>
    <n v="13.7"/>
    <n v="13.75"/>
    <n v="29.95"/>
    <x v="3"/>
    <x v="0"/>
    <x v="1"/>
    <x v="1"/>
  </r>
  <r>
    <n v="1026287"/>
    <x v="1"/>
    <n v="13.7"/>
    <n v="13.75"/>
    <n v="57.6"/>
    <x v="3"/>
    <x v="0"/>
    <x v="1"/>
    <x v="1"/>
  </r>
  <r>
    <n v="1026294"/>
    <x v="1"/>
    <n v="12.81"/>
    <n v="12.86"/>
    <n v="35.9"/>
    <x v="3"/>
    <x v="0"/>
    <x v="1"/>
    <x v="1"/>
  </r>
  <r>
    <n v="1026296"/>
    <x v="1"/>
    <n v="9.6999999999999993"/>
    <n v="13.75"/>
    <n v="29.95"/>
    <x v="0"/>
    <x v="0"/>
    <x v="1"/>
    <x v="1"/>
  </r>
  <r>
    <n v="1026298"/>
    <x v="1"/>
    <n v="13.7"/>
    <n v="13.76"/>
    <n v="124.9"/>
    <x v="3"/>
    <x v="0"/>
    <x v="1"/>
    <x v="1"/>
  </r>
  <r>
    <n v="1026317"/>
    <x v="1"/>
    <n v="12.81"/>
    <n v="12.86"/>
    <n v="81.900000000000006"/>
    <x v="3"/>
    <x v="0"/>
    <x v="1"/>
    <x v="1"/>
  </r>
  <r>
    <n v="1026360"/>
    <x v="1"/>
    <n v="12.81"/>
    <n v="12.86"/>
    <n v="29.95"/>
    <x v="3"/>
    <x v="0"/>
    <x v="1"/>
    <x v="1"/>
  </r>
  <r>
    <n v="1026365"/>
    <x v="1"/>
    <n v="12.81"/>
    <n v="12.86"/>
    <n v="40.85"/>
    <x v="3"/>
    <x v="0"/>
    <x v="1"/>
    <x v="1"/>
  </r>
  <r>
    <n v="1026380"/>
    <x v="1"/>
    <n v="12.81"/>
    <n v="12.86"/>
    <n v="59.9"/>
    <x v="3"/>
    <x v="0"/>
    <x v="1"/>
    <x v="1"/>
  </r>
  <r>
    <n v="1026421"/>
    <x v="1"/>
    <n v="13.71"/>
    <n v="13.75"/>
    <n v="34.9"/>
    <x v="3"/>
    <x v="0"/>
    <x v="1"/>
    <x v="1"/>
  </r>
  <r>
    <n v="1026427"/>
    <x v="1"/>
    <n v="13.7"/>
    <n v="13.75"/>
    <n v="34.9"/>
    <x v="3"/>
    <x v="0"/>
    <x v="1"/>
    <x v="1"/>
  </r>
  <r>
    <n v="1026430"/>
    <x v="1"/>
    <n v="9.6999999999999993"/>
    <n v="9.75"/>
    <n v="89.4"/>
    <x v="0"/>
    <x v="0"/>
    <x v="1"/>
    <x v="1"/>
  </r>
  <r>
    <n v="1026439"/>
    <x v="1"/>
    <n v="13.71"/>
    <n v="13.75"/>
    <n v="39.9"/>
    <x v="3"/>
    <x v="0"/>
    <x v="1"/>
    <x v="1"/>
  </r>
  <r>
    <n v="1026441"/>
    <x v="1"/>
    <n v="13.7"/>
    <n v="13.75"/>
    <n v="29.95"/>
    <x v="3"/>
    <x v="0"/>
    <x v="1"/>
    <x v="1"/>
  </r>
  <r>
    <n v="1026451"/>
    <x v="1"/>
    <n v="18.149999999999999"/>
    <n v="18.2"/>
    <n v="35.9"/>
    <x v="9"/>
    <x v="0"/>
    <x v="1"/>
    <x v="1"/>
  </r>
  <r>
    <n v="1026457"/>
    <x v="1"/>
    <n v="14.23"/>
    <n v="0"/>
    <n v="202.75"/>
    <x v="3"/>
    <x v="1"/>
    <x v="2"/>
    <x v="1"/>
  </r>
  <r>
    <n v="1026465"/>
    <x v="1"/>
    <n v="12.81"/>
    <n v="12.86"/>
    <n v="34.9"/>
    <x v="3"/>
    <x v="0"/>
    <x v="1"/>
    <x v="1"/>
  </r>
  <r>
    <n v="1026469"/>
    <x v="1"/>
    <n v="13.7"/>
    <n v="13.75"/>
    <n v="29.95"/>
    <x v="3"/>
    <x v="0"/>
    <x v="1"/>
    <x v="1"/>
  </r>
  <r>
    <n v="1026476"/>
    <x v="1"/>
    <n v="12.81"/>
    <n v="12.86"/>
    <n v="79.849999999999994"/>
    <x v="3"/>
    <x v="0"/>
    <x v="1"/>
    <x v="1"/>
  </r>
  <r>
    <n v="1026496"/>
    <x v="1"/>
    <n v="18.920000000000002"/>
    <n v="18.97"/>
    <n v="139.85"/>
    <x v="9"/>
    <x v="0"/>
    <x v="1"/>
    <x v="1"/>
  </r>
  <r>
    <n v="1026498"/>
    <x v="1"/>
    <n v="12.81"/>
    <n v="18.329999999999998"/>
    <n v="59.9"/>
    <x v="3"/>
    <x v="0"/>
    <x v="1"/>
    <x v="1"/>
  </r>
  <r>
    <n v="1026503"/>
    <x v="1"/>
    <n v="12.81"/>
    <n v="12.86"/>
    <n v="29.95"/>
    <x v="3"/>
    <x v="0"/>
    <x v="1"/>
    <x v="1"/>
  </r>
  <r>
    <n v="1026516"/>
    <x v="1"/>
    <n v="12.81"/>
    <n v="12.86"/>
    <n v="59.95"/>
    <x v="3"/>
    <x v="0"/>
    <x v="1"/>
    <x v="1"/>
  </r>
  <r>
    <n v="1026535"/>
    <x v="1"/>
    <n v="16.77"/>
    <n v="16.82"/>
    <n v="9.75"/>
    <x v="4"/>
    <x v="0"/>
    <x v="1"/>
    <x v="1"/>
  </r>
  <r>
    <n v="1026536"/>
    <x v="1"/>
    <n v="9.6999999999999993"/>
    <n v="9.75"/>
    <n v="68.349999999999994"/>
    <x v="0"/>
    <x v="0"/>
    <x v="1"/>
    <x v="1"/>
  </r>
  <r>
    <n v="1026547"/>
    <x v="1"/>
    <n v="12.81"/>
    <n v="12.86"/>
    <n v="15.75"/>
    <x v="3"/>
    <x v="0"/>
    <x v="1"/>
    <x v="1"/>
  </r>
  <r>
    <n v="1026571"/>
    <x v="1"/>
    <n v="23.33"/>
    <n v="23.38"/>
    <n v="10.5"/>
    <x v="9"/>
    <x v="0"/>
    <x v="1"/>
    <x v="1"/>
  </r>
  <r>
    <n v="1026576"/>
    <x v="1"/>
    <n v="15.44"/>
    <n v="15.49"/>
    <n v="19.95"/>
    <x v="6"/>
    <x v="0"/>
    <x v="1"/>
    <x v="1"/>
  </r>
  <r>
    <n v="1026589"/>
    <x v="1"/>
    <n v="22.32"/>
    <n v="18.77"/>
    <n v="316.60000000000002"/>
    <x v="4"/>
    <x v="0"/>
    <x v="0"/>
    <x v="35"/>
  </r>
  <r>
    <n v="1026593"/>
    <x v="1"/>
    <n v="13.7"/>
    <n v="13.76"/>
    <n v="108.2"/>
    <x v="3"/>
    <x v="0"/>
    <x v="1"/>
    <x v="1"/>
  </r>
  <r>
    <n v="1026614"/>
    <x v="1"/>
    <n v="13.7"/>
    <n v="13.75"/>
    <n v="198.9"/>
    <x v="3"/>
    <x v="0"/>
    <x v="1"/>
    <x v="1"/>
  </r>
  <r>
    <n v="1026627"/>
    <x v="1"/>
    <n v="12.81"/>
    <n v="0"/>
    <n v="220.85"/>
    <x v="3"/>
    <x v="1"/>
    <x v="2"/>
    <x v="1"/>
  </r>
  <r>
    <n v="1026632"/>
    <x v="1"/>
    <n v="11.02"/>
    <n v="11.07"/>
    <n v="38.4"/>
    <x v="8"/>
    <x v="0"/>
    <x v="1"/>
    <x v="1"/>
  </r>
  <r>
    <n v="1026639"/>
    <x v="1"/>
    <n v="16.46"/>
    <n v="16.510000000000002"/>
    <n v="19.95"/>
    <x v="4"/>
    <x v="0"/>
    <x v="1"/>
    <x v="1"/>
  </r>
  <r>
    <n v="1026662"/>
    <x v="1"/>
    <n v="9.6999999999999993"/>
    <n v="9.75"/>
    <n v="6"/>
    <x v="0"/>
    <x v="0"/>
    <x v="1"/>
    <x v="1"/>
  </r>
  <r>
    <n v="1026685"/>
    <x v="1"/>
    <n v="15.13"/>
    <n v="16.45"/>
    <n v="34.9"/>
    <x v="6"/>
    <x v="0"/>
    <x v="1"/>
    <x v="1"/>
  </r>
  <r>
    <n v="1026693"/>
    <x v="1"/>
    <n v="9.6999999999999993"/>
    <n v="9.75"/>
    <n v="3.95"/>
    <x v="0"/>
    <x v="0"/>
    <x v="1"/>
    <x v="1"/>
  </r>
  <r>
    <n v="1026706"/>
    <x v="1"/>
    <n v="15.44"/>
    <n v="16.760000000000002"/>
    <n v="34.9"/>
    <x v="6"/>
    <x v="0"/>
    <x v="1"/>
    <x v="1"/>
  </r>
  <r>
    <n v="1026709"/>
    <x v="1"/>
    <n v="17.149999999999999"/>
    <n v="22.11"/>
    <n v="174.9"/>
    <x v="4"/>
    <x v="0"/>
    <x v="1"/>
    <x v="1"/>
  </r>
  <r>
    <n v="1026717"/>
    <x v="1"/>
    <n v="13.7"/>
    <n v="13.91"/>
    <n v="56.8"/>
    <x v="3"/>
    <x v="0"/>
    <x v="1"/>
    <x v="1"/>
  </r>
  <r>
    <n v="1026718"/>
    <x v="1"/>
    <n v="10.06"/>
    <n v="0"/>
    <n v="268.7"/>
    <x v="0"/>
    <x v="1"/>
    <x v="2"/>
    <x v="1"/>
  </r>
  <r>
    <n v="1026722"/>
    <x v="1"/>
    <n v="12.81"/>
    <n v="12.86"/>
    <n v="156.05000000000001"/>
    <x v="3"/>
    <x v="0"/>
    <x v="1"/>
    <x v="1"/>
  </r>
  <r>
    <n v="1026728"/>
    <x v="1"/>
    <n v="13.7"/>
    <n v="15.17"/>
    <n v="94.8"/>
    <x v="3"/>
    <x v="0"/>
    <x v="1"/>
    <x v="1"/>
  </r>
  <r>
    <n v="1026731"/>
    <x v="1"/>
    <n v="12.81"/>
    <n v="12.86"/>
    <n v="32.9"/>
    <x v="3"/>
    <x v="0"/>
    <x v="1"/>
    <x v="1"/>
  </r>
  <r>
    <n v="1026749"/>
    <x v="1"/>
    <n v="12.81"/>
    <n v="12.86"/>
    <n v="29.95"/>
    <x v="3"/>
    <x v="0"/>
    <x v="1"/>
    <x v="1"/>
  </r>
  <r>
    <n v="1026763"/>
    <x v="1"/>
    <n v="12.81"/>
    <n v="12.86"/>
    <n v="59.95"/>
    <x v="3"/>
    <x v="0"/>
    <x v="1"/>
    <x v="1"/>
  </r>
  <r>
    <n v="1026778"/>
    <x v="1"/>
    <n v="16.77"/>
    <n v="16.82"/>
    <n v="40.35"/>
    <x v="4"/>
    <x v="0"/>
    <x v="1"/>
    <x v="1"/>
  </r>
  <r>
    <n v="1026781"/>
    <x v="1"/>
    <n v="16.559999999999999"/>
    <n v="18.47"/>
    <n v="64.900000000000006"/>
    <x v="4"/>
    <x v="0"/>
    <x v="1"/>
    <x v="1"/>
  </r>
  <r>
    <n v="1026817"/>
    <x v="1"/>
    <n v="12.81"/>
    <n v="12.86"/>
    <n v="58.55"/>
    <x v="3"/>
    <x v="0"/>
    <x v="1"/>
    <x v="1"/>
  </r>
  <r>
    <n v="1026827"/>
    <x v="1"/>
    <n v="9.7100000000000009"/>
    <n v="11.54"/>
    <n v="59.9"/>
    <x v="0"/>
    <x v="0"/>
    <x v="1"/>
    <x v="1"/>
  </r>
  <r>
    <n v="1026840"/>
    <x v="1"/>
    <n v="12.81"/>
    <n v="12.86"/>
    <n v="4.95"/>
    <x v="3"/>
    <x v="0"/>
    <x v="1"/>
    <x v="1"/>
  </r>
  <r>
    <n v="1031138"/>
    <x v="0"/>
    <n v="13.64"/>
    <n v="13.75"/>
    <n v="55.8"/>
    <x v="3"/>
    <x v="0"/>
    <x v="1"/>
    <x v="1"/>
  </r>
  <r>
    <n v="1026868"/>
    <x v="1"/>
    <n v="9.7100000000000009"/>
    <n v="12.86"/>
    <n v="109.7"/>
    <x v="0"/>
    <x v="0"/>
    <x v="1"/>
    <x v="1"/>
  </r>
  <r>
    <n v="1026911"/>
    <x v="1"/>
    <n v="12.81"/>
    <n v="12.86"/>
    <n v="75.900000000000006"/>
    <x v="3"/>
    <x v="0"/>
    <x v="1"/>
    <x v="1"/>
  </r>
  <r>
    <n v="1026914"/>
    <x v="1"/>
    <n v="9.7100000000000009"/>
    <n v="9.76"/>
    <n v="99.8"/>
    <x v="0"/>
    <x v="0"/>
    <x v="1"/>
    <x v="1"/>
  </r>
  <r>
    <n v="1026923"/>
    <x v="1"/>
    <n v="9.6999999999999993"/>
    <n v="0"/>
    <n v="274.55"/>
    <x v="0"/>
    <x v="1"/>
    <x v="2"/>
    <x v="1"/>
  </r>
  <r>
    <n v="1026927"/>
    <x v="1"/>
    <n v="9.6999999999999993"/>
    <n v="9.76"/>
    <n v="79.400000000000006"/>
    <x v="0"/>
    <x v="0"/>
    <x v="1"/>
    <x v="1"/>
  </r>
  <r>
    <n v="1026932"/>
    <x v="1"/>
    <n v="16.46"/>
    <n v="16.510000000000002"/>
    <n v="14.95"/>
    <x v="4"/>
    <x v="0"/>
    <x v="1"/>
    <x v="1"/>
  </r>
  <r>
    <n v="1026934"/>
    <x v="1"/>
    <n v="13.7"/>
    <n v="13.76"/>
    <n v="141.69999999999999"/>
    <x v="3"/>
    <x v="0"/>
    <x v="1"/>
    <x v="1"/>
  </r>
  <r>
    <n v="1026941"/>
    <x v="1"/>
    <n v="9.6999999999999993"/>
    <n v="9.75"/>
    <n v="49.75"/>
    <x v="0"/>
    <x v="0"/>
    <x v="1"/>
    <x v="1"/>
  </r>
  <r>
    <n v="1026948"/>
    <x v="1"/>
    <n v="9.6999999999999993"/>
    <n v="12.86"/>
    <n v="93.7"/>
    <x v="0"/>
    <x v="0"/>
    <x v="1"/>
    <x v="1"/>
  </r>
  <r>
    <n v="1026979"/>
    <x v="1"/>
    <n v="12.81"/>
    <n v="12.86"/>
    <n v="64.900000000000006"/>
    <x v="3"/>
    <x v="0"/>
    <x v="1"/>
    <x v="1"/>
  </r>
  <r>
    <n v="1026983"/>
    <x v="1"/>
    <n v="13.7"/>
    <n v="13.75"/>
    <n v="26.45"/>
    <x v="3"/>
    <x v="0"/>
    <x v="1"/>
    <x v="1"/>
  </r>
  <r>
    <n v="1026984"/>
    <x v="1"/>
    <n v="12.35"/>
    <n v="12.4"/>
    <n v="31.8"/>
    <x v="7"/>
    <x v="0"/>
    <x v="1"/>
    <x v="1"/>
  </r>
  <r>
    <n v="1026992"/>
    <x v="1"/>
    <n v="12.81"/>
    <n v="12.86"/>
    <n v="34.9"/>
    <x v="3"/>
    <x v="0"/>
    <x v="1"/>
    <x v="1"/>
  </r>
  <r>
    <n v="1026994"/>
    <x v="1"/>
    <n v="12.81"/>
    <n v="12.86"/>
    <n v="24.95"/>
    <x v="3"/>
    <x v="0"/>
    <x v="1"/>
    <x v="1"/>
  </r>
  <r>
    <n v="1027012"/>
    <x v="1"/>
    <n v="9.7100000000000009"/>
    <n v="0"/>
    <n v="373.54"/>
    <x v="0"/>
    <x v="1"/>
    <x v="2"/>
    <x v="1"/>
  </r>
  <r>
    <n v="1027013"/>
    <x v="1"/>
    <n v="9.6999999999999993"/>
    <n v="9.75"/>
    <n v="21.9"/>
    <x v="0"/>
    <x v="0"/>
    <x v="1"/>
    <x v="1"/>
  </r>
  <r>
    <n v="1027014"/>
    <x v="1"/>
    <n v="13.7"/>
    <n v="13.75"/>
    <n v="39.1"/>
    <x v="3"/>
    <x v="0"/>
    <x v="1"/>
    <x v="1"/>
  </r>
  <r>
    <n v="1027022"/>
    <x v="1"/>
    <n v="16.77"/>
    <n v="17.2"/>
    <n v="35.9"/>
    <x v="4"/>
    <x v="0"/>
    <x v="1"/>
    <x v="1"/>
  </r>
  <r>
    <n v="1027063"/>
    <x v="1"/>
    <n v="9.6999999999999993"/>
    <n v="9.75"/>
    <n v="34.9"/>
    <x v="0"/>
    <x v="0"/>
    <x v="1"/>
    <x v="1"/>
  </r>
  <r>
    <n v="1027064"/>
    <x v="1"/>
    <n v="12.59"/>
    <n v="0"/>
    <n v="1400"/>
    <x v="0"/>
    <x v="1"/>
    <x v="2"/>
    <x v="1"/>
  </r>
  <r>
    <n v="1027085"/>
    <x v="1"/>
    <n v="12.81"/>
    <n v="12.86"/>
    <n v="64.900000000000006"/>
    <x v="3"/>
    <x v="0"/>
    <x v="1"/>
    <x v="1"/>
  </r>
  <r>
    <n v="1027088"/>
    <x v="1"/>
    <n v="12.81"/>
    <n v="12.86"/>
    <n v="34.9"/>
    <x v="3"/>
    <x v="0"/>
    <x v="1"/>
    <x v="1"/>
  </r>
  <r>
    <n v="1027096"/>
    <x v="1"/>
    <n v="13.7"/>
    <n v="13.75"/>
    <n v="6.9"/>
    <x v="3"/>
    <x v="0"/>
    <x v="1"/>
    <x v="1"/>
  </r>
  <r>
    <n v="1027127"/>
    <x v="1"/>
    <n v="13.71"/>
    <n v="13.99"/>
    <n v="119.2"/>
    <x v="3"/>
    <x v="0"/>
    <x v="1"/>
    <x v="1"/>
  </r>
  <r>
    <n v="1027134"/>
    <x v="1"/>
    <n v="16.77"/>
    <n v="16.82"/>
    <n v="71.849999999999994"/>
    <x v="4"/>
    <x v="0"/>
    <x v="1"/>
    <x v="1"/>
  </r>
  <r>
    <n v="1027142"/>
    <x v="1"/>
    <n v="15.13"/>
    <n v="15.18"/>
    <n v="60.6"/>
    <x v="6"/>
    <x v="0"/>
    <x v="1"/>
    <x v="1"/>
  </r>
  <r>
    <n v="1027148"/>
    <x v="1"/>
    <n v="13.7"/>
    <n v="13.75"/>
    <n v="34.9"/>
    <x v="3"/>
    <x v="0"/>
    <x v="1"/>
    <x v="1"/>
  </r>
  <r>
    <n v="1027161"/>
    <x v="1"/>
    <n v="16.77"/>
    <n v="16.82"/>
    <n v="140.85"/>
    <x v="4"/>
    <x v="0"/>
    <x v="1"/>
    <x v="1"/>
  </r>
  <r>
    <n v="1027179"/>
    <x v="1"/>
    <n v="19.96"/>
    <n v="0"/>
    <n v="468"/>
    <x v="3"/>
    <x v="1"/>
    <x v="2"/>
    <x v="1"/>
  </r>
  <r>
    <n v="1027191"/>
    <x v="1"/>
    <n v="13.7"/>
    <n v="13.75"/>
    <n v="59.9"/>
    <x v="3"/>
    <x v="0"/>
    <x v="1"/>
    <x v="1"/>
  </r>
  <r>
    <n v="1027224"/>
    <x v="1"/>
    <n v="15.13"/>
    <n v="16.45"/>
    <n v="64.900000000000006"/>
    <x v="6"/>
    <x v="0"/>
    <x v="1"/>
    <x v="1"/>
  </r>
  <r>
    <n v="1027234"/>
    <x v="1"/>
    <n v="13.7"/>
    <n v="13.75"/>
    <n v="59.95"/>
    <x v="3"/>
    <x v="0"/>
    <x v="1"/>
    <x v="1"/>
  </r>
  <r>
    <n v="1027271"/>
    <x v="1"/>
    <n v="12.81"/>
    <n v="12.86"/>
    <n v="102.1"/>
    <x v="3"/>
    <x v="0"/>
    <x v="1"/>
    <x v="1"/>
  </r>
  <r>
    <n v="1027273"/>
    <x v="1"/>
    <n v="13.86"/>
    <n v="14.15"/>
    <n v="127.55"/>
    <x v="3"/>
    <x v="0"/>
    <x v="1"/>
    <x v="1"/>
  </r>
  <r>
    <n v="1027278"/>
    <x v="1"/>
    <n v="12.81"/>
    <n v="13.31"/>
    <n v="37.35"/>
    <x v="3"/>
    <x v="0"/>
    <x v="1"/>
    <x v="1"/>
  </r>
  <r>
    <n v="1027285"/>
    <x v="1"/>
    <n v="13.7"/>
    <n v="0"/>
    <n v="213.99"/>
    <x v="3"/>
    <x v="1"/>
    <x v="2"/>
    <x v="1"/>
  </r>
  <r>
    <n v="1027287"/>
    <x v="1"/>
    <n v="13.7"/>
    <n v="13.75"/>
    <n v="99.8"/>
    <x v="3"/>
    <x v="0"/>
    <x v="1"/>
    <x v="1"/>
  </r>
  <r>
    <n v="1027295"/>
    <x v="1"/>
    <n v="12.55"/>
    <n v="0"/>
    <n v="573"/>
    <x v="0"/>
    <x v="1"/>
    <x v="2"/>
    <x v="1"/>
  </r>
  <r>
    <n v="1027300"/>
    <x v="1"/>
    <n v="12.81"/>
    <n v="12.86"/>
    <n v="45.2"/>
    <x v="3"/>
    <x v="0"/>
    <x v="1"/>
    <x v="1"/>
  </r>
  <r>
    <n v="1027305"/>
    <x v="1"/>
    <n v="13.7"/>
    <n v="17.920000000000002"/>
    <n v="59.9"/>
    <x v="3"/>
    <x v="0"/>
    <x v="1"/>
    <x v="1"/>
  </r>
  <r>
    <n v="1027311"/>
    <x v="1"/>
    <n v="10.32"/>
    <n v="0"/>
    <n v="420"/>
    <x v="0"/>
    <x v="1"/>
    <x v="2"/>
    <x v="1"/>
  </r>
  <r>
    <n v="1027368"/>
    <x v="1"/>
    <n v="13.71"/>
    <n v="13.75"/>
    <n v="49.65"/>
    <x v="3"/>
    <x v="0"/>
    <x v="1"/>
    <x v="1"/>
  </r>
  <r>
    <n v="1027376"/>
    <x v="1"/>
    <n v="13.71"/>
    <n v="13.76"/>
    <n v="17.350000000000001"/>
    <x v="3"/>
    <x v="0"/>
    <x v="1"/>
    <x v="1"/>
  </r>
  <r>
    <n v="1027383"/>
    <x v="1"/>
    <n v="12.81"/>
    <n v="12.86"/>
    <n v="73.2"/>
    <x v="3"/>
    <x v="0"/>
    <x v="1"/>
    <x v="1"/>
  </r>
  <r>
    <n v="1027384"/>
    <x v="1"/>
    <n v="16.77"/>
    <n v="17.13"/>
    <n v="203.05"/>
    <x v="4"/>
    <x v="0"/>
    <x v="1"/>
    <x v="1"/>
  </r>
  <r>
    <n v="1027433"/>
    <x v="1"/>
    <n v="12.81"/>
    <n v="12.86"/>
    <n v="4.95"/>
    <x v="3"/>
    <x v="0"/>
    <x v="1"/>
    <x v="1"/>
  </r>
  <r>
    <n v="1027454"/>
    <x v="1"/>
    <n v="12.81"/>
    <n v="12.86"/>
    <n v="64.900000000000006"/>
    <x v="3"/>
    <x v="0"/>
    <x v="1"/>
    <x v="1"/>
  </r>
  <r>
    <n v="1027455"/>
    <x v="1"/>
    <n v="12.81"/>
    <n v="12.86"/>
    <n v="73.75"/>
    <x v="3"/>
    <x v="0"/>
    <x v="1"/>
    <x v="1"/>
  </r>
  <r>
    <n v="1027457"/>
    <x v="1"/>
    <n v="9.6999999999999993"/>
    <n v="9.75"/>
    <n v="89.95"/>
    <x v="0"/>
    <x v="0"/>
    <x v="1"/>
    <x v="1"/>
  </r>
  <r>
    <n v="1027460"/>
    <x v="1"/>
    <n v="13.7"/>
    <n v="13.75"/>
    <n v="58.5"/>
    <x v="3"/>
    <x v="0"/>
    <x v="1"/>
    <x v="1"/>
  </r>
  <r>
    <n v="1027467"/>
    <x v="1"/>
    <n v="16.46"/>
    <n v="16.510000000000002"/>
    <n v="78.7"/>
    <x v="4"/>
    <x v="0"/>
    <x v="1"/>
    <x v="1"/>
  </r>
  <r>
    <n v="1027475"/>
    <x v="1"/>
    <n v="9.6999999999999993"/>
    <n v="9.75"/>
    <n v="56.2"/>
    <x v="0"/>
    <x v="0"/>
    <x v="1"/>
    <x v="1"/>
  </r>
  <r>
    <n v="1027481"/>
    <x v="1"/>
    <n v="12.81"/>
    <n v="12.86"/>
    <n v="62.8"/>
    <x v="3"/>
    <x v="0"/>
    <x v="1"/>
    <x v="1"/>
  </r>
  <r>
    <n v="1027491"/>
    <x v="1"/>
    <n v="13.7"/>
    <n v="13.75"/>
    <n v="31.9"/>
    <x v="3"/>
    <x v="0"/>
    <x v="1"/>
    <x v="1"/>
  </r>
  <r>
    <n v="1027497"/>
    <x v="1"/>
    <n v="9.6999999999999993"/>
    <n v="12.9"/>
    <n v="96.75"/>
    <x v="0"/>
    <x v="0"/>
    <x v="1"/>
    <x v="1"/>
  </r>
  <r>
    <n v="1027504"/>
    <x v="1"/>
    <n v="12.81"/>
    <n v="12.86"/>
    <n v="65.099999999999994"/>
    <x v="3"/>
    <x v="0"/>
    <x v="1"/>
    <x v="1"/>
  </r>
  <r>
    <n v="1027518"/>
    <x v="1"/>
    <n v="13.7"/>
    <n v="13.76"/>
    <n v="89.1"/>
    <x v="3"/>
    <x v="0"/>
    <x v="1"/>
    <x v="1"/>
  </r>
  <r>
    <n v="1027529"/>
    <x v="1"/>
    <n v="12.81"/>
    <n v="12.86"/>
    <n v="9.9499999999999993"/>
    <x v="3"/>
    <x v="0"/>
    <x v="1"/>
    <x v="1"/>
  </r>
  <r>
    <n v="1027533"/>
    <x v="1"/>
    <n v="13.7"/>
    <n v="13.75"/>
    <n v="26.9"/>
    <x v="3"/>
    <x v="0"/>
    <x v="1"/>
    <x v="1"/>
  </r>
  <r>
    <n v="1027539"/>
    <x v="1"/>
    <n v="13.7"/>
    <n v="13.75"/>
    <n v="34.9"/>
    <x v="3"/>
    <x v="0"/>
    <x v="1"/>
    <x v="1"/>
  </r>
  <r>
    <n v="1027540"/>
    <x v="1"/>
    <n v="13.7"/>
    <n v="13.76"/>
    <n v="29.95"/>
    <x v="3"/>
    <x v="0"/>
    <x v="1"/>
    <x v="1"/>
  </r>
  <r>
    <n v="1027560"/>
    <x v="1"/>
    <n v="9.6999999999999993"/>
    <n v="9.75"/>
    <n v="69.849999999999994"/>
    <x v="0"/>
    <x v="0"/>
    <x v="1"/>
    <x v="1"/>
  </r>
  <r>
    <n v="1027582"/>
    <x v="1"/>
    <n v="13.7"/>
    <n v="13.76"/>
    <n v="59.9"/>
    <x v="3"/>
    <x v="0"/>
    <x v="1"/>
    <x v="1"/>
  </r>
  <r>
    <n v="1027606"/>
    <x v="1"/>
    <n v="12.81"/>
    <n v="12.86"/>
    <n v="29.95"/>
    <x v="3"/>
    <x v="0"/>
    <x v="1"/>
    <x v="1"/>
  </r>
  <r>
    <n v="1027623"/>
    <x v="1"/>
    <n v="12.81"/>
    <n v="12.86"/>
    <n v="128.6"/>
    <x v="3"/>
    <x v="0"/>
    <x v="1"/>
    <x v="1"/>
  </r>
  <r>
    <n v="1027629"/>
    <x v="1"/>
    <n v="14.67"/>
    <n v="0"/>
    <n v="251.75"/>
    <x v="3"/>
    <x v="1"/>
    <x v="2"/>
    <x v="1"/>
  </r>
  <r>
    <n v="1027655"/>
    <x v="1"/>
    <n v="9.6999999999999993"/>
    <n v="9.75"/>
    <n v="29.95"/>
    <x v="0"/>
    <x v="0"/>
    <x v="1"/>
    <x v="1"/>
  </r>
  <r>
    <n v="1027684"/>
    <x v="1"/>
    <n v="13.7"/>
    <n v="0"/>
    <n v="200.05"/>
    <x v="3"/>
    <x v="1"/>
    <x v="2"/>
    <x v="1"/>
  </r>
  <r>
    <n v="1027703"/>
    <x v="1"/>
    <n v="12.81"/>
    <n v="12.86"/>
    <n v="14.85"/>
    <x v="3"/>
    <x v="0"/>
    <x v="1"/>
    <x v="1"/>
  </r>
  <r>
    <n v="1027705"/>
    <x v="1"/>
    <n v="15.44"/>
    <n v="15.49"/>
    <n v="59.95"/>
    <x v="6"/>
    <x v="0"/>
    <x v="1"/>
    <x v="1"/>
  </r>
  <r>
    <n v="1027713"/>
    <x v="1"/>
    <n v="12.81"/>
    <n v="12.86"/>
    <n v="32.75"/>
    <x v="3"/>
    <x v="0"/>
    <x v="1"/>
    <x v="1"/>
  </r>
  <r>
    <n v="1027739"/>
    <x v="1"/>
    <n v="12.81"/>
    <n v="12.86"/>
    <n v="57.6"/>
    <x v="3"/>
    <x v="0"/>
    <x v="1"/>
    <x v="1"/>
  </r>
  <r>
    <n v="1027783"/>
    <x v="1"/>
    <n v="38.14"/>
    <n v="33.159999999999997"/>
    <n v="304"/>
    <x v="9"/>
    <x v="0"/>
    <x v="0"/>
    <x v="36"/>
  </r>
  <r>
    <n v="1027826"/>
    <x v="1"/>
    <n v="12.81"/>
    <n v="12.86"/>
    <n v="23.25"/>
    <x v="3"/>
    <x v="0"/>
    <x v="1"/>
    <x v="1"/>
  </r>
  <r>
    <n v="1027828"/>
    <x v="1"/>
    <n v="13.7"/>
    <n v="13.75"/>
    <n v="67.650000000000006"/>
    <x v="3"/>
    <x v="0"/>
    <x v="1"/>
    <x v="1"/>
  </r>
  <r>
    <n v="1027854"/>
    <x v="1"/>
    <n v="17.7"/>
    <n v="17.75"/>
    <n v="43.65"/>
    <x v="9"/>
    <x v="0"/>
    <x v="1"/>
    <x v="1"/>
  </r>
  <r>
    <n v="1027856"/>
    <x v="1"/>
    <n v="12.81"/>
    <n v="12.86"/>
    <n v="67.849999999999994"/>
    <x v="3"/>
    <x v="0"/>
    <x v="1"/>
    <x v="1"/>
  </r>
  <r>
    <n v="1027857"/>
    <x v="1"/>
    <n v="12.81"/>
    <n v="12.86"/>
    <n v="37.15"/>
    <x v="3"/>
    <x v="0"/>
    <x v="1"/>
    <x v="1"/>
  </r>
  <r>
    <n v="1027858"/>
    <x v="1"/>
    <n v="9.7100000000000009"/>
    <n v="0"/>
    <n v="18"/>
    <x v="0"/>
    <x v="0"/>
    <x v="0"/>
    <x v="0"/>
  </r>
  <r>
    <n v="1027872"/>
    <x v="1"/>
    <n v="13.7"/>
    <n v="13.76"/>
    <n v="59.3"/>
    <x v="3"/>
    <x v="0"/>
    <x v="1"/>
    <x v="1"/>
  </r>
  <r>
    <n v="1027881"/>
    <x v="1"/>
    <n v="17.149999999999999"/>
    <n v="17.2"/>
    <n v="41.9"/>
    <x v="4"/>
    <x v="0"/>
    <x v="1"/>
    <x v="1"/>
  </r>
  <r>
    <n v="1027894"/>
    <x v="1"/>
    <n v="12.81"/>
    <n v="12.86"/>
    <n v="19.55"/>
    <x v="3"/>
    <x v="0"/>
    <x v="1"/>
    <x v="1"/>
  </r>
  <r>
    <n v="1027902"/>
    <x v="1"/>
    <n v="9.7100000000000009"/>
    <n v="12.86"/>
    <n v="30"/>
    <x v="0"/>
    <x v="0"/>
    <x v="1"/>
    <x v="1"/>
  </r>
  <r>
    <n v="1027913"/>
    <x v="1"/>
    <n v="13.7"/>
    <n v="13.75"/>
    <n v="26.95"/>
    <x v="3"/>
    <x v="0"/>
    <x v="1"/>
    <x v="1"/>
  </r>
  <r>
    <n v="1027919"/>
    <x v="1"/>
    <n v="33.9"/>
    <n v="33.950000000000003"/>
    <n v="270.7"/>
    <x v="9"/>
    <x v="0"/>
    <x v="1"/>
    <x v="1"/>
  </r>
  <r>
    <n v="1027952"/>
    <x v="1"/>
    <n v="12.81"/>
    <n v="12.86"/>
    <n v="101.75"/>
    <x v="3"/>
    <x v="0"/>
    <x v="1"/>
    <x v="1"/>
  </r>
  <r>
    <n v="1031140"/>
    <x v="0"/>
    <n v="18.79"/>
    <n v="19.989999999999998"/>
    <n v="86.85"/>
    <x v="9"/>
    <x v="0"/>
    <x v="1"/>
    <x v="1"/>
  </r>
  <r>
    <n v="1027957"/>
    <x v="1"/>
    <n v="9.6999999999999993"/>
    <n v="9.75"/>
    <n v="69.95"/>
    <x v="0"/>
    <x v="0"/>
    <x v="1"/>
    <x v="1"/>
  </r>
  <r>
    <n v="1027979"/>
    <x v="1"/>
    <n v="12.81"/>
    <n v="12.86"/>
    <n v="49.9"/>
    <x v="3"/>
    <x v="0"/>
    <x v="1"/>
    <x v="1"/>
  </r>
  <r>
    <n v="1027989"/>
    <x v="1"/>
    <n v="13.7"/>
    <n v="13.75"/>
    <n v="49.75"/>
    <x v="3"/>
    <x v="0"/>
    <x v="1"/>
    <x v="1"/>
  </r>
  <r>
    <n v="1028014"/>
    <x v="1"/>
    <n v="9.7100000000000009"/>
    <n v="23.78"/>
    <n v="178.35"/>
    <x v="0"/>
    <x v="0"/>
    <x v="1"/>
    <x v="1"/>
  </r>
  <r>
    <n v="1028019"/>
    <x v="1"/>
    <n v="9.7100000000000009"/>
    <n v="9.76"/>
    <n v="62.45"/>
    <x v="0"/>
    <x v="0"/>
    <x v="1"/>
    <x v="1"/>
  </r>
  <r>
    <n v="1028023"/>
    <x v="1"/>
    <n v="13.71"/>
    <n v="14.2"/>
    <n v="20.399999999999999"/>
    <x v="3"/>
    <x v="0"/>
    <x v="1"/>
    <x v="1"/>
  </r>
  <r>
    <n v="1028040"/>
    <x v="1"/>
    <n v="13.7"/>
    <n v="13.75"/>
    <n v="26.9"/>
    <x v="3"/>
    <x v="0"/>
    <x v="1"/>
    <x v="1"/>
  </r>
  <r>
    <n v="1028042"/>
    <x v="1"/>
    <n v="9.6999999999999993"/>
    <n v="12.86"/>
    <n v="13.65"/>
    <x v="0"/>
    <x v="0"/>
    <x v="1"/>
    <x v="1"/>
  </r>
  <r>
    <n v="1028043"/>
    <x v="1"/>
    <n v="13.71"/>
    <n v="13.99"/>
    <n v="163.35"/>
    <x v="3"/>
    <x v="0"/>
    <x v="1"/>
    <x v="1"/>
  </r>
  <r>
    <n v="1028052"/>
    <x v="1"/>
    <n v="12.81"/>
    <n v="12.86"/>
    <n v="97.45"/>
    <x v="3"/>
    <x v="0"/>
    <x v="1"/>
    <x v="1"/>
  </r>
  <r>
    <n v="1028060"/>
    <x v="1"/>
    <n v="13.7"/>
    <n v="13.75"/>
    <n v="44.8"/>
    <x v="3"/>
    <x v="0"/>
    <x v="1"/>
    <x v="1"/>
  </r>
  <r>
    <n v="1028084"/>
    <x v="1"/>
    <n v="9.7100000000000009"/>
    <n v="9.75"/>
    <n v="74.25"/>
    <x v="0"/>
    <x v="0"/>
    <x v="1"/>
    <x v="1"/>
  </r>
  <r>
    <n v="1028089"/>
    <x v="1"/>
    <n v="13.7"/>
    <n v="13.75"/>
    <n v="34.950000000000003"/>
    <x v="3"/>
    <x v="0"/>
    <x v="1"/>
    <x v="1"/>
  </r>
  <r>
    <n v="1028093"/>
    <x v="1"/>
    <n v="13.7"/>
    <n v="0"/>
    <n v="227.3"/>
    <x v="3"/>
    <x v="1"/>
    <x v="2"/>
    <x v="1"/>
  </r>
  <r>
    <n v="1028125"/>
    <x v="1"/>
    <n v="9.6999999999999993"/>
    <n v="9.75"/>
    <n v="125"/>
    <x v="0"/>
    <x v="0"/>
    <x v="1"/>
    <x v="1"/>
  </r>
  <r>
    <n v="1028134"/>
    <x v="1"/>
    <n v="12.81"/>
    <n v="12.86"/>
    <n v="9.9"/>
    <x v="3"/>
    <x v="0"/>
    <x v="1"/>
    <x v="1"/>
  </r>
  <r>
    <n v="1028154"/>
    <x v="1"/>
    <n v="12.81"/>
    <n v="12.86"/>
    <n v="34.9"/>
    <x v="3"/>
    <x v="0"/>
    <x v="1"/>
    <x v="1"/>
  </r>
  <r>
    <n v="1028184"/>
    <x v="1"/>
    <n v="12.81"/>
    <n v="12.86"/>
    <n v="9.9499999999999993"/>
    <x v="3"/>
    <x v="0"/>
    <x v="1"/>
    <x v="1"/>
  </r>
  <r>
    <n v="1028203"/>
    <x v="1"/>
    <n v="13.7"/>
    <n v="13.75"/>
    <n v="34.9"/>
    <x v="3"/>
    <x v="0"/>
    <x v="1"/>
    <x v="1"/>
  </r>
  <r>
    <n v="1028222"/>
    <x v="1"/>
    <n v="13.7"/>
    <n v="13.75"/>
    <n v="104.85"/>
    <x v="3"/>
    <x v="0"/>
    <x v="1"/>
    <x v="1"/>
  </r>
  <r>
    <n v="1028224"/>
    <x v="1"/>
    <n v="12.81"/>
    <n v="12.86"/>
    <n v="7.95"/>
    <x v="3"/>
    <x v="0"/>
    <x v="1"/>
    <x v="1"/>
  </r>
  <r>
    <n v="1028235"/>
    <x v="1"/>
    <n v="13.7"/>
    <n v="13.75"/>
    <n v="13.9"/>
    <x v="3"/>
    <x v="0"/>
    <x v="1"/>
    <x v="1"/>
  </r>
  <r>
    <n v="1028240"/>
    <x v="1"/>
    <n v="13.7"/>
    <n v="13.75"/>
    <n v="5"/>
    <x v="3"/>
    <x v="0"/>
    <x v="1"/>
    <x v="1"/>
  </r>
  <r>
    <n v="1028243"/>
    <x v="1"/>
    <n v="12.81"/>
    <n v="12.86"/>
    <n v="64.95"/>
    <x v="3"/>
    <x v="0"/>
    <x v="1"/>
    <x v="1"/>
  </r>
  <r>
    <n v="1028258"/>
    <x v="1"/>
    <n v="12.81"/>
    <n v="12.86"/>
    <n v="34.9"/>
    <x v="3"/>
    <x v="0"/>
    <x v="1"/>
    <x v="1"/>
  </r>
  <r>
    <n v="1028272"/>
    <x v="1"/>
    <n v="12.81"/>
    <n v="12.86"/>
    <n v="29.95"/>
    <x v="3"/>
    <x v="0"/>
    <x v="1"/>
    <x v="1"/>
  </r>
  <r>
    <n v="1028273"/>
    <x v="1"/>
    <n v="9.7100000000000009"/>
    <n v="9.76"/>
    <n v="39.950000000000003"/>
    <x v="0"/>
    <x v="0"/>
    <x v="1"/>
    <x v="1"/>
  </r>
  <r>
    <n v="1028292"/>
    <x v="1"/>
    <n v="9.6999999999999993"/>
    <n v="9.75"/>
    <n v="100.35"/>
    <x v="0"/>
    <x v="0"/>
    <x v="1"/>
    <x v="1"/>
  </r>
  <r>
    <n v="1028296"/>
    <x v="1"/>
    <n v="12.81"/>
    <n v="12.86"/>
    <n v="29.95"/>
    <x v="3"/>
    <x v="0"/>
    <x v="1"/>
    <x v="1"/>
  </r>
  <r>
    <n v="1028305"/>
    <x v="1"/>
    <n v="13.71"/>
    <n v="13.76"/>
    <n v="39.950000000000003"/>
    <x v="3"/>
    <x v="0"/>
    <x v="1"/>
    <x v="1"/>
  </r>
  <r>
    <n v="1028320"/>
    <x v="1"/>
    <n v="15.13"/>
    <n v="15.18"/>
    <n v="209.4"/>
    <x v="6"/>
    <x v="0"/>
    <x v="1"/>
    <x v="1"/>
  </r>
  <r>
    <n v="1028321"/>
    <x v="1"/>
    <n v="9.6999999999999993"/>
    <n v="12.86"/>
    <n v="53.8"/>
    <x v="0"/>
    <x v="0"/>
    <x v="1"/>
    <x v="1"/>
  </r>
  <r>
    <n v="1028327"/>
    <x v="1"/>
    <n v="9.6999999999999993"/>
    <n v="9.75"/>
    <n v="39.950000000000003"/>
    <x v="0"/>
    <x v="0"/>
    <x v="1"/>
    <x v="1"/>
  </r>
  <r>
    <n v="1028389"/>
    <x v="1"/>
    <n v="18.72"/>
    <n v="18.77"/>
    <n v="17.399999999999999"/>
    <x v="4"/>
    <x v="0"/>
    <x v="1"/>
    <x v="1"/>
  </r>
  <r>
    <n v="1028413"/>
    <x v="1"/>
    <n v="9.6999999999999993"/>
    <n v="9.75"/>
    <n v="86.05"/>
    <x v="0"/>
    <x v="0"/>
    <x v="1"/>
    <x v="1"/>
  </r>
  <r>
    <n v="1028442"/>
    <x v="1"/>
    <n v="13.7"/>
    <n v="13.75"/>
    <n v="34.950000000000003"/>
    <x v="3"/>
    <x v="0"/>
    <x v="1"/>
    <x v="1"/>
  </r>
  <r>
    <n v="1028467"/>
    <x v="1"/>
    <n v="9.6999999999999993"/>
    <n v="9.75"/>
    <n v="110"/>
    <x v="0"/>
    <x v="0"/>
    <x v="1"/>
    <x v="1"/>
  </r>
  <r>
    <n v="1028476"/>
    <x v="1"/>
    <n v="12.81"/>
    <n v="12.86"/>
    <n v="28.85"/>
    <x v="3"/>
    <x v="0"/>
    <x v="1"/>
    <x v="1"/>
  </r>
  <r>
    <n v="1028478"/>
    <x v="1"/>
    <n v="13.7"/>
    <n v="13.75"/>
    <n v="24.95"/>
    <x v="3"/>
    <x v="0"/>
    <x v="1"/>
    <x v="1"/>
  </r>
  <r>
    <n v="1028511"/>
    <x v="1"/>
    <n v="12.81"/>
    <n v="12.86"/>
    <n v="24.95"/>
    <x v="3"/>
    <x v="0"/>
    <x v="1"/>
    <x v="1"/>
  </r>
  <r>
    <n v="1028519"/>
    <x v="1"/>
    <n v="13.71"/>
    <n v="0"/>
    <n v="276.75"/>
    <x v="3"/>
    <x v="1"/>
    <x v="2"/>
    <x v="1"/>
  </r>
  <r>
    <n v="1028520"/>
    <x v="1"/>
    <n v="9.7100000000000009"/>
    <n v="9.76"/>
    <n v="32.5"/>
    <x v="0"/>
    <x v="0"/>
    <x v="1"/>
    <x v="1"/>
  </r>
  <r>
    <n v="1028521"/>
    <x v="1"/>
    <n v="13.7"/>
    <n v="13.76"/>
    <n v="58.15"/>
    <x v="3"/>
    <x v="0"/>
    <x v="1"/>
    <x v="1"/>
  </r>
  <r>
    <n v="1028524"/>
    <x v="1"/>
    <n v="9.6999999999999993"/>
    <n v="9.75"/>
    <n v="74.900000000000006"/>
    <x v="0"/>
    <x v="0"/>
    <x v="1"/>
    <x v="1"/>
  </r>
  <r>
    <n v="1028528"/>
    <x v="1"/>
    <n v="13.7"/>
    <n v="13.75"/>
    <n v="99.95"/>
    <x v="3"/>
    <x v="0"/>
    <x v="1"/>
    <x v="1"/>
  </r>
  <r>
    <n v="1028533"/>
    <x v="1"/>
    <n v="9.73"/>
    <n v="10.31"/>
    <n v="40.799999999999997"/>
    <x v="0"/>
    <x v="0"/>
    <x v="1"/>
    <x v="1"/>
  </r>
  <r>
    <n v="1028549"/>
    <x v="1"/>
    <n v="9.6999999999999993"/>
    <n v="13.75"/>
    <n v="74.8"/>
    <x v="0"/>
    <x v="0"/>
    <x v="1"/>
    <x v="1"/>
  </r>
  <r>
    <n v="1028555"/>
    <x v="1"/>
    <n v="10.08"/>
    <n v="15.56"/>
    <n v="44.95"/>
    <x v="0"/>
    <x v="0"/>
    <x v="1"/>
    <x v="1"/>
  </r>
  <r>
    <n v="1028566"/>
    <x v="1"/>
    <n v="9.6999999999999993"/>
    <n v="9.75"/>
    <n v="20.45"/>
    <x v="0"/>
    <x v="0"/>
    <x v="1"/>
    <x v="1"/>
  </r>
  <r>
    <n v="1028585"/>
    <x v="1"/>
    <n v="9.6999999999999993"/>
    <n v="0"/>
    <n v="357.35"/>
    <x v="0"/>
    <x v="1"/>
    <x v="2"/>
    <x v="1"/>
  </r>
  <r>
    <n v="1028608"/>
    <x v="1"/>
    <n v="12.81"/>
    <n v="12.86"/>
    <n v="5"/>
    <x v="3"/>
    <x v="0"/>
    <x v="1"/>
    <x v="1"/>
  </r>
  <r>
    <n v="1028630"/>
    <x v="1"/>
    <n v="9.6999999999999993"/>
    <n v="9.75"/>
    <n v="14.85"/>
    <x v="0"/>
    <x v="0"/>
    <x v="1"/>
    <x v="1"/>
  </r>
  <r>
    <n v="1028631"/>
    <x v="1"/>
    <n v="13.7"/>
    <n v="13.75"/>
    <n v="113.8"/>
    <x v="3"/>
    <x v="0"/>
    <x v="1"/>
    <x v="1"/>
  </r>
  <r>
    <n v="1028639"/>
    <x v="1"/>
    <n v="14.15"/>
    <n v="14.77"/>
    <n v="181.1"/>
    <x v="3"/>
    <x v="0"/>
    <x v="1"/>
    <x v="1"/>
  </r>
  <r>
    <n v="1028646"/>
    <x v="1"/>
    <n v="9.6999999999999993"/>
    <n v="0"/>
    <n v="249.8"/>
    <x v="0"/>
    <x v="1"/>
    <x v="2"/>
    <x v="1"/>
  </r>
  <r>
    <n v="1028655"/>
    <x v="1"/>
    <n v="12.81"/>
    <n v="12.86"/>
    <n v="44.9"/>
    <x v="3"/>
    <x v="0"/>
    <x v="1"/>
    <x v="1"/>
  </r>
  <r>
    <n v="1028691"/>
    <x v="1"/>
    <n v="16.77"/>
    <n v="16.82"/>
    <n v="9.9"/>
    <x v="4"/>
    <x v="0"/>
    <x v="1"/>
    <x v="1"/>
  </r>
  <r>
    <n v="1028706"/>
    <x v="1"/>
    <n v="13.7"/>
    <n v="13.75"/>
    <n v="13.9"/>
    <x v="3"/>
    <x v="0"/>
    <x v="1"/>
    <x v="1"/>
  </r>
  <r>
    <n v="1028725"/>
    <x v="1"/>
    <n v="16.71"/>
    <n v="16.760000000000002"/>
    <n v="163.19999999999999"/>
    <x v="6"/>
    <x v="0"/>
    <x v="1"/>
    <x v="1"/>
  </r>
  <r>
    <n v="1028729"/>
    <x v="1"/>
    <n v="13.7"/>
    <n v="13.75"/>
    <n v="74.75"/>
    <x v="3"/>
    <x v="0"/>
    <x v="1"/>
    <x v="1"/>
  </r>
  <r>
    <n v="1028735"/>
    <x v="1"/>
    <n v="12.81"/>
    <n v="12.86"/>
    <n v="65.849999999999994"/>
    <x v="3"/>
    <x v="0"/>
    <x v="1"/>
    <x v="1"/>
  </r>
  <r>
    <n v="1028744"/>
    <x v="1"/>
    <n v="13.7"/>
    <n v="13.75"/>
    <n v="83.9"/>
    <x v="3"/>
    <x v="0"/>
    <x v="1"/>
    <x v="1"/>
  </r>
  <r>
    <n v="1028751"/>
    <x v="1"/>
    <n v="12.45"/>
    <n v="12.5"/>
    <n v="94.85"/>
    <x v="7"/>
    <x v="0"/>
    <x v="1"/>
    <x v="1"/>
  </r>
  <r>
    <n v="1028764"/>
    <x v="1"/>
    <n v="9.6999999999999993"/>
    <n v="9.75"/>
    <n v="43.2"/>
    <x v="0"/>
    <x v="0"/>
    <x v="1"/>
    <x v="1"/>
  </r>
  <r>
    <n v="1028826"/>
    <x v="1"/>
    <n v="13.7"/>
    <n v="13.75"/>
    <n v="82.55"/>
    <x v="3"/>
    <x v="0"/>
    <x v="1"/>
    <x v="1"/>
  </r>
  <r>
    <n v="1028843"/>
    <x v="1"/>
    <n v="17.760000000000002"/>
    <n v="17.82"/>
    <n v="79.900000000000006"/>
    <x v="6"/>
    <x v="0"/>
    <x v="1"/>
    <x v="1"/>
  </r>
  <r>
    <n v="1028871"/>
    <x v="1"/>
    <n v="16.46"/>
    <n v="16.510000000000002"/>
    <n v="132.44999999999999"/>
    <x v="4"/>
    <x v="0"/>
    <x v="1"/>
    <x v="1"/>
  </r>
  <r>
    <n v="1028898"/>
    <x v="1"/>
    <n v="12.45"/>
    <n v="12.5"/>
    <n v="48.4"/>
    <x v="7"/>
    <x v="0"/>
    <x v="1"/>
    <x v="1"/>
  </r>
  <r>
    <n v="1028899"/>
    <x v="1"/>
    <n v="13.71"/>
    <n v="13.75"/>
    <n v="32.15"/>
    <x v="3"/>
    <x v="0"/>
    <x v="1"/>
    <x v="1"/>
  </r>
  <r>
    <n v="1028913"/>
    <x v="1"/>
    <n v="13.7"/>
    <n v="13.75"/>
    <n v="47.95"/>
    <x v="3"/>
    <x v="0"/>
    <x v="1"/>
    <x v="1"/>
  </r>
  <r>
    <n v="1028931"/>
    <x v="1"/>
    <n v="12.81"/>
    <n v="12.86"/>
    <n v="27.9"/>
    <x v="3"/>
    <x v="0"/>
    <x v="1"/>
    <x v="1"/>
  </r>
  <r>
    <n v="1028942"/>
    <x v="1"/>
    <n v="16.46"/>
    <n v="16.510000000000002"/>
    <n v="64.099999999999994"/>
    <x v="4"/>
    <x v="0"/>
    <x v="1"/>
    <x v="1"/>
  </r>
  <r>
    <n v="1028981"/>
    <x v="1"/>
    <n v="12.81"/>
    <n v="12.86"/>
    <n v="24.95"/>
    <x v="3"/>
    <x v="0"/>
    <x v="1"/>
    <x v="1"/>
  </r>
  <r>
    <n v="1028994"/>
    <x v="1"/>
    <n v="12.81"/>
    <n v="12.86"/>
    <n v="63.15"/>
    <x v="3"/>
    <x v="0"/>
    <x v="1"/>
    <x v="1"/>
  </r>
  <r>
    <n v="1029005"/>
    <x v="1"/>
    <n v="12.81"/>
    <n v="12.86"/>
    <n v="93.7"/>
    <x v="3"/>
    <x v="0"/>
    <x v="1"/>
    <x v="1"/>
  </r>
  <r>
    <n v="1029006"/>
    <x v="1"/>
    <n v="9.6999999999999993"/>
    <n v="9.75"/>
    <n v="89.7"/>
    <x v="0"/>
    <x v="0"/>
    <x v="1"/>
    <x v="1"/>
  </r>
  <r>
    <n v="1029017"/>
    <x v="1"/>
    <n v="12.81"/>
    <n v="12.86"/>
    <n v="70.75"/>
    <x v="3"/>
    <x v="0"/>
    <x v="1"/>
    <x v="1"/>
  </r>
  <r>
    <n v="1029026"/>
    <x v="1"/>
    <n v="13.71"/>
    <n v="13.76"/>
    <n v="17.95"/>
    <x v="3"/>
    <x v="0"/>
    <x v="1"/>
    <x v="1"/>
  </r>
  <r>
    <n v="1029028"/>
    <x v="1"/>
    <n v="13.71"/>
    <n v="0"/>
    <n v="233.2"/>
    <x v="3"/>
    <x v="1"/>
    <x v="2"/>
    <x v="1"/>
  </r>
  <r>
    <n v="1029045"/>
    <x v="1"/>
    <n v="25.68"/>
    <n v="28.31"/>
    <n v="206.15"/>
    <x v="10"/>
    <x v="0"/>
    <x v="1"/>
    <x v="1"/>
  </r>
  <r>
    <n v="1029056"/>
    <x v="1"/>
    <n v="30.97"/>
    <n v="28.94"/>
    <n v="352.37"/>
    <x v="9"/>
    <x v="0"/>
    <x v="0"/>
    <x v="25"/>
  </r>
  <r>
    <n v="1029061"/>
    <x v="1"/>
    <n v="9.6999999999999993"/>
    <n v="0"/>
    <n v="205.2"/>
    <x v="0"/>
    <x v="1"/>
    <x v="2"/>
    <x v="1"/>
  </r>
  <r>
    <n v="1029066"/>
    <x v="1"/>
    <n v="12.45"/>
    <n v="12.5"/>
    <n v="22.5"/>
    <x v="7"/>
    <x v="0"/>
    <x v="1"/>
    <x v="1"/>
  </r>
  <r>
    <n v="1029073"/>
    <x v="1"/>
    <n v="17.7"/>
    <n v="17.75"/>
    <n v="19.95"/>
    <x v="9"/>
    <x v="0"/>
    <x v="1"/>
    <x v="1"/>
  </r>
  <r>
    <n v="1029083"/>
    <x v="1"/>
    <n v="12.81"/>
    <n v="12.86"/>
    <n v="11.8"/>
    <x v="3"/>
    <x v="0"/>
    <x v="1"/>
    <x v="1"/>
  </r>
  <r>
    <n v="1029084"/>
    <x v="1"/>
    <n v="16.559999999999999"/>
    <n v="16.61"/>
    <n v="19.899999999999999"/>
    <x v="4"/>
    <x v="0"/>
    <x v="1"/>
    <x v="1"/>
  </r>
  <r>
    <n v="1029089"/>
    <x v="1"/>
    <n v="24.56"/>
    <n v="22.46"/>
    <n v="104.7"/>
    <x v="10"/>
    <x v="0"/>
    <x v="0"/>
    <x v="37"/>
  </r>
  <r>
    <n v="1029091"/>
    <x v="1"/>
    <n v="12.81"/>
    <n v="12.86"/>
    <n v="74.650000000000006"/>
    <x v="3"/>
    <x v="0"/>
    <x v="1"/>
    <x v="1"/>
  </r>
  <r>
    <n v="1029102"/>
    <x v="1"/>
    <n v="13.7"/>
    <n v="13.75"/>
    <n v="107.35"/>
    <x v="3"/>
    <x v="0"/>
    <x v="1"/>
    <x v="1"/>
  </r>
  <r>
    <n v="1029127"/>
    <x v="1"/>
    <n v="12.81"/>
    <n v="12.86"/>
    <n v="59.9"/>
    <x v="3"/>
    <x v="0"/>
    <x v="1"/>
    <x v="1"/>
  </r>
  <r>
    <n v="1029148"/>
    <x v="1"/>
    <n v="12.81"/>
    <n v="12.86"/>
    <n v="19.45"/>
    <x v="3"/>
    <x v="0"/>
    <x v="1"/>
    <x v="1"/>
  </r>
  <r>
    <n v="1029159"/>
    <x v="1"/>
    <n v="9.6999999999999993"/>
    <n v="9.75"/>
    <n v="97.6"/>
    <x v="0"/>
    <x v="0"/>
    <x v="1"/>
    <x v="1"/>
  </r>
  <r>
    <n v="1029168"/>
    <x v="1"/>
    <n v="12.81"/>
    <n v="12.86"/>
    <n v="7.45"/>
    <x v="3"/>
    <x v="0"/>
    <x v="1"/>
    <x v="1"/>
  </r>
  <r>
    <n v="1029172"/>
    <x v="1"/>
    <n v="13.6"/>
    <n v="13.65"/>
    <n v="117.2"/>
    <x v="10"/>
    <x v="0"/>
    <x v="1"/>
    <x v="1"/>
  </r>
  <r>
    <n v="1029175"/>
    <x v="1"/>
    <n v="12.81"/>
    <n v="12.86"/>
    <n v="19.899999999999999"/>
    <x v="3"/>
    <x v="0"/>
    <x v="1"/>
    <x v="1"/>
  </r>
  <r>
    <n v="1029178"/>
    <x v="1"/>
    <n v="12.81"/>
    <n v="12.86"/>
    <n v="39.950000000000003"/>
    <x v="3"/>
    <x v="0"/>
    <x v="1"/>
    <x v="1"/>
  </r>
  <r>
    <n v="1029189"/>
    <x v="1"/>
    <n v="12.81"/>
    <n v="0"/>
    <n v="204"/>
    <x v="3"/>
    <x v="1"/>
    <x v="2"/>
    <x v="1"/>
  </r>
  <r>
    <n v="1031142"/>
    <x v="0"/>
    <n v="11.02"/>
    <n v="12.64"/>
    <n v="44.5"/>
    <x v="8"/>
    <x v="0"/>
    <x v="1"/>
    <x v="1"/>
  </r>
  <r>
    <n v="1029247"/>
    <x v="1"/>
    <n v="12.81"/>
    <n v="0"/>
    <n v="219.6"/>
    <x v="3"/>
    <x v="1"/>
    <x v="2"/>
    <x v="1"/>
  </r>
  <r>
    <n v="1029261"/>
    <x v="1"/>
    <n v="9.6999999999999993"/>
    <n v="9.75"/>
    <n v="68.099999999999994"/>
    <x v="0"/>
    <x v="0"/>
    <x v="1"/>
    <x v="1"/>
  </r>
  <r>
    <n v="1029265"/>
    <x v="1"/>
    <n v="13.7"/>
    <n v="13.75"/>
    <n v="24.95"/>
    <x v="3"/>
    <x v="0"/>
    <x v="1"/>
    <x v="1"/>
  </r>
  <r>
    <n v="1029290"/>
    <x v="1"/>
    <n v="9.6999999999999993"/>
    <n v="9.75"/>
    <n v="15"/>
    <x v="0"/>
    <x v="0"/>
    <x v="1"/>
    <x v="1"/>
  </r>
  <r>
    <n v="1029299"/>
    <x v="1"/>
    <n v="12.35"/>
    <n v="12.4"/>
    <n v="17.5"/>
    <x v="7"/>
    <x v="0"/>
    <x v="1"/>
    <x v="1"/>
  </r>
  <r>
    <n v="1029342"/>
    <x v="1"/>
    <n v="15.13"/>
    <n v="15.77"/>
    <n v="54.85"/>
    <x v="6"/>
    <x v="0"/>
    <x v="1"/>
    <x v="1"/>
  </r>
  <r>
    <n v="1029345"/>
    <x v="1"/>
    <n v="13.7"/>
    <n v="13.75"/>
    <n v="36.549999999999997"/>
    <x v="3"/>
    <x v="0"/>
    <x v="1"/>
    <x v="1"/>
  </r>
  <r>
    <n v="1029348"/>
    <x v="1"/>
    <n v="12.81"/>
    <n v="0"/>
    <n v="246.95"/>
    <x v="3"/>
    <x v="1"/>
    <x v="2"/>
    <x v="1"/>
  </r>
  <r>
    <n v="1029361"/>
    <x v="1"/>
    <n v="16.46"/>
    <n v="17.91"/>
    <n v="319"/>
    <x v="4"/>
    <x v="0"/>
    <x v="1"/>
    <x v="1"/>
  </r>
  <r>
    <n v="1029378"/>
    <x v="1"/>
    <n v="16.46"/>
    <n v="16.510000000000002"/>
    <n v="13.85"/>
    <x v="4"/>
    <x v="0"/>
    <x v="1"/>
    <x v="1"/>
  </r>
  <r>
    <n v="1029382"/>
    <x v="1"/>
    <n v="13.7"/>
    <n v="13.75"/>
    <n v="9.4499999999999993"/>
    <x v="3"/>
    <x v="0"/>
    <x v="1"/>
    <x v="1"/>
  </r>
  <r>
    <n v="1029386"/>
    <x v="1"/>
    <n v="16.46"/>
    <n v="16.510000000000002"/>
    <n v="24.95"/>
    <x v="4"/>
    <x v="0"/>
    <x v="1"/>
    <x v="1"/>
  </r>
  <r>
    <n v="1029390"/>
    <x v="1"/>
    <n v="12.81"/>
    <n v="12.86"/>
    <n v="29.9"/>
    <x v="3"/>
    <x v="0"/>
    <x v="1"/>
    <x v="1"/>
  </r>
  <r>
    <n v="1029394"/>
    <x v="1"/>
    <n v="12.81"/>
    <n v="19.62"/>
    <n v="179.8"/>
    <x v="7"/>
    <x v="0"/>
    <x v="1"/>
    <x v="1"/>
  </r>
  <r>
    <n v="1029430"/>
    <x v="1"/>
    <n v="9.7100000000000009"/>
    <n v="9.76"/>
    <n v="18.850000000000001"/>
    <x v="0"/>
    <x v="0"/>
    <x v="1"/>
    <x v="1"/>
  </r>
  <r>
    <n v="1029436"/>
    <x v="1"/>
    <n v="14.81"/>
    <n v="14.86"/>
    <n v="164.05"/>
    <x v="10"/>
    <x v="0"/>
    <x v="1"/>
    <x v="1"/>
  </r>
  <r>
    <n v="1029470"/>
    <x v="1"/>
    <n v="13.7"/>
    <n v="13.75"/>
    <n v="2.95"/>
    <x v="3"/>
    <x v="0"/>
    <x v="1"/>
    <x v="1"/>
  </r>
  <r>
    <n v="1029473"/>
    <x v="1"/>
    <n v="12.81"/>
    <n v="12.86"/>
    <n v="42.1"/>
    <x v="3"/>
    <x v="0"/>
    <x v="1"/>
    <x v="1"/>
  </r>
  <r>
    <n v="1029483"/>
    <x v="1"/>
    <n v="9.6999999999999993"/>
    <n v="9.75"/>
    <n v="13.95"/>
    <x v="0"/>
    <x v="0"/>
    <x v="1"/>
    <x v="1"/>
  </r>
  <r>
    <n v="1029502"/>
    <x v="1"/>
    <n v="13.7"/>
    <n v="13.75"/>
    <n v="11.8"/>
    <x v="3"/>
    <x v="0"/>
    <x v="1"/>
    <x v="1"/>
  </r>
  <r>
    <n v="1029503"/>
    <x v="1"/>
    <n v="12.81"/>
    <n v="0"/>
    <n v="225"/>
    <x v="3"/>
    <x v="1"/>
    <x v="2"/>
    <x v="1"/>
  </r>
  <r>
    <n v="1029519"/>
    <x v="1"/>
    <n v="12.81"/>
    <n v="12.86"/>
    <n v="3.7"/>
    <x v="3"/>
    <x v="0"/>
    <x v="1"/>
    <x v="1"/>
  </r>
  <r>
    <n v="1029537"/>
    <x v="1"/>
    <n v="13.7"/>
    <n v="13.76"/>
    <n v="119.75"/>
    <x v="3"/>
    <x v="0"/>
    <x v="1"/>
    <x v="1"/>
  </r>
  <r>
    <n v="1029543"/>
    <x v="1"/>
    <n v="12.81"/>
    <n v="12.86"/>
    <n v="174.55"/>
    <x v="3"/>
    <x v="0"/>
    <x v="1"/>
    <x v="1"/>
  </r>
  <r>
    <n v="1031170"/>
    <x v="0"/>
    <n v="12.81"/>
    <n v="12.86"/>
    <n v="10.4"/>
    <x v="3"/>
    <x v="0"/>
    <x v="1"/>
    <x v="1"/>
  </r>
  <r>
    <n v="1029548"/>
    <x v="1"/>
    <n v="9.6999999999999993"/>
    <n v="9.75"/>
    <n v="63.4"/>
    <x v="0"/>
    <x v="0"/>
    <x v="1"/>
    <x v="1"/>
  </r>
  <r>
    <n v="1031187"/>
    <x v="0"/>
    <n v="58.59"/>
    <n v="59.07"/>
    <n v="116.05"/>
    <x v="2"/>
    <x v="0"/>
    <x v="1"/>
    <x v="1"/>
  </r>
  <r>
    <n v="1029567"/>
    <x v="1"/>
    <n v="12.81"/>
    <n v="12.86"/>
    <n v="104.65"/>
    <x v="3"/>
    <x v="0"/>
    <x v="1"/>
    <x v="1"/>
  </r>
  <r>
    <n v="1029577"/>
    <x v="1"/>
    <n v="9.6999999999999993"/>
    <n v="12.86"/>
    <n v="17.8"/>
    <x v="0"/>
    <x v="0"/>
    <x v="1"/>
    <x v="1"/>
  </r>
  <r>
    <n v="1029580"/>
    <x v="1"/>
    <n v="12.81"/>
    <n v="12.86"/>
    <n v="49.4"/>
    <x v="3"/>
    <x v="0"/>
    <x v="1"/>
    <x v="1"/>
  </r>
  <r>
    <n v="1029583"/>
    <x v="1"/>
    <n v="12.81"/>
    <n v="12.86"/>
    <n v="60.85"/>
    <x v="3"/>
    <x v="0"/>
    <x v="1"/>
    <x v="1"/>
  </r>
  <r>
    <n v="1029591"/>
    <x v="1"/>
    <n v="13.7"/>
    <n v="13.75"/>
    <n v="39.9"/>
    <x v="3"/>
    <x v="0"/>
    <x v="1"/>
    <x v="1"/>
  </r>
  <r>
    <n v="1029594"/>
    <x v="1"/>
    <n v="12.81"/>
    <n v="12.86"/>
    <n v="32.700000000000003"/>
    <x v="3"/>
    <x v="0"/>
    <x v="1"/>
    <x v="1"/>
  </r>
  <r>
    <n v="1029601"/>
    <x v="1"/>
    <n v="13.7"/>
    <n v="14.27"/>
    <n v="81.900000000000006"/>
    <x v="3"/>
    <x v="0"/>
    <x v="1"/>
    <x v="1"/>
  </r>
  <r>
    <n v="1029607"/>
    <x v="1"/>
    <n v="13.7"/>
    <n v="13.75"/>
    <n v="26.4"/>
    <x v="3"/>
    <x v="0"/>
    <x v="1"/>
    <x v="1"/>
  </r>
  <r>
    <n v="1029610"/>
    <x v="1"/>
    <n v="17.7"/>
    <n v="17.75"/>
    <n v="19.95"/>
    <x v="9"/>
    <x v="0"/>
    <x v="1"/>
    <x v="1"/>
  </r>
  <r>
    <n v="1029619"/>
    <x v="1"/>
    <n v="13.7"/>
    <n v="13.75"/>
    <n v="49.9"/>
    <x v="3"/>
    <x v="0"/>
    <x v="1"/>
    <x v="1"/>
  </r>
  <r>
    <n v="1029628"/>
    <x v="1"/>
    <n v="13.7"/>
    <n v="13.75"/>
    <n v="19.8"/>
    <x v="3"/>
    <x v="0"/>
    <x v="1"/>
    <x v="1"/>
  </r>
  <r>
    <n v="1029635"/>
    <x v="1"/>
    <n v="11.02"/>
    <n v="11.07"/>
    <n v="39.950000000000003"/>
    <x v="8"/>
    <x v="0"/>
    <x v="1"/>
    <x v="1"/>
  </r>
  <r>
    <n v="1029637"/>
    <x v="1"/>
    <n v="11.02"/>
    <n v="11.07"/>
    <n v="24.95"/>
    <x v="8"/>
    <x v="0"/>
    <x v="1"/>
    <x v="1"/>
  </r>
  <r>
    <n v="1029640"/>
    <x v="1"/>
    <n v="16.77"/>
    <n v="16.82"/>
    <n v="79.95"/>
    <x v="4"/>
    <x v="0"/>
    <x v="1"/>
    <x v="1"/>
  </r>
  <r>
    <n v="1029641"/>
    <x v="1"/>
    <n v="13.7"/>
    <n v="13.75"/>
    <n v="9.4499999999999993"/>
    <x v="3"/>
    <x v="0"/>
    <x v="1"/>
    <x v="1"/>
  </r>
  <r>
    <n v="1029643"/>
    <x v="1"/>
    <n v="12.81"/>
    <n v="12.86"/>
    <n v="52.45"/>
    <x v="3"/>
    <x v="0"/>
    <x v="1"/>
    <x v="1"/>
  </r>
  <r>
    <n v="1029654"/>
    <x v="1"/>
    <n v="15.44"/>
    <n v="15.49"/>
    <n v="112.85"/>
    <x v="6"/>
    <x v="0"/>
    <x v="1"/>
    <x v="1"/>
  </r>
  <r>
    <n v="1029666"/>
    <x v="1"/>
    <n v="13.7"/>
    <n v="13.75"/>
    <n v="32.65"/>
    <x v="3"/>
    <x v="0"/>
    <x v="1"/>
    <x v="1"/>
  </r>
  <r>
    <n v="1029669"/>
    <x v="1"/>
    <n v="12.81"/>
    <n v="12.86"/>
    <n v="39.950000000000003"/>
    <x v="3"/>
    <x v="0"/>
    <x v="1"/>
    <x v="1"/>
  </r>
  <r>
    <n v="1029670"/>
    <x v="1"/>
    <n v="16.77"/>
    <n v="16.82"/>
    <n v="36.85"/>
    <x v="4"/>
    <x v="0"/>
    <x v="1"/>
    <x v="1"/>
  </r>
  <r>
    <n v="1029671"/>
    <x v="1"/>
    <n v="13.7"/>
    <n v="0"/>
    <n v="216.35"/>
    <x v="3"/>
    <x v="1"/>
    <x v="2"/>
    <x v="1"/>
  </r>
  <r>
    <n v="1029680"/>
    <x v="1"/>
    <n v="16.559999999999999"/>
    <n v="0"/>
    <n v="506.45"/>
    <x v="3"/>
    <x v="1"/>
    <x v="2"/>
    <x v="1"/>
  </r>
  <r>
    <n v="1029683"/>
    <x v="1"/>
    <n v="12.81"/>
    <n v="12.86"/>
    <n v="97.35"/>
    <x v="3"/>
    <x v="0"/>
    <x v="1"/>
    <x v="1"/>
  </r>
  <r>
    <n v="1029696"/>
    <x v="1"/>
    <n v="12.81"/>
    <n v="12.86"/>
    <n v="121.05"/>
    <x v="3"/>
    <x v="0"/>
    <x v="1"/>
    <x v="1"/>
  </r>
  <r>
    <n v="1029709"/>
    <x v="1"/>
    <n v="12.81"/>
    <n v="12.86"/>
    <n v="14.9"/>
    <x v="3"/>
    <x v="0"/>
    <x v="1"/>
    <x v="1"/>
  </r>
  <r>
    <n v="1029711"/>
    <x v="1"/>
    <n v="12.81"/>
    <n v="12.86"/>
    <n v="114.25"/>
    <x v="3"/>
    <x v="0"/>
    <x v="1"/>
    <x v="1"/>
  </r>
  <r>
    <n v="1029725"/>
    <x v="1"/>
    <n v="12.81"/>
    <n v="12.86"/>
    <n v="56.1"/>
    <x v="3"/>
    <x v="0"/>
    <x v="1"/>
    <x v="1"/>
  </r>
  <r>
    <n v="1029754"/>
    <x v="1"/>
    <n v="13.7"/>
    <n v="13.75"/>
    <n v="21.85"/>
    <x v="3"/>
    <x v="0"/>
    <x v="1"/>
    <x v="1"/>
  </r>
  <r>
    <n v="1029772"/>
    <x v="1"/>
    <n v="13.7"/>
    <n v="13.75"/>
    <n v="49.9"/>
    <x v="3"/>
    <x v="0"/>
    <x v="1"/>
    <x v="1"/>
  </r>
  <r>
    <n v="1029780"/>
    <x v="1"/>
    <n v="23.33"/>
    <n v="23.38"/>
    <n v="122.5"/>
    <x v="9"/>
    <x v="0"/>
    <x v="1"/>
    <x v="1"/>
  </r>
  <r>
    <n v="1029785"/>
    <x v="1"/>
    <n v="9.6999999999999993"/>
    <n v="9.75"/>
    <n v="174.4"/>
    <x v="0"/>
    <x v="0"/>
    <x v="1"/>
    <x v="1"/>
  </r>
  <r>
    <n v="1029799"/>
    <x v="1"/>
    <n v="9.6999999999999993"/>
    <n v="10.31"/>
    <n v="98.1"/>
    <x v="0"/>
    <x v="0"/>
    <x v="1"/>
    <x v="1"/>
  </r>
  <r>
    <n v="1029802"/>
    <x v="1"/>
    <n v="13.7"/>
    <n v="13.75"/>
    <n v="52.35"/>
    <x v="3"/>
    <x v="0"/>
    <x v="1"/>
    <x v="1"/>
  </r>
  <r>
    <n v="1029804"/>
    <x v="1"/>
    <n v="9.6999999999999993"/>
    <n v="9.75"/>
    <n v="31.85"/>
    <x v="0"/>
    <x v="0"/>
    <x v="1"/>
    <x v="1"/>
  </r>
  <r>
    <n v="1029808"/>
    <x v="1"/>
    <n v="12.81"/>
    <n v="12.86"/>
    <n v="25.35"/>
    <x v="3"/>
    <x v="0"/>
    <x v="1"/>
    <x v="1"/>
  </r>
  <r>
    <n v="1029812"/>
    <x v="1"/>
    <n v="12.81"/>
    <n v="12.86"/>
    <n v="14.85"/>
    <x v="3"/>
    <x v="0"/>
    <x v="1"/>
    <x v="1"/>
  </r>
  <r>
    <n v="1029832"/>
    <x v="1"/>
    <n v="12.81"/>
    <n v="12.86"/>
    <n v="20.95"/>
    <x v="3"/>
    <x v="0"/>
    <x v="1"/>
    <x v="1"/>
  </r>
  <r>
    <n v="1029835"/>
    <x v="1"/>
    <n v="16.46"/>
    <n v="16.510000000000002"/>
    <n v="7.95"/>
    <x v="4"/>
    <x v="0"/>
    <x v="1"/>
    <x v="1"/>
  </r>
  <r>
    <n v="1031191"/>
    <x v="0"/>
    <n v="9.6999999999999993"/>
    <n v="9.75"/>
    <n v="34.9"/>
    <x v="0"/>
    <x v="0"/>
    <x v="1"/>
    <x v="1"/>
  </r>
  <r>
    <n v="1029843"/>
    <x v="1"/>
    <n v="9.6999999999999993"/>
    <n v="12.86"/>
    <n v="27.85"/>
    <x v="0"/>
    <x v="0"/>
    <x v="1"/>
    <x v="1"/>
  </r>
  <r>
    <n v="1029848"/>
    <x v="1"/>
    <n v="13.71"/>
    <n v="13.76"/>
    <n v="62.95"/>
    <x v="3"/>
    <x v="0"/>
    <x v="1"/>
    <x v="1"/>
  </r>
  <r>
    <n v="1029854"/>
    <x v="1"/>
    <n v="13.7"/>
    <n v="13.75"/>
    <n v="45.85"/>
    <x v="3"/>
    <x v="0"/>
    <x v="1"/>
    <x v="1"/>
  </r>
  <r>
    <n v="1029856"/>
    <x v="1"/>
    <n v="9.6999999999999993"/>
    <n v="9.75"/>
    <n v="48.35"/>
    <x v="0"/>
    <x v="0"/>
    <x v="1"/>
    <x v="1"/>
  </r>
  <r>
    <n v="1029860"/>
    <x v="1"/>
    <n v="9.6999999999999993"/>
    <n v="13.75"/>
    <n v="39.299999999999997"/>
    <x v="0"/>
    <x v="0"/>
    <x v="1"/>
    <x v="1"/>
  </r>
  <r>
    <n v="1029866"/>
    <x v="1"/>
    <n v="13.7"/>
    <n v="13.76"/>
    <n v="35.75"/>
    <x v="3"/>
    <x v="0"/>
    <x v="1"/>
    <x v="1"/>
  </r>
  <r>
    <n v="1029870"/>
    <x v="1"/>
    <n v="12.81"/>
    <n v="12.86"/>
    <n v="75.5"/>
    <x v="3"/>
    <x v="0"/>
    <x v="1"/>
    <x v="1"/>
  </r>
  <r>
    <n v="1029902"/>
    <x v="1"/>
    <n v="13.7"/>
    <n v="13.75"/>
    <n v="64.95"/>
    <x v="3"/>
    <x v="0"/>
    <x v="1"/>
    <x v="1"/>
  </r>
  <r>
    <n v="1029915"/>
    <x v="1"/>
    <n v="12.81"/>
    <n v="13.31"/>
    <n v="55.15"/>
    <x v="3"/>
    <x v="0"/>
    <x v="1"/>
    <x v="1"/>
  </r>
  <r>
    <n v="1029918"/>
    <x v="1"/>
    <n v="16.77"/>
    <n v="16.82"/>
    <n v="33.5"/>
    <x v="4"/>
    <x v="0"/>
    <x v="1"/>
    <x v="1"/>
  </r>
  <r>
    <n v="1029982"/>
    <x v="1"/>
    <n v="13.7"/>
    <n v="13.75"/>
    <n v="6.95"/>
    <x v="3"/>
    <x v="0"/>
    <x v="1"/>
    <x v="1"/>
  </r>
  <r>
    <n v="1029986"/>
    <x v="1"/>
    <n v="12.81"/>
    <n v="12.86"/>
    <n v="19.45"/>
    <x v="3"/>
    <x v="0"/>
    <x v="1"/>
    <x v="1"/>
  </r>
  <r>
    <n v="1029990"/>
    <x v="1"/>
    <n v="12.81"/>
    <n v="12.86"/>
    <n v="77.650000000000006"/>
    <x v="3"/>
    <x v="0"/>
    <x v="1"/>
    <x v="1"/>
  </r>
  <r>
    <n v="1030007"/>
    <x v="1"/>
    <n v="12.81"/>
    <n v="12.86"/>
    <n v="91.45"/>
    <x v="3"/>
    <x v="0"/>
    <x v="1"/>
    <x v="1"/>
  </r>
  <r>
    <n v="1030008"/>
    <x v="1"/>
    <n v="21.55"/>
    <n v="22.97"/>
    <n v="81.8"/>
    <x v="9"/>
    <x v="0"/>
    <x v="1"/>
    <x v="1"/>
  </r>
  <r>
    <n v="1030009"/>
    <x v="1"/>
    <n v="12.81"/>
    <n v="12.86"/>
    <n v="32.450000000000003"/>
    <x v="3"/>
    <x v="0"/>
    <x v="1"/>
    <x v="1"/>
  </r>
  <r>
    <n v="1030013"/>
    <x v="1"/>
    <n v="13.7"/>
    <n v="13.75"/>
    <n v="49.95"/>
    <x v="3"/>
    <x v="0"/>
    <x v="1"/>
    <x v="1"/>
  </r>
  <r>
    <n v="1030026"/>
    <x v="1"/>
    <n v="12.81"/>
    <n v="12.86"/>
    <n v="18.95"/>
    <x v="3"/>
    <x v="0"/>
    <x v="1"/>
    <x v="1"/>
  </r>
  <r>
    <n v="1030030"/>
    <x v="1"/>
    <n v="12.81"/>
    <n v="12.86"/>
    <n v="75.900000000000006"/>
    <x v="3"/>
    <x v="0"/>
    <x v="1"/>
    <x v="1"/>
  </r>
  <r>
    <n v="1030040"/>
    <x v="1"/>
    <n v="13.7"/>
    <n v="13.75"/>
    <n v="60.2"/>
    <x v="3"/>
    <x v="0"/>
    <x v="1"/>
    <x v="1"/>
  </r>
  <r>
    <n v="1030049"/>
    <x v="1"/>
    <n v="12.81"/>
    <n v="12.86"/>
    <n v="95.85"/>
    <x v="3"/>
    <x v="0"/>
    <x v="1"/>
    <x v="1"/>
  </r>
  <r>
    <n v="1030067"/>
    <x v="1"/>
    <n v="12.81"/>
    <n v="12.86"/>
    <n v="23.55"/>
    <x v="3"/>
    <x v="0"/>
    <x v="1"/>
    <x v="1"/>
  </r>
  <r>
    <n v="1030069"/>
    <x v="1"/>
    <n v="12.81"/>
    <n v="12.86"/>
    <n v="55.3"/>
    <x v="3"/>
    <x v="0"/>
    <x v="1"/>
    <x v="1"/>
  </r>
  <r>
    <n v="1030082"/>
    <x v="1"/>
    <n v="15.44"/>
    <n v="15.49"/>
    <n v="52.45"/>
    <x v="6"/>
    <x v="0"/>
    <x v="1"/>
    <x v="1"/>
  </r>
  <r>
    <n v="1030092"/>
    <x v="1"/>
    <n v="12.45"/>
    <n v="12.5"/>
    <n v="30"/>
    <x v="7"/>
    <x v="0"/>
    <x v="1"/>
    <x v="1"/>
  </r>
  <r>
    <n v="1030098"/>
    <x v="1"/>
    <n v="12.81"/>
    <n v="12.86"/>
    <n v="59.9"/>
    <x v="3"/>
    <x v="0"/>
    <x v="1"/>
    <x v="1"/>
  </r>
  <r>
    <n v="1030099"/>
    <x v="1"/>
    <n v="15.13"/>
    <n v="15.18"/>
    <n v="31.8"/>
    <x v="6"/>
    <x v="0"/>
    <x v="1"/>
    <x v="1"/>
  </r>
  <r>
    <n v="1030109"/>
    <x v="1"/>
    <n v="12.81"/>
    <n v="12.86"/>
    <n v="27.5"/>
    <x v="3"/>
    <x v="0"/>
    <x v="1"/>
    <x v="1"/>
  </r>
  <r>
    <n v="1030114"/>
    <x v="1"/>
    <n v="13.7"/>
    <n v="13.75"/>
    <n v="5.95"/>
    <x v="3"/>
    <x v="0"/>
    <x v="1"/>
    <x v="1"/>
  </r>
  <r>
    <n v="1030138"/>
    <x v="1"/>
    <n v="15.44"/>
    <n v="15.49"/>
    <n v="29.95"/>
    <x v="6"/>
    <x v="0"/>
    <x v="1"/>
    <x v="1"/>
  </r>
  <r>
    <n v="1030139"/>
    <x v="1"/>
    <n v="13.7"/>
    <n v="13.75"/>
    <n v="14.95"/>
    <x v="3"/>
    <x v="0"/>
    <x v="1"/>
    <x v="1"/>
  </r>
  <r>
    <n v="1030140"/>
    <x v="1"/>
    <n v="16.77"/>
    <n v="16.82"/>
    <n v="49.95"/>
    <x v="4"/>
    <x v="0"/>
    <x v="1"/>
    <x v="1"/>
  </r>
  <r>
    <n v="1030153"/>
    <x v="1"/>
    <n v="12.81"/>
    <n v="12.86"/>
    <n v="127.4"/>
    <x v="3"/>
    <x v="0"/>
    <x v="1"/>
    <x v="1"/>
  </r>
  <r>
    <n v="1030155"/>
    <x v="1"/>
    <n v="15.13"/>
    <n v="15.18"/>
    <n v="54.9"/>
    <x v="6"/>
    <x v="0"/>
    <x v="1"/>
    <x v="1"/>
  </r>
  <r>
    <n v="1030163"/>
    <x v="1"/>
    <n v="12.81"/>
    <n v="12.86"/>
    <n v="68.349999999999994"/>
    <x v="3"/>
    <x v="0"/>
    <x v="1"/>
    <x v="1"/>
  </r>
  <r>
    <n v="1030170"/>
    <x v="1"/>
    <n v="13.7"/>
    <n v="13.75"/>
    <n v="11.95"/>
    <x v="3"/>
    <x v="0"/>
    <x v="1"/>
    <x v="1"/>
  </r>
  <r>
    <n v="1030175"/>
    <x v="1"/>
    <n v="13.7"/>
    <n v="13.75"/>
    <n v="68.849999999999994"/>
    <x v="3"/>
    <x v="0"/>
    <x v="1"/>
    <x v="1"/>
  </r>
  <r>
    <n v="1030187"/>
    <x v="1"/>
    <n v="15.44"/>
    <n v="15.49"/>
    <n v="33.9"/>
    <x v="6"/>
    <x v="0"/>
    <x v="1"/>
    <x v="1"/>
  </r>
  <r>
    <n v="1030210"/>
    <x v="1"/>
    <n v="15.44"/>
    <n v="15.49"/>
    <n v="145.80000000000001"/>
    <x v="6"/>
    <x v="0"/>
    <x v="1"/>
    <x v="1"/>
  </r>
  <r>
    <n v="1030217"/>
    <x v="1"/>
    <n v="15.13"/>
    <n v="15.18"/>
    <n v="9.9499999999999993"/>
    <x v="6"/>
    <x v="0"/>
    <x v="1"/>
    <x v="1"/>
  </r>
  <r>
    <n v="1030249"/>
    <x v="1"/>
    <n v="12.81"/>
    <n v="12.86"/>
    <n v="35.549999999999997"/>
    <x v="3"/>
    <x v="0"/>
    <x v="1"/>
    <x v="1"/>
  </r>
  <r>
    <n v="1031222"/>
    <x v="0"/>
    <n v="13.64"/>
    <n v="13.76"/>
    <n v="42.4"/>
    <x v="3"/>
    <x v="0"/>
    <x v="1"/>
    <x v="1"/>
  </r>
  <r>
    <n v="1030329"/>
    <x v="1"/>
    <n v="9.6999999999999993"/>
    <n v="12.86"/>
    <n v="74.95"/>
    <x v="0"/>
    <x v="0"/>
    <x v="1"/>
    <x v="1"/>
  </r>
  <r>
    <n v="1030334"/>
    <x v="1"/>
    <n v="16.46"/>
    <n v="16.510000000000002"/>
    <n v="35.799999999999997"/>
    <x v="4"/>
    <x v="0"/>
    <x v="1"/>
    <x v="1"/>
  </r>
  <r>
    <n v="1030362"/>
    <x v="1"/>
    <n v="12.81"/>
    <n v="13.88"/>
    <n v="97.45"/>
    <x v="3"/>
    <x v="0"/>
    <x v="1"/>
    <x v="1"/>
  </r>
  <r>
    <n v="1030372"/>
    <x v="1"/>
    <n v="16.46"/>
    <n v="16.510000000000002"/>
    <n v="59.05"/>
    <x v="4"/>
    <x v="0"/>
    <x v="1"/>
    <x v="1"/>
  </r>
  <r>
    <n v="1030378"/>
    <x v="1"/>
    <n v="12.81"/>
    <n v="12.86"/>
    <n v="33.799999999999997"/>
    <x v="3"/>
    <x v="0"/>
    <x v="1"/>
    <x v="1"/>
  </r>
  <r>
    <n v="1030388"/>
    <x v="1"/>
    <n v="12.81"/>
    <n v="12.86"/>
    <n v="26.3"/>
    <x v="3"/>
    <x v="0"/>
    <x v="1"/>
    <x v="1"/>
  </r>
  <r>
    <n v="1030393"/>
    <x v="1"/>
    <n v="13.7"/>
    <n v="13.76"/>
    <n v="72.45"/>
    <x v="3"/>
    <x v="0"/>
    <x v="1"/>
    <x v="1"/>
  </r>
  <r>
    <n v="1030403"/>
    <x v="1"/>
    <n v="15.44"/>
    <n v="16.079999999999998"/>
    <n v="91.7"/>
    <x v="6"/>
    <x v="0"/>
    <x v="1"/>
    <x v="1"/>
  </r>
  <r>
    <n v="1030407"/>
    <x v="1"/>
    <n v="12.81"/>
    <n v="12.86"/>
    <n v="66.900000000000006"/>
    <x v="3"/>
    <x v="0"/>
    <x v="1"/>
    <x v="1"/>
  </r>
  <r>
    <n v="1030412"/>
    <x v="1"/>
    <n v="12.81"/>
    <n v="0"/>
    <n v="202.7"/>
    <x v="3"/>
    <x v="1"/>
    <x v="2"/>
    <x v="1"/>
  </r>
  <r>
    <n v="1030427"/>
    <x v="1"/>
    <n v="12.81"/>
    <n v="0"/>
    <n v="208.35"/>
    <x v="3"/>
    <x v="1"/>
    <x v="2"/>
    <x v="1"/>
  </r>
  <r>
    <n v="1030444"/>
    <x v="1"/>
    <n v="15.44"/>
    <n v="16.760000000000002"/>
    <n v="85.8"/>
    <x v="6"/>
    <x v="0"/>
    <x v="1"/>
    <x v="1"/>
  </r>
  <r>
    <n v="1030455"/>
    <x v="1"/>
    <n v="13.7"/>
    <n v="13.76"/>
    <n v="70.349999999999994"/>
    <x v="3"/>
    <x v="0"/>
    <x v="1"/>
    <x v="1"/>
  </r>
  <r>
    <n v="1030461"/>
    <x v="1"/>
    <n v="12.81"/>
    <n v="12.86"/>
    <n v="62.9"/>
    <x v="3"/>
    <x v="0"/>
    <x v="1"/>
    <x v="1"/>
  </r>
  <r>
    <n v="1030503"/>
    <x v="1"/>
    <n v="15.01"/>
    <n v="0"/>
    <n v="234.2"/>
    <x v="3"/>
    <x v="1"/>
    <x v="2"/>
    <x v="1"/>
  </r>
  <r>
    <n v="1030517"/>
    <x v="1"/>
    <n v="12.81"/>
    <n v="12.86"/>
    <n v="26.95"/>
    <x v="3"/>
    <x v="0"/>
    <x v="1"/>
    <x v="1"/>
  </r>
  <r>
    <n v="1030527"/>
    <x v="1"/>
    <n v="15.44"/>
    <n v="15.49"/>
    <n v="76.650000000000006"/>
    <x v="6"/>
    <x v="0"/>
    <x v="1"/>
    <x v="1"/>
  </r>
  <r>
    <n v="1030540"/>
    <x v="1"/>
    <n v="15.13"/>
    <n v="15.18"/>
    <n v="30.8"/>
    <x v="6"/>
    <x v="0"/>
    <x v="1"/>
    <x v="1"/>
  </r>
  <r>
    <n v="1030564"/>
    <x v="1"/>
    <n v="20.46"/>
    <n v="20.51"/>
    <n v="74.849999999999994"/>
    <x v="10"/>
    <x v="0"/>
    <x v="1"/>
    <x v="1"/>
  </r>
  <r>
    <n v="1030579"/>
    <x v="1"/>
    <n v="12.81"/>
    <n v="12.86"/>
    <n v="9.9499999999999993"/>
    <x v="3"/>
    <x v="0"/>
    <x v="1"/>
    <x v="1"/>
  </r>
  <r>
    <n v="1030595"/>
    <x v="1"/>
    <n v="12.81"/>
    <n v="12.86"/>
    <n v="22.95"/>
    <x v="3"/>
    <x v="0"/>
    <x v="1"/>
    <x v="1"/>
  </r>
  <r>
    <n v="1030597"/>
    <x v="1"/>
    <n v="13.7"/>
    <n v="13.75"/>
    <n v="50.95"/>
    <x v="3"/>
    <x v="0"/>
    <x v="1"/>
    <x v="1"/>
  </r>
  <r>
    <n v="1030603"/>
    <x v="1"/>
    <n v="16.46"/>
    <n v="16.510000000000002"/>
    <n v="45.5"/>
    <x v="4"/>
    <x v="0"/>
    <x v="1"/>
    <x v="1"/>
  </r>
  <r>
    <n v="1030610"/>
    <x v="1"/>
    <n v="14.94"/>
    <n v="13.88"/>
    <n v="160.05000000000001"/>
    <x v="3"/>
    <x v="0"/>
    <x v="0"/>
    <x v="38"/>
  </r>
  <r>
    <n v="1030614"/>
    <x v="1"/>
    <n v="12.81"/>
    <n v="12.86"/>
    <n v="17.5"/>
    <x v="3"/>
    <x v="0"/>
    <x v="1"/>
    <x v="1"/>
  </r>
  <r>
    <n v="1030618"/>
    <x v="1"/>
    <n v="13.7"/>
    <n v="13.75"/>
    <n v="6.95"/>
    <x v="3"/>
    <x v="0"/>
    <x v="1"/>
    <x v="1"/>
  </r>
  <r>
    <n v="1030623"/>
    <x v="1"/>
    <n v="13.7"/>
    <n v="13.75"/>
    <n v="50.95"/>
    <x v="3"/>
    <x v="0"/>
    <x v="1"/>
    <x v="1"/>
  </r>
  <r>
    <n v="1030643"/>
    <x v="1"/>
    <n v="16.87"/>
    <n v="20.5"/>
    <n v="69"/>
    <x v="4"/>
    <x v="0"/>
    <x v="1"/>
    <x v="1"/>
  </r>
  <r>
    <n v="1030696"/>
    <x v="1"/>
    <n v="12.81"/>
    <n v="12.86"/>
    <n v="123.65"/>
    <x v="3"/>
    <x v="0"/>
    <x v="1"/>
    <x v="1"/>
  </r>
  <r>
    <n v="1030704"/>
    <x v="1"/>
    <n v="16.46"/>
    <n v="16.510000000000002"/>
    <n v="53.35"/>
    <x v="4"/>
    <x v="0"/>
    <x v="1"/>
    <x v="1"/>
  </r>
  <r>
    <n v="1030705"/>
    <x v="1"/>
    <n v="12.81"/>
    <n v="12.86"/>
    <n v="6.5"/>
    <x v="3"/>
    <x v="0"/>
    <x v="1"/>
    <x v="1"/>
  </r>
  <r>
    <n v="1030721"/>
    <x v="1"/>
    <n v="13.71"/>
    <n v="13.75"/>
    <n v="79.95"/>
    <x v="3"/>
    <x v="0"/>
    <x v="1"/>
    <x v="1"/>
  </r>
  <r>
    <n v="1030724"/>
    <x v="1"/>
    <n v="12.81"/>
    <n v="12.86"/>
    <n v="1.95"/>
    <x v="3"/>
    <x v="0"/>
    <x v="1"/>
    <x v="1"/>
  </r>
  <r>
    <n v="1030738"/>
    <x v="1"/>
    <n v="12.81"/>
    <n v="12.86"/>
    <n v="64.45"/>
    <x v="3"/>
    <x v="0"/>
    <x v="1"/>
    <x v="1"/>
  </r>
  <r>
    <n v="1030757"/>
    <x v="1"/>
    <n v="9.6999999999999993"/>
    <n v="9.75"/>
    <n v="10.9"/>
    <x v="0"/>
    <x v="0"/>
    <x v="1"/>
    <x v="1"/>
  </r>
  <r>
    <n v="1030806"/>
    <x v="1"/>
    <n v="12.81"/>
    <n v="12.86"/>
    <n v="84.5"/>
    <x v="3"/>
    <x v="0"/>
    <x v="1"/>
    <x v="1"/>
  </r>
  <r>
    <n v="1030809"/>
    <x v="1"/>
    <n v="13.7"/>
    <n v="0"/>
    <n v="203.55"/>
    <x v="3"/>
    <x v="1"/>
    <x v="2"/>
    <x v="1"/>
  </r>
  <r>
    <n v="1030814"/>
    <x v="1"/>
    <n v="12.81"/>
    <n v="12.86"/>
    <n v="13.9"/>
    <x v="3"/>
    <x v="0"/>
    <x v="1"/>
    <x v="1"/>
  </r>
  <r>
    <n v="1030825"/>
    <x v="1"/>
    <n v="23.33"/>
    <n v="23.38"/>
    <n v="4.95"/>
    <x v="9"/>
    <x v="0"/>
    <x v="1"/>
    <x v="1"/>
  </r>
  <r>
    <n v="1030846"/>
    <x v="1"/>
    <n v="12.81"/>
    <n v="12.86"/>
    <n v="24.95"/>
    <x v="3"/>
    <x v="0"/>
    <x v="1"/>
    <x v="1"/>
  </r>
  <r>
    <n v="1030857"/>
    <x v="1"/>
    <n v="12.81"/>
    <n v="12.86"/>
    <n v="89.95"/>
    <x v="3"/>
    <x v="0"/>
    <x v="1"/>
    <x v="1"/>
  </r>
  <r>
    <n v="1030864"/>
    <x v="1"/>
    <n v="13.7"/>
    <n v="13.75"/>
    <n v="29.9"/>
    <x v="3"/>
    <x v="0"/>
    <x v="1"/>
    <x v="1"/>
  </r>
  <r>
    <n v="1030876"/>
    <x v="1"/>
    <n v="16.71"/>
    <n v="19.32"/>
    <n v="34.950000000000003"/>
    <x v="6"/>
    <x v="0"/>
    <x v="1"/>
    <x v="1"/>
  </r>
  <r>
    <n v="1030889"/>
    <x v="1"/>
    <n v="12.81"/>
    <n v="12.86"/>
    <n v="9.9"/>
    <x v="3"/>
    <x v="0"/>
    <x v="1"/>
    <x v="1"/>
  </r>
  <r>
    <n v="1030890"/>
    <x v="1"/>
    <n v="16.46"/>
    <n v="16.510000000000002"/>
    <n v="12"/>
    <x v="4"/>
    <x v="0"/>
    <x v="1"/>
    <x v="1"/>
  </r>
  <r>
    <n v="1030916"/>
    <x v="1"/>
    <n v="32.47"/>
    <n v="32.520000000000003"/>
    <n v="252.05"/>
    <x v="9"/>
    <x v="0"/>
    <x v="1"/>
    <x v="1"/>
  </r>
  <r>
    <n v="1030919"/>
    <x v="1"/>
    <n v="16.04"/>
    <n v="16.09"/>
    <n v="113.05"/>
    <x v="7"/>
    <x v="0"/>
    <x v="1"/>
    <x v="1"/>
  </r>
  <r>
    <n v="1030939"/>
    <x v="1"/>
    <n v="13.71"/>
    <n v="13.75"/>
    <n v="56"/>
    <x v="3"/>
    <x v="0"/>
    <x v="1"/>
    <x v="1"/>
  </r>
  <r>
    <n v="1030954"/>
    <x v="1"/>
    <n v="13.7"/>
    <n v="13.75"/>
    <n v="11.95"/>
    <x v="3"/>
    <x v="0"/>
    <x v="1"/>
    <x v="1"/>
  </r>
  <r>
    <n v="1030958"/>
    <x v="1"/>
    <n v="12.81"/>
    <n v="12.86"/>
    <n v="58.9"/>
    <x v="3"/>
    <x v="0"/>
    <x v="1"/>
    <x v="1"/>
  </r>
  <r>
    <n v="1030971"/>
    <x v="1"/>
    <n v="13.7"/>
    <n v="13.76"/>
    <n v="104.15"/>
    <x v="3"/>
    <x v="0"/>
    <x v="1"/>
    <x v="1"/>
  </r>
  <r>
    <n v="1030973"/>
    <x v="1"/>
    <n v="13.04"/>
    <n v="12.94"/>
    <n v="153.30000000000001"/>
    <x v="3"/>
    <x v="0"/>
    <x v="0"/>
    <x v="39"/>
  </r>
  <r>
    <n v="1031006"/>
    <x v="1"/>
    <n v="16.77"/>
    <n v="16.82"/>
    <n v="57.3"/>
    <x v="4"/>
    <x v="0"/>
    <x v="1"/>
    <x v="1"/>
  </r>
  <r>
    <n v="1031041"/>
    <x v="1"/>
    <n v="13.7"/>
    <n v="13.75"/>
    <n v="54.95"/>
    <x v="3"/>
    <x v="0"/>
    <x v="1"/>
    <x v="1"/>
  </r>
  <r>
    <n v="1031047"/>
    <x v="1"/>
    <n v="9.6999999999999993"/>
    <n v="9.75"/>
    <n v="4.95"/>
    <x v="0"/>
    <x v="0"/>
    <x v="1"/>
    <x v="1"/>
  </r>
  <r>
    <n v="1031070"/>
    <x v="1"/>
    <n v="15.13"/>
    <n v="15.18"/>
    <n v="43.4"/>
    <x v="6"/>
    <x v="0"/>
    <x v="1"/>
    <x v="1"/>
  </r>
  <r>
    <n v="1031098"/>
    <x v="1"/>
    <n v="14.04"/>
    <n v="14.09"/>
    <n v="7.95"/>
    <x v="10"/>
    <x v="0"/>
    <x v="1"/>
    <x v="1"/>
  </r>
  <r>
    <n v="1031242"/>
    <x v="0"/>
    <n v="12.81"/>
    <n v="12.86"/>
    <n v="38.75"/>
    <x v="3"/>
    <x v="0"/>
    <x v="1"/>
    <x v="1"/>
  </r>
  <r>
    <n v="1031121"/>
    <x v="1"/>
    <n v="12.35"/>
    <n v="12.4"/>
    <n v="34.9"/>
    <x v="7"/>
    <x v="0"/>
    <x v="1"/>
    <x v="1"/>
  </r>
  <r>
    <n v="1031255"/>
    <x v="0"/>
    <n v="13.7"/>
    <n v="13.75"/>
    <n v="19.95"/>
    <x v="3"/>
    <x v="0"/>
    <x v="1"/>
    <x v="1"/>
  </r>
  <r>
    <n v="1031262"/>
    <x v="0"/>
    <n v="13.7"/>
    <n v="13.75"/>
    <n v="34.9"/>
    <x v="3"/>
    <x v="0"/>
    <x v="1"/>
    <x v="1"/>
  </r>
  <r>
    <n v="1031271"/>
    <x v="0"/>
    <n v="12.35"/>
    <n v="12.4"/>
    <n v="74.8"/>
    <x v="7"/>
    <x v="0"/>
    <x v="1"/>
    <x v="1"/>
  </r>
  <r>
    <n v="1031295"/>
    <x v="0"/>
    <n v="12.81"/>
    <n v="12.86"/>
    <n v="19.95"/>
    <x v="3"/>
    <x v="0"/>
    <x v="1"/>
    <x v="1"/>
  </r>
  <r>
    <n v="1031303"/>
    <x v="0"/>
    <n v="13.7"/>
    <n v="13.75"/>
    <n v="29.95"/>
    <x v="3"/>
    <x v="0"/>
    <x v="1"/>
    <x v="1"/>
  </r>
  <r>
    <n v="1031304"/>
    <x v="0"/>
    <n v="9.6999999999999993"/>
    <n v="9.75"/>
    <n v="49.8"/>
    <x v="0"/>
    <x v="0"/>
    <x v="1"/>
    <x v="1"/>
  </r>
  <r>
    <n v="1031313"/>
    <x v="0"/>
    <n v="12.75"/>
    <n v="13.31"/>
    <n v="72.599999999999994"/>
    <x v="3"/>
    <x v="0"/>
    <x v="1"/>
    <x v="1"/>
  </r>
  <r>
    <n v="1031314"/>
    <x v="0"/>
    <n v="12.81"/>
    <n v="12.86"/>
    <n v="64.900000000000006"/>
    <x v="3"/>
    <x v="0"/>
    <x v="1"/>
    <x v="1"/>
  </r>
  <r>
    <n v="1031327"/>
    <x v="0"/>
    <n v="12.81"/>
    <n v="12.86"/>
    <n v="26.9"/>
    <x v="3"/>
    <x v="0"/>
    <x v="1"/>
    <x v="1"/>
  </r>
  <r>
    <n v="1031343"/>
    <x v="0"/>
    <n v="12.81"/>
    <n v="12.86"/>
    <n v="34.9"/>
    <x v="3"/>
    <x v="0"/>
    <x v="1"/>
    <x v="1"/>
  </r>
  <r>
    <n v="1031355"/>
    <x v="0"/>
    <n v="9.7100000000000009"/>
    <n v="9.76"/>
    <n v="109.9"/>
    <x v="0"/>
    <x v="0"/>
    <x v="1"/>
    <x v="1"/>
  </r>
  <r>
    <n v="1031366"/>
    <x v="0"/>
    <n v="12.81"/>
    <n v="12.86"/>
    <n v="53.7"/>
    <x v="3"/>
    <x v="0"/>
    <x v="1"/>
    <x v="1"/>
  </r>
  <r>
    <n v="1031377"/>
    <x v="0"/>
    <n v="9.6999999999999993"/>
    <n v="9.75"/>
    <n v="34.75"/>
    <x v="0"/>
    <x v="0"/>
    <x v="1"/>
    <x v="1"/>
  </r>
  <r>
    <n v="1031385"/>
    <x v="0"/>
    <n v="16.46"/>
    <n v="16.510000000000002"/>
    <n v="11.8"/>
    <x v="4"/>
    <x v="0"/>
    <x v="1"/>
    <x v="1"/>
  </r>
  <r>
    <n v="1031408"/>
    <x v="0"/>
    <n v="17.7"/>
    <n v="17.75"/>
    <n v="80.7"/>
    <x v="9"/>
    <x v="0"/>
    <x v="1"/>
    <x v="1"/>
  </r>
  <r>
    <n v="1031410"/>
    <x v="0"/>
    <n v="9.65"/>
    <n v="9.75"/>
    <n v="75.25"/>
    <x v="0"/>
    <x v="0"/>
    <x v="1"/>
    <x v="1"/>
  </r>
  <r>
    <n v="1031414"/>
    <x v="0"/>
    <n v="12.81"/>
    <n v="12.86"/>
    <n v="29.95"/>
    <x v="3"/>
    <x v="0"/>
    <x v="1"/>
    <x v="1"/>
  </r>
  <r>
    <n v="1031421"/>
    <x v="0"/>
    <n v="12.81"/>
    <n v="12.86"/>
    <n v="71"/>
    <x v="3"/>
    <x v="0"/>
    <x v="1"/>
    <x v="1"/>
  </r>
  <r>
    <n v="1031423"/>
    <x v="0"/>
    <n v="16.559999999999999"/>
    <n v="16.61"/>
    <n v="40.6"/>
    <x v="4"/>
    <x v="0"/>
    <x v="1"/>
    <x v="1"/>
  </r>
  <r>
    <n v="1031445"/>
    <x v="0"/>
    <n v="12.29"/>
    <n v="12.34"/>
    <n v="129.9"/>
    <x v="8"/>
    <x v="0"/>
    <x v="1"/>
    <x v="1"/>
  </r>
  <r>
    <n v="1031453"/>
    <x v="0"/>
    <n v="11.02"/>
    <n v="11.07"/>
    <n v="65.900000000000006"/>
    <x v="8"/>
    <x v="0"/>
    <x v="1"/>
    <x v="1"/>
  </r>
  <r>
    <n v="1031456"/>
    <x v="0"/>
    <n v="13.71"/>
    <n v="13.75"/>
    <n v="116.75"/>
    <x v="3"/>
    <x v="0"/>
    <x v="1"/>
    <x v="1"/>
  </r>
  <r>
    <n v="1031461"/>
    <x v="0"/>
    <n v="12.81"/>
    <n v="13.09"/>
    <n v="83.2"/>
    <x v="3"/>
    <x v="0"/>
    <x v="1"/>
    <x v="1"/>
  </r>
  <r>
    <n v="1031474"/>
    <x v="0"/>
    <n v="13.7"/>
    <n v="13.75"/>
    <n v="128.85"/>
    <x v="3"/>
    <x v="0"/>
    <x v="1"/>
    <x v="1"/>
  </r>
  <r>
    <n v="1031489"/>
    <x v="0"/>
    <n v="11.02"/>
    <n v="11.07"/>
    <n v="25"/>
    <x v="8"/>
    <x v="0"/>
    <x v="1"/>
    <x v="1"/>
  </r>
  <r>
    <n v="1031496"/>
    <x v="0"/>
    <n v="12.81"/>
    <n v="12.86"/>
    <n v="98.75"/>
    <x v="3"/>
    <x v="0"/>
    <x v="1"/>
    <x v="1"/>
  </r>
  <r>
    <n v="1031515"/>
    <x v="0"/>
    <n v="12.81"/>
    <n v="12.86"/>
    <n v="84.1"/>
    <x v="3"/>
    <x v="0"/>
    <x v="1"/>
    <x v="1"/>
  </r>
  <r>
    <n v="1031524"/>
    <x v="0"/>
    <n v="12.81"/>
    <n v="12.86"/>
    <n v="55.35"/>
    <x v="3"/>
    <x v="0"/>
    <x v="1"/>
    <x v="1"/>
  </r>
  <r>
    <n v="1031535"/>
    <x v="0"/>
    <n v="9.6999999999999993"/>
    <n v="9.75"/>
    <n v="92.95"/>
    <x v="0"/>
    <x v="0"/>
    <x v="1"/>
    <x v="1"/>
  </r>
  <r>
    <n v="1031540"/>
    <x v="0"/>
    <n v="9.6999999999999993"/>
    <n v="9.75"/>
    <n v="39.950000000000003"/>
    <x v="0"/>
    <x v="0"/>
    <x v="1"/>
    <x v="1"/>
  </r>
  <r>
    <n v="1031583"/>
    <x v="0"/>
    <n v="9.6999999999999993"/>
    <n v="9.75"/>
    <n v="74.849999999999994"/>
    <x v="0"/>
    <x v="0"/>
    <x v="1"/>
    <x v="1"/>
  </r>
  <r>
    <n v="1031609"/>
    <x v="0"/>
    <n v="12.81"/>
    <n v="12.86"/>
    <n v="24.95"/>
    <x v="3"/>
    <x v="0"/>
    <x v="1"/>
    <x v="1"/>
  </r>
  <r>
    <n v="1031611"/>
    <x v="0"/>
    <n v="14.04"/>
    <n v="14.09"/>
    <n v="21.76"/>
    <x v="10"/>
    <x v="0"/>
    <x v="1"/>
    <x v="1"/>
  </r>
  <r>
    <n v="1031615"/>
    <x v="0"/>
    <n v="12.81"/>
    <n v="13.31"/>
    <n v="65.150000000000006"/>
    <x v="3"/>
    <x v="0"/>
    <x v="1"/>
    <x v="1"/>
  </r>
  <r>
    <n v="1031632"/>
    <x v="0"/>
    <n v="12.81"/>
    <n v="12.86"/>
    <n v="29.35"/>
    <x v="3"/>
    <x v="0"/>
    <x v="1"/>
    <x v="1"/>
  </r>
  <r>
    <n v="1031635"/>
    <x v="0"/>
    <n v="13.63"/>
    <n v="13.75"/>
    <n v="134.65"/>
    <x v="3"/>
    <x v="0"/>
    <x v="1"/>
    <x v="1"/>
  </r>
  <r>
    <n v="1031636"/>
    <x v="0"/>
    <n v="13.71"/>
    <n v="13.75"/>
    <n v="113.95"/>
    <x v="3"/>
    <x v="0"/>
    <x v="1"/>
    <x v="1"/>
  </r>
  <r>
    <n v="1031655"/>
    <x v="0"/>
    <n v="16.77"/>
    <n v="16.82"/>
    <n v="127.65"/>
    <x v="4"/>
    <x v="0"/>
    <x v="1"/>
    <x v="1"/>
  </r>
  <r>
    <n v="1031657"/>
    <x v="0"/>
    <n v="12.81"/>
    <n v="12.86"/>
    <n v="8"/>
    <x v="3"/>
    <x v="0"/>
    <x v="1"/>
    <x v="1"/>
  </r>
  <r>
    <n v="1031675"/>
    <x v="0"/>
    <n v="12.81"/>
    <n v="12.86"/>
    <n v="5"/>
    <x v="3"/>
    <x v="0"/>
    <x v="1"/>
    <x v="1"/>
  </r>
  <r>
    <n v="1031682"/>
    <x v="0"/>
    <n v="9.6999999999999993"/>
    <n v="9.75"/>
    <n v="29.95"/>
    <x v="0"/>
    <x v="0"/>
    <x v="1"/>
    <x v="1"/>
  </r>
  <r>
    <n v="1031683"/>
    <x v="0"/>
    <n v="16.440000000000001"/>
    <n v="16.61"/>
    <n v="14.35"/>
    <x v="4"/>
    <x v="0"/>
    <x v="1"/>
    <x v="1"/>
  </r>
  <r>
    <n v="1031691"/>
    <x v="0"/>
    <n v="13.64"/>
    <n v="13.75"/>
    <n v="7.95"/>
    <x v="3"/>
    <x v="0"/>
    <x v="1"/>
    <x v="1"/>
  </r>
  <r>
    <n v="1031692"/>
    <x v="0"/>
    <n v="12.75"/>
    <n v="12.86"/>
    <n v="42.85"/>
    <x v="3"/>
    <x v="0"/>
    <x v="1"/>
    <x v="1"/>
  </r>
  <r>
    <n v="1031711"/>
    <x v="0"/>
    <n v="12.75"/>
    <n v="12.86"/>
    <n v="51.8"/>
    <x v="3"/>
    <x v="0"/>
    <x v="1"/>
    <x v="1"/>
  </r>
  <r>
    <n v="1031738"/>
    <x v="0"/>
    <n v="9.6999999999999993"/>
    <n v="9.75"/>
    <n v="59.8"/>
    <x v="0"/>
    <x v="0"/>
    <x v="1"/>
    <x v="1"/>
  </r>
  <r>
    <n v="1031742"/>
    <x v="0"/>
    <n v="12.75"/>
    <n v="12.86"/>
    <n v="7.5"/>
    <x v="3"/>
    <x v="0"/>
    <x v="1"/>
    <x v="1"/>
  </r>
  <r>
    <n v="1031744"/>
    <x v="0"/>
    <n v="13.64"/>
    <n v="13.75"/>
    <n v="59.95"/>
    <x v="3"/>
    <x v="0"/>
    <x v="1"/>
    <x v="1"/>
  </r>
  <r>
    <n v="1031747"/>
    <x v="0"/>
    <n v="13.64"/>
    <n v="13.75"/>
    <n v="45.85"/>
    <x v="3"/>
    <x v="0"/>
    <x v="1"/>
    <x v="1"/>
  </r>
  <r>
    <n v="1031749"/>
    <x v="0"/>
    <n v="12.81"/>
    <n v="12.86"/>
    <n v="33.75"/>
    <x v="3"/>
    <x v="0"/>
    <x v="1"/>
    <x v="1"/>
  </r>
  <r>
    <n v="1031759"/>
    <x v="0"/>
    <n v="9.66"/>
    <n v="9.75"/>
    <n v="99.9"/>
    <x v="0"/>
    <x v="0"/>
    <x v="1"/>
    <x v="1"/>
  </r>
  <r>
    <n v="1031760"/>
    <x v="0"/>
    <n v="9.6999999999999993"/>
    <n v="9.75"/>
    <n v="35.700000000000003"/>
    <x v="0"/>
    <x v="0"/>
    <x v="1"/>
    <x v="1"/>
  </r>
  <r>
    <n v="1031766"/>
    <x v="0"/>
    <n v="13.64"/>
    <n v="13.75"/>
    <n v="59.9"/>
    <x v="3"/>
    <x v="0"/>
    <x v="1"/>
    <x v="1"/>
  </r>
  <r>
    <n v="1031768"/>
    <x v="0"/>
    <n v="12.75"/>
    <n v="12.86"/>
    <n v="69.900000000000006"/>
    <x v="3"/>
    <x v="0"/>
    <x v="1"/>
    <x v="1"/>
  </r>
  <r>
    <n v="1031771"/>
    <x v="0"/>
    <n v="12.75"/>
    <n v="12.86"/>
    <n v="34.950000000000003"/>
    <x v="3"/>
    <x v="0"/>
    <x v="1"/>
    <x v="1"/>
  </r>
  <r>
    <n v="1031787"/>
    <x v="0"/>
    <n v="9.65"/>
    <n v="9.76"/>
    <n v="54.85"/>
    <x v="0"/>
    <x v="0"/>
    <x v="1"/>
    <x v="1"/>
  </r>
  <r>
    <n v="1031791"/>
    <x v="0"/>
    <n v="15.33"/>
    <n v="15.49"/>
    <n v="7.95"/>
    <x v="6"/>
    <x v="0"/>
    <x v="1"/>
    <x v="1"/>
  </r>
  <r>
    <n v="1031809"/>
    <x v="0"/>
    <n v="12.75"/>
    <n v="12.86"/>
    <n v="17.899999999999999"/>
    <x v="3"/>
    <x v="0"/>
    <x v="1"/>
    <x v="1"/>
  </r>
  <r>
    <n v="1031815"/>
    <x v="0"/>
    <n v="13.7"/>
    <n v="14.56"/>
    <n v="99.95"/>
    <x v="3"/>
    <x v="0"/>
    <x v="1"/>
    <x v="1"/>
  </r>
  <r>
    <n v="1031835"/>
    <x v="0"/>
    <n v="13.71"/>
    <n v="13.75"/>
    <n v="29.95"/>
    <x v="3"/>
    <x v="0"/>
    <x v="1"/>
    <x v="1"/>
  </r>
  <r>
    <n v="1031840"/>
    <x v="0"/>
    <n v="12.81"/>
    <n v="12.86"/>
    <n v="90.6"/>
    <x v="3"/>
    <x v="0"/>
    <x v="1"/>
    <x v="1"/>
  </r>
  <r>
    <n v="1031865"/>
    <x v="0"/>
    <n v="13.7"/>
    <n v="13.75"/>
    <n v="5"/>
    <x v="3"/>
    <x v="0"/>
    <x v="1"/>
    <x v="1"/>
  </r>
  <r>
    <n v="1031872"/>
    <x v="0"/>
    <n v="12.75"/>
    <n v="12.86"/>
    <n v="39.9"/>
    <x v="3"/>
    <x v="0"/>
    <x v="1"/>
    <x v="1"/>
  </r>
  <r>
    <n v="1031880"/>
    <x v="0"/>
    <n v="12.81"/>
    <n v="12.86"/>
    <n v="4.95"/>
    <x v="3"/>
    <x v="0"/>
    <x v="1"/>
    <x v="1"/>
  </r>
  <r>
    <n v="1031885"/>
    <x v="0"/>
    <n v="13.7"/>
    <n v="13.75"/>
    <n v="65.849999999999994"/>
    <x v="3"/>
    <x v="0"/>
    <x v="1"/>
    <x v="1"/>
  </r>
  <r>
    <n v="1031891"/>
    <x v="0"/>
    <n v="9.65"/>
    <n v="13.75"/>
    <n v="35.9"/>
    <x v="0"/>
    <x v="0"/>
    <x v="1"/>
    <x v="1"/>
  </r>
  <r>
    <n v="1031893"/>
    <x v="0"/>
    <n v="12.81"/>
    <n v="12.86"/>
    <n v="44.4"/>
    <x v="3"/>
    <x v="0"/>
    <x v="1"/>
    <x v="1"/>
  </r>
  <r>
    <n v="1031914"/>
    <x v="0"/>
    <n v="12.81"/>
    <n v="12.86"/>
    <n v="84.75"/>
    <x v="3"/>
    <x v="0"/>
    <x v="1"/>
    <x v="1"/>
  </r>
  <r>
    <n v="1031919"/>
    <x v="0"/>
    <n v="13.7"/>
    <n v="15.17"/>
    <n v="99.95"/>
    <x v="3"/>
    <x v="0"/>
    <x v="1"/>
    <x v="1"/>
  </r>
  <r>
    <n v="1031993"/>
    <x v="0"/>
    <n v="12.81"/>
    <n v="12.86"/>
    <n v="17.5"/>
    <x v="3"/>
    <x v="0"/>
    <x v="1"/>
    <x v="1"/>
  </r>
  <r>
    <n v="1032009"/>
    <x v="0"/>
    <n v="9.6999999999999993"/>
    <n v="9.75"/>
    <n v="81.599999999999994"/>
    <x v="0"/>
    <x v="0"/>
    <x v="1"/>
    <x v="1"/>
  </r>
  <r>
    <n v="1032019"/>
    <x v="0"/>
    <n v="16.77"/>
    <n v="16.82"/>
    <n v="29.95"/>
    <x v="4"/>
    <x v="0"/>
    <x v="1"/>
    <x v="1"/>
  </r>
  <r>
    <n v="1032021"/>
    <x v="0"/>
    <n v="13.7"/>
    <n v="13.75"/>
    <n v="69.5"/>
    <x v="3"/>
    <x v="0"/>
    <x v="1"/>
    <x v="1"/>
  </r>
  <r>
    <n v="1032029"/>
    <x v="0"/>
    <n v="12.35"/>
    <n v="16.510000000000002"/>
    <n v="17.7"/>
    <x v="7"/>
    <x v="0"/>
    <x v="1"/>
    <x v="1"/>
  </r>
  <r>
    <n v="1032048"/>
    <x v="0"/>
    <n v="12.81"/>
    <n v="12.86"/>
    <n v="29.95"/>
    <x v="3"/>
    <x v="0"/>
    <x v="1"/>
    <x v="1"/>
  </r>
  <r>
    <n v="1032052"/>
    <x v="0"/>
    <n v="12.81"/>
    <n v="12.86"/>
    <n v="61.95"/>
    <x v="3"/>
    <x v="0"/>
    <x v="1"/>
    <x v="1"/>
  </r>
  <r>
    <n v="1032083"/>
    <x v="0"/>
    <n v="13.7"/>
    <n v="13.75"/>
    <n v="35.549999999999997"/>
    <x v="3"/>
    <x v="0"/>
    <x v="1"/>
    <x v="1"/>
  </r>
  <r>
    <n v="1032099"/>
    <x v="0"/>
    <n v="12.81"/>
    <n v="12.86"/>
    <n v="29.95"/>
    <x v="3"/>
    <x v="0"/>
    <x v="1"/>
    <x v="1"/>
  </r>
  <r>
    <n v="1032103"/>
    <x v="0"/>
    <n v="13.7"/>
    <n v="13.75"/>
    <n v="19.95"/>
    <x v="3"/>
    <x v="0"/>
    <x v="1"/>
    <x v="1"/>
  </r>
  <r>
    <n v="1032119"/>
    <x v="0"/>
    <n v="13.7"/>
    <n v="13.76"/>
    <n v="29.95"/>
    <x v="3"/>
    <x v="0"/>
    <x v="1"/>
    <x v="1"/>
  </r>
  <r>
    <n v="1032120"/>
    <x v="0"/>
    <n v="13.7"/>
    <n v="13.75"/>
    <n v="16.899999999999999"/>
    <x v="3"/>
    <x v="0"/>
    <x v="1"/>
    <x v="1"/>
  </r>
  <r>
    <n v="1032132"/>
    <x v="0"/>
    <n v="9.6999999999999993"/>
    <n v="9.75"/>
    <n v="23.9"/>
    <x v="0"/>
    <x v="0"/>
    <x v="1"/>
    <x v="1"/>
  </r>
  <r>
    <n v="1032146"/>
    <x v="0"/>
    <n v="15.44"/>
    <n v="15.49"/>
    <n v="15"/>
    <x v="6"/>
    <x v="0"/>
    <x v="1"/>
    <x v="1"/>
  </r>
  <r>
    <n v="1032156"/>
    <x v="0"/>
    <n v="22.84"/>
    <n v="23.37"/>
    <n v="115.95"/>
    <x v="9"/>
    <x v="0"/>
    <x v="1"/>
    <x v="1"/>
  </r>
  <r>
    <n v="1032167"/>
    <x v="0"/>
    <n v="12.81"/>
    <n v="12.86"/>
    <n v="29.95"/>
    <x v="3"/>
    <x v="0"/>
    <x v="1"/>
    <x v="1"/>
  </r>
  <r>
    <n v="1032170"/>
    <x v="0"/>
    <n v="12.81"/>
    <n v="12.86"/>
    <n v="29.95"/>
    <x v="3"/>
    <x v="0"/>
    <x v="1"/>
    <x v="1"/>
  </r>
  <r>
    <n v="1032197"/>
    <x v="0"/>
    <n v="12.81"/>
    <n v="12.86"/>
    <n v="85.8"/>
    <x v="3"/>
    <x v="0"/>
    <x v="1"/>
    <x v="1"/>
  </r>
  <r>
    <n v="1032207"/>
    <x v="0"/>
    <n v="12.75"/>
    <n v="12.86"/>
    <n v="35.9"/>
    <x v="3"/>
    <x v="0"/>
    <x v="1"/>
    <x v="1"/>
  </r>
  <r>
    <n v="1032209"/>
    <x v="0"/>
    <n v="12.81"/>
    <n v="12.86"/>
    <n v="13.45"/>
    <x v="3"/>
    <x v="0"/>
    <x v="1"/>
    <x v="1"/>
  </r>
  <r>
    <n v="1032221"/>
    <x v="0"/>
    <n v="13.64"/>
    <n v="13.75"/>
    <n v="46.85"/>
    <x v="3"/>
    <x v="0"/>
    <x v="1"/>
    <x v="1"/>
  </r>
  <r>
    <n v="1032229"/>
    <x v="0"/>
    <n v="9.6999999999999993"/>
    <n v="13.75"/>
    <n v="29.95"/>
    <x v="0"/>
    <x v="0"/>
    <x v="1"/>
    <x v="1"/>
  </r>
  <r>
    <n v="1032245"/>
    <x v="0"/>
    <n v="13.64"/>
    <n v="13.75"/>
    <n v="34.9"/>
    <x v="3"/>
    <x v="0"/>
    <x v="1"/>
    <x v="1"/>
  </r>
  <r>
    <n v="1032253"/>
    <x v="0"/>
    <n v="13.74"/>
    <n v="14.56"/>
    <n v="107"/>
    <x v="3"/>
    <x v="0"/>
    <x v="1"/>
    <x v="1"/>
  </r>
  <r>
    <n v="1032264"/>
    <x v="0"/>
    <n v="12.81"/>
    <n v="12.86"/>
    <n v="29.95"/>
    <x v="3"/>
    <x v="0"/>
    <x v="1"/>
    <x v="1"/>
  </r>
  <r>
    <n v="1032275"/>
    <x v="0"/>
    <n v="16.46"/>
    <n v="16.510000000000002"/>
    <n v="54.85"/>
    <x v="4"/>
    <x v="0"/>
    <x v="1"/>
    <x v="1"/>
  </r>
  <r>
    <n v="1032280"/>
    <x v="0"/>
    <n v="18.149999999999999"/>
    <n v="18.2"/>
    <n v="130.19999999999999"/>
    <x v="4"/>
    <x v="0"/>
    <x v="1"/>
    <x v="1"/>
  </r>
  <r>
    <n v="1032284"/>
    <x v="0"/>
    <n v="13.7"/>
    <n v="13.76"/>
    <n v="25.5"/>
    <x v="3"/>
    <x v="0"/>
    <x v="1"/>
    <x v="1"/>
  </r>
  <r>
    <n v="1032290"/>
    <x v="0"/>
    <n v="16.46"/>
    <n v="16.510000000000002"/>
    <n v="67.400000000000006"/>
    <x v="4"/>
    <x v="0"/>
    <x v="1"/>
    <x v="1"/>
  </r>
  <r>
    <n v="1032293"/>
    <x v="0"/>
    <n v="11.03"/>
    <n v="14.57"/>
    <n v="49.95"/>
    <x v="8"/>
    <x v="0"/>
    <x v="1"/>
    <x v="1"/>
  </r>
  <r>
    <n v="1032297"/>
    <x v="0"/>
    <n v="13.7"/>
    <n v="13.75"/>
    <n v="35.4"/>
    <x v="3"/>
    <x v="0"/>
    <x v="1"/>
    <x v="1"/>
  </r>
  <r>
    <n v="1032312"/>
    <x v="0"/>
    <n v="13.7"/>
    <n v="13.75"/>
    <n v="2.5"/>
    <x v="3"/>
    <x v="0"/>
    <x v="1"/>
    <x v="1"/>
  </r>
  <r>
    <n v="1032342"/>
    <x v="0"/>
    <n v="13.7"/>
    <n v="13.75"/>
    <n v="30.15"/>
    <x v="3"/>
    <x v="0"/>
    <x v="1"/>
    <x v="1"/>
  </r>
  <r>
    <n v="1032363"/>
    <x v="0"/>
    <n v="13.7"/>
    <n v="14.72"/>
    <n v="59.9"/>
    <x v="3"/>
    <x v="0"/>
    <x v="1"/>
    <x v="1"/>
  </r>
  <r>
    <n v="1032371"/>
    <x v="0"/>
    <n v="13.7"/>
    <n v="13.75"/>
    <n v="73.150000000000006"/>
    <x v="3"/>
    <x v="0"/>
    <x v="1"/>
    <x v="1"/>
  </r>
  <r>
    <n v="1032414"/>
    <x v="0"/>
    <n v="13.7"/>
    <n v="13.75"/>
    <n v="43.9"/>
    <x v="3"/>
    <x v="0"/>
    <x v="1"/>
    <x v="1"/>
  </r>
  <r>
    <n v="1032447"/>
    <x v="0"/>
    <n v="12.81"/>
    <n v="12.86"/>
    <n v="35.65"/>
    <x v="3"/>
    <x v="0"/>
    <x v="1"/>
    <x v="1"/>
  </r>
  <r>
    <n v="1032481"/>
    <x v="0"/>
    <n v="13.7"/>
    <n v="13.75"/>
    <n v="45.85"/>
    <x v="3"/>
    <x v="0"/>
    <x v="1"/>
    <x v="1"/>
  </r>
  <r>
    <n v="1032487"/>
    <x v="0"/>
    <n v="18.920000000000002"/>
    <n v="18.97"/>
    <n v="181.05"/>
    <x v="9"/>
    <x v="0"/>
    <x v="1"/>
    <x v="1"/>
  </r>
  <r>
    <n v="1032488"/>
    <x v="0"/>
    <n v="12.81"/>
    <n v="12.86"/>
    <n v="39.950000000000003"/>
    <x v="3"/>
    <x v="0"/>
    <x v="1"/>
    <x v="1"/>
  </r>
  <r>
    <n v="1032524"/>
    <x v="0"/>
    <n v="9.6999999999999993"/>
    <n v="9.75"/>
    <n v="72.2"/>
    <x v="0"/>
    <x v="0"/>
    <x v="1"/>
    <x v="1"/>
  </r>
  <r>
    <n v="1032527"/>
    <x v="0"/>
    <n v="13.7"/>
    <n v="13.75"/>
    <n v="62.3"/>
    <x v="3"/>
    <x v="0"/>
    <x v="1"/>
    <x v="1"/>
  </r>
  <r>
    <n v="1032528"/>
    <x v="0"/>
    <n v="12.35"/>
    <n v="12.4"/>
    <n v="323.52"/>
    <x v="7"/>
    <x v="0"/>
    <x v="1"/>
    <x v="1"/>
  </r>
  <r>
    <n v="1032529"/>
    <x v="0"/>
    <n v="12.75"/>
    <n v="12.86"/>
    <n v="121.25"/>
    <x v="3"/>
    <x v="0"/>
    <x v="1"/>
    <x v="1"/>
  </r>
  <r>
    <n v="1032531"/>
    <x v="0"/>
    <n v="9.6999999999999993"/>
    <n v="9.76"/>
    <n v="38.15"/>
    <x v="0"/>
    <x v="0"/>
    <x v="1"/>
    <x v="1"/>
  </r>
  <r>
    <n v="1032549"/>
    <x v="0"/>
    <n v="12.81"/>
    <n v="12.86"/>
    <n v="75.2"/>
    <x v="3"/>
    <x v="0"/>
    <x v="1"/>
    <x v="1"/>
  </r>
  <r>
    <n v="1032562"/>
    <x v="0"/>
    <n v="13.71"/>
    <n v="13.76"/>
    <n v="84.84"/>
    <x v="3"/>
    <x v="0"/>
    <x v="1"/>
    <x v="1"/>
  </r>
  <r>
    <n v="1032568"/>
    <x v="0"/>
    <n v="12.81"/>
    <n v="12.86"/>
    <n v="20"/>
    <x v="3"/>
    <x v="0"/>
    <x v="1"/>
    <x v="1"/>
  </r>
  <r>
    <n v="1032571"/>
    <x v="0"/>
    <n v="13.7"/>
    <n v="13.75"/>
    <n v="47.6"/>
    <x v="3"/>
    <x v="0"/>
    <x v="1"/>
    <x v="1"/>
  </r>
  <r>
    <n v="1032588"/>
    <x v="0"/>
    <n v="13.7"/>
    <n v="13.75"/>
    <n v="5"/>
    <x v="3"/>
    <x v="0"/>
    <x v="1"/>
    <x v="1"/>
  </r>
  <r>
    <n v="1032625"/>
    <x v="0"/>
    <n v="13.7"/>
    <n v="13.75"/>
    <n v="5"/>
    <x v="3"/>
    <x v="0"/>
    <x v="1"/>
    <x v="1"/>
  </r>
  <r>
    <n v="1032634"/>
    <x v="0"/>
    <n v="9.6999999999999993"/>
    <n v="9.75"/>
    <n v="5"/>
    <x v="0"/>
    <x v="0"/>
    <x v="1"/>
    <x v="1"/>
  </r>
  <r>
    <n v="1032641"/>
    <x v="0"/>
    <n v="15.13"/>
    <n v="15.18"/>
    <n v="18.850000000000001"/>
    <x v="6"/>
    <x v="0"/>
    <x v="1"/>
    <x v="1"/>
  </r>
  <r>
    <n v="1032653"/>
    <x v="0"/>
    <n v="13.7"/>
    <n v="13.75"/>
    <n v="5"/>
    <x v="3"/>
    <x v="0"/>
    <x v="1"/>
    <x v="1"/>
  </r>
  <r>
    <n v="1032665"/>
    <x v="0"/>
    <n v="12.75"/>
    <n v="12.86"/>
    <n v="19.95"/>
    <x v="3"/>
    <x v="0"/>
    <x v="1"/>
    <x v="1"/>
  </r>
  <r>
    <n v="1032694"/>
    <x v="0"/>
    <n v="12.81"/>
    <n v="12.86"/>
    <n v="179.45"/>
    <x v="3"/>
    <x v="0"/>
    <x v="1"/>
    <x v="1"/>
  </r>
  <r>
    <n v="1032697"/>
    <x v="0"/>
    <n v="12.75"/>
    <n v="12.86"/>
    <n v="34.950000000000003"/>
    <x v="3"/>
    <x v="0"/>
    <x v="1"/>
    <x v="1"/>
  </r>
  <r>
    <n v="1032709"/>
    <x v="0"/>
    <n v="12.81"/>
    <n v="12.86"/>
    <n v="34.950000000000003"/>
    <x v="3"/>
    <x v="0"/>
    <x v="1"/>
    <x v="1"/>
  </r>
  <r>
    <n v="1032726"/>
    <x v="0"/>
    <n v="9.6999999999999993"/>
    <n v="9.75"/>
    <n v="5"/>
    <x v="0"/>
    <x v="0"/>
    <x v="1"/>
    <x v="1"/>
  </r>
  <r>
    <n v="1032739"/>
    <x v="0"/>
    <n v="9.6999999999999993"/>
    <n v="9.75"/>
    <n v="14.95"/>
    <x v="0"/>
    <x v="0"/>
    <x v="1"/>
    <x v="1"/>
  </r>
  <r>
    <n v="1032740"/>
    <x v="0"/>
    <n v="13.63"/>
    <n v="13.75"/>
    <n v="174.22"/>
    <x v="3"/>
    <x v="0"/>
    <x v="1"/>
    <x v="1"/>
  </r>
  <r>
    <n v="1032759"/>
    <x v="0"/>
    <n v="13.64"/>
    <n v="13.75"/>
    <n v="9.9499999999999993"/>
    <x v="3"/>
    <x v="0"/>
    <x v="1"/>
    <x v="1"/>
  </r>
  <r>
    <n v="1032764"/>
    <x v="0"/>
    <n v="9.65"/>
    <n v="12.86"/>
    <n v="31.3"/>
    <x v="0"/>
    <x v="0"/>
    <x v="1"/>
    <x v="1"/>
  </r>
  <r>
    <n v="1032768"/>
    <x v="0"/>
    <n v="9.66"/>
    <n v="9.75"/>
    <n v="94.85"/>
    <x v="0"/>
    <x v="0"/>
    <x v="1"/>
    <x v="1"/>
  </r>
  <r>
    <n v="1032778"/>
    <x v="0"/>
    <n v="12.81"/>
    <n v="12.86"/>
    <n v="22.9"/>
    <x v="3"/>
    <x v="0"/>
    <x v="1"/>
    <x v="1"/>
  </r>
  <r>
    <n v="1032781"/>
    <x v="0"/>
    <n v="9.6999999999999993"/>
    <n v="9.75"/>
    <n v="31.8"/>
    <x v="0"/>
    <x v="0"/>
    <x v="1"/>
    <x v="1"/>
  </r>
  <r>
    <n v="1032787"/>
    <x v="0"/>
    <n v="12.75"/>
    <n v="12.86"/>
    <n v="10.45"/>
    <x v="3"/>
    <x v="0"/>
    <x v="1"/>
    <x v="1"/>
  </r>
  <r>
    <n v="1032796"/>
    <x v="0"/>
    <n v="13.7"/>
    <n v="13.75"/>
    <n v="5"/>
    <x v="3"/>
    <x v="0"/>
    <x v="1"/>
    <x v="1"/>
  </r>
  <r>
    <n v="1032822"/>
    <x v="0"/>
    <n v="12.75"/>
    <n v="12.86"/>
    <n v="11.4"/>
    <x v="3"/>
    <x v="0"/>
    <x v="1"/>
    <x v="1"/>
  </r>
  <r>
    <n v="1032835"/>
    <x v="0"/>
    <n v="12.81"/>
    <n v="12.86"/>
    <n v="29.95"/>
    <x v="3"/>
    <x v="0"/>
    <x v="1"/>
    <x v="1"/>
  </r>
  <r>
    <n v="1032851"/>
    <x v="0"/>
    <n v="12.81"/>
    <n v="12.86"/>
    <n v="5"/>
    <x v="3"/>
    <x v="0"/>
    <x v="1"/>
    <x v="1"/>
  </r>
  <r>
    <n v="1032864"/>
    <x v="0"/>
    <n v="13.7"/>
    <n v="13.75"/>
    <n v="5"/>
    <x v="3"/>
    <x v="0"/>
    <x v="1"/>
    <x v="1"/>
  </r>
  <r>
    <n v="1032865"/>
    <x v="0"/>
    <n v="13.64"/>
    <n v="13.75"/>
    <n v="100.8"/>
    <x v="3"/>
    <x v="0"/>
    <x v="1"/>
    <x v="1"/>
  </r>
  <r>
    <n v="1032874"/>
    <x v="0"/>
    <n v="12.81"/>
    <n v="12.86"/>
    <n v="5"/>
    <x v="3"/>
    <x v="0"/>
    <x v="1"/>
    <x v="1"/>
  </r>
  <r>
    <n v="1032904"/>
    <x v="0"/>
    <n v="13.7"/>
    <n v="13.76"/>
    <n v="29.95"/>
    <x v="3"/>
    <x v="0"/>
    <x v="1"/>
    <x v="1"/>
  </r>
  <r>
    <n v="1032910"/>
    <x v="0"/>
    <n v="12.75"/>
    <n v="12.86"/>
    <n v="35.9"/>
    <x v="3"/>
    <x v="0"/>
    <x v="1"/>
    <x v="1"/>
  </r>
  <r>
    <n v="1032916"/>
    <x v="0"/>
    <n v="12.81"/>
    <n v="12.86"/>
    <n v="34.950000000000003"/>
    <x v="3"/>
    <x v="0"/>
    <x v="1"/>
    <x v="1"/>
  </r>
  <r>
    <n v="1032923"/>
    <x v="0"/>
    <n v="9.6999999999999993"/>
    <n v="14"/>
    <n v="97.5"/>
    <x v="0"/>
    <x v="0"/>
    <x v="1"/>
    <x v="1"/>
  </r>
  <r>
    <n v="1032925"/>
    <x v="0"/>
    <n v="12.81"/>
    <n v="12.86"/>
    <n v="59.65"/>
    <x v="3"/>
    <x v="0"/>
    <x v="1"/>
    <x v="1"/>
  </r>
  <r>
    <n v="1032944"/>
    <x v="0"/>
    <n v="12.35"/>
    <n v="16.82"/>
    <n v="52.75"/>
    <x v="7"/>
    <x v="0"/>
    <x v="1"/>
    <x v="1"/>
  </r>
  <r>
    <n v="1032988"/>
    <x v="0"/>
    <n v="13.7"/>
    <n v="13.75"/>
    <n v="18.899999999999999"/>
    <x v="3"/>
    <x v="0"/>
    <x v="1"/>
    <x v="1"/>
  </r>
  <r>
    <n v="1033005"/>
    <x v="0"/>
    <n v="12.75"/>
    <n v="12.86"/>
    <n v="81.849999999999994"/>
    <x v="3"/>
    <x v="0"/>
    <x v="1"/>
    <x v="1"/>
  </r>
  <r>
    <n v="1033008"/>
    <x v="0"/>
    <n v="13.7"/>
    <n v="13.75"/>
    <n v="8.9"/>
    <x v="3"/>
    <x v="0"/>
    <x v="1"/>
    <x v="1"/>
  </r>
  <r>
    <n v="1033010"/>
    <x v="0"/>
    <n v="15.13"/>
    <n v="15.18"/>
    <n v="46.8"/>
    <x v="6"/>
    <x v="0"/>
    <x v="1"/>
    <x v="1"/>
  </r>
  <r>
    <n v="1033042"/>
    <x v="0"/>
    <n v="12.35"/>
    <n v="16.82"/>
    <n v="36.9"/>
    <x v="7"/>
    <x v="0"/>
    <x v="1"/>
    <x v="1"/>
  </r>
  <r>
    <n v="1033043"/>
    <x v="0"/>
    <n v="13.64"/>
    <n v="13.75"/>
    <n v="34.9"/>
    <x v="3"/>
    <x v="0"/>
    <x v="1"/>
    <x v="1"/>
  </r>
  <r>
    <n v="1033045"/>
    <x v="0"/>
    <n v="12.81"/>
    <n v="12.86"/>
    <n v="29.95"/>
    <x v="3"/>
    <x v="0"/>
    <x v="1"/>
    <x v="1"/>
  </r>
  <r>
    <n v="1033050"/>
    <x v="0"/>
    <n v="12.81"/>
    <n v="12.86"/>
    <n v="42.45"/>
    <x v="3"/>
    <x v="0"/>
    <x v="1"/>
    <x v="1"/>
  </r>
  <r>
    <n v="1033052"/>
    <x v="0"/>
    <n v="13.71"/>
    <n v="13.76"/>
    <n v="84.85"/>
    <x v="3"/>
    <x v="0"/>
    <x v="1"/>
    <x v="1"/>
  </r>
  <r>
    <n v="1033056"/>
    <x v="0"/>
    <n v="12.81"/>
    <n v="12.86"/>
    <n v="49.95"/>
    <x v="3"/>
    <x v="0"/>
    <x v="1"/>
    <x v="1"/>
  </r>
  <r>
    <n v="1033057"/>
    <x v="0"/>
    <n v="16.77"/>
    <n v="16.82"/>
    <n v="74.849999999999994"/>
    <x v="4"/>
    <x v="0"/>
    <x v="1"/>
    <x v="1"/>
  </r>
  <r>
    <n v="1033062"/>
    <x v="0"/>
    <n v="9.7100000000000009"/>
    <n v="9.76"/>
    <n v="29.7"/>
    <x v="0"/>
    <x v="0"/>
    <x v="1"/>
    <x v="1"/>
  </r>
  <r>
    <n v="1033071"/>
    <x v="0"/>
    <n v="13.64"/>
    <n v="13.75"/>
    <n v="69.900000000000006"/>
    <x v="3"/>
    <x v="0"/>
    <x v="1"/>
    <x v="1"/>
  </r>
  <r>
    <n v="1033073"/>
    <x v="0"/>
    <n v="13.7"/>
    <n v="13.75"/>
    <n v="67.75"/>
    <x v="3"/>
    <x v="0"/>
    <x v="1"/>
    <x v="1"/>
  </r>
  <r>
    <n v="1033077"/>
    <x v="0"/>
    <n v="18.96"/>
    <n v="20.3"/>
    <n v="150.6"/>
    <x v="6"/>
    <x v="0"/>
    <x v="1"/>
    <x v="1"/>
  </r>
  <r>
    <n v="1033082"/>
    <x v="0"/>
    <n v="13.7"/>
    <n v="14.15"/>
    <n v="115.45"/>
    <x v="3"/>
    <x v="0"/>
    <x v="1"/>
    <x v="1"/>
  </r>
  <r>
    <n v="1033084"/>
    <x v="0"/>
    <n v="9.6999999999999993"/>
    <n v="9.75"/>
    <n v="59.9"/>
    <x v="0"/>
    <x v="0"/>
    <x v="1"/>
    <x v="1"/>
  </r>
  <r>
    <n v="1033095"/>
    <x v="0"/>
    <n v="12.81"/>
    <n v="13.02"/>
    <n v="53.35"/>
    <x v="3"/>
    <x v="0"/>
    <x v="1"/>
    <x v="1"/>
  </r>
  <r>
    <n v="1033101"/>
    <x v="0"/>
    <n v="15.44"/>
    <n v="15.49"/>
    <n v="44.9"/>
    <x v="6"/>
    <x v="0"/>
    <x v="1"/>
    <x v="1"/>
  </r>
  <r>
    <n v="1033116"/>
    <x v="0"/>
    <n v="13.7"/>
    <n v="13.76"/>
    <n v="59.8"/>
    <x v="3"/>
    <x v="0"/>
    <x v="1"/>
    <x v="1"/>
  </r>
  <r>
    <n v="1033118"/>
    <x v="0"/>
    <n v="13.7"/>
    <n v="13.75"/>
    <n v="3.95"/>
    <x v="3"/>
    <x v="0"/>
    <x v="1"/>
    <x v="1"/>
  </r>
  <r>
    <n v="1033123"/>
    <x v="0"/>
    <n v="9.6999999999999993"/>
    <n v="9.75"/>
    <n v="29.95"/>
    <x v="0"/>
    <x v="0"/>
    <x v="1"/>
    <x v="1"/>
  </r>
  <r>
    <n v="1033129"/>
    <x v="0"/>
    <n v="12.81"/>
    <n v="12.86"/>
    <n v="13.85"/>
    <x v="3"/>
    <x v="0"/>
    <x v="1"/>
    <x v="1"/>
  </r>
  <r>
    <n v="1033158"/>
    <x v="0"/>
    <n v="12.81"/>
    <n v="12.86"/>
    <n v="7.95"/>
    <x v="3"/>
    <x v="0"/>
    <x v="1"/>
    <x v="1"/>
  </r>
  <r>
    <n v="1033162"/>
    <x v="0"/>
    <n v="13.7"/>
    <n v="13.76"/>
    <n v="29.95"/>
    <x v="3"/>
    <x v="0"/>
    <x v="1"/>
    <x v="1"/>
  </r>
  <r>
    <n v="1033163"/>
    <x v="0"/>
    <n v="9.6999999999999993"/>
    <n v="9.75"/>
    <n v="9.9499999999999993"/>
    <x v="0"/>
    <x v="0"/>
    <x v="1"/>
    <x v="1"/>
  </r>
  <r>
    <n v="1033176"/>
    <x v="0"/>
    <n v="9.6999999999999993"/>
    <n v="12.86"/>
    <n v="19.899999999999999"/>
    <x v="0"/>
    <x v="0"/>
    <x v="1"/>
    <x v="1"/>
  </r>
  <r>
    <n v="1033177"/>
    <x v="0"/>
    <n v="12.81"/>
    <n v="12.86"/>
    <n v="39.950000000000003"/>
    <x v="3"/>
    <x v="0"/>
    <x v="1"/>
    <x v="1"/>
  </r>
  <r>
    <n v="1033183"/>
    <x v="0"/>
    <n v="12.81"/>
    <n v="12.86"/>
    <n v="6.95"/>
    <x v="3"/>
    <x v="0"/>
    <x v="1"/>
    <x v="1"/>
  </r>
  <r>
    <n v="1033236"/>
    <x v="0"/>
    <n v="12.81"/>
    <n v="12.86"/>
    <n v="61.95"/>
    <x v="3"/>
    <x v="0"/>
    <x v="1"/>
    <x v="1"/>
  </r>
  <r>
    <n v="1033249"/>
    <x v="0"/>
    <n v="16.77"/>
    <n v="16.82"/>
    <n v="34.9"/>
    <x v="4"/>
    <x v="0"/>
    <x v="1"/>
    <x v="1"/>
  </r>
  <r>
    <n v="1033272"/>
    <x v="0"/>
    <n v="9.6999999999999993"/>
    <n v="13.75"/>
    <n v="57.55"/>
    <x v="0"/>
    <x v="0"/>
    <x v="1"/>
    <x v="1"/>
  </r>
  <r>
    <n v="1033279"/>
    <x v="0"/>
    <n v="12.35"/>
    <n v="12.4"/>
    <n v="63.35"/>
    <x v="7"/>
    <x v="0"/>
    <x v="1"/>
    <x v="1"/>
  </r>
  <r>
    <n v="1033280"/>
    <x v="0"/>
    <n v="15.13"/>
    <n v="15.18"/>
    <n v="85.85"/>
    <x v="6"/>
    <x v="0"/>
    <x v="1"/>
    <x v="1"/>
  </r>
  <r>
    <n v="1033283"/>
    <x v="0"/>
    <n v="16.46"/>
    <n v="16.510000000000002"/>
    <n v="83.9"/>
    <x v="4"/>
    <x v="0"/>
    <x v="1"/>
    <x v="1"/>
  </r>
  <r>
    <n v="1033297"/>
    <x v="0"/>
    <n v="12.81"/>
    <n v="12.86"/>
    <n v="83"/>
    <x v="3"/>
    <x v="0"/>
    <x v="1"/>
    <x v="1"/>
  </r>
  <r>
    <n v="1033302"/>
    <x v="0"/>
    <n v="16.77"/>
    <n v="19.97"/>
    <n v="127.05"/>
    <x v="4"/>
    <x v="0"/>
    <x v="1"/>
    <x v="1"/>
  </r>
  <r>
    <n v="1033305"/>
    <x v="0"/>
    <n v="9.6999999999999993"/>
    <n v="9.75"/>
    <n v="42.35"/>
    <x v="0"/>
    <x v="0"/>
    <x v="1"/>
    <x v="1"/>
  </r>
  <r>
    <n v="1033326"/>
    <x v="0"/>
    <n v="13.71"/>
    <n v="13.76"/>
    <n v="63.5"/>
    <x v="3"/>
    <x v="0"/>
    <x v="1"/>
    <x v="1"/>
  </r>
  <r>
    <n v="1033336"/>
    <x v="0"/>
    <n v="12.81"/>
    <n v="12.86"/>
    <n v="67.8"/>
    <x v="3"/>
    <x v="0"/>
    <x v="1"/>
    <x v="1"/>
  </r>
  <r>
    <n v="1033342"/>
    <x v="0"/>
    <n v="9.6999999999999993"/>
    <n v="9.75"/>
    <n v="39.950000000000003"/>
    <x v="0"/>
    <x v="0"/>
    <x v="1"/>
    <x v="1"/>
  </r>
  <r>
    <n v="1033353"/>
    <x v="0"/>
    <n v="15.13"/>
    <n v="15.77"/>
    <n v="68.05"/>
    <x v="6"/>
    <x v="0"/>
    <x v="1"/>
    <x v="1"/>
  </r>
  <r>
    <n v="1033357"/>
    <x v="0"/>
    <n v="12.81"/>
    <n v="12.86"/>
    <n v="8.9499999999999993"/>
    <x v="3"/>
    <x v="0"/>
    <x v="1"/>
    <x v="1"/>
  </r>
  <r>
    <n v="1033365"/>
    <x v="0"/>
    <n v="12.81"/>
    <n v="14.28"/>
    <n v="91.95"/>
    <x v="3"/>
    <x v="0"/>
    <x v="1"/>
    <x v="1"/>
  </r>
  <r>
    <n v="1033385"/>
    <x v="0"/>
    <n v="12.81"/>
    <n v="12.86"/>
    <n v="49.95"/>
    <x v="3"/>
    <x v="0"/>
    <x v="1"/>
    <x v="1"/>
  </r>
  <r>
    <n v="1033418"/>
    <x v="0"/>
    <n v="12.81"/>
    <n v="12.86"/>
    <n v="79.5"/>
    <x v="3"/>
    <x v="0"/>
    <x v="1"/>
    <x v="1"/>
  </r>
  <r>
    <n v="1033421"/>
    <x v="0"/>
    <n v="13.7"/>
    <n v="13.75"/>
    <n v="31.65"/>
    <x v="3"/>
    <x v="0"/>
    <x v="1"/>
    <x v="1"/>
  </r>
  <r>
    <n v="1033449"/>
    <x v="0"/>
    <n v="12.81"/>
    <n v="12.86"/>
    <n v="27.85"/>
    <x v="3"/>
    <x v="0"/>
    <x v="1"/>
    <x v="1"/>
  </r>
  <r>
    <n v="1033453"/>
    <x v="0"/>
    <n v="12.81"/>
    <n v="12.86"/>
    <n v="5.85"/>
    <x v="3"/>
    <x v="0"/>
    <x v="1"/>
    <x v="1"/>
  </r>
  <r>
    <n v="1033461"/>
    <x v="0"/>
    <n v="19.559999999999999"/>
    <n v="20.190000000000001"/>
    <n v="268.5"/>
    <x v="4"/>
    <x v="0"/>
    <x v="1"/>
    <x v="1"/>
  </r>
  <r>
    <n v="1033467"/>
    <x v="0"/>
    <n v="14.15"/>
    <n v="14.77"/>
    <n v="140.69"/>
    <x v="3"/>
    <x v="0"/>
    <x v="1"/>
    <x v="1"/>
  </r>
  <r>
    <n v="1033474"/>
    <x v="0"/>
    <n v="12.81"/>
    <n v="12.86"/>
    <n v="22.95"/>
    <x v="3"/>
    <x v="0"/>
    <x v="1"/>
    <x v="1"/>
  </r>
  <r>
    <n v="1033514"/>
    <x v="0"/>
    <n v="13.7"/>
    <n v="13.75"/>
    <n v="57.8"/>
    <x v="3"/>
    <x v="0"/>
    <x v="1"/>
    <x v="1"/>
  </r>
  <r>
    <n v="1033520"/>
    <x v="0"/>
    <n v="22.45"/>
    <n v="16.95"/>
    <n v="149.15"/>
    <x v="6"/>
    <x v="0"/>
    <x v="0"/>
    <x v="40"/>
  </r>
  <r>
    <n v="1033537"/>
    <x v="0"/>
    <n v="12.81"/>
    <n v="12.86"/>
    <n v="14.95"/>
    <x v="3"/>
    <x v="0"/>
    <x v="1"/>
    <x v="1"/>
  </r>
  <r>
    <n v="1033559"/>
    <x v="0"/>
    <n v="12.81"/>
    <n v="12.86"/>
    <n v="34.950000000000003"/>
    <x v="3"/>
    <x v="0"/>
    <x v="1"/>
    <x v="1"/>
  </r>
  <r>
    <n v="1033568"/>
    <x v="0"/>
    <n v="13.6"/>
    <n v="13.65"/>
    <n v="42.9"/>
    <x v="10"/>
    <x v="0"/>
    <x v="1"/>
    <x v="1"/>
  </r>
  <r>
    <n v="1033573"/>
    <x v="0"/>
    <n v="12.81"/>
    <n v="12.86"/>
    <n v="41.9"/>
    <x v="3"/>
    <x v="0"/>
    <x v="1"/>
    <x v="1"/>
  </r>
  <r>
    <n v="1033594"/>
    <x v="0"/>
    <n v="16.46"/>
    <n v="16.510000000000002"/>
    <n v="234.5"/>
    <x v="4"/>
    <x v="0"/>
    <x v="1"/>
    <x v="1"/>
  </r>
  <r>
    <n v="1033606"/>
    <x v="0"/>
    <n v="13.7"/>
    <n v="13.75"/>
    <n v="25.85"/>
    <x v="3"/>
    <x v="0"/>
    <x v="1"/>
    <x v="1"/>
  </r>
  <r>
    <n v="1033611"/>
    <x v="0"/>
    <n v="9.6999999999999993"/>
    <n v="9.75"/>
    <n v="99.6"/>
    <x v="0"/>
    <x v="0"/>
    <x v="1"/>
    <x v="1"/>
  </r>
  <r>
    <n v="1033622"/>
    <x v="0"/>
    <n v="18.420000000000002"/>
    <n v="18.47"/>
    <n v="94.85"/>
    <x v="4"/>
    <x v="0"/>
    <x v="1"/>
    <x v="1"/>
  </r>
  <r>
    <n v="1033703"/>
    <x v="0"/>
    <n v="71.73"/>
    <n v="71.78"/>
    <n v="44.6"/>
    <x v="5"/>
    <x v="0"/>
    <x v="1"/>
    <x v="1"/>
  </r>
  <r>
    <n v="1033723"/>
    <x v="0"/>
    <n v="12.81"/>
    <n v="12.86"/>
    <n v="39.950000000000003"/>
    <x v="3"/>
    <x v="0"/>
    <x v="1"/>
    <x v="1"/>
  </r>
  <r>
    <n v="1033745"/>
    <x v="0"/>
    <n v="12.81"/>
    <n v="12.86"/>
    <n v="70.150000000000006"/>
    <x v="3"/>
    <x v="0"/>
    <x v="1"/>
    <x v="1"/>
  </r>
  <r>
    <n v="1033753"/>
    <x v="0"/>
    <n v="13.7"/>
    <n v="13.75"/>
    <n v="120.65"/>
    <x v="3"/>
    <x v="0"/>
    <x v="1"/>
    <x v="1"/>
  </r>
  <r>
    <n v="1033769"/>
    <x v="0"/>
    <n v="29.77"/>
    <n v="16.82"/>
    <n v="39.799999999999997"/>
    <x v="4"/>
    <x v="0"/>
    <x v="0"/>
    <x v="29"/>
  </r>
  <r>
    <n v="1033791"/>
    <x v="0"/>
    <n v="12.35"/>
    <n v="12.4"/>
    <n v="249.65"/>
    <x v="7"/>
    <x v="0"/>
    <x v="1"/>
    <x v="1"/>
  </r>
  <r>
    <n v="1033810"/>
    <x v="0"/>
    <n v="12.73"/>
    <n v="14.29"/>
    <n v="76.55"/>
    <x v="7"/>
    <x v="0"/>
    <x v="1"/>
    <x v="1"/>
  </r>
  <r>
    <n v="1033814"/>
    <x v="0"/>
    <n v="9.6999999999999993"/>
    <n v="9.75"/>
    <n v="60.7"/>
    <x v="0"/>
    <x v="0"/>
    <x v="1"/>
    <x v="1"/>
  </r>
  <r>
    <n v="1033819"/>
    <x v="0"/>
    <n v="16.46"/>
    <n v="16.510000000000002"/>
    <n v="63.3"/>
    <x v="4"/>
    <x v="0"/>
    <x v="1"/>
    <x v="1"/>
  </r>
  <r>
    <n v="1033821"/>
    <x v="0"/>
    <n v="18.46"/>
    <n v="18.510000000000002"/>
    <n v="8.4499999999999993"/>
    <x v="9"/>
    <x v="0"/>
    <x v="1"/>
    <x v="1"/>
  </r>
  <r>
    <n v="1033830"/>
    <x v="0"/>
    <n v="13.7"/>
    <n v="13.75"/>
    <n v="4.95"/>
    <x v="3"/>
    <x v="0"/>
    <x v="1"/>
    <x v="1"/>
  </r>
  <r>
    <n v="1033834"/>
    <x v="0"/>
    <n v="12.35"/>
    <n v="12.4"/>
    <n v="74.95"/>
    <x v="7"/>
    <x v="0"/>
    <x v="1"/>
    <x v="1"/>
  </r>
  <r>
    <n v="1033835"/>
    <x v="0"/>
    <n v="13.7"/>
    <n v="13.75"/>
    <n v="11.95"/>
    <x v="3"/>
    <x v="0"/>
    <x v="1"/>
    <x v="1"/>
  </r>
  <r>
    <n v="1033841"/>
    <x v="0"/>
    <n v="9.6999999999999993"/>
    <n v="13.09"/>
    <n v="78.599999999999994"/>
    <x v="0"/>
    <x v="0"/>
    <x v="1"/>
    <x v="1"/>
  </r>
  <r>
    <n v="1033847"/>
    <x v="0"/>
    <n v="16.46"/>
    <n v="16.510000000000002"/>
    <n v="29.9"/>
    <x v="4"/>
    <x v="0"/>
    <x v="1"/>
    <x v="1"/>
  </r>
  <r>
    <n v="1033859"/>
    <x v="0"/>
    <n v="12.81"/>
    <n v="12.86"/>
    <n v="47.3"/>
    <x v="3"/>
    <x v="0"/>
    <x v="1"/>
    <x v="1"/>
  </r>
  <r>
    <n v="1033883"/>
    <x v="0"/>
    <n v="20.46"/>
    <n v="20.51"/>
    <n v="187.8"/>
    <x v="10"/>
    <x v="0"/>
    <x v="1"/>
    <x v="1"/>
  </r>
  <r>
    <n v="1033930"/>
    <x v="0"/>
    <n v="12.35"/>
    <n v="12.4"/>
    <n v="9.9499999999999993"/>
    <x v="7"/>
    <x v="0"/>
    <x v="1"/>
    <x v="1"/>
  </r>
  <r>
    <n v="1033938"/>
    <x v="0"/>
    <n v="9.6999999999999993"/>
    <n v="12.86"/>
    <n v="166.55"/>
    <x v="0"/>
    <x v="0"/>
    <x v="1"/>
    <x v="1"/>
  </r>
  <r>
    <n v="1033948"/>
    <x v="0"/>
    <n v="16.46"/>
    <n v="16.510000000000002"/>
    <n v="19.95"/>
    <x v="4"/>
    <x v="0"/>
    <x v="1"/>
    <x v="1"/>
  </r>
  <r>
    <n v="1033957"/>
    <x v="0"/>
    <n v="13.6"/>
    <n v="13.65"/>
    <n v="89.2"/>
    <x v="10"/>
    <x v="0"/>
    <x v="1"/>
    <x v="1"/>
  </r>
  <r>
    <n v="1033960"/>
    <x v="0"/>
    <n v="13.7"/>
    <n v="13.75"/>
    <n v="70.75"/>
    <x v="3"/>
    <x v="0"/>
    <x v="1"/>
    <x v="1"/>
  </r>
  <r>
    <n v="1033997"/>
    <x v="0"/>
    <n v="12.81"/>
    <n v="12.86"/>
    <n v="37.799999999999997"/>
    <x v="3"/>
    <x v="0"/>
    <x v="1"/>
    <x v="1"/>
  </r>
  <r>
    <n v="1034024"/>
    <x v="0"/>
    <n v="17.440000000000001"/>
    <n v="17.489999999999998"/>
    <n v="24.9"/>
    <x v="10"/>
    <x v="0"/>
    <x v="1"/>
    <x v="1"/>
  </r>
  <r>
    <n v="1034038"/>
    <x v="0"/>
    <n v="12.35"/>
    <n v="16.510000000000002"/>
    <n v="99.15"/>
    <x v="7"/>
    <x v="0"/>
    <x v="1"/>
    <x v="1"/>
  </r>
  <r>
    <n v="1034043"/>
    <x v="0"/>
    <n v="12.81"/>
    <n v="12.86"/>
    <n v="7.85"/>
    <x v="3"/>
    <x v="0"/>
    <x v="1"/>
    <x v="1"/>
  </r>
  <r>
    <n v="1034053"/>
    <x v="0"/>
    <n v="9.6999999999999993"/>
    <n v="9.76"/>
    <n v="75.8"/>
    <x v="0"/>
    <x v="0"/>
    <x v="1"/>
    <x v="1"/>
  </r>
  <r>
    <n v="1034083"/>
    <x v="0"/>
    <n v="9.6999999999999993"/>
    <n v="9.75"/>
    <n v="2.5"/>
    <x v="0"/>
    <x v="0"/>
    <x v="1"/>
    <x v="1"/>
  </r>
  <r>
    <n v="1034091"/>
    <x v="0"/>
    <n v="12.81"/>
    <n v="12.86"/>
    <n v="37.85"/>
    <x v="3"/>
    <x v="0"/>
    <x v="1"/>
    <x v="1"/>
  </r>
  <r>
    <n v="1034094"/>
    <x v="0"/>
    <n v="9.6999999999999993"/>
    <n v="9.75"/>
    <n v="84.35"/>
    <x v="0"/>
    <x v="0"/>
    <x v="1"/>
    <x v="1"/>
  </r>
  <r>
    <n v="1034105"/>
    <x v="0"/>
    <n v="12.81"/>
    <n v="12.86"/>
    <n v="17.45"/>
    <x v="3"/>
    <x v="0"/>
    <x v="1"/>
    <x v="1"/>
  </r>
  <r>
    <n v="1034130"/>
    <x v="0"/>
    <n v="9.6999999999999993"/>
    <n v="0"/>
    <n v="42.4"/>
    <x v="0"/>
    <x v="0"/>
    <x v="0"/>
    <x v="9"/>
  </r>
  <r>
    <n v="1034135"/>
    <x v="0"/>
    <n v="9.6999999999999993"/>
    <n v="9.75"/>
    <n v="149.75"/>
    <x v="0"/>
    <x v="0"/>
    <x v="1"/>
    <x v="1"/>
  </r>
  <r>
    <n v="1034142"/>
    <x v="0"/>
    <n v="9.6999999999999993"/>
    <n v="0"/>
    <n v="153"/>
    <x v="0"/>
    <x v="0"/>
    <x v="0"/>
    <x v="9"/>
  </r>
  <r>
    <n v="1034207"/>
    <x v="0"/>
    <n v="26.7"/>
    <n v="14.27"/>
    <n v="93.7"/>
    <x v="3"/>
    <x v="0"/>
    <x v="0"/>
    <x v="41"/>
  </r>
  <r>
    <n v="1034218"/>
    <x v="0"/>
    <n v="13.7"/>
    <n v="13.75"/>
    <n v="29.75"/>
    <x v="3"/>
    <x v="0"/>
    <x v="1"/>
    <x v="1"/>
  </r>
  <r>
    <n v="1034227"/>
    <x v="0"/>
    <n v="12.81"/>
    <n v="12.86"/>
    <n v="31.9"/>
    <x v="3"/>
    <x v="0"/>
    <x v="1"/>
    <x v="1"/>
  </r>
  <r>
    <n v="1034242"/>
    <x v="0"/>
    <n v="9.7100000000000009"/>
    <n v="9.76"/>
    <n v="32.450000000000003"/>
    <x v="0"/>
    <x v="0"/>
    <x v="1"/>
    <x v="1"/>
  </r>
  <r>
    <n v="1034249"/>
    <x v="0"/>
    <n v="14.04"/>
    <n v="14.86"/>
    <n v="150.44999999999999"/>
    <x v="10"/>
    <x v="0"/>
    <x v="1"/>
    <x v="1"/>
  </r>
  <r>
    <n v="1034250"/>
    <x v="0"/>
    <n v="19.22"/>
    <n v="20.51"/>
    <n v="14.9"/>
    <x v="10"/>
    <x v="0"/>
    <x v="1"/>
    <x v="1"/>
  </r>
  <r>
    <n v="1034253"/>
    <x v="0"/>
    <n v="9.6999999999999993"/>
    <n v="9.75"/>
    <n v="44.9"/>
    <x v="0"/>
    <x v="0"/>
    <x v="1"/>
    <x v="1"/>
  </r>
  <r>
    <n v="1034318"/>
    <x v="0"/>
    <n v="13.7"/>
    <n v="13.75"/>
    <n v="39.950000000000003"/>
    <x v="3"/>
    <x v="0"/>
    <x v="1"/>
    <x v="1"/>
  </r>
  <r>
    <n v="1034322"/>
    <x v="0"/>
    <n v="13.7"/>
    <n v="13.75"/>
    <n v="39.950000000000003"/>
    <x v="3"/>
    <x v="0"/>
    <x v="1"/>
    <x v="1"/>
  </r>
  <r>
    <n v="1034338"/>
    <x v="0"/>
    <n v="13.7"/>
    <n v="13.75"/>
    <n v="65.400000000000006"/>
    <x v="3"/>
    <x v="0"/>
    <x v="1"/>
    <x v="1"/>
  </r>
  <r>
    <n v="1034404"/>
    <x v="0"/>
    <n v="18.149999999999999"/>
    <n v="18.2"/>
    <n v="39.950000000000003"/>
    <x v="9"/>
    <x v="0"/>
    <x v="1"/>
    <x v="1"/>
  </r>
  <r>
    <n v="1034412"/>
    <x v="0"/>
    <n v="12.81"/>
    <n v="12.86"/>
    <n v="39.950000000000003"/>
    <x v="3"/>
    <x v="0"/>
    <x v="1"/>
    <x v="1"/>
  </r>
  <r>
    <n v="1034438"/>
    <x v="0"/>
    <n v="12.35"/>
    <n v="12.4"/>
    <n v="45.95"/>
    <x v="7"/>
    <x v="0"/>
    <x v="1"/>
    <x v="1"/>
  </r>
  <r>
    <n v="1034443"/>
    <x v="0"/>
    <n v="17.7"/>
    <n v="17.75"/>
    <n v="73.55"/>
    <x v="9"/>
    <x v="0"/>
    <x v="1"/>
    <x v="1"/>
  </r>
  <r>
    <n v="1034447"/>
    <x v="0"/>
    <n v="13.7"/>
    <n v="13.75"/>
    <n v="55.9"/>
    <x v="3"/>
    <x v="0"/>
    <x v="1"/>
    <x v="1"/>
  </r>
  <r>
    <n v="1034454"/>
    <x v="0"/>
    <n v="23.33"/>
    <n v="24.61"/>
    <n v="203.55"/>
    <x v="9"/>
    <x v="0"/>
    <x v="1"/>
    <x v="1"/>
  </r>
  <r>
    <n v="1034472"/>
    <x v="0"/>
    <n v="9.6999999999999993"/>
    <n v="13.75"/>
    <n v="53.85"/>
    <x v="0"/>
    <x v="0"/>
    <x v="1"/>
    <x v="1"/>
  </r>
  <r>
    <n v="1034495"/>
    <x v="0"/>
    <n v="18.46"/>
    <n v="18.510000000000002"/>
    <n v="39.950000000000003"/>
    <x v="9"/>
    <x v="0"/>
    <x v="1"/>
    <x v="1"/>
  </r>
  <r>
    <n v="1034523"/>
    <x v="0"/>
    <n v="9.6999999999999993"/>
    <n v="12.86"/>
    <n v="29.35"/>
    <x v="0"/>
    <x v="0"/>
    <x v="1"/>
    <x v="1"/>
  </r>
  <r>
    <n v="1034533"/>
    <x v="0"/>
    <n v="13.7"/>
    <n v="13.99"/>
    <n v="99.95"/>
    <x v="3"/>
    <x v="0"/>
    <x v="1"/>
    <x v="1"/>
  </r>
  <r>
    <n v="1034574"/>
    <x v="0"/>
    <n v="13.7"/>
    <n v="13.75"/>
    <n v="99.85"/>
    <x v="3"/>
    <x v="0"/>
    <x v="1"/>
    <x v="1"/>
  </r>
  <r>
    <n v="1034652"/>
    <x v="0"/>
    <n v="13.7"/>
    <n v="13.76"/>
    <n v="91.9"/>
    <x v="3"/>
    <x v="0"/>
    <x v="1"/>
    <x v="1"/>
  </r>
  <r>
    <n v="1034678"/>
    <x v="0"/>
    <n v="13.7"/>
    <n v="13.75"/>
    <n v="64.95"/>
    <x v="3"/>
    <x v="0"/>
    <x v="1"/>
    <x v="1"/>
  </r>
  <r>
    <n v="1034696"/>
    <x v="0"/>
    <n v="67.459999999999994"/>
    <n v="67.52"/>
    <n v="116.9"/>
    <x v="2"/>
    <x v="0"/>
    <x v="1"/>
    <x v="1"/>
  </r>
  <r>
    <n v="1034715"/>
    <x v="0"/>
    <n v="12.81"/>
    <n v="12.86"/>
    <n v="44.95"/>
    <x v="3"/>
    <x v="0"/>
    <x v="1"/>
    <x v="1"/>
  </r>
  <r>
    <n v="1034717"/>
    <x v="0"/>
    <n v="12.97"/>
    <n v="13.26"/>
    <n v="94.9"/>
    <x v="3"/>
    <x v="0"/>
    <x v="1"/>
    <x v="1"/>
  </r>
  <r>
    <n v="1034720"/>
    <x v="0"/>
    <n v="13.7"/>
    <n v="13.75"/>
    <n v="49.95"/>
    <x v="3"/>
    <x v="0"/>
    <x v="1"/>
    <x v="1"/>
  </r>
  <r>
    <n v="1034760"/>
    <x v="0"/>
    <n v="58.59"/>
    <n v="61.59"/>
    <n v="201.25"/>
    <x v="2"/>
    <x v="0"/>
    <x v="1"/>
    <x v="1"/>
  </r>
  <r>
    <n v="1034764"/>
    <x v="0"/>
    <n v="16.46"/>
    <n v="16.510000000000002"/>
    <n v="9.4"/>
    <x v="4"/>
    <x v="0"/>
    <x v="1"/>
    <x v="1"/>
  </r>
  <r>
    <n v="1034765"/>
    <x v="0"/>
    <n v="13.7"/>
    <n v="13.75"/>
    <n v="99.8"/>
    <x v="3"/>
    <x v="0"/>
    <x v="1"/>
    <x v="1"/>
  </r>
  <r>
    <n v="1034777"/>
    <x v="0"/>
    <n v="12.81"/>
    <n v="12.86"/>
    <n v="34.200000000000003"/>
    <x v="3"/>
    <x v="0"/>
    <x v="1"/>
    <x v="1"/>
  </r>
  <r>
    <n v="1034788"/>
    <x v="0"/>
    <n v="13.7"/>
    <n v="13.75"/>
    <n v="24.9"/>
    <x v="3"/>
    <x v="0"/>
    <x v="1"/>
    <x v="1"/>
  </r>
  <r>
    <n v="1034791"/>
    <x v="0"/>
    <n v="18.149999999999999"/>
    <n v="18.2"/>
    <n v="42.6"/>
    <x v="9"/>
    <x v="0"/>
    <x v="1"/>
    <x v="1"/>
  </r>
  <r>
    <n v="1034809"/>
    <x v="0"/>
    <n v="13.7"/>
    <n v="13.75"/>
    <n v="54.9"/>
    <x v="3"/>
    <x v="0"/>
    <x v="1"/>
    <x v="1"/>
  </r>
  <r>
    <n v="1034814"/>
    <x v="0"/>
    <n v="9.6999999999999993"/>
    <n v="13.75"/>
    <n v="105.6"/>
    <x v="0"/>
    <x v="0"/>
    <x v="1"/>
    <x v="1"/>
  </r>
  <r>
    <n v="1034826"/>
    <x v="0"/>
    <n v="13.7"/>
    <n v="13.75"/>
    <n v="66.349999999999994"/>
    <x v="3"/>
    <x v="0"/>
    <x v="1"/>
    <x v="1"/>
  </r>
  <r>
    <n v="1034831"/>
    <x v="0"/>
    <n v="12.81"/>
    <n v="13.31"/>
    <n v="12.5"/>
    <x v="3"/>
    <x v="0"/>
    <x v="1"/>
    <x v="1"/>
  </r>
  <r>
    <n v="1034849"/>
    <x v="0"/>
    <n v="16.77"/>
    <n v="16.82"/>
    <n v="103.75"/>
    <x v="4"/>
    <x v="0"/>
    <x v="1"/>
    <x v="1"/>
  </r>
  <r>
    <n v="1034850"/>
    <x v="0"/>
    <n v="16.399999999999999"/>
    <n v="17.82"/>
    <n v="106.15"/>
    <x v="6"/>
    <x v="0"/>
    <x v="1"/>
    <x v="1"/>
  </r>
  <r>
    <n v="1034870"/>
    <x v="0"/>
    <n v="26.34"/>
    <n v="26.39"/>
    <n v="54.9"/>
    <x v="9"/>
    <x v="0"/>
    <x v="1"/>
    <x v="1"/>
  </r>
  <r>
    <n v="1034871"/>
    <x v="0"/>
    <n v="12.81"/>
    <n v="12.86"/>
    <n v="39.9"/>
    <x v="3"/>
    <x v="0"/>
    <x v="1"/>
    <x v="1"/>
  </r>
  <r>
    <n v="1034874"/>
    <x v="0"/>
    <n v="12.81"/>
    <n v="12.86"/>
    <n v="45.95"/>
    <x v="3"/>
    <x v="0"/>
    <x v="1"/>
    <x v="1"/>
  </r>
  <r>
    <n v="1034885"/>
    <x v="0"/>
    <n v="13.7"/>
    <n v="13.76"/>
    <n v="36.65"/>
    <x v="3"/>
    <x v="0"/>
    <x v="1"/>
    <x v="1"/>
  </r>
  <r>
    <n v="1034886"/>
    <x v="0"/>
    <n v="12.81"/>
    <n v="12.86"/>
    <n v="70"/>
    <x v="3"/>
    <x v="0"/>
    <x v="1"/>
    <x v="1"/>
  </r>
  <r>
    <n v="1034948"/>
    <x v="0"/>
    <n v="12.81"/>
    <n v="12.86"/>
    <n v="30"/>
    <x v="3"/>
    <x v="0"/>
    <x v="1"/>
    <x v="1"/>
  </r>
  <r>
    <n v="1034957"/>
    <x v="0"/>
    <n v="71.73"/>
    <n v="71.78"/>
    <n v="6.95"/>
    <x v="5"/>
    <x v="0"/>
    <x v="1"/>
    <x v="1"/>
  </r>
  <r>
    <n v="1034959"/>
    <x v="0"/>
    <n v="12.81"/>
    <n v="12.86"/>
    <n v="71.75"/>
    <x v="3"/>
    <x v="0"/>
    <x v="1"/>
    <x v="1"/>
  </r>
  <r>
    <n v="1034961"/>
    <x v="0"/>
    <n v="61.55"/>
    <n v="61.6"/>
    <n v="275"/>
    <x v="2"/>
    <x v="0"/>
    <x v="1"/>
    <x v="1"/>
  </r>
  <r>
    <n v="1034962"/>
    <x v="0"/>
    <n v="14.42"/>
    <n v="15.85"/>
    <n v="102.35"/>
    <x v="3"/>
    <x v="0"/>
    <x v="1"/>
    <x v="1"/>
  </r>
  <r>
    <n v="1034974"/>
    <x v="0"/>
    <n v="13.7"/>
    <n v="13.75"/>
    <n v="25"/>
    <x v="3"/>
    <x v="0"/>
    <x v="1"/>
    <x v="1"/>
  </r>
  <r>
    <n v="1034979"/>
    <x v="0"/>
    <n v="13.71"/>
    <n v="13.76"/>
    <n v="124.3"/>
    <x v="3"/>
    <x v="0"/>
    <x v="1"/>
    <x v="1"/>
  </r>
  <r>
    <n v="1034980"/>
    <x v="0"/>
    <n v="15.13"/>
    <n v="15.18"/>
    <n v="53.9"/>
    <x v="6"/>
    <x v="0"/>
    <x v="1"/>
    <x v="1"/>
  </r>
  <r>
    <n v="1034984"/>
    <x v="0"/>
    <n v="15.44"/>
    <n v="15.49"/>
    <n v="29.95"/>
    <x v="6"/>
    <x v="0"/>
    <x v="1"/>
    <x v="1"/>
  </r>
  <r>
    <n v="1035035"/>
    <x v="0"/>
    <n v="9.6999999999999993"/>
    <n v="9.75"/>
    <n v="8.6"/>
    <x v="0"/>
    <x v="0"/>
    <x v="1"/>
    <x v="1"/>
  </r>
  <r>
    <n v="1035061"/>
    <x v="0"/>
    <n v="12.81"/>
    <n v="13.88"/>
    <n v="51.3"/>
    <x v="3"/>
    <x v="0"/>
    <x v="1"/>
    <x v="1"/>
  </r>
  <r>
    <n v="1035081"/>
    <x v="0"/>
    <n v="12.81"/>
    <n v="12.86"/>
    <n v="48.85"/>
    <x v="3"/>
    <x v="0"/>
    <x v="1"/>
    <x v="1"/>
  </r>
  <r>
    <n v="1035096"/>
    <x v="0"/>
    <n v="15.44"/>
    <n v="15.49"/>
    <n v="23.4"/>
    <x v="6"/>
    <x v="0"/>
    <x v="1"/>
    <x v="1"/>
  </r>
  <r>
    <n v="1035108"/>
    <x v="0"/>
    <n v="9.6999999999999993"/>
    <n v="12.86"/>
    <n v="42.6"/>
    <x v="0"/>
    <x v="0"/>
    <x v="1"/>
    <x v="1"/>
  </r>
  <r>
    <n v="1035118"/>
    <x v="0"/>
    <n v="13.7"/>
    <n v="13.75"/>
    <n v="74.95"/>
    <x v="3"/>
    <x v="0"/>
    <x v="1"/>
    <x v="1"/>
  </r>
  <r>
    <n v="1035126"/>
    <x v="0"/>
    <n v="12.35"/>
    <n v="16.82"/>
    <n v="69.95"/>
    <x v="7"/>
    <x v="0"/>
    <x v="1"/>
    <x v="1"/>
  </r>
  <r>
    <n v="1035130"/>
    <x v="0"/>
    <n v="17.7"/>
    <n v="17.75"/>
    <n v="38.299999999999997"/>
    <x v="9"/>
    <x v="0"/>
    <x v="1"/>
    <x v="1"/>
  </r>
  <r>
    <n v="1035135"/>
    <x v="0"/>
    <n v="12.81"/>
    <n v="12.86"/>
    <n v="24.95"/>
    <x v="3"/>
    <x v="0"/>
    <x v="1"/>
    <x v="1"/>
  </r>
  <r>
    <n v="1035147"/>
    <x v="0"/>
    <n v="12.81"/>
    <n v="12.86"/>
    <n v="19.399999999999999"/>
    <x v="3"/>
    <x v="0"/>
    <x v="1"/>
    <x v="1"/>
  </r>
  <r>
    <n v="1035158"/>
    <x v="0"/>
    <n v="9.6999999999999993"/>
    <n v="13.75"/>
    <n v="39.950000000000003"/>
    <x v="0"/>
    <x v="0"/>
    <x v="1"/>
    <x v="1"/>
  </r>
  <r>
    <n v="1035176"/>
    <x v="0"/>
    <n v="13.7"/>
    <n v="13.75"/>
    <n v="39.950000000000003"/>
    <x v="3"/>
    <x v="0"/>
    <x v="1"/>
    <x v="1"/>
  </r>
  <r>
    <n v="1035198"/>
    <x v="0"/>
    <n v="13.7"/>
    <n v="13.75"/>
    <n v="39.950000000000003"/>
    <x v="3"/>
    <x v="0"/>
    <x v="1"/>
    <x v="1"/>
  </r>
  <r>
    <n v="1035205"/>
    <x v="0"/>
    <n v="13.7"/>
    <n v="13.75"/>
    <n v="39.950000000000003"/>
    <x v="3"/>
    <x v="0"/>
    <x v="1"/>
    <x v="1"/>
  </r>
  <r>
    <n v="1035228"/>
    <x v="0"/>
    <n v="12.81"/>
    <n v="12.86"/>
    <n v="39.950000000000003"/>
    <x v="3"/>
    <x v="0"/>
    <x v="1"/>
    <x v="1"/>
  </r>
  <r>
    <n v="1035235"/>
    <x v="0"/>
    <n v="12.81"/>
    <n v="12.86"/>
    <n v="39.950000000000003"/>
    <x v="3"/>
    <x v="0"/>
    <x v="1"/>
    <x v="1"/>
  </r>
  <r>
    <n v="1035269"/>
    <x v="0"/>
    <n v="13.7"/>
    <n v="13.75"/>
    <n v="39.950000000000003"/>
    <x v="3"/>
    <x v="0"/>
    <x v="1"/>
    <x v="1"/>
  </r>
  <r>
    <n v="1035288"/>
    <x v="0"/>
    <n v="9.6999999999999993"/>
    <n v="9.75"/>
    <n v="168.4"/>
    <x v="0"/>
    <x v="0"/>
    <x v="1"/>
    <x v="1"/>
  </r>
  <r>
    <n v="1035331"/>
    <x v="0"/>
    <n v="16.87"/>
    <n v="16.920000000000002"/>
    <n v="39.950000000000003"/>
    <x v="4"/>
    <x v="0"/>
    <x v="1"/>
    <x v="1"/>
  </r>
  <r>
    <n v="1035334"/>
    <x v="0"/>
    <n v="13.7"/>
    <n v="13.75"/>
    <n v="91.85"/>
    <x v="3"/>
    <x v="0"/>
    <x v="1"/>
    <x v="1"/>
  </r>
  <r>
    <n v="1035350"/>
    <x v="0"/>
    <n v="9.6999999999999993"/>
    <n v="9.75"/>
    <n v="39.950000000000003"/>
    <x v="0"/>
    <x v="0"/>
    <x v="1"/>
    <x v="1"/>
  </r>
  <r>
    <n v="1035353"/>
    <x v="0"/>
    <n v="12.81"/>
    <n v="12.86"/>
    <n v="39.950000000000003"/>
    <x v="3"/>
    <x v="0"/>
    <x v="1"/>
    <x v="1"/>
  </r>
  <r>
    <n v="1035359"/>
    <x v="0"/>
    <n v="9.6999999999999993"/>
    <n v="9.75"/>
    <n v="49.9"/>
    <x v="0"/>
    <x v="0"/>
    <x v="1"/>
    <x v="1"/>
  </r>
  <r>
    <n v="1035365"/>
    <x v="0"/>
    <n v="12.81"/>
    <n v="12.86"/>
    <n v="39.950000000000003"/>
    <x v="3"/>
    <x v="0"/>
    <x v="1"/>
    <x v="1"/>
  </r>
  <r>
    <n v="1035377"/>
    <x v="0"/>
    <n v="13.7"/>
    <n v="13.75"/>
    <n v="39.950000000000003"/>
    <x v="3"/>
    <x v="0"/>
    <x v="1"/>
    <x v="1"/>
  </r>
  <r>
    <n v="1035383"/>
    <x v="0"/>
    <n v="9.6999999999999993"/>
    <n v="9.75"/>
    <n v="39.950000000000003"/>
    <x v="0"/>
    <x v="0"/>
    <x v="1"/>
    <x v="1"/>
  </r>
  <r>
    <n v="1035393"/>
    <x v="0"/>
    <n v="9.6999999999999993"/>
    <n v="13.76"/>
    <n v="39.950000000000003"/>
    <x v="0"/>
    <x v="0"/>
    <x v="1"/>
    <x v="1"/>
  </r>
  <r>
    <n v="1035397"/>
    <x v="0"/>
    <n v="12.81"/>
    <n v="12.86"/>
    <n v="38.85"/>
    <x v="3"/>
    <x v="0"/>
    <x v="1"/>
    <x v="1"/>
  </r>
  <r>
    <n v="1035411"/>
    <x v="0"/>
    <n v="15.44"/>
    <n v="15.49"/>
    <n v="90.2"/>
    <x v="6"/>
    <x v="0"/>
    <x v="1"/>
    <x v="1"/>
  </r>
  <r>
    <n v="1035416"/>
    <x v="0"/>
    <n v="16.559999999999999"/>
    <n v="16.61"/>
    <n v="39.950000000000003"/>
    <x v="4"/>
    <x v="0"/>
    <x v="1"/>
    <x v="1"/>
  </r>
  <r>
    <n v="1035417"/>
    <x v="0"/>
    <n v="13.7"/>
    <n v="13.75"/>
    <n v="39.950000000000003"/>
    <x v="3"/>
    <x v="0"/>
    <x v="1"/>
    <x v="1"/>
  </r>
  <r>
    <n v="1035437"/>
    <x v="0"/>
    <n v="12.81"/>
    <n v="12.86"/>
    <n v="39.950000000000003"/>
    <x v="3"/>
    <x v="0"/>
    <x v="1"/>
    <x v="1"/>
  </r>
  <r>
    <n v="1035469"/>
    <x v="0"/>
    <n v="27.25"/>
    <n v="28.55"/>
    <n v="223.35"/>
    <x v="6"/>
    <x v="0"/>
    <x v="1"/>
    <x v="1"/>
  </r>
  <r>
    <n v="1035493"/>
    <x v="0"/>
    <n v="12.81"/>
    <n v="12.86"/>
    <n v="14.75"/>
    <x v="3"/>
    <x v="0"/>
    <x v="1"/>
    <x v="1"/>
  </r>
  <r>
    <n v="1035499"/>
    <x v="0"/>
    <n v="9.6999999999999993"/>
    <n v="9.75"/>
    <n v="195.75"/>
    <x v="0"/>
    <x v="0"/>
    <x v="1"/>
    <x v="1"/>
  </r>
  <r>
    <n v="1035506"/>
    <x v="0"/>
    <n v="9.6999999999999993"/>
    <n v="9.75"/>
    <n v="24.75"/>
    <x v="0"/>
    <x v="0"/>
    <x v="1"/>
    <x v="1"/>
  </r>
  <r>
    <n v="1035515"/>
    <x v="0"/>
    <n v="9.6999999999999993"/>
    <n v="9.75"/>
    <n v="123.1"/>
    <x v="0"/>
    <x v="0"/>
    <x v="1"/>
    <x v="1"/>
  </r>
  <r>
    <n v="1035518"/>
    <x v="0"/>
    <n v="9.6999999999999993"/>
    <n v="9.75"/>
    <n v="77.7"/>
    <x v="0"/>
    <x v="0"/>
    <x v="1"/>
    <x v="1"/>
  </r>
  <r>
    <n v="1035552"/>
    <x v="0"/>
    <n v="12.35"/>
    <n v="12.4"/>
    <n v="24.95"/>
    <x v="7"/>
    <x v="0"/>
    <x v="1"/>
    <x v="1"/>
  </r>
  <r>
    <n v="1035553"/>
    <x v="0"/>
    <n v="9.6999999999999993"/>
    <n v="9.75"/>
    <n v="44.95"/>
    <x v="0"/>
    <x v="0"/>
    <x v="1"/>
    <x v="1"/>
  </r>
  <r>
    <n v="1035555"/>
    <x v="0"/>
    <n v="36.590000000000003"/>
    <n v="54.85"/>
    <n v="495.95"/>
    <x v="9"/>
    <x v="0"/>
    <x v="1"/>
    <x v="1"/>
  </r>
  <r>
    <n v="1035556"/>
    <x v="0"/>
    <n v="58.68"/>
    <n v="75.790000000000006"/>
    <n v="360"/>
    <x v="2"/>
    <x v="0"/>
    <x v="1"/>
    <x v="1"/>
  </r>
  <r>
    <n v="1035576"/>
    <x v="0"/>
    <n v="12.81"/>
    <n v="13.31"/>
    <n v="85"/>
    <x v="3"/>
    <x v="0"/>
    <x v="1"/>
    <x v="1"/>
  </r>
  <r>
    <n v="1035579"/>
    <x v="0"/>
    <n v="13.7"/>
    <n v="13.76"/>
    <n v="16.399999999999999"/>
    <x v="3"/>
    <x v="0"/>
    <x v="1"/>
    <x v="1"/>
  </r>
  <r>
    <n v="1035590"/>
    <x v="0"/>
    <n v="12.81"/>
    <n v="12.86"/>
    <n v="144.85"/>
    <x v="3"/>
    <x v="0"/>
    <x v="1"/>
    <x v="1"/>
  </r>
  <r>
    <n v="1035593"/>
    <x v="0"/>
    <n v="12.81"/>
    <n v="12.86"/>
    <n v="30.8"/>
    <x v="3"/>
    <x v="0"/>
    <x v="1"/>
    <x v="1"/>
  </r>
  <r>
    <n v="1035608"/>
    <x v="0"/>
    <n v="9.6999999999999993"/>
    <n v="9.75"/>
    <n v="149.5"/>
    <x v="0"/>
    <x v="0"/>
    <x v="1"/>
    <x v="1"/>
  </r>
  <r>
    <n v="1035629"/>
    <x v="0"/>
    <n v="9.6999999999999993"/>
    <n v="9.76"/>
    <n v="15.9"/>
    <x v="0"/>
    <x v="0"/>
    <x v="1"/>
    <x v="1"/>
  </r>
  <r>
    <n v="1035644"/>
    <x v="0"/>
    <n v="9.6999999999999993"/>
    <n v="13.75"/>
    <n v="9.9499999999999993"/>
    <x v="0"/>
    <x v="0"/>
    <x v="1"/>
    <x v="1"/>
  </r>
  <r>
    <n v="1035662"/>
    <x v="0"/>
    <n v="18.920000000000002"/>
    <n v="18.97"/>
    <n v="14.95"/>
    <x v="9"/>
    <x v="0"/>
    <x v="1"/>
    <x v="1"/>
  </r>
  <r>
    <n v="1035699"/>
    <x v="0"/>
    <n v="13.7"/>
    <n v="13.75"/>
    <n v="32.799999999999997"/>
    <x v="3"/>
    <x v="0"/>
    <x v="1"/>
    <x v="1"/>
  </r>
  <r>
    <n v="1035706"/>
    <x v="0"/>
    <n v="13.7"/>
    <n v="13.75"/>
    <n v="54.95"/>
    <x v="3"/>
    <x v="0"/>
    <x v="1"/>
    <x v="1"/>
  </r>
  <r>
    <n v="1035717"/>
    <x v="0"/>
    <n v="16.46"/>
    <n v="16.510000000000002"/>
    <n v="9.9"/>
    <x v="4"/>
    <x v="0"/>
    <x v="1"/>
    <x v="1"/>
  </r>
  <r>
    <n v="1035733"/>
    <x v="0"/>
    <n v="9.6999999999999993"/>
    <n v="13.75"/>
    <n v="69.900000000000006"/>
    <x v="0"/>
    <x v="0"/>
    <x v="1"/>
    <x v="1"/>
  </r>
  <r>
    <n v="1035749"/>
    <x v="0"/>
    <n v="12.81"/>
    <n v="12.86"/>
    <n v="54.7"/>
    <x v="3"/>
    <x v="0"/>
    <x v="1"/>
    <x v="1"/>
  </r>
  <r>
    <n v="1035751"/>
    <x v="0"/>
    <n v="9.65"/>
    <n v="0"/>
    <n v="15.84"/>
    <x v="0"/>
    <x v="0"/>
    <x v="0"/>
    <x v="42"/>
  </r>
  <r>
    <n v="1035781"/>
    <x v="0"/>
    <n v="15.12"/>
    <n v="15.17"/>
    <n v="103.7"/>
    <x v="3"/>
    <x v="0"/>
    <x v="1"/>
    <x v="1"/>
  </r>
  <r>
    <n v="1035800"/>
    <x v="0"/>
    <n v="13.7"/>
    <n v="13.75"/>
    <n v="39.950000000000003"/>
    <x v="3"/>
    <x v="0"/>
    <x v="1"/>
    <x v="1"/>
  </r>
  <r>
    <n v="1035802"/>
    <x v="0"/>
    <n v="9.6999999999999993"/>
    <n v="9.75"/>
    <n v="29.9"/>
    <x v="0"/>
    <x v="0"/>
    <x v="1"/>
    <x v="1"/>
  </r>
  <r>
    <n v="1035807"/>
    <x v="0"/>
    <n v="15.13"/>
    <n v="15.18"/>
    <n v="39.950000000000003"/>
    <x v="6"/>
    <x v="0"/>
    <x v="1"/>
    <x v="1"/>
  </r>
  <r>
    <n v="1035815"/>
    <x v="0"/>
    <n v="13.7"/>
    <n v="13.75"/>
    <n v="61.9"/>
    <x v="3"/>
    <x v="0"/>
    <x v="1"/>
    <x v="1"/>
  </r>
  <r>
    <n v="1035820"/>
    <x v="0"/>
    <n v="12.81"/>
    <n v="12.86"/>
    <n v="18.45"/>
    <x v="3"/>
    <x v="0"/>
    <x v="1"/>
    <x v="1"/>
  </r>
  <r>
    <n v="1035828"/>
    <x v="0"/>
    <n v="12.81"/>
    <n v="12.86"/>
    <n v="98.6"/>
    <x v="3"/>
    <x v="0"/>
    <x v="1"/>
    <x v="1"/>
  </r>
  <r>
    <n v="1035849"/>
    <x v="0"/>
    <n v="12.81"/>
    <n v="12.86"/>
    <n v="23"/>
    <x v="3"/>
    <x v="0"/>
    <x v="1"/>
    <x v="1"/>
  </r>
  <r>
    <n v="1035856"/>
    <x v="0"/>
    <n v="12.81"/>
    <n v="12.86"/>
    <n v="153.4"/>
    <x v="3"/>
    <x v="0"/>
    <x v="1"/>
    <x v="1"/>
  </r>
  <r>
    <n v="1035859"/>
    <x v="0"/>
    <n v="16.559999999999999"/>
    <n v="16.61"/>
    <n v="26.85"/>
    <x v="4"/>
    <x v="0"/>
    <x v="1"/>
    <x v="1"/>
  </r>
  <r>
    <n v="1035865"/>
    <x v="0"/>
    <n v="13.7"/>
    <n v="13.75"/>
    <n v="14.3"/>
    <x v="3"/>
    <x v="0"/>
    <x v="1"/>
    <x v="1"/>
  </r>
  <r>
    <n v="1035870"/>
    <x v="0"/>
    <n v="16.46"/>
    <n v="16.510000000000002"/>
    <n v="19.8"/>
    <x v="4"/>
    <x v="0"/>
    <x v="1"/>
    <x v="1"/>
  </r>
  <r>
    <n v="1035888"/>
    <x v="0"/>
    <n v="15.44"/>
    <n v="15.49"/>
    <n v="57.65"/>
    <x v="6"/>
    <x v="0"/>
    <x v="1"/>
    <x v="1"/>
  </r>
  <r>
    <n v="1035890"/>
    <x v="0"/>
    <n v="11.02"/>
    <n v="15.18"/>
    <n v="14.95"/>
    <x v="8"/>
    <x v="0"/>
    <x v="1"/>
    <x v="1"/>
  </r>
  <r>
    <n v="1035895"/>
    <x v="0"/>
    <n v="16.46"/>
    <n v="16.510000000000002"/>
    <n v="149.9"/>
    <x v="4"/>
    <x v="0"/>
    <x v="1"/>
    <x v="1"/>
  </r>
  <r>
    <n v="1035897"/>
    <x v="0"/>
    <n v="11.02"/>
    <n v="11.07"/>
    <n v="27.95"/>
    <x v="8"/>
    <x v="0"/>
    <x v="1"/>
    <x v="1"/>
  </r>
  <r>
    <n v="1035902"/>
    <x v="0"/>
    <n v="9.6999999999999993"/>
    <n v="9.75"/>
    <n v="69.400000000000006"/>
    <x v="0"/>
    <x v="0"/>
    <x v="1"/>
    <x v="1"/>
  </r>
  <r>
    <n v="1035905"/>
    <x v="0"/>
    <n v="11.02"/>
    <n v="11.07"/>
    <n v="11.95"/>
    <x v="8"/>
    <x v="0"/>
    <x v="1"/>
    <x v="1"/>
  </r>
  <r>
    <n v="1035917"/>
    <x v="0"/>
    <n v="12.81"/>
    <n v="12.86"/>
    <n v="39.35"/>
    <x v="3"/>
    <x v="0"/>
    <x v="1"/>
    <x v="1"/>
  </r>
  <r>
    <n v="1035949"/>
    <x v="0"/>
    <n v="12.81"/>
    <n v="12.86"/>
    <n v="20.85"/>
    <x v="3"/>
    <x v="0"/>
    <x v="1"/>
    <x v="1"/>
  </r>
  <r>
    <n v="1035968"/>
    <x v="0"/>
    <n v="13.7"/>
    <n v="13.75"/>
    <n v="4.95"/>
    <x v="3"/>
    <x v="0"/>
    <x v="1"/>
    <x v="1"/>
  </r>
  <r>
    <n v="1035977"/>
    <x v="0"/>
    <n v="12.81"/>
    <n v="12.86"/>
    <n v="47.6"/>
    <x v="3"/>
    <x v="0"/>
    <x v="1"/>
    <x v="1"/>
  </r>
  <r>
    <n v="1035983"/>
    <x v="0"/>
    <n v="12.81"/>
    <n v="13.02"/>
    <n v="58.8"/>
    <x v="3"/>
    <x v="0"/>
    <x v="1"/>
    <x v="1"/>
  </r>
  <r>
    <n v="1035988"/>
    <x v="0"/>
    <n v="16.46"/>
    <n v="16.510000000000002"/>
    <n v="34.99"/>
    <x v="4"/>
    <x v="0"/>
    <x v="1"/>
    <x v="1"/>
  </r>
  <r>
    <n v="1036013"/>
    <x v="0"/>
    <n v="12.81"/>
    <n v="12.86"/>
    <n v="71"/>
    <x v="3"/>
    <x v="0"/>
    <x v="1"/>
    <x v="1"/>
  </r>
  <r>
    <n v="1036020"/>
    <x v="0"/>
    <n v="13.7"/>
    <n v="13.76"/>
    <n v="85"/>
    <x v="3"/>
    <x v="0"/>
    <x v="1"/>
    <x v="1"/>
  </r>
  <r>
    <n v="1036029"/>
    <x v="0"/>
    <n v="13.7"/>
    <n v="13.75"/>
    <n v="27.95"/>
    <x v="3"/>
    <x v="0"/>
    <x v="1"/>
    <x v="1"/>
  </r>
  <r>
    <n v="1036036"/>
    <x v="0"/>
    <n v="12.81"/>
    <n v="12.86"/>
    <n v="2.5"/>
    <x v="3"/>
    <x v="0"/>
    <x v="1"/>
    <x v="1"/>
  </r>
  <r>
    <n v="1036041"/>
    <x v="0"/>
    <n v="16.46"/>
    <n v="16.510000000000002"/>
    <n v="100.8"/>
    <x v="4"/>
    <x v="0"/>
    <x v="1"/>
    <x v="1"/>
  </r>
  <r>
    <n v="1036044"/>
    <x v="0"/>
    <n v="13.7"/>
    <n v="13.75"/>
    <n v="32.9"/>
    <x v="3"/>
    <x v="0"/>
    <x v="1"/>
    <x v="1"/>
  </r>
  <r>
    <n v="1036060"/>
    <x v="0"/>
    <n v="12.81"/>
    <n v="12.86"/>
    <n v="34.9"/>
    <x v="3"/>
    <x v="0"/>
    <x v="1"/>
    <x v="1"/>
  </r>
  <r>
    <n v="1036067"/>
    <x v="0"/>
    <n v="12.81"/>
    <n v="12.86"/>
    <n v="19.95"/>
    <x v="3"/>
    <x v="0"/>
    <x v="1"/>
    <x v="1"/>
  </r>
  <r>
    <n v="1036096"/>
    <x v="0"/>
    <n v="12.81"/>
    <n v="12.86"/>
    <n v="24.4"/>
    <x v="3"/>
    <x v="0"/>
    <x v="1"/>
    <x v="1"/>
  </r>
  <r>
    <n v="1036190"/>
    <x v="0"/>
    <n v="16.46"/>
    <n v="16.510000000000002"/>
    <n v="38.75"/>
    <x v="4"/>
    <x v="0"/>
    <x v="1"/>
    <x v="1"/>
  </r>
  <r>
    <n v="1036197"/>
    <x v="0"/>
    <n v="13.7"/>
    <n v="13.75"/>
    <n v="127.6"/>
    <x v="3"/>
    <x v="0"/>
    <x v="1"/>
    <x v="1"/>
  </r>
  <r>
    <n v="1036201"/>
    <x v="0"/>
    <n v="12.81"/>
    <n v="12.86"/>
    <n v="4.95"/>
    <x v="3"/>
    <x v="0"/>
    <x v="1"/>
    <x v="1"/>
  </r>
  <r>
    <n v="1036252"/>
    <x v="0"/>
    <n v="15.44"/>
    <n v="15.5"/>
    <n v="77.900000000000006"/>
    <x v="6"/>
    <x v="0"/>
    <x v="1"/>
    <x v="1"/>
  </r>
  <r>
    <n v="1036261"/>
    <x v="0"/>
    <n v="13.7"/>
    <n v="13.75"/>
    <n v="29.95"/>
    <x v="3"/>
    <x v="0"/>
    <x v="1"/>
    <x v="1"/>
  </r>
  <r>
    <n v="1036285"/>
    <x v="0"/>
    <n v="13.7"/>
    <n v="13.75"/>
    <n v="23.8"/>
    <x v="3"/>
    <x v="0"/>
    <x v="1"/>
    <x v="1"/>
  </r>
  <r>
    <n v="1036295"/>
    <x v="0"/>
    <n v="59.02"/>
    <n v="59.07"/>
    <n v="65.7"/>
    <x v="2"/>
    <x v="0"/>
    <x v="1"/>
    <x v="1"/>
  </r>
  <r>
    <n v="1036299"/>
    <x v="0"/>
    <n v="15.44"/>
    <n v="15.49"/>
    <n v="9"/>
    <x v="6"/>
    <x v="0"/>
    <x v="1"/>
    <x v="1"/>
  </r>
  <r>
    <n v="1036307"/>
    <x v="0"/>
    <n v="16.46"/>
    <n v="16.510000000000002"/>
    <n v="130.05000000000001"/>
    <x v="4"/>
    <x v="0"/>
    <x v="1"/>
    <x v="1"/>
  </r>
  <r>
    <n v="1036309"/>
    <x v="0"/>
    <n v="12.35"/>
    <n v="12.4"/>
    <n v="49.75"/>
    <x v="7"/>
    <x v="0"/>
    <x v="1"/>
    <x v="1"/>
  </r>
  <r>
    <n v="1036354"/>
    <x v="0"/>
    <n v="12.75"/>
    <n v="12.86"/>
    <n v="39"/>
    <x v="3"/>
    <x v="0"/>
    <x v="1"/>
    <x v="1"/>
  </r>
  <r>
    <n v="1036360"/>
    <x v="0"/>
    <n v="13.63"/>
    <n v="14.77"/>
    <n v="35.9"/>
    <x v="3"/>
    <x v="0"/>
    <x v="1"/>
    <x v="1"/>
  </r>
  <r>
    <n v="1036378"/>
    <x v="0"/>
    <n v="13.64"/>
    <n v="13.75"/>
    <n v="39.950000000000003"/>
    <x v="3"/>
    <x v="0"/>
    <x v="1"/>
    <x v="1"/>
  </r>
  <r>
    <n v="1036403"/>
    <x v="0"/>
    <n v="12.75"/>
    <n v="12.86"/>
    <n v="81.8"/>
    <x v="3"/>
    <x v="0"/>
    <x v="1"/>
    <x v="1"/>
  </r>
  <r>
    <n v="1036422"/>
    <x v="0"/>
    <n v="9.6999999999999993"/>
    <n v="9.75"/>
    <n v="64.95"/>
    <x v="0"/>
    <x v="0"/>
    <x v="1"/>
    <x v="1"/>
  </r>
  <r>
    <n v="1036425"/>
    <x v="0"/>
    <n v="13.7"/>
    <n v="13.75"/>
    <n v="59.85"/>
    <x v="3"/>
    <x v="0"/>
    <x v="1"/>
    <x v="1"/>
  </r>
  <r>
    <n v="1036444"/>
    <x v="0"/>
    <n v="12.81"/>
    <n v="12.86"/>
    <n v="39.950000000000003"/>
    <x v="3"/>
    <x v="0"/>
    <x v="1"/>
    <x v="1"/>
  </r>
  <r>
    <n v="1036450"/>
    <x v="0"/>
    <n v="9.7100000000000009"/>
    <n v="9.76"/>
    <n v="39.950000000000003"/>
    <x v="0"/>
    <x v="0"/>
    <x v="1"/>
    <x v="1"/>
  </r>
  <r>
    <n v="1036459"/>
    <x v="0"/>
    <n v="13.7"/>
    <n v="13.75"/>
    <n v="47.9"/>
    <x v="3"/>
    <x v="0"/>
    <x v="1"/>
    <x v="1"/>
  </r>
  <r>
    <n v="1036533"/>
    <x v="0"/>
    <n v="13.7"/>
    <n v="13.75"/>
    <n v="39.950000000000003"/>
    <x v="3"/>
    <x v="0"/>
    <x v="1"/>
    <x v="1"/>
  </r>
  <r>
    <n v="1036554"/>
    <x v="0"/>
    <n v="12.81"/>
    <n v="12.86"/>
    <n v="74.95"/>
    <x v="3"/>
    <x v="0"/>
    <x v="1"/>
    <x v="1"/>
  </r>
  <r>
    <n v="1036558"/>
    <x v="0"/>
    <n v="16.71"/>
    <n v="20.61"/>
    <n v="107.9"/>
    <x v="6"/>
    <x v="0"/>
    <x v="1"/>
    <x v="1"/>
  </r>
  <r>
    <n v="1036577"/>
    <x v="0"/>
    <n v="12.75"/>
    <n v="12.86"/>
    <n v="14.95"/>
    <x v="3"/>
    <x v="0"/>
    <x v="1"/>
    <x v="1"/>
  </r>
  <r>
    <n v="1036578"/>
    <x v="0"/>
    <n v="12.75"/>
    <n v="12.86"/>
    <n v="72.599999999999994"/>
    <x v="3"/>
    <x v="0"/>
    <x v="1"/>
    <x v="1"/>
  </r>
  <r>
    <n v="1036582"/>
    <x v="0"/>
    <n v="16.87"/>
    <n v="16.920000000000002"/>
    <n v="78.650000000000006"/>
    <x v="4"/>
    <x v="0"/>
    <x v="1"/>
    <x v="1"/>
  </r>
  <r>
    <n v="1036584"/>
    <x v="0"/>
    <n v="9.65"/>
    <n v="9.76"/>
    <n v="132.75"/>
    <x v="0"/>
    <x v="0"/>
    <x v="1"/>
    <x v="1"/>
  </r>
  <r>
    <n v="1036633"/>
    <x v="0"/>
    <n v="12.35"/>
    <n v="12.4"/>
    <n v="23.95"/>
    <x v="7"/>
    <x v="0"/>
    <x v="1"/>
    <x v="1"/>
  </r>
  <r>
    <n v="1036682"/>
    <x v="0"/>
    <n v="12.81"/>
    <n v="12.86"/>
    <n v="17.899999999999999"/>
    <x v="3"/>
    <x v="0"/>
    <x v="1"/>
    <x v="1"/>
  </r>
  <r>
    <n v="1036688"/>
    <x v="0"/>
    <n v="12.75"/>
    <n v="12.86"/>
    <n v="39.85"/>
    <x v="3"/>
    <x v="0"/>
    <x v="1"/>
    <x v="1"/>
  </r>
  <r>
    <n v="1036690"/>
    <x v="0"/>
    <n v="12.81"/>
    <n v="12.86"/>
    <n v="83.5"/>
    <x v="3"/>
    <x v="0"/>
    <x v="1"/>
    <x v="1"/>
  </r>
  <r>
    <n v="1036706"/>
    <x v="0"/>
    <n v="9.6999999999999993"/>
    <n v="9.75"/>
    <n v="184.9"/>
    <x v="0"/>
    <x v="0"/>
    <x v="1"/>
    <x v="1"/>
  </r>
  <r>
    <n v="1036720"/>
    <x v="0"/>
    <n v="9.66"/>
    <n v="9.75"/>
    <n v="5"/>
    <x v="0"/>
    <x v="0"/>
    <x v="1"/>
    <x v="1"/>
  </r>
  <r>
    <n v="1036732"/>
    <x v="0"/>
    <n v="66.56"/>
    <n v="67.09"/>
    <n v="239.35"/>
    <x v="5"/>
    <x v="0"/>
    <x v="1"/>
    <x v="1"/>
  </r>
  <r>
    <n v="1036760"/>
    <x v="0"/>
    <n v="12.75"/>
    <n v="12.86"/>
    <n v="54.35"/>
    <x v="3"/>
    <x v="0"/>
    <x v="1"/>
    <x v="1"/>
  </r>
  <r>
    <n v="1036763"/>
    <x v="0"/>
    <n v="55.79"/>
    <n v="59.07"/>
    <n v="22.5"/>
    <x v="2"/>
    <x v="0"/>
    <x v="1"/>
    <x v="1"/>
  </r>
  <r>
    <n v="1036764"/>
    <x v="0"/>
    <n v="9.65"/>
    <n v="9.7899999999999991"/>
    <n v="19.95"/>
    <x v="0"/>
    <x v="0"/>
    <x v="1"/>
    <x v="1"/>
  </r>
  <r>
    <n v="1036768"/>
    <x v="0"/>
    <n v="12.75"/>
    <n v="12.86"/>
    <n v="57.85"/>
    <x v="3"/>
    <x v="0"/>
    <x v="1"/>
    <x v="1"/>
  </r>
  <r>
    <n v="1036770"/>
    <x v="0"/>
    <n v="9.66"/>
    <n v="9.75"/>
    <n v="55"/>
    <x v="0"/>
    <x v="0"/>
    <x v="1"/>
    <x v="1"/>
  </r>
  <r>
    <n v="1036783"/>
    <x v="0"/>
    <n v="15.44"/>
    <n v="15.49"/>
    <n v="12.5"/>
    <x v="6"/>
    <x v="0"/>
    <x v="1"/>
    <x v="1"/>
  </r>
  <r>
    <n v="1036789"/>
    <x v="0"/>
    <n v="12.75"/>
    <n v="12.86"/>
    <n v="62.9"/>
    <x v="3"/>
    <x v="0"/>
    <x v="1"/>
    <x v="1"/>
  </r>
  <r>
    <n v="1036801"/>
    <x v="0"/>
    <n v="12.75"/>
    <n v="12.86"/>
    <n v="119.5"/>
    <x v="3"/>
    <x v="0"/>
    <x v="1"/>
    <x v="1"/>
  </r>
  <r>
    <n v="1036808"/>
    <x v="0"/>
    <n v="16.84"/>
    <n v="16.89"/>
    <n v="79.95"/>
    <x v="4"/>
    <x v="0"/>
    <x v="1"/>
    <x v="1"/>
  </r>
  <r>
    <n v="1036818"/>
    <x v="0"/>
    <n v="12.35"/>
    <n v="12.4"/>
    <n v="39.950000000000003"/>
    <x v="7"/>
    <x v="0"/>
    <x v="1"/>
    <x v="1"/>
  </r>
  <r>
    <n v="1036828"/>
    <x v="0"/>
    <n v="16.46"/>
    <n v="16.510000000000002"/>
    <n v="5.85"/>
    <x v="4"/>
    <x v="0"/>
    <x v="1"/>
    <x v="1"/>
  </r>
  <r>
    <n v="1036878"/>
    <x v="0"/>
    <n v="15.13"/>
    <n v="15.18"/>
    <n v="29.95"/>
    <x v="6"/>
    <x v="0"/>
    <x v="1"/>
    <x v="1"/>
  </r>
  <r>
    <n v="1036895"/>
    <x v="0"/>
    <n v="13.64"/>
    <n v="13.76"/>
    <n v="23.9"/>
    <x v="3"/>
    <x v="0"/>
    <x v="1"/>
    <x v="1"/>
  </r>
  <r>
    <n v="1036924"/>
    <x v="0"/>
    <n v="13.64"/>
    <n v="13.75"/>
    <n v="39.799999999999997"/>
    <x v="3"/>
    <x v="0"/>
    <x v="1"/>
    <x v="1"/>
  </r>
  <r>
    <n v="1036950"/>
    <x v="0"/>
    <n v="16.46"/>
    <n v="16.510000000000002"/>
    <n v="69.8"/>
    <x v="4"/>
    <x v="0"/>
    <x v="1"/>
    <x v="1"/>
  </r>
  <r>
    <n v="1036957"/>
    <x v="0"/>
    <n v="12.81"/>
    <n v="12.86"/>
    <n v="39.950000000000003"/>
    <x v="3"/>
    <x v="0"/>
    <x v="1"/>
    <x v="1"/>
  </r>
  <r>
    <n v="1036999"/>
    <x v="0"/>
    <n v="12.75"/>
    <n v="12.86"/>
    <n v="55.85"/>
    <x v="3"/>
    <x v="0"/>
    <x v="1"/>
    <x v="1"/>
  </r>
  <r>
    <n v="1037002"/>
    <x v="0"/>
    <n v="12.81"/>
    <n v="12.86"/>
    <n v="39.950000000000003"/>
    <x v="3"/>
    <x v="0"/>
    <x v="1"/>
    <x v="1"/>
  </r>
  <r>
    <n v="1037003"/>
    <x v="0"/>
    <n v="12.81"/>
    <n v="12.86"/>
    <n v="39.950000000000003"/>
    <x v="3"/>
    <x v="0"/>
    <x v="1"/>
    <x v="1"/>
  </r>
  <r>
    <n v="1037015"/>
    <x v="0"/>
    <n v="16.46"/>
    <n v="16.510000000000002"/>
    <n v="67.8"/>
    <x v="4"/>
    <x v="0"/>
    <x v="1"/>
    <x v="1"/>
  </r>
  <r>
    <n v="1037030"/>
    <x v="0"/>
    <n v="13.7"/>
    <n v="13.75"/>
    <n v="41.5"/>
    <x v="3"/>
    <x v="0"/>
    <x v="1"/>
    <x v="1"/>
  </r>
  <r>
    <n v="1037045"/>
    <x v="0"/>
    <n v="20.149999999999999"/>
    <n v="24.18"/>
    <n v="155.47999999999999"/>
    <x v="4"/>
    <x v="0"/>
    <x v="1"/>
    <x v="1"/>
  </r>
  <r>
    <n v="1037050"/>
    <x v="0"/>
    <n v="13.7"/>
    <n v="13.75"/>
    <n v="47.9"/>
    <x v="3"/>
    <x v="0"/>
    <x v="1"/>
    <x v="1"/>
  </r>
  <r>
    <n v="1037079"/>
    <x v="0"/>
    <n v="12.81"/>
    <n v="12.86"/>
    <n v="67.55"/>
    <x v="3"/>
    <x v="0"/>
    <x v="1"/>
    <x v="1"/>
  </r>
  <r>
    <n v="1037098"/>
    <x v="0"/>
    <n v="12.75"/>
    <n v="12.86"/>
    <n v="39.950000000000003"/>
    <x v="3"/>
    <x v="0"/>
    <x v="1"/>
    <x v="1"/>
  </r>
  <r>
    <n v="1037099"/>
    <x v="0"/>
    <n v="13.7"/>
    <n v="15.17"/>
    <n v="99.95"/>
    <x v="3"/>
    <x v="0"/>
    <x v="1"/>
    <x v="1"/>
  </r>
  <r>
    <n v="1037115"/>
    <x v="0"/>
    <n v="13.7"/>
    <n v="13.75"/>
    <n v="41.9"/>
    <x v="3"/>
    <x v="0"/>
    <x v="1"/>
    <x v="1"/>
  </r>
  <r>
    <n v="1037125"/>
    <x v="0"/>
    <n v="9.66"/>
    <n v="9.75"/>
    <n v="39.950000000000003"/>
    <x v="0"/>
    <x v="0"/>
    <x v="1"/>
    <x v="1"/>
  </r>
  <r>
    <n v="1037128"/>
    <x v="0"/>
    <n v="12.81"/>
    <n v="12.86"/>
    <n v="133.15"/>
    <x v="3"/>
    <x v="0"/>
    <x v="1"/>
    <x v="1"/>
  </r>
  <r>
    <n v="1037148"/>
    <x v="0"/>
    <n v="13.63"/>
    <n v="13.75"/>
    <n v="78.849999999999994"/>
    <x v="3"/>
    <x v="0"/>
    <x v="1"/>
    <x v="1"/>
  </r>
  <r>
    <n v="1037149"/>
    <x v="0"/>
    <n v="13.64"/>
    <n v="14.2"/>
    <n v="77.7"/>
    <x v="3"/>
    <x v="0"/>
    <x v="1"/>
    <x v="1"/>
  </r>
  <r>
    <n v="1037167"/>
    <x v="0"/>
    <n v="12.75"/>
    <n v="12.86"/>
    <n v="17.45"/>
    <x v="3"/>
    <x v="0"/>
    <x v="1"/>
    <x v="1"/>
  </r>
  <r>
    <n v="1037183"/>
    <x v="0"/>
    <n v="13.64"/>
    <n v="13.75"/>
    <n v="125.4"/>
    <x v="3"/>
    <x v="0"/>
    <x v="1"/>
    <x v="1"/>
  </r>
  <r>
    <n v="1037193"/>
    <x v="0"/>
    <n v="13.64"/>
    <n v="13.75"/>
    <n v="55.85"/>
    <x v="3"/>
    <x v="0"/>
    <x v="1"/>
    <x v="1"/>
  </r>
  <r>
    <n v="1037196"/>
    <x v="0"/>
    <n v="12.75"/>
    <n v="12.86"/>
    <n v="47.9"/>
    <x v="3"/>
    <x v="0"/>
    <x v="1"/>
    <x v="1"/>
  </r>
  <r>
    <n v="1037211"/>
    <x v="0"/>
    <n v="13.64"/>
    <n v="13.75"/>
    <n v="67.849999999999994"/>
    <x v="3"/>
    <x v="0"/>
    <x v="1"/>
    <x v="1"/>
  </r>
  <r>
    <n v="1037240"/>
    <x v="0"/>
    <n v="12.75"/>
    <n v="12.86"/>
    <n v="44.95"/>
    <x v="3"/>
    <x v="0"/>
    <x v="1"/>
    <x v="1"/>
  </r>
  <r>
    <n v="1037259"/>
    <x v="0"/>
    <n v="16.77"/>
    <n v="16.82"/>
    <n v="87.45"/>
    <x v="4"/>
    <x v="0"/>
    <x v="1"/>
    <x v="1"/>
  </r>
  <r>
    <n v="1037268"/>
    <x v="0"/>
    <n v="120.64"/>
    <n v="122.6"/>
    <n v="804.57"/>
    <x v="5"/>
    <x v="0"/>
    <x v="1"/>
    <x v="1"/>
  </r>
  <r>
    <n v="1037279"/>
    <x v="0"/>
    <n v="13.64"/>
    <n v="13.75"/>
    <n v="98.65"/>
    <x v="3"/>
    <x v="0"/>
    <x v="1"/>
    <x v="1"/>
  </r>
  <r>
    <n v="1037290"/>
    <x v="0"/>
    <n v="12.75"/>
    <n v="12.86"/>
    <n v="9.9499999999999993"/>
    <x v="3"/>
    <x v="0"/>
    <x v="1"/>
    <x v="1"/>
  </r>
  <r>
    <n v="1037291"/>
    <x v="0"/>
    <n v="12.75"/>
    <n v="12.86"/>
    <n v="29.95"/>
    <x v="3"/>
    <x v="0"/>
    <x v="1"/>
    <x v="1"/>
  </r>
  <r>
    <n v="1037294"/>
    <x v="0"/>
    <n v="16.46"/>
    <n v="16.510000000000002"/>
    <n v="109.95"/>
    <x v="4"/>
    <x v="0"/>
    <x v="1"/>
    <x v="1"/>
  </r>
  <r>
    <n v="1037314"/>
    <x v="0"/>
    <n v="16.87"/>
    <n v="16.920000000000002"/>
    <n v="43.6"/>
    <x v="4"/>
    <x v="0"/>
    <x v="1"/>
    <x v="1"/>
  </r>
  <r>
    <n v="1037350"/>
    <x v="0"/>
    <n v="26.87"/>
    <n v="26.73"/>
    <n v="14.95"/>
    <x v="9"/>
    <x v="0"/>
    <x v="0"/>
    <x v="43"/>
  </r>
  <r>
    <n v="1037385"/>
    <x v="0"/>
    <n v="12.75"/>
    <n v="12.8"/>
    <n v="46.4"/>
    <x v="3"/>
    <x v="0"/>
    <x v="1"/>
    <x v="1"/>
  </r>
  <r>
    <n v="1037395"/>
    <x v="0"/>
    <n v="13.64"/>
    <n v="13.69"/>
    <n v="15.55"/>
    <x v="3"/>
    <x v="0"/>
    <x v="1"/>
    <x v="1"/>
  </r>
  <r>
    <n v="1037399"/>
    <x v="0"/>
    <n v="12.75"/>
    <n v="12.8"/>
    <n v="91.95"/>
    <x v="3"/>
    <x v="0"/>
    <x v="1"/>
    <x v="1"/>
  </r>
  <r>
    <n v="1037400"/>
    <x v="0"/>
    <n v="12.75"/>
    <n v="12.8"/>
    <n v="60.4"/>
    <x v="3"/>
    <x v="0"/>
    <x v="1"/>
    <x v="1"/>
  </r>
  <r>
    <n v="1037401"/>
    <x v="0"/>
    <n v="12.81"/>
    <n v="12.8"/>
    <n v="31.9"/>
    <x v="3"/>
    <x v="0"/>
    <x v="0"/>
    <x v="44"/>
  </r>
  <r>
    <n v="1037404"/>
    <x v="0"/>
    <n v="16.46"/>
    <n v="16.39"/>
    <n v="119.85"/>
    <x v="4"/>
    <x v="0"/>
    <x v="0"/>
    <x v="45"/>
  </r>
  <r>
    <n v="1037408"/>
    <x v="0"/>
    <n v="9.66"/>
    <n v="9.7100000000000009"/>
    <n v="44.65"/>
    <x v="0"/>
    <x v="0"/>
    <x v="1"/>
    <x v="1"/>
  </r>
  <r>
    <n v="1037414"/>
    <x v="0"/>
    <n v="9.7100000000000009"/>
    <n v="9.6999999999999993"/>
    <n v="34.950000000000003"/>
    <x v="0"/>
    <x v="0"/>
    <x v="0"/>
    <x v="46"/>
  </r>
  <r>
    <n v="1037417"/>
    <x v="0"/>
    <n v="24.87"/>
    <n v="24.74"/>
    <n v="164.85"/>
    <x v="9"/>
    <x v="0"/>
    <x v="0"/>
    <x v="47"/>
  </r>
  <r>
    <n v="1037418"/>
    <x v="0"/>
    <n v="12.75"/>
    <n v="12.8"/>
    <n v="26.45"/>
    <x v="3"/>
    <x v="0"/>
    <x v="1"/>
    <x v="1"/>
  </r>
  <r>
    <n v="1037426"/>
    <x v="0"/>
    <n v="13.83"/>
    <n v="14.21"/>
    <n v="155.55000000000001"/>
    <x v="3"/>
    <x v="0"/>
    <x v="1"/>
    <x v="1"/>
  </r>
  <r>
    <n v="1037430"/>
    <x v="0"/>
    <n v="12.75"/>
    <n v="12.8"/>
    <n v="82.6"/>
    <x v="3"/>
    <x v="0"/>
    <x v="1"/>
    <x v="1"/>
  </r>
  <r>
    <n v="1037434"/>
    <x v="0"/>
    <n v="12.75"/>
    <n v="12.8"/>
    <n v="91.35"/>
    <x v="3"/>
    <x v="0"/>
    <x v="1"/>
    <x v="1"/>
  </r>
  <r>
    <n v="1037439"/>
    <x v="0"/>
    <n v="12.75"/>
    <n v="12.8"/>
    <n v="23.95"/>
    <x v="3"/>
    <x v="0"/>
    <x v="1"/>
    <x v="1"/>
  </r>
  <r>
    <n v="1037449"/>
    <x v="0"/>
    <n v="9.65"/>
    <n v="9.6999999999999993"/>
    <n v="55.8"/>
    <x v="0"/>
    <x v="0"/>
    <x v="1"/>
    <x v="1"/>
  </r>
  <r>
    <n v="1037456"/>
    <x v="0"/>
    <n v="12.75"/>
    <n v="12.8"/>
    <n v="49.9"/>
    <x v="3"/>
    <x v="0"/>
    <x v="1"/>
    <x v="1"/>
  </r>
  <r>
    <n v="1037466"/>
    <x v="0"/>
    <n v="12.75"/>
    <n v="12.8"/>
    <n v="49.9"/>
    <x v="3"/>
    <x v="0"/>
    <x v="1"/>
    <x v="1"/>
  </r>
  <r>
    <n v="1037477"/>
    <x v="0"/>
    <n v="15.33"/>
    <n v="15.38"/>
    <n v="73.400000000000006"/>
    <x v="6"/>
    <x v="0"/>
    <x v="1"/>
    <x v="1"/>
  </r>
  <r>
    <n v="1037478"/>
    <x v="0"/>
    <n v="12.75"/>
    <n v="12.8"/>
    <n v="1.5"/>
    <x v="3"/>
    <x v="0"/>
    <x v="1"/>
    <x v="1"/>
  </r>
  <r>
    <n v="1037488"/>
    <x v="0"/>
    <n v="13.64"/>
    <n v="13.69"/>
    <n v="40.9"/>
    <x v="3"/>
    <x v="0"/>
    <x v="1"/>
    <x v="1"/>
  </r>
  <r>
    <n v="1037513"/>
    <x v="0"/>
    <n v="13.64"/>
    <n v="13.69"/>
    <n v="67.7"/>
    <x v="3"/>
    <x v="0"/>
    <x v="1"/>
    <x v="1"/>
  </r>
  <r>
    <n v="1037518"/>
    <x v="0"/>
    <n v="15.33"/>
    <n v="15.38"/>
    <n v="117.35"/>
    <x v="6"/>
    <x v="0"/>
    <x v="1"/>
    <x v="1"/>
  </r>
  <r>
    <n v="1037534"/>
    <x v="0"/>
    <n v="13.64"/>
    <n v="13.69"/>
    <n v="5"/>
    <x v="3"/>
    <x v="0"/>
    <x v="1"/>
    <x v="1"/>
  </r>
  <r>
    <n v="1037546"/>
    <x v="0"/>
    <n v="12.75"/>
    <n v="12.8"/>
    <n v="15"/>
    <x v="3"/>
    <x v="0"/>
    <x v="1"/>
    <x v="1"/>
  </r>
  <r>
    <n v="1037551"/>
    <x v="0"/>
    <n v="12.75"/>
    <n v="12.8"/>
    <n v="32.65"/>
    <x v="3"/>
    <x v="0"/>
    <x v="1"/>
    <x v="1"/>
  </r>
  <r>
    <n v="1037560"/>
    <x v="0"/>
    <n v="16.34"/>
    <n v="16.39"/>
    <n v="49.85"/>
    <x v="4"/>
    <x v="0"/>
    <x v="1"/>
    <x v="1"/>
  </r>
  <r>
    <n v="1037571"/>
    <x v="0"/>
    <n v="13.63"/>
    <n v="14.7"/>
    <n v="59.95"/>
    <x v="3"/>
    <x v="0"/>
    <x v="1"/>
    <x v="1"/>
  </r>
  <r>
    <n v="1037586"/>
    <x v="0"/>
    <n v="9.65"/>
    <n v="9.6999999999999993"/>
    <n v="15.85"/>
    <x v="0"/>
    <x v="0"/>
    <x v="1"/>
    <x v="1"/>
  </r>
  <r>
    <n v="1037595"/>
    <x v="0"/>
    <n v="13.64"/>
    <n v="13.69"/>
    <n v="46.7"/>
    <x v="3"/>
    <x v="0"/>
    <x v="1"/>
    <x v="1"/>
  </r>
  <r>
    <n v="1037606"/>
    <x v="0"/>
    <n v="12.75"/>
    <n v="12.8"/>
    <n v="33.950000000000003"/>
    <x v="3"/>
    <x v="0"/>
    <x v="1"/>
    <x v="1"/>
  </r>
  <r>
    <n v="1037624"/>
    <x v="0"/>
    <n v="16.649999999999999"/>
    <n v="16.7"/>
    <n v="25.95"/>
    <x v="4"/>
    <x v="0"/>
    <x v="1"/>
    <x v="1"/>
  </r>
  <r>
    <n v="1037629"/>
    <x v="0"/>
    <n v="13.64"/>
    <n v="13.69"/>
    <n v="62.85"/>
    <x v="3"/>
    <x v="0"/>
    <x v="1"/>
    <x v="1"/>
  </r>
  <r>
    <n v="1037633"/>
    <x v="0"/>
    <n v="13.64"/>
    <n v="13.69"/>
    <n v="120.8"/>
    <x v="3"/>
    <x v="0"/>
    <x v="1"/>
    <x v="1"/>
  </r>
  <r>
    <n v="1037634"/>
    <x v="0"/>
    <n v="9.65"/>
    <n v="9.7100000000000009"/>
    <n v="46.85"/>
    <x v="0"/>
    <x v="0"/>
    <x v="1"/>
    <x v="1"/>
  </r>
  <r>
    <n v="1037641"/>
    <x v="0"/>
    <n v="16.59"/>
    <n v="16.64"/>
    <n v="118"/>
    <x v="6"/>
    <x v="0"/>
    <x v="1"/>
    <x v="1"/>
  </r>
  <r>
    <n v="1037656"/>
    <x v="0"/>
    <n v="15.32"/>
    <n v="15.38"/>
    <n v="34.9"/>
    <x v="6"/>
    <x v="0"/>
    <x v="1"/>
    <x v="1"/>
  </r>
  <r>
    <n v="1037657"/>
    <x v="0"/>
    <n v="13.64"/>
    <n v="13.69"/>
    <n v="44.1"/>
    <x v="3"/>
    <x v="0"/>
    <x v="1"/>
    <x v="1"/>
  </r>
  <r>
    <n v="1037659"/>
    <x v="0"/>
    <n v="9.65"/>
    <n v="9.6999999999999993"/>
    <n v="143.55000000000001"/>
    <x v="0"/>
    <x v="0"/>
    <x v="1"/>
    <x v="1"/>
  </r>
  <r>
    <n v="1037680"/>
    <x v="0"/>
    <n v="19.14"/>
    <n v="16.64"/>
    <n v="168.9"/>
    <x v="6"/>
    <x v="0"/>
    <x v="0"/>
    <x v="48"/>
  </r>
  <r>
    <n v="1037682"/>
    <x v="0"/>
    <n v="13.64"/>
    <n v="13.69"/>
    <n v="8.9499999999999993"/>
    <x v="3"/>
    <x v="0"/>
    <x v="1"/>
    <x v="1"/>
  </r>
  <r>
    <n v="1037692"/>
    <x v="0"/>
    <n v="13.64"/>
    <n v="13.68"/>
    <n v="36.75"/>
    <x v="3"/>
    <x v="0"/>
    <x v="1"/>
    <x v="1"/>
  </r>
  <r>
    <n v="1037713"/>
    <x v="0"/>
    <n v="13.64"/>
    <n v="13.69"/>
    <n v="38.35"/>
    <x v="3"/>
    <x v="0"/>
    <x v="1"/>
    <x v="1"/>
  </r>
  <r>
    <n v="1037718"/>
    <x v="0"/>
    <n v="15.02"/>
    <n v="15.07"/>
    <n v="49.35"/>
    <x v="6"/>
    <x v="0"/>
    <x v="1"/>
    <x v="1"/>
  </r>
  <r>
    <n v="1037719"/>
    <x v="0"/>
    <n v="13.64"/>
    <n v="13.69"/>
    <n v="8"/>
    <x v="3"/>
    <x v="0"/>
    <x v="1"/>
    <x v="1"/>
  </r>
  <r>
    <n v="1037758"/>
    <x v="0"/>
    <n v="12.75"/>
    <n v="12.8"/>
    <n v="74.55"/>
    <x v="3"/>
    <x v="0"/>
    <x v="1"/>
    <x v="1"/>
  </r>
  <r>
    <n v="1037786"/>
    <x v="0"/>
    <n v="13.64"/>
    <n v="13.69"/>
    <n v="124.5"/>
    <x v="3"/>
    <x v="0"/>
    <x v="1"/>
    <x v="1"/>
  </r>
  <r>
    <n v="1037802"/>
    <x v="0"/>
    <n v="9.66"/>
    <n v="12.8"/>
    <n v="15.8"/>
    <x v="0"/>
    <x v="0"/>
    <x v="1"/>
    <x v="1"/>
  </r>
  <r>
    <n v="1037814"/>
    <x v="0"/>
    <n v="16.649999999999999"/>
    <n v="16.690000000000001"/>
    <n v="54.65"/>
    <x v="4"/>
    <x v="0"/>
    <x v="1"/>
    <x v="1"/>
  </r>
  <r>
    <n v="1037819"/>
    <x v="0"/>
    <n v="16.649999999999999"/>
    <n v="16.7"/>
    <n v="23.9"/>
    <x v="4"/>
    <x v="0"/>
    <x v="1"/>
    <x v="1"/>
  </r>
  <r>
    <n v="1037831"/>
    <x v="0"/>
    <n v="13.64"/>
    <n v="13.75"/>
    <n v="21"/>
    <x v="3"/>
    <x v="0"/>
    <x v="1"/>
    <x v="1"/>
  </r>
  <r>
    <n v="1037851"/>
    <x v="0"/>
    <n v="16.64"/>
    <n v="16.82"/>
    <n v="22.4"/>
    <x v="4"/>
    <x v="0"/>
    <x v="1"/>
    <x v="1"/>
  </r>
  <r>
    <n v="1037870"/>
    <x v="0"/>
    <n v="12.75"/>
    <n v="12.86"/>
    <n v="9.9499999999999993"/>
    <x v="3"/>
    <x v="0"/>
    <x v="1"/>
    <x v="1"/>
  </r>
  <r>
    <n v="1037874"/>
    <x v="0"/>
    <n v="16.649999999999999"/>
    <n v="16.82"/>
    <n v="12.5"/>
    <x v="4"/>
    <x v="0"/>
    <x v="1"/>
    <x v="1"/>
  </r>
  <r>
    <n v="1037896"/>
    <x v="0"/>
    <n v="9.65"/>
    <n v="9.7899999999999991"/>
    <n v="51.35"/>
    <x v="0"/>
    <x v="0"/>
    <x v="1"/>
    <x v="1"/>
  </r>
  <r>
    <n v="1037913"/>
    <x v="0"/>
    <n v="16.34"/>
    <n v="16.510000000000002"/>
    <n v="32.85"/>
    <x v="4"/>
    <x v="0"/>
    <x v="1"/>
    <x v="1"/>
  </r>
  <r>
    <n v="1037917"/>
    <x v="0"/>
    <n v="13.64"/>
    <n v="13.75"/>
    <n v="67.150000000000006"/>
    <x v="3"/>
    <x v="0"/>
    <x v="1"/>
    <x v="1"/>
  </r>
  <r>
    <n v="1037932"/>
    <x v="0"/>
    <n v="13.64"/>
    <n v="13.75"/>
    <n v="19.95"/>
    <x v="3"/>
    <x v="0"/>
    <x v="1"/>
    <x v="1"/>
  </r>
  <r>
    <n v="1037937"/>
    <x v="0"/>
    <n v="15.33"/>
    <n v="15.49"/>
    <n v="37.299999999999997"/>
    <x v="6"/>
    <x v="0"/>
    <x v="1"/>
    <x v="1"/>
  </r>
  <r>
    <n v="1037957"/>
    <x v="0"/>
    <n v="13.64"/>
    <n v="13.76"/>
    <n v="50.65"/>
    <x v="3"/>
    <x v="0"/>
    <x v="1"/>
    <x v="1"/>
  </r>
  <r>
    <n v="1037964"/>
    <x v="0"/>
    <n v="13.64"/>
    <n v="13.75"/>
    <n v="67.7"/>
    <x v="3"/>
    <x v="0"/>
    <x v="1"/>
    <x v="1"/>
  </r>
  <r>
    <n v="1037968"/>
    <x v="0"/>
    <n v="13.64"/>
    <n v="13.75"/>
    <n v="7.95"/>
    <x v="3"/>
    <x v="0"/>
    <x v="1"/>
    <x v="1"/>
  </r>
  <r>
    <n v="1037970"/>
    <x v="0"/>
    <n v="12.75"/>
    <n v="12.86"/>
    <n v="21.85"/>
    <x v="3"/>
    <x v="0"/>
    <x v="1"/>
    <x v="1"/>
  </r>
  <r>
    <n v="1037986"/>
    <x v="0"/>
    <n v="18.32"/>
    <n v="18.510000000000002"/>
    <n v="59.55"/>
    <x v="9"/>
    <x v="0"/>
    <x v="1"/>
    <x v="1"/>
  </r>
  <r>
    <n v="1037997"/>
    <x v="0"/>
    <n v="12.75"/>
    <n v="12.86"/>
    <n v="65.8"/>
    <x v="3"/>
    <x v="0"/>
    <x v="1"/>
    <x v="1"/>
  </r>
  <r>
    <n v="1038027"/>
    <x v="0"/>
    <n v="9.65"/>
    <n v="9.75"/>
    <n v="34.9"/>
    <x v="0"/>
    <x v="0"/>
    <x v="1"/>
    <x v="1"/>
  </r>
  <r>
    <n v="1038034"/>
    <x v="0"/>
    <n v="12.75"/>
    <n v="12.86"/>
    <n v="45.2"/>
    <x v="3"/>
    <x v="0"/>
    <x v="1"/>
    <x v="1"/>
  </r>
  <r>
    <n v="1038038"/>
    <x v="0"/>
    <n v="13.64"/>
    <n v="13.75"/>
    <n v="96.7"/>
    <x v="3"/>
    <x v="0"/>
    <x v="1"/>
    <x v="1"/>
  </r>
  <r>
    <n v="1038074"/>
    <x v="0"/>
    <n v="9.66"/>
    <n v="9.75"/>
    <n v="8"/>
    <x v="0"/>
    <x v="0"/>
    <x v="1"/>
    <x v="1"/>
  </r>
  <r>
    <n v="1038089"/>
    <x v="0"/>
    <n v="15.33"/>
    <n v="15.49"/>
    <n v="125.55"/>
    <x v="6"/>
    <x v="0"/>
    <x v="1"/>
    <x v="1"/>
  </r>
  <r>
    <n v="1038108"/>
    <x v="0"/>
    <n v="9.65"/>
    <n v="9.76"/>
    <n v="13.85"/>
    <x v="0"/>
    <x v="0"/>
    <x v="1"/>
    <x v="1"/>
  </r>
  <r>
    <n v="1038116"/>
    <x v="0"/>
    <n v="13.64"/>
    <n v="13.76"/>
    <n v="89.9"/>
    <x v="3"/>
    <x v="0"/>
    <x v="1"/>
    <x v="1"/>
  </r>
  <r>
    <n v="1038117"/>
    <x v="0"/>
    <n v="15.02"/>
    <n v="15.18"/>
    <n v="59.8"/>
    <x v="6"/>
    <x v="0"/>
    <x v="1"/>
    <x v="1"/>
  </r>
  <r>
    <n v="1038121"/>
    <x v="0"/>
    <n v="12.75"/>
    <n v="12.86"/>
    <n v="17.8"/>
    <x v="3"/>
    <x v="0"/>
    <x v="1"/>
    <x v="1"/>
  </r>
  <r>
    <n v="1038149"/>
    <x v="0"/>
    <n v="12.75"/>
    <n v="12.86"/>
    <n v="71.5"/>
    <x v="3"/>
    <x v="0"/>
    <x v="1"/>
    <x v="1"/>
  </r>
  <r>
    <n v="1038151"/>
    <x v="0"/>
    <n v="13.64"/>
    <n v="13.76"/>
    <n v="59.55"/>
    <x v="3"/>
    <x v="0"/>
    <x v="1"/>
    <x v="1"/>
  </r>
  <r>
    <n v="1038189"/>
    <x v="0"/>
    <n v="18.59"/>
    <n v="20.5"/>
    <n v="85"/>
    <x v="4"/>
    <x v="0"/>
    <x v="1"/>
    <x v="1"/>
  </r>
  <r>
    <n v="1038193"/>
    <x v="0"/>
    <n v="9.66"/>
    <n v="9.75"/>
    <n v="7.95"/>
    <x v="0"/>
    <x v="0"/>
    <x v="1"/>
    <x v="1"/>
  </r>
  <r>
    <n v="1038197"/>
    <x v="0"/>
    <n v="13.64"/>
    <n v="13.75"/>
    <n v="54.9"/>
    <x v="3"/>
    <x v="0"/>
    <x v="1"/>
    <x v="1"/>
  </r>
  <r>
    <n v="1038202"/>
    <x v="0"/>
    <n v="15.02"/>
    <n v="15.18"/>
    <n v="4.95"/>
    <x v="6"/>
    <x v="0"/>
    <x v="1"/>
    <x v="1"/>
  </r>
  <r>
    <n v="1038285"/>
    <x v="0"/>
    <n v="16.649999999999999"/>
    <n v="16.82"/>
    <n v="58.1"/>
    <x v="4"/>
    <x v="0"/>
    <x v="1"/>
    <x v="1"/>
  </r>
  <r>
    <n v="1038299"/>
    <x v="0"/>
    <n v="58.59"/>
    <n v="59.07"/>
    <n v="189.15"/>
    <x v="2"/>
    <x v="0"/>
    <x v="1"/>
    <x v="1"/>
  </r>
  <r>
    <n v="1038312"/>
    <x v="0"/>
    <n v="13.64"/>
    <n v="13.75"/>
    <n v="19.95"/>
    <x v="3"/>
    <x v="0"/>
    <x v="1"/>
    <x v="1"/>
  </r>
  <r>
    <n v="1038320"/>
    <x v="0"/>
    <n v="13.64"/>
    <n v="13.75"/>
    <n v="62.35"/>
    <x v="3"/>
    <x v="0"/>
    <x v="1"/>
    <x v="1"/>
  </r>
  <r>
    <n v="1038331"/>
    <x v="0"/>
    <n v="12.75"/>
    <n v="12.86"/>
    <n v="14.95"/>
    <x v="3"/>
    <x v="0"/>
    <x v="1"/>
    <x v="1"/>
  </r>
  <r>
    <n v="1038354"/>
    <x v="0"/>
    <n v="13.64"/>
    <n v="13.75"/>
    <n v="38.85"/>
    <x v="3"/>
    <x v="0"/>
    <x v="1"/>
    <x v="1"/>
  </r>
  <r>
    <n v="1038361"/>
    <x v="0"/>
    <n v="16.649999999999999"/>
    <n v="16.82"/>
    <n v="25.5"/>
    <x v="4"/>
    <x v="0"/>
    <x v="1"/>
    <x v="1"/>
  </r>
  <r>
    <n v="1038375"/>
    <x v="0"/>
    <n v="13.64"/>
    <n v="13.75"/>
    <n v="10.85"/>
    <x v="3"/>
    <x v="0"/>
    <x v="1"/>
    <x v="1"/>
  </r>
  <r>
    <n v="1038411"/>
    <x v="0"/>
    <n v="12.26"/>
    <n v="16.82"/>
    <n v="27.8"/>
    <x v="7"/>
    <x v="0"/>
    <x v="1"/>
    <x v="1"/>
  </r>
  <r>
    <n v="1038417"/>
    <x v="0"/>
    <n v="13.63"/>
    <n v="13.75"/>
    <n v="69.8"/>
    <x v="3"/>
    <x v="0"/>
    <x v="1"/>
    <x v="1"/>
  </r>
  <r>
    <n v="1038419"/>
    <x v="0"/>
    <n v="13.94"/>
    <n v="14.09"/>
    <n v="75.75"/>
    <x v="10"/>
    <x v="0"/>
    <x v="1"/>
    <x v="1"/>
  </r>
  <r>
    <n v="1038448"/>
    <x v="0"/>
    <n v="12.75"/>
    <n v="12.8"/>
    <n v="9.9499999999999993"/>
    <x v="3"/>
    <x v="0"/>
    <x v="1"/>
    <x v="1"/>
  </r>
  <r>
    <n v="1038511"/>
    <x v="0"/>
    <n v="15.02"/>
    <n v="15.07"/>
    <n v="34.85"/>
    <x v="6"/>
    <x v="0"/>
    <x v="1"/>
    <x v="1"/>
  </r>
  <r>
    <n v="1038515"/>
    <x v="0"/>
    <n v="64.930000000000007"/>
    <n v="79.81"/>
    <n v="53.4"/>
    <x v="2"/>
    <x v="0"/>
    <x v="1"/>
    <x v="1"/>
  </r>
  <r>
    <n v="1038536"/>
    <x v="0"/>
    <n v="12.75"/>
    <n v="12.8"/>
    <n v="60.15"/>
    <x v="3"/>
    <x v="0"/>
    <x v="1"/>
    <x v="1"/>
  </r>
  <r>
    <n v="1038563"/>
    <x v="0"/>
    <n v="13.64"/>
    <n v="13.69"/>
    <n v="19.899999999999999"/>
    <x v="3"/>
    <x v="0"/>
    <x v="1"/>
    <x v="1"/>
  </r>
  <r>
    <n v="1038567"/>
    <x v="0"/>
    <n v="12.75"/>
    <n v="12.8"/>
    <n v="79.8"/>
    <x v="3"/>
    <x v="0"/>
    <x v="1"/>
    <x v="1"/>
  </r>
  <r>
    <n v="1038575"/>
    <x v="0"/>
    <n v="13.64"/>
    <n v="13.69"/>
    <n v="25"/>
    <x v="3"/>
    <x v="0"/>
    <x v="1"/>
    <x v="1"/>
  </r>
  <r>
    <n v="1038576"/>
    <x v="0"/>
    <n v="9.65"/>
    <n v="12.8"/>
    <n v="5.95"/>
    <x v="0"/>
    <x v="0"/>
    <x v="1"/>
    <x v="1"/>
  </r>
  <r>
    <n v="1038580"/>
    <x v="0"/>
    <n v="21.7"/>
    <n v="21.75"/>
    <n v="39.9"/>
    <x v="9"/>
    <x v="0"/>
    <x v="1"/>
    <x v="1"/>
  </r>
  <r>
    <n v="1038589"/>
    <x v="0"/>
    <n v="9.65"/>
    <n v="9.6999999999999993"/>
    <n v="30.4"/>
    <x v="0"/>
    <x v="0"/>
    <x v="1"/>
    <x v="1"/>
  </r>
  <r>
    <n v="1038626"/>
    <x v="0"/>
    <n v="12.75"/>
    <n v="12.8"/>
    <n v="31.8"/>
    <x v="3"/>
    <x v="0"/>
    <x v="1"/>
    <x v="1"/>
  </r>
  <r>
    <n v="1038638"/>
    <x v="0"/>
    <n v="13.64"/>
    <n v="13.69"/>
    <n v="9.9499999999999993"/>
    <x v="3"/>
    <x v="0"/>
    <x v="1"/>
    <x v="1"/>
  </r>
  <r>
    <n v="1038673"/>
    <x v="0"/>
    <n v="14.49"/>
    <n v="15.97"/>
    <n v="572.79999999999995"/>
    <x v="8"/>
    <x v="0"/>
    <x v="1"/>
    <x v="1"/>
  </r>
  <r>
    <n v="1038679"/>
    <x v="0"/>
    <n v="12.26"/>
    <n v="12.31"/>
    <n v="7.5"/>
    <x v="7"/>
    <x v="0"/>
    <x v="1"/>
    <x v="1"/>
  </r>
  <r>
    <n v="1038682"/>
    <x v="0"/>
    <n v="12.26"/>
    <n v="12.31"/>
    <n v="322.2"/>
    <x v="7"/>
    <x v="0"/>
    <x v="1"/>
    <x v="1"/>
  </r>
  <r>
    <n v="1038727"/>
    <x v="0"/>
    <n v="13.64"/>
    <n v="13.69"/>
    <n v="5"/>
    <x v="3"/>
    <x v="0"/>
    <x v="1"/>
    <x v="1"/>
  </r>
  <r>
    <n v="1038743"/>
    <x v="0"/>
    <n v="12.75"/>
    <n v="12.8"/>
    <n v="40.85"/>
    <x v="3"/>
    <x v="0"/>
    <x v="1"/>
    <x v="1"/>
  </r>
  <r>
    <n v="1038774"/>
    <x v="0"/>
    <n v="13.64"/>
    <n v="13.69"/>
    <n v="5"/>
    <x v="3"/>
    <x v="0"/>
    <x v="1"/>
    <x v="1"/>
  </r>
  <r>
    <n v="1038775"/>
    <x v="0"/>
    <n v="12.75"/>
    <n v="12.8"/>
    <n v="59.9"/>
    <x v="3"/>
    <x v="0"/>
    <x v="1"/>
    <x v="1"/>
  </r>
  <r>
    <n v="1038779"/>
    <x v="0"/>
    <n v="12.75"/>
    <n v="12.8"/>
    <n v="5"/>
    <x v="3"/>
    <x v="0"/>
    <x v="1"/>
    <x v="1"/>
  </r>
  <r>
    <n v="1038780"/>
    <x v="0"/>
    <n v="15.02"/>
    <n v="15.07"/>
    <n v="19.95"/>
    <x v="6"/>
    <x v="0"/>
    <x v="1"/>
    <x v="1"/>
  </r>
  <r>
    <n v="1038799"/>
    <x v="0"/>
    <n v="16.75"/>
    <n v="20.36"/>
    <n v="59.9"/>
    <x v="4"/>
    <x v="0"/>
    <x v="1"/>
    <x v="1"/>
  </r>
  <r>
    <n v="1038824"/>
    <x v="0"/>
    <n v="13.64"/>
    <n v="13.69"/>
    <n v="7.5"/>
    <x v="3"/>
    <x v="0"/>
    <x v="1"/>
    <x v="1"/>
  </r>
  <r>
    <n v="1038838"/>
    <x v="0"/>
    <n v="12.75"/>
    <n v="12.8"/>
    <n v="5"/>
    <x v="3"/>
    <x v="0"/>
    <x v="1"/>
    <x v="1"/>
  </r>
  <r>
    <n v="1038853"/>
    <x v="0"/>
    <n v="9.66"/>
    <n v="9.7100000000000009"/>
    <n v="5"/>
    <x v="0"/>
    <x v="0"/>
    <x v="1"/>
    <x v="1"/>
  </r>
  <r>
    <n v="1038866"/>
    <x v="0"/>
    <n v="16.649999999999999"/>
    <n v="16.7"/>
    <n v="69.900000000000006"/>
    <x v="4"/>
    <x v="0"/>
    <x v="1"/>
    <x v="1"/>
  </r>
  <r>
    <n v="1038881"/>
    <x v="0"/>
    <n v="12.75"/>
    <n v="12.8"/>
    <n v="83.05"/>
    <x v="3"/>
    <x v="0"/>
    <x v="1"/>
    <x v="1"/>
  </r>
  <r>
    <n v="1038952"/>
    <x v="0"/>
    <n v="12.75"/>
    <n v="12.8"/>
    <n v="112.5"/>
    <x v="3"/>
    <x v="0"/>
    <x v="1"/>
    <x v="1"/>
  </r>
  <r>
    <n v="1038978"/>
    <x v="0"/>
    <n v="9.66"/>
    <n v="9.7100000000000009"/>
    <n v="5"/>
    <x v="0"/>
    <x v="0"/>
    <x v="1"/>
    <x v="1"/>
  </r>
  <r>
    <n v="1038983"/>
    <x v="0"/>
    <n v="9.66"/>
    <n v="9.7100000000000009"/>
    <n v="11.25"/>
    <x v="0"/>
    <x v="0"/>
    <x v="1"/>
    <x v="1"/>
  </r>
  <r>
    <n v="1038989"/>
    <x v="0"/>
    <n v="12.75"/>
    <n v="12.8"/>
    <n v="33.75"/>
    <x v="3"/>
    <x v="0"/>
    <x v="1"/>
    <x v="1"/>
  </r>
  <r>
    <n v="1038995"/>
    <x v="0"/>
    <n v="12.75"/>
    <n v="12.8"/>
    <n v="11.4"/>
    <x v="3"/>
    <x v="0"/>
    <x v="1"/>
    <x v="1"/>
  </r>
  <r>
    <n v="1038996"/>
    <x v="0"/>
    <n v="12.75"/>
    <n v="12.8"/>
    <n v="5"/>
    <x v="3"/>
    <x v="0"/>
    <x v="1"/>
    <x v="1"/>
  </r>
  <r>
    <n v="1039021"/>
    <x v="0"/>
    <n v="13.64"/>
    <n v="13.69"/>
    <n v="64.849999999999994"/>
    <x v="3"/>
    <x v="0"/>
    <x v="1"/>
    <x v="1"/>
  </r>
  <r>
    <n v="1039038"/>
    <x v="0"/>
    <n v="13.64"/>
    <n v="13.69"/>
    <n v="64.900000000000006"/>
    <x v="3"/>
    <x v="0"/>
    <x v="1"/>
    <x v="1"/>
  </r>
  <r>
    <n v="1039083"/>
    <x v="0"/>
    <n v="12.75"/>
    <n v="13.81"/>
    <n v="47.75"/>
    <x v="3"/>
    <x v="0"/>
    <x v="1"/>
    <x v="1"/>
  </r>
  <r>
    <n v="1039100"/>
    <x v="0"/>
    <n v="16.649999999999999"/>
    <n v="16.7"/>
    <n v="68.3"/>
    <x v="4"/>
    <x v="0"/>
    <x v="1"/>
    <x v="1"/>
  </r>
  <r>
    <n v="1039103"/>
    <x v="0"/>
    <n v="12.75"/>
    <n v="12.8"/>
    <n v="47.9"/>
    <x v="3"/>
    <x v="0"/>
    <x v="1"/>
    <x v="1"/>
  </r>
  <r>
    <n v="1039150"/>
    <x v="0"/>
    <n v="12.75"/>
    <n v="12.8"/>
    <n v="44.65"/>
    <x v="3"/>
    <x v="0"/>
    <x v="1"/>
    <x v="1"/>
  </r>
  <r>
    <n v="1039232"/>
    <x v="0"/>
    <n v="12.75"/>
    <n v="12.8"/>
    <n v="39.950000000000003"/>
    <x v="3"/>
    <x v="0"/>
    <x v="1"/>
    <x v="1"/>
  </r>
  <r>
    <n v="1039250"/>
    <x v="0"/>
    <n v="13.64"/>
    <n v="13.69"/>
    <n v="15.9"/>
    <x v="3"/>
    <x v="0"/>
    <x v="1"/>
    <x v="1"/>
  </r>
  <r>
    <n v="1039268"/>
    <x v="0"/>
    <n v="13.64"/>
    <n v="13.69"/>
    <n v="39.950000000000003"/>
    <x v="3"/>
    <x v="0"/>
    <x v="1"/>
    <x v="1"/>
  </r>
  <r>
    <n v="1039272"/>
    <x v="0"/>
    <n v="9.65"/>
    <n v="9.6999999999999993"/>
    <n v="51.6"/>
    <x v="0"/>
    <x v="0"/>
    <x v="1"/>
    <x v="1"/>
  </r>
  <r>
    <n v="1039313"/>
    <x v="0"/>
    <n v="9.66"/>
    <n v="9.7100000000000009"/>
    <n v="85.85"/>
    <x v="0"/>
    <x v="0"/>
    <x v="1"/>
    <x v="1"/>
  </r>
  <r>
    <n v="1039317"/>
    <x v="0"/>
    <n v="13.64"/>
    <n v="13.69"/>
    <n v="60.85"/>
    <x v="3"/>
    <x v="0"/>
    <x v="1"/>
    <x v="1"/>
  </r>
  <r>
    <n v="1039345"/>
    <x v="0"/>
    <n v="16.649999999999999"/>
    <n v="16.7"/>
    <n v="34.9"/>
    <x v="4"/>
    <x v="0"/>
    <x v="1"/>
    <x v="1"/>
  </r>
  <r>
    <n v="1039356"/>
    <x v="0"/>
    <n v="10.94"/>
    <n v="10.99"/>
    <n v="27.95"/>
    <x v="8"/>
    <x v="0"/>
    <x v="1"/>
    <x v="1"/>
  </r>
  <r>
    <n v="1039364"/>
    <x v="0"/>
    <n v="12.75"/>
    <n v="13.25"/>
    <n v="85"/>
    <x v="3"/>
    <x v="0"/>
    <x v="1"/>
    <x v="1"/>
  </r>
  <r>
    <n v="1039380"/>
    <x v="0"/>
    <n v="12.75"/>
    <n v="12.8"/>
    <n v="29.95"/>
    <x v="3"/>
    <x v="0"/>
    <x v="1"/>
    <x v="1"/>
  </r>
  <r>
    <n v="1039402"/>
    <x v="0"/>
    <n v="13.64"/>
    <n v="13.69"/>
    <n v="47.9"/>
    <x v="3"/>
    <x v="0"/>
    <x v="1"/>
    <x v="1"/>
  </r>
  <r>
    <n v="1039408"/>
    <x v="0"/>
    <n v="16.34"/>
    <n v="16.39"/>
    <n v="47.9"/>
    <x v="4"/>
    <x v="0"/>
    <x v="1"/>
    <x v="1"/>
  </r>
  <r>
    <n v="1039430"/>
    <x v="0"/>
    <n v="12.75"/>
    <n v="13.25"/>
    <n v="72.7"/>
    <x v="3"/>
    <x v="0"/>
    <x v="1"/>
    <x v="1"/>
  </r>
  <r>
    <n v="1039464"/>
    <x v="0"/>
    <n v="12.75"/>
    <n v="12.8"/>
    <n v="164.75"/>
    <x v="3"/>
    <x v="0"/>
    <x v="1"/>
    <x v="1"/>
  </r>
  <r>
    <n v="1039475"/>
    <x v="0"/>
    <n v="12.75"/>
    <n v="12.8"/>
    <n v="10.85"/>
    <x v="3"/>
    <x v="0"/>
    <x v="1"/>
    <x v="1"/>
  </r>
  <r>
    <n v="1039482"/>
    <x v="0"/>
    <n v="12.75"/>
    <n v="12.8"/>
    <n v="155.94999999999999"/>
    <x v="3"/>
    <x v="0"/>
    <x v="1"/>
    <x v="1"/>
  </r>
  <r>
    <n v="1039514"/>
    <x v="0"/>
    <n v="59.9"/>
    <n v="59.95"/>
    <n v="39.950000000000003"/>
    <x v="5"/>
    <x v="0"/>
    <x v="1"/>
    <x v="1"/>
  </r>
  <r>
    <n v="1039538"/>
    <x v="0"/>
    <n v="16.64"/>
    <n v="16.690000000000001"/>
    <n v="15"/>
    <x v="4"/>
    <x v="0"/>
    <x v="1"/>
    <x v="1"/>
  </r>
  <r>
    <n v="1039549"/>
    <x v="0"/>
    <n v="9.65"/>
    <n v="9.7100000000000009"/>
    <n v="27.9"/>
    <x v="0"/>
    <x v="0"/>
    <x v="1"/>
    <x v="1"/>
  </r>
  <r>
    <n v="1039566"/>
    <x v="0"/>
    <n v="71.209999999999994"/>
    <n v="71.260000000000005"/>
    <n v="83.15"/>
    <x v="5"/>
    <x v="0"/>
    <x v="1"/>
    <x v="1"/>
  </r>
  <r>
    <n v="1039569"/>
    <x v="0"/>
    <n v="9.65"/>
    <n v="13.69"/>
    <n v="19.95"/>
    <x v="0"/>
    <x v="0"/>
    <x v="1"/>
    <x v="1"/>
  </r>
  <r>
    <n v="1039603"/>
    <x v="0"/>
    <n v="26.37"/>
    <n v="26.42"/>
    <n v="174.75"/>
    <x v="9"/>
    <x v="0"/>
    <x v="1"/>
    <x v="1"/>
  </r>
  <r>
    <n v="1039605"/>
    <x v="0"/>
    <n v="12.75"/>
    <n v="12.8"/>
    <n v="59.95"/>
    <x v="3"/>
    <x v="0"/>
    <x v="1"/>
    <x v="1"/>
  </r>
  <r>
    <n v="1039619"/>
    <x v="0"/>
    <n v="16.34"/>
    <n v="16.39"/>
    <n v="44.85"/>
    <x v="4"/>
    <x v="0"/>
    <x v="1"/>
    <x v="1"/>
  </r>
  <r>
    <n v="1039626"/>
    <x v="0"/>
    <n v="13.64"/>
    <n v="13.69"/>
    <n v="43.8"/>
    <x v="3"/>
    <x v="0"/>
    <x v="1"/>
    <x v="1"/>
  </r>
  <r>
    <n v="1039630"/>
    <x v="0"/>
    <n v="12.75"/>
    <n v="12.8"/>
    <n v="99.95"/>
    <x v="3"/>
    <x v="0"/>
    <x v="1"/>
    <x v="1"/>
  </r>
  <r>
    <n v="1039636"/>
    <x v="0"/>
    <n v="12.75"/>
    <n v="14.21"/>
    <n v="99.95"/>
    <x v="3"/>
    <x v="0"/>
    <x v="1"/>
    <x v="1"/>
  </r>
  <r>
    <n v="1039639"/>
    <x v="0"/>
    <n v="16.59"/>
    <n v="20.46"/>
    <n v="99.95"/>
    <x v="6"/>
    <x v="0"/>
    <x v="1"/>
    <x v="1"/>
  </r>
  <r>
    <n v="1039648"/>
    <x v="0"/>
    <n v="12.75"/>
    <n v="12.8"/>
    <n v="11.9"/>
    <x v="3"/>
    <x v="0"/>
    <x v="1"/>
    <x v="1"/>
  </r>
  <r>
    <n v="1039655"/>
    <x v="0"/>
    <n v="12.75"/>
    <n v="12.8"/>
    <n v="24.9"/>
    <x v="3"/>
    <x v="0"/>
    <x v="1"/>
    <x v="1"/>
  </r>
  <r>
    <n v="1039661"/>
    <x v="0"/>
    <n v="66.650000000000006"/>
    <n v="65.37"/>
    <n v="595.35"/>
    <x v="9"/>
    <x v="0"/>
    <x v="0"/>
    <x v="49"/>
  </r>
  <r>
    <n v="1039693"/>
    <x v="0"/>
    <n v="13.64"/>
    <n v="13.69"/>
    <n v="146.85"/>
    <x v="3"/>
    <x v="0"/>
    <x v="1"/>
    <x v="1"/>
  </r>
  <r>
    <n v="1039714"/>
    <x v="0"/>
    <n v="12.75"/>
    <n v="12.8"/>
    <n v="59.95"/>
    <x v="3"/>
    <x v="0"/>
    <x v="1"/>
    <x v="1"/>
  </r>
  <r>
    <n v="1039735"/>
    <x v="0"/>
    <n v="16.649999999999999"/>
    <n v="16.7"/>
    <n v="15.8"/>
    <x v="4"/>
    <x v="0"/>
    <x v="1"/>
    <x v="1"/>
  </r>
  <r>
    <n v="1039736"/>
    <x v="0"/>
    <n v="12.36"/>
    <n v="16.489999999999998"/>
    <n v="24.75"/>
    <x v="7"/>
    <x v="0"/>
    <x v="1"/>
    <x v="1"/>
  </r>
  <r>
    <n v="1039737"/>
    <x v="0"/>
    <n v="13.64"/>
    <n v="13.69"/>
    <n v="56.55"/>
    <x v="3"/>
    <x v="0"/>
    <x v="1"/>
    <x v="1"/>
  </r>
  <r>
    <n v="1039789"/>
    <x v="0"/>
    <n v="12.75"/>
    <n v="13.03"/>
    <n v="99.95"/>
    <x v="3"/>
    <x v="0"/>
    <x v="1"/>
    <x v="1"/>
  </r>
  <r>
    <n v="1039814"/>
    <x v="0"/>
    <n v="16.440000000000001"/>
    <n v="20.05"/>
    <n v="80.849999999999994"/>
    <x v="4"/>
    <x v="0"/>
    <x v="1"/>
    <x v="1"/>
  </r>
  <r>
    <n v="1039823"/>
    <x v="0"/>
    <n v="13.64"/>
    <n v="13.68"/>
    <n v="106.1"/>
    <x v="3"/>
    <x v="0"/>
    <x v="1"/>
    <x v="1"/>
  </r>
  <r>
    <n v="1039824"/>
    <x v="0"/>
    <n v="13.64"/>
    <n v="13.69"/>
    <n v="84.35"/>
    <x v="3"/>
    <x v="0"/>
    <x v="1"/>
    <x v="1"/>
  </r>
  <r>
    <n v="1039826"/>
    <x v="0"/>
    <n v="9.66"/>
    <n v="9.7100000000000009"/>
    <n v="85.55"/>
    <x v="0"/>
    <x v="0"/>
    <x v="1"/>
    <x v="1"/>
  </r>
  <r>
    <n v="1039920"/>
    <x v="0"/>
    <n v="12.75"/>
    <n v="12.8"/>
    <n v="66.900000000000006"/>
    <x v="3"/>
    <x v="0"/>
    <x v="1"/>
    <x v="1"/>
  </r>
  <r>
    <n v="1039932"/>
    <x v="0"/>
    <n v="16.34"/>
    <n v="16.39"/>
    <n v="22.35"/>
    <x v="4"/>
    <x v="0"/>
    <x v="1"/>
    <x v="1"/>
  </r>
  <r>
    <n v="1039942"/>
    <x v="0"/>
    <n v="12.75"/>
    <n v="14.21"/>
    <n v="99.95"/>
    <x v="3"/>
    <x v="0"/>
    <x v="1"/>
    <x v="1"/>
  </r>
  <r>
    <n v="1039951"/>
    <x v="0"/>
    <n v="16.649999999999999"/>
    <n v="16.7"/>
    <n v="9.9"/>
    <x v="4"/>
    <x v="0"/>
    <x v="1"/>
    <x v="1"/>
  </r>
  <r>
    <n v="1039965"/>
    <x v="0"/>
    <n v="9.65"/>
    <n v="9.6999999999999993"/>
    <n v="11.9"/>
    <x v="0"/>
    <x v="0"/>
    <x v="1"/>
    <x v="1"/>
  </r>
  <r>
    <n v="1039972"/>
    <x v="0"/>
    <n v="12.75"/>
    <n v="12.8"/>
    <n v="34.75"/>
    <x v="3"/>
    <x v="0"/>
    <x v="1"/>
    <x v="1"/>
  </r>
  <r>
    <n v="1039978"/>
    <x v="0"/>
    <n v="12.75"/>
    <n v="12.8"/>
    <n v="95.55"/>
    <x v="3"/>
    <x v="0"/>
    <x v="1"/>
    <x v="1"/>
  </r>
  <r>
    <n v="1040020"/>
    <x v="0"/>
    <n v="12.75"/>
    <n v="12.8"/>
    <n v="37.799999999999997"/>
    <x v="3"/>
    <x v="0"/>
    <x v="1"/>
    <x v="1"/>
  </r>
  <r>
    <n v="1040026"/>
    <x v="0"/>
    <n v="13.64"/>
    <n v="13.69"/>
    <n v="43.85"/>
    <x v="3"/>
    <x v="0"/>
    <x v="1"/>
    <x v="1"/>
  </r>
  <r>
    <n v="1040090"/>
    <x v="0"/>
    <n v="12.75"/>
    <n v="12.8"/>
    <n v="153.6"/>
    <x v="3"/>
    <x v="0"/>
    <x v="1"/>
    <x v="1"/>
  </r>
  <r>
    <n v="1040091"/>
    <x v="0"/>
    <n v="15.02"/>
    <n v="15.65"/>
    <n v="61.2"/>
    <x v="6"/>
    <x v="0"/>
    <x v="1"/>
    <x v="1"/>
  </r>
  <r>
    <n v="1040096"/>
    <x v="0"/>
    <n v="78.19"/>
    <n v="81.38"/>
    <n v="262.55"/>
    <x v="5"/>
    <x v="0"/>
    <x v="1"/>
    <x v="1"/>
  </r>
  <r>
    <n v="1040105"/>
    <x v="0"/>
    <n v="12.75"/>
    <n v="12.8"/>
    <n v="7.35"/>
    <x v="3"/>
    <x v="0"/>
    <x v="1"/>
    <x v="1"/>
  </r>
  <r>
    <n v="1040111"/>
    <x v="0"/>
    <n v="12.75"/>
    <n v="12.8"/>
    <n v="72.75"/>
    <x v="3"/>
    <x v="0"/>
    <x v="1"/>
    <x v="1"/>
  </r>
  <r>
    <n v="1040154"/>
    <x v="0"/>
    <n v="16.64"/>
    <n v="16.7"/>
    <n v="80"/>
    <x v="4"/>
    <x v="0"/>
    <x v="1"/>
    <x v="1"/>
  </r>
  <r>
    <n v="1040158"/>
    <x v="0"/>
    <n v="12.75"/>
    <n v="12.8"/>
    <n v="104.65"/>
    <x v="3"/>
    <x v="0"/>
    <x v="1"/>
    <x v="1"/>
  </r>
  <r>
    <n v="1040160"/>
    <x v="0"/>
    <n v="13.63"/>
    <n v="14.7"/>
    <n v="17.5"/>
    <x v="3"/>
    <x v="0"/>
    <x v="1"/>
    <x v="1"/>
  </r>
  <r>
    <n v="1040167"/>
    <x v="0"/>
    <n v="66.760000000000005"/>
    <n v="66.81"/>
    <n v="224.7"/>
    <x v="2"/>
    <x v="0"/>
    <x v="1"/>
    <x v="1"/>
  </r>
  <r>
    <n v="1040197"/>
    <x v="0"/>
    <n v="66.98"/>
    <n v="67.02"/>
    <n v="146.5"/>
    <x v="2"/>
    <x v="0"/>
    <x v="1"/>
    <x v="1"/>
  </r>
  <r>
    <n v="1040201"/>
    <x v="0"/>
    <n v="59.85"/>
    <n v="77.87"/>
    <n v="185.45"/>
    <x v="2"/>
    <x v="0"/>
    <x v="1"/>
    <x v="1"/>
  </r>
  <r>
    <n v="1040208"/>
    <x v="0"/>
    <n v="16.34"/>
    <n v="16.39"/>
    <n v="4.75"/>
    <x v="4"/>
    <x v="0"/>
    <x v="1"/>
    <x v="1"/>
  </r>
  <r>
    <n v="1040213"/>
    <x v="0"/>
    <n v="12.75"/>
    <n v="12.8"/>
    <n v="14"/>
    <x v="3"/>
    <x v="0"/>
    <x v="1"/>
    <x v="1"/>
  </r>
  <r>
    <n v="1040240"/>
    <x v="0"/>
    <n v="12.75"/>
    <n v="12.8"/>
    <n v="34.9"/>
    <x v="3"/>
    <x v="0"/>
    <x v="1"/>
    <x v="1"/>
  </r>
  <r>
    <n v="1040242"/>
    <x v="0"/>
    <n v="15.02"/>
    <n v="15.07"/>
    <n v="93.1"/>
    <x v="6"/>
    <x v="0"/>
    <x v="1"/>
    <x v="1"/>
  </r>
  <r>
    <n v="1040250"/>
    <x v="0"/>
    <n v="9.65"/>
    <n v="0"/>
    <n v="8.9700000000000006"/>
    <x v="0"/>
    <x v="0"/>
    <x v="0"/>
    <x v="42"/>
  </r>
  <r>
    <n v="1040265"/>
    <x v="0"/>
    <n v="13.94"/>
    <n v="18.07"/>
    <n v="11.8"/>
    <x v="10"/>
    <x v="0"/>
    <x v="1"/>
    <x v="1"/>
  </r>
  <r>
    <n v="1040294"/>
    <x v="0"/>
    <n v="12.75"/>
    <n v="12.8"/>
    <n v="31.5"/>
    <x v="3"/>
    <x v="0"/>
    <x v="1"/>
    <x v="1"/>
  </r>
  <r>
    <n v="1040304"/>
    <x v="0"/>
    <n v="9.66"/>
    <n v="13.69"/>
    <n v="6.5"/>
    <x v="0"/>
    <x v="0"/>
    <x v="1"/>
    <x v="1"/>
  </r>
  <r>
    <n v="1040309"/>
    <x v="0"/>
    <n v="12.75"/>
    <n v="12.8"/>
    <n v="13.35"/>
    <x v="3"/>
    <x v="0"/>
    <x v="1"/>
    <x v="1"/>
  </r>
  <r>
    <n v="1040349"/>
    <x v="0"/>
    <n v="9.66"/>
    <n v="9.7100000000000009"/>
    <n v="42.4"/>
    <x v="0"/>
    <x v="0"/>
    <x v="1"/>
    <x v="1"/>
  </r>
  <r>
    <n v="1040353"/>
    <x v="0"/>
    <n v="15.32"/>
    <n v="15.37"/>
    <n v="45.95"/>
    <x v="6"/>
    <x v="0"/>
    <x v="1"/>
    <x v="1"/>
  </r>
  <r>
    <n v="1040364"/>
    <x v="0"/>
    <n v="13.64"/>
    <n v="13.69"/>
    <n v="16.7"/>
    <x v="3"/>
    <x v="0"/>
    <x v="1"/>
    <x v="1"/>
  </r>
  <r>
    <n v="1040367"/>
    <x v="0"/>
    <n v="16.440000000000001"/>
    <n v="16.489999999999998"/>
    <n v="52.85"/>
    <x v="4"/>
    <x v="0"/>
    <x v="1"/>
    <x v="1"/>
  </r>
  <r>
    <n v="1040388"/>
    <x v="0"/>
    <n v="13.64"/>
    <n v="13.69"/>
    <n v="76.790000000000006"/>
    <x v="3"/>
    <x v="0"/>
    <x v="1"/>
    <x v="1"/>
  </r>
  <r>
    <n v="1040390"/>
    <x v="0"/>
    <n v="13.64"/>
    <n v="13.69"/>
    <n v="29.95"/>
    <x v="3"/>
    <x v="0"/>
    <x v="1"/>
    <x v="1"/>
  </r>
  <r>
    <n v="1040411"/>
    <x v="0"/>
    <n v="12.75"/>
    <n v="12.8"/>
    <n v="86.85"/>
    <x v="3"/>
    <x v="0"/>
    <x v="1"/>
    <x v="1"/>
  </r>
  <r>
    <n v="1040438"/>
    <x v="0"/>
    <n v="9.65"/>
    <n v="9.6999999999999993"/>
    <n v="11.95"/>
    <x v="0"/>
    <x v="0"/>
    <x v="1"/>
    <x v="1"/>
  </r>
  <r>
    <n v="1040439"/>
    <x v="0"/>
    <n v="12.75"/>
    <n v="12.8"/>
    <n v="18.8"/>
    <x v="3"/>
    <x v="0"/>
    <x v="1"/>
    <x v="1"/>
  </r>
  <r>
    <n v="1040440"/>
    <x v="0"/>
    <n v="16.34"/>
    <n v="16.77"/>
    <n v="89.95"/>
    <x v="4"/>
    <x v="0"/>
    <x v="1"/>
    <x v="1"/>
  </r>
  <r>
    <n v="1040455"/>
    <x v="0"/>
    <n v="13.64"/>
    <n v="13.69"/>
    <n v="41.85"/>
    <x v="3"/>
    <x v="0"/>
    <x v="1"/>
    <x v="1"/>
  </r>
  <r>
    <n v="1040462"/>
    <x v="0"/>
    <n v="9.65"/>
    <n v="9.7100000000000009"/>
    <n v="72.75"/>
    <x v="0"/>
    <x v="0"/>
    <x v="1"/>
    <x v="1"/>
  </r>
  <r>
    <n v="1040492"/>
    <x v="0"/>
    <n v="58.59"/>
    <n v="58.64"/>
    <n v="39.950000000000003"/>
    <x v="2"/>
    <x v="0"/>
    <x v="1"/>
    <x v="1"/>
  </r>
  <r>
    <n v="1040495"/>
    <x v="0"/>
    <n v="13.64"/>
    <n v="13.69"/>
    <n v="44.45"/>
    <x v="3"/>
    <x v="0"/>
    <x v="1"/>
    <x v="1"/>
  </r>
  <r>
    <n v="1040501"/>
    <x v="0"/>
    <n v="13.64"/>
    <n v="13.69"/>
    <n v="47.9"/>
    <x v="3"/>
    <x v="0"/>
    <x v="1"/>
    <x v="1"/>
  </r>
  <r>
    <n v="1040527"/>
    <x v="0"/>
    <n v="12.75"/>
    <n v="12.8"/>
    <n v="99.95"/>
    <x v="3"/>
    <x v="0"/>
    <x v="1"/>
    <x v="1"/>
  </r>
  <r>
    <n v="1040528"/>
    <x v="0"/>
    <n v="10.94"/>
    <n v="10.99"/>
    <n v="27.95"/>
    <x v="8"/>
    <x v="0"/>
    <x v="1"/>
    <x v="1"/>
  </r>
  <r>
    <n v="1040530"/>
    <x v="0"/>
    <n v="9.66"/>
    <n v="12.8"/>
    <n v="39.950000000000003"/>
    <x v="0"/>
    <x v="0"/>
    <x v="1"/>
    <x v="1"/>
  </r>
  <r>
    <n v="1040531"/>
    <x v="0"/>
    <n v="12.75"/>
    <n v="12.8"/>
    <n v="69.900000000000006"/>
    <x v="3"/>
    <x v="0"/>
    <x v="1"/>
    <x v="1"/>
  </r>
  <r>
    <n v="1040542"/>
    <x v="0"/>
    <n v="16.34"/>
    <n v="16.39"/>
    <n v="39.950000000000003"/>
    <x v="4"/>
    <x v="0"/>
    <x v="1"/>
    <x v="1"/>
  </r>
  <r>
    <n v="1040552"/>
    <x v="0"/>
    <n v="16.649999999999999"/>
    <n v="16.7"/>
    <n v="47.85"/>
    <x v="4"/>
    <x v="0"/>
    <x v="1"/>
    <x v="1"/>
  </r>
  <r>
    <n v="1040556"/>
    <x v="0"/>
    <n v="13.64"/>
    <n v="13.69"/>
    <n v="39.950000000000003"/>
    <x v="3"/>
    <x v="0"/>
    <x v="1"/>
    <x v="1"/>
  </r>
  <r>
    <n v="1040562"/>
    <x v="0"/>
    <n v="13.64"/>
    <n v="13.69"/>
    <n v="39.950000000000003"/>
    <x v="3"/>
    <x v="0"/>
    <x v="1"/>
    <x v="1"/>
  </r>
  <r>
    <n v="1040570"/>
    <x v="0"/>
    <n v="10.94"/>
    <n v="10.99"/>
    <n v="51.85"/>
    <x v="8"/>
    <x v="0"/>
    <x v="1"/>
    <x v="1"/>
  </r>
  <r>
    <n v="1040572"/>
    <x v="0"/>
    <n v="12.75"/>
    <n v="12.8"/>
    <n v="39.950000000000003"/>
    <x v="3"/>
    <x v="0"/>
    <x v="1"/>
    <x v="1"/>
  </r>
  <r>
    <n v="1040589"/>
    <x v="0"/>
    <n v="13.64"/>
    <n v="13.69"/>
    <n v="39.950000000000003"/>
    <x v="3"/>
    <x v="0"/>
    <x v="1"/>
    <x v="1"/>
  </r>
  <r>
    <n v="1040591"/>
    <x v="0"/>
    <n v="15.33"/>
    <n v="15.38"/>
    <n v="10"/>
    <x v="6"/>
    <x v="0"/>
    <x v="1"/>
    <x v="1"/>
  </r>
  <r>
    <n v="1040593"/>
    <x v="0"/>
    <n v="10.94"/>
    <n v="11.04"/>
    <n v="99.95"/>
    <x v="8"/>
    <x v="0"/>
    <x v="1"/>
    <x v="1"/>
  </r>
  <r>
    <n v="1040633"/>
    <x v="0"/>
    <n v="9.65"/>
    <n v="9.6999999999999993"/>
    <n v="18.95"/>
    <x v="0"/>
    <x v="0"/>
    <x v="1"/>
    <x v="1"/>
  </r>
  <r>
    <n v="1040642"/>
    <x v="0"/>
    <n v="9.65"/>
    <n v="9.6999999999999993"/>
    <n v="39.950000000000003"/>
    <x v="0"/>
    <x v="0"/>
    <x v="1"/>
    <x v="1"/>
  </r>
  <r>
    <n v="1040649"/>
    <x v="0"/>
    <n v="15.02"/>
    <n v="15.07"/>
    <n v="39.950000000000003"/>
    <x v="6"/>
    <x v="0"/>
    <x v="1"/>
    <x v="1"/>
  </r>
  <r>
    <n v="1040653"/>
    <x v="0"/>
    <n v="12.75"/>
    <n v="12.8"/>
    <n v="39.950000000000003"/>
    <x v="3"/>
    <x v="0"/>
    <x v="1"/>
    <x v="1"/>
  </r>
  <r>
    <n v="1040657"/>
    <x v="0"/>
    <n v="13.64"/>
    <n v="13.69"/>
    <n v="39.950000000000003"/>
    <x v="3"/>
    <x v="0"/>
    <x v="1"/>
    <x v="1"/>
  </r>
  <r>
    <n v="1040663"/>
    <x v="0"/>
    <n v="12.26"/>
    <n v="12.31"/>
    <n v="74.650000000000006"/>
    <x v="7"/>
    <x v="0"/>
    <x v="1"/>
    <x v="1"/>
  </r>
  <r>
    <n v="1040673"/>
    <x v="0"/>
    <n v="15.33"/>
    <n v="15.39"/>
    <n v="29.95"/>
    <x v="6"/>
    <x v="0"/>
    <x v="1"/>
    <x v="1"/>
  </r>
  <r>
    <n v="1040682"/>
    <x v="0"/>
    <n v="12.75"/>
    <n v="12.8"/>
    <n v="59.85"/>
    <x v="3"/>
    <x v="0"/>
    <x v="1"/>
    <x v="1"/>
  </r>
  <r>
    <n v="1040690"/>
    <x v="0"/>
    <n v="13.64"/>
    <n v="13.69"/>
    <n v="39.950000000000003"/>
    <x v="3"/>
    <x v="0"/>
    <x v="1"/>
    <x v="1"/>
  </r>
  <r>
    <n v="1040691"/>
    <x v="0"/>
    <n v="13.64"/>
    <n v="19.13"/>
    <n v="59.9"/>
    <x v="3"/>
    <x v="0"/>
    <x v="1"/>
    <x v="1"/>
  </r>
  <r>
    <n v="1040709"/>
    <x v="0"/>
    <n v="12.75"/>
    <n v="12.8"/>
    <n v="39.950000000000003"/>
    <x v="3"/>
    <x v="0"/>
    <x v="1"/>
    <x v="1"/>
  </r>
  <r>
    <n v="1040716"/>
    <x v="0"/>
    <n v="9.66"/>
    <n v="9.7100000000000009"/>
    <n v="16.899999999999999"/>
    <x v="0"/>
    <x v="0"/>
    <x v="1"/>
    <x v="1"/>
  </r>
  <r>
    <n v="1040760"/>
    <x v="0"/>
    <n v="13.64"/>
    <n v="13.69"/>
    <n v="14.95"/>
    <x v="3"/>
    <x v="0"/>
    <x v="1"/>
    <x v="1"/>
  </r>
  <r>
    <n v="1040789"/>
    <x v="0"/>
    <n v="13.64"/>
    <n v="13.69"/>
    <n v="60.9"/>
    <x v="3"/>
    <x v="0"/>
    <x v="1"/>
    <x v="1"/>
  </r>
  <r>
    <n v="1040849"/>
    <x v="0"/>
    <n v="13.64"/>
    <n v="13.69"/>
    <n v="81.8"/>
    <x v="3"/>
    <x v="0"/>
    <x v="1"/>
    <x v="1"/>
  </r>
  <r>
    <n v="1040865"/>
    <x v="0"/>
    <n v="13.94"/>
    <n v="13.99"/>
    <n v="30"/>
    <x v="10"/>
    <x v="0"/>
    <x v="1"/>
    <x v="1"/>
  </r>
  <r>
    <n v="1040869"/>
    <x v="0"/>
    <n v="12.75"/>
    <n v="12.8"/>
    <n v="14.95"/>
    <x v="3"/>
    <x v="0"/>
    <x v="1"/>
    <x v="1"/>
  </r>
  <r>
    <n v="1040880"/>
    <x v="0"/>
    <n v="16.34"/>
    <n v="16.39"/>
    <n v="8.9"/>
    <x v="4"/>
    <x v="0"/>
    <x v="1"/>
    <x v="1"/>
  </r>
  <r>
    <n v="1040895"/>
    <x v="0"/>
    <n v="12.75"/>
    <n v="12.8"/>
    <n v="40.65"/>
    <x v="3"/>
    <x v="0"/>
    <x v="1"/>
    <x v="1"/>
  </r>
  <r>
    <n v="1040907"/>
    <x v="0"/>
    <n v="13.64"/>
    <n v="13.69"/>
    <n v="3.9"/>
    <x v="3"/>
    <x v="0"/>
    <x v="1"/>
    <x v="1"/>
  </r>
  <r>
    <n v="1040910"/>
    <x v="0"/>
    <n v="12.75"/>
    <n v="12.8"/>
    <n v="79.75"/>
    <x v="3"/>
    <x v="0"/>
    <x v="1"/>
    <x v="1"/>
  </r>
  <r>
    <n v="1040914"/>
    <x v="0"/>
    <n v="15.32"/>
    <n v="15.37"/>
    <n v="62.5"/>
    <x v="6"/>
    <x v="0"/>
    <x v="1"/>
    <x v="1"/>
  </r>
  <r>
    <n v="1040917"/>
    <x v="0"/>
    <n v="9.65"/>
    <n v="9.7100000000000009"/>
    <n v="23.85"/>
    <x v="0"/>
    <x v="0"/>
    <x v="1"/>
    <x v="1"/>
  </r>
  <r>
    <n v="1040925"/>
    <x v="0"/>
    <n v="18.02"/>
    <n v="18.07"/>
    <n v="58.5"/>
    <x v="9"/>
    <x v="0"/>
    <x v="1"/>
    <x v="1"/>
  </r>
  <r>
    <n v="1040935"/>
    <x v="0"/>
    <n v="12.75"/>
    <n v="12.8"/>
    <n v="7.95"/>
    <x v="3"/>
    <x v="0"/>
    <x v="1"/>
    <x v="1"/>
  </r>
  <r>
    <n v="1040953"/>
    <x v="0"/>
    <n v="13.64"/>
    <n v="13.69"/>
    <n v="22.9"/>
    <x v="3"/>
    <x v="0"/>
    <x v="1"/>
    <x v="1"/>
  </r>
  <r>
    <n v="1040955"/>
    <x v="0"/>
    <n v="9.66"/>
    <n v="9.7100000000000009"/>
    <n v="3.95"/>
    <x v="0"/>
    <x v="0"/>
    <x v="1"/>
    <x v="1"/>
  </r>
  <r>
    <n v="1040962"/>
    <x v="0"/>
    <n v="13.64"/>
    <n v="14.49"/>
    <n v="99.95"/>
    <x v="3"/>
    <x v="0"/>
    <x v="1"/>
    <x v="1"/>
  </r>
  <r>
    <n v="1041001"/>
    <x v="0"/>
    <n v="9.65"/>
    <n v="13.69"/>
    <n v="8.6"/>
    <x v="0"/>
    <x v="0"/>
    <x v="1"/>
    <x v="1"/>
  </r>
  <r>
    <n v="1041004"/>
    <x v="0"/>
    <n v="15.33"/>
    <n v="15.38"/>
    <n v="29.7"/>
    <x v="6"/>
    <x v="0"/>
    <x v="1"/>
    <x v="1"/>
  </r>
  <r>
    <n v="1041009"/>
    <x v="0"/>
    <n v="71.59"/>
    <n v="58.64"/>
    <n v="159.9"/>
    <x v="2"/>
    <x v="0"/>
    <x v="0"/>
    <x v="50"/>
  </r>
  <r>
    <n v="1041070"/>
    <x v="0"/>
    <n v="12.75"/>
    <n v="12.8"/>
    <n v="94.9"/>
    <x v="3"/>
    <x v="0"/>
    <x v="1"/>
    <x v="1"/>
  </r>
  <r>
    <n v="1041072"/>
    <x v="0"/>
    <n v="12.75"/>
    <n v="13.25"/>
    <n v="89.9"/>
    <x v="3"/>
    <x v="0"/>
    <x v="1"/>
    <x v="1"/>
  </r>
  <r>
    <n v="1041073"/>
    <x v="0"/>
    <n v="10.94"/>
    <n v="10.99"/>
    <n v="99.95"/>
    <x v="8"/>
    <x v="0"/>
    <x v="1"/>
    <x v="1"/>
  </r>
  <r>
    <n v="1041079"/>
    <x v="0"/>
    <n v="12.19"/>
    <n v="12.25"/>
    <n v="52.85"/>
    <x v="8"/>
    <x v="0"/>
    <x v="1"/>
    <x v="1"/>
  </r>
  <r>
    <n v="1041108"/>
    <x v="0"/>
    <n v="12.75"/>
    <n v="12.8"/>
    <n v="79.95"/>
    <x v="3"/>
    <x v="0"/>
    <x v="1"/>
    <x v="1"/>
  </r>
  <r>
    <n v="1041128"/>
    <x v="0"/>
    <n v="13.64"/>
    <n v="13.69"/>
    <n v="12.8"/>
    <x v="3"/>
    <x v="0"/>
    <x v="1"/>
    <x v="1"/>
  </r>
  <r>
    <n v="1041158"/>
    <x v="0"/>
    <n v="13.64"/>
    <n v="13.69"/>
    <n v="32.799999999999997"/>
    <x v="3"/>
    <x v="0"/>
    <x v="1"/>
    <x v="1"/>
  </r>
  <r>
    <n v="1041166"/>
    <x v="0"/>
    <n v="16.75"/>
    <n v="18.64"/>
    <n v="167.35"/>
    <x v="4"/>
    <x v="0"/>
    <x v="1"/>
    <x v="1"/>
  </r>
  <r>
    <n v="1041219"/>
    <x v="0"/>
    <n v="12.75"/>
    <n v="12.8"/>
    <n v="27.35"/>
    <x v="3"/>
    <x v="0"/>
    <x v="1"/>
    <x v="1"/>
  </r>
  <r>
    <n v="1041222"/>
    <x v="0"/>
    <n v="12.75"/>
    <n v="12.8"/>
    <n v="5.9"/>
    <x v="3"/>
    <x v="0"/>
    <x v="1"/>
    <x v="1"/>
  </r>
  <r>
    <n v="1041239"/>
    <x v="0"/>
    <n v="12.75"/>
    <n v="12.8"/>
    <n v="18.95"/>
    <x v="3"/>
    <x v="0"/>
    <x v="1"/>
    <x v="1"/>
  </r>
  <r>
    <n v="1041259"/>
    <x v="0"/>
    <n v="13.64"/>
    <n v="13.69"/>
    <n v="135.6"/>
    <x v="3"/>
    <x v="0"/>
    <x v="1"/>
    <x v="1"/>
  </r>
  <r>
    <n v="1041267"/>
    <x v="0"/>
    <n v="9.65"/>
    <n v="9.6999999999999993"/>
    <n v="13.9"/>
    <x v="0"/>
    <x v="0"/>
    <x v="1"/>
    <x v="1"/>
  </r>
  <r>
    <n v="1041270"/>
    <x v="0"/>
    <n v="13.64"/>
    <n v="13.69"/>
    <n v="69.900000000000006"/>
    <x v="3"/>
    <x v="0"/>
    <x v="1"/>
    <x v="1"/>
  </r>
  <r>
    <n v="1041272"/>
    <x v="0"/>
    <n v="13.64"/>
    <n v="13.69"/>
    <n v="14.85"/>
    <x v="3"/>
    <x v="0"/>
    <x v="1"/>
    <x v="1"/>
  </r>
  <r>
    <n v="1041277"/>
    <x v="0"/>
    <n v="12.75"/>
    <n v="12.8"/>
    <n v="56.85"/>
    <x v="3"/>
    <x v="0"/>
    <x v="1"/>
    <x v="1"/>
  </r>
  <r>
    <n v="1041291"/>
    <x v="0"/>
    <n v="13.64"/>
    <n v="13.69"/>
    <n v="36.700000000000003"/>
    <x v="3"/>
    <x v="0"/>
    <x v="1"/>
    <x v="1"/>
  </r>
  <r>
    <n v="1041313"/>
    <x v="0"/>
    <n v="19.77"/>
    <n v="18.07"/>
    <n v="127.75"/>
    <x v="4"/>
    <x v="0"/>
    <x v="0"/>
    <x v="51"/>
  </r>
  <r>
    <n v="1041315"/>
    <x v="0"/>
    <n v="12.26"/>
    <n v="12.31"/>
    <n v="34.9"/>
    <x v="7"/>
    <x v="0"/>
    <x v="1"/>
    <x v="1"/>
  </r>
  <r>
    <n v="1041350"/>
    <x v="0"/>
    <n v="13.68"/>
    <n v="26.41"/>
    <n v="64.95"/>
    <x v="3"/>
    <x v="0"/>
    <x v="1"/>
    <x v="1"/>
  </r>
  <r>
    <n v="1041381"/>
    <x v="0"/>
    <n v="13.64"/>
    <n v="19.13"/>
    <n v="59.9"/>
    <x v="3"/>
    <x v="0"/>
    <x v="1"/>
    <x v="1"/>
  </r>
  <r>
    <n v="1041392"/>
    <x v="0"/>
    <n v="9.66"/>
    <n v="9.7100000000000009"/>
    <n v="24.9"/>
    <x v="0"/>
    <x v="0"/>
    <x v="1"/>
    <x v="1"/>
  </r>
  <r>
    <n v="1041424"/>
    <x v="0"/>
    <n v="13.64"/>
    <n v="13.69"/>
    <n v="47.7"/>
    <x v="3"/>
    <x v="0"/>
    <x v="1"/>
    <x v="1"/>
  </r>
  <r>
    <n v="1041425"/>
    <x v="0"/>
    <n v="12.75"/>
    <n v="12.8"/>
    <n v="48.8"/>
    <x v="3"/>
    <x v="0"/>
    <x v="1"/>
    <x v="1"/>
  </r>
  <r>
    <n v="1041446"/>
    <x v="0"/>
    <n v="13.64"/>
    <n v="13.69"/>
    <n v="58.8"/>
    <x v="3"/>
    <x v="0"/>
    <x v="1"/>
    <x v="1"/>
  </r>
  <r>
    <n v="1041449"/>
    <x v="0"/>
    <n v="12.75"/>
    <n v="12.8"/>
    <n v="9.9"/>
    <x v="3"/>
    <x v="0"/>
    <x v="1"/>
    <x v="1"/>
  </r>
  <r>
    <n v="1041476"/>
    <x v="0"/>
    <n v="9.65"/>
    <n v="9.6999999999999993"/>
    <n v="119.85"/>
    <x v="0"/>
    <x v="0"/>
    <x v="1"/>
    <x v="1"/>
  </r>
  <r>
    <n v="1041477"/>
    <x v="0"/>
    <n v="12.75"/>
    <n v="12.8"/>
    <n v="36.799999999999997"/>
    <x v="3"/>
    <x v="0"/>
    <x v="1"/>
    <x v="1"/>
  </r>
  <r>
    <n v="1041484"/>
    <x v="0"/>
    <n v="12.75"/>
    <n v="12.8"/>
    <n v="24.95"/>
    <x v="3"/>
    <x v="0"/>
    <x v="1"/>
    <x v="1"/>
  </r>
  <r>
    <n v="1041508"/>
    <x v="0"/>
    <n v="13.64"/>
    <n v="13.69"/>
    <n v="59.4"/>
    <x v="3"/>
    <x v="0"/>
    <x v="1"/>
    <x v="1"/>
  </r>
  <r>
    <n v="1041509"/>
    <x v="0"/>
    <n v="13.94"/>
    <n v="13.99"/>
    <n v="79.3"/>
    <x v="10"/>
    <x v="0"/>
    <x v="1"/>
    <x v="1"/>
  </r>
  <r>
    <n v="1041554"/>
    <x v="0"/>
    <n v="9.65"/>
    <n v="9.6999999999999993"/>
    <n v="23.95"/>
    <x v="0"/>
    <x v="0"/>
    <x v="1"/>
    <x v="1"/>
  </r>
  <r>
    <n v="1041564"/>
    <x v="0"/>
    <n v="9.65"/>
    <n v="13.68"/>
    <n v="39.799999999999997"/>
    <x v="0"/>
    <x v="0"/>
    <x v="1"/>
    <x v="1"/>
  </r>
  <r>
    <n v="1041566"/>
    <x v="0"/>
    <n v="9.65"/>
    <n v="9.6999999999999993"/>
    <n v="44.6"/>
    <x v="0"/>
    <x v="0"/>
    <x v="1"/>
    <x v="1"/>
  </r>
  <r>
    <n v="1041569"/>
    <x v="0"/>
    <n v="55.79"/>
    <n v="58.64"/>
    <n v="116.25"/>
    <x v="2"/>
    <x v="0"/>
    <x v="1"/>
    <x v="1"/>
  </r>
  <r>
    <n v="1041589"/>
    <x v="0"/>
    <n v="13.64"/>
    <n v="13.69"/>
    <n v="24.95"/>
    <x v="3"/>
    <x v="0"/>
    <x v="1"/>
    <x v="1"/>
  </r>
  <r>
    <n v="1041590"/>
    <x v="0"/>
    <n v="10.94"/>
    <n v="10.99"/>
    <n v="17.5"/>
    <x v="8"/>
    <x v="0"/>
    <x v="1"/>
    <x v="1"/>
  </r>
  <r>
    <n v="1041601"/>
    <x v="0"/>
    <n v="13.64"/>
    <n v="13.69"/>
    <n v="23.85"/>
    <x v="3"/>
    <x v="0"/>
    <x v="1"/>
    <x v="1"/>
  </r>
  <r>
    <n v="1041625"/>
    <x v="0"/>
    <n v="18.79"/>
    <n v="18.84"/>
    <n v="131.65"/>
    <x v="9"/>
    <x v="0"/>
    <x v="1"/>
    <x v="1"/>
  </r>
  <r>
    <n v="1041645"/>
    <x v="0"/>
    <n v="24.69"/>
    <n v="24.74"/>
    <n v="49.95"/>
    <x v="9"/>
    <x v="0"/>
    <x v="1"/>
    <x v="1"/>
  </r>
  <r>
    <n v="1041689"/>
    <x v="0"/>
    <n v="13.64"/>
    <n v="13.69"/>
    <n v="47.9"/>
    <x v="3"/>
    <x v="0"/>
    <x v="1"/>
    <x v="1"/>
  </r>
  <r>
    <n v="1041703"/>
    <x v="0"/>
    <n v="9.65"/>
    <n v="9.6999999999999993"/>
    <n v="39.950000000000003"/>
    <x v="0"/>
    <x v="0"/>
    <x v="1"/>
    <x v="1"/>
  </r>
  <r>
    <n v="1041709"/>
    <x v="0"/>
    <n v="9.65"/>
    <n v="9.6999999999999993"/>
    <n v="39.950000000000003"/>
    <x v="0"/>
    <x v="0"/>
    <x v="1"/>
    <x v="1"/>
  </r>
  <r>
    <n v="1041718"/>
    <x v="0"/>
    <n v="13.64"/>
    <n v="13.69"/>
    <n v="47.9"/>
    <x v="3"/>
    <x v="0"/>
    <x v="1"/>
    <x v="1"/>
  </r>
  <r>
    <n v="1041726"/>
    <x v="0"/>
    <n v="13.64"/>
    <n v="13.69"/>
    <n v="86.65"/>
    <x v="3"/>
    <x v="0"/>
    <x v="1"/>
    <x v="1"/>
  </r>
  <r>
    <n v="1041752"/>
    <x v="0"/>
    <n v="12.75"/>
    <n v="12.8"/>
    <n v="110.25"/>
    <x v="3"/>
    <x v="0"/>
    <x v="1"/>
    <x v="1"/>
  </r>
  <r>
    <n v="1041772"/>
    <x v="0"/>
    <n v="13.64"/>
    <n v="13.69"/>
    <n v="94.35"/>
    <x v="3"/>
    <x v="0"/>
    <x v="1"/>
    <x v="1"/>
  </r>
  <r>
    <n v="1041779"/>
    <x v="0"/>
    <n v="12.26"/>
    <n v="16.7"/>
    <n v="199.75"/>
    <x v="7"/>
    <x v="0"/>
    <x v="1"/>
    <x v="1"/>
  </r>
  <r>
    <n v="1041813"/>
    <x v="0"/>
    <n v="9.66"/>
    <n v="12.8"/>
    <n v="144.69999999999999"/>
    <x v="0"/>
    <x v="0"/>
    <x v="1"/>
    <x v="1"/>
  </r>
  <r>
    <n v="1041831"/>
    <x v="0"/>
    <n v="12.75"/>
    <n v="12.8"/>
    <n v="35.799999999999997"/>
    <x v="3"/>
    <x v="0"/>
    <x v="1"/>
    <x v="1"/>
  </r>
  <r>
    <n v="1041833"/>
    <x v="0"/>
    <n v="16.64"/>
    <n v="16.690000000000001"/>
    <n v="39.950000000000003"/>
    <x v="4"/>
    <x v="0"/>
    <x v="1"/>
    <x v="1"/>
  </r>
  <r>
    <n v="1041837"/>
    <x v="0"/>
    <n v="12.75"/>
    <n v="12.8"/>
    <n v="44.95"/>
    <x v="3"/>
    <x v="0"/>
    <x v="1"/>
    <x v="1"/>
  </r>
  <r>
    <n v="1041844"/>
    <x v="0"/>
    <n v="9.65"/>
    <n v="13.69"/>
    <n v="59.9"/>
    <x v="0"/>
    <x v="0"/>
    <x v="1"/>
    <x v="1"/>
  </r>
  <r>
    <n v="1041850"/>
    <x v="0"/>
    <n v="18.32"/>
    <n v="18.37"/>
    <n v="84.85"/>
    <x v="9"/>
    <x v="0"/>
    <x v="1"/>
    <x v="1"/>
  </r>
  <r>
    <n v="1041875"/>
    <x v="0"/>
    <n v="17.02"/>
    <n v="17.07"/>
    <n v="137.80000000000001"/>
    <x v="4"/>
    <x v="0"/>
    <x v="1"/>
    <x v="1"/>
  </r>
  <r>
    <n v="1041891"/>
    <x v="0"/>
    <n v="13.64"/>
    <n v="13.69"/>
    <n v="44.1"/>
    <x v="3"/>
    <x v="0"/>
    <x v="1"/>
    <x v="1"/>
  </r>
  <r>
    <n v="1041895"/>
    <x v="0"/>
    <n v="12.75"/>
    <n v="12.8"/>
    <n v="24.95"/>
    <x v="3"/>
    <x v="0"/>
    <x v="1"/>
    <x v="1"/>
  </r>
  <r>
    <n v="1041905"/>
    <x v="0"/>
    <n v="15.32"/>
    <n v="15.37"/>
    <n v="39.950000000000003"/>
    <x v="6"/>
    <x v="0"/>
    <x v="1"/>
    <x v="1"/>
  </r>
  <r>
    <n v="1041929"/>
    <x v="0"/>
    <n v="18.32"/>
    <n v="18.37"/>
    <n v="47.9"/>
    <x v="9"/>
    <x v="0"/>
    <x v="1"/>
    <x v="1"/>
  </r>
  <r>
    <n v="1041932"/>
    <x v="0"/>
    <n v="12.75"/>
    <n v="12.8"/>
    <n v="44.9"/>
    <x v="3"/>
    <x v="0"/>
    <x v="1"/>
    <x v="1"/>
  </r>
  <r>
    <n v="1041955"/>
    <x v="0"/>
    <n v="12.75"/>
    <n v="12.8"/>
    <n v="55.6"/>
    <x v="3"/>
    <x v="0"/>
    <x v="1"/>
    <x v="1"/>
  </r>
  <r>
    <n v="1041961"/>
    <x v="0"/>
    <n v="12.75"/>
    <n v="12.8"/>
    <n v="75.75"/>
    <x v="3"/>
    <x v="0"/>
    <x v="1"/>
    <x v="1"/>
  </r>
  <r>
    <n v="1041984"/>
    <x v="0"/>
    <n v="13.64"/>
    <n v="13.69"/>
    <n v="53.85"/>
    <x v="3"/>
    <x v="0"/>
    <x v="1"/>
    <x v="1"/>
  </r>
  <r>
    <n v="1042012"/>
    <x v="0"/>
    <n v="10.94"/>
    <n v="10.99"/>
    <n v="5"/>
    <x v="8"/>
    <x v="0"/>
    <x v="1"/>
    <x v="1"/>
  </r>
  <r>
    <n v="1042015"/>
    <x v="0"/>
    <n v="16.34"/>
    <n v="16.39"/>
    <n v="20.6"/>
    <x v="4"/>
    <x v="0"/>
    <x v="1"/>
    <x v="1"/>
  </r>
  <r>
    <n v="1042032"/>
    <x v="0"/>
    <n v="9.66"/>
    <n v="13.69"/>
    <n v="19.8"/>
    <x v="0"/>
    <x v="0"/>
    <x v="1"/>
    <x v="1"/>
  </r>
  <r>
    <n v="1042045"/>
    <x v="0"/>
    <n v="12.26"/>
    <n v="12.31"/>
    <n v="36.85"/>
    <x v="7"/>
    <x v="0"/>
    <x v="1"/>
    <x v="1"/>
  </r>
  <r>
    <n v="1042046"/>
    <x v="0"/>
    <n v="18.59"/>
    <n v="18.64"/>
    <n v="61.3"/>
    <x v="4"/>
    <x v="0"/>
    <x v="1"/>
    <x v="1"/>
  </r>
  <r>
    <n v="1042058"/>
    <x v="0"/>
    <n v="18.32"/>
    <n v="18.37"/>
    <n v="2.5"/>
    <x v="9"/>
    <x v="0"/>
    <x v="1"/>
    <x v="1"/>
  </r>
  <r>
    <n v="1042074"/>
    <x v="0"/>
    <n v="10.94"/>
    <n v="10.99"/>
    <n v="39.799999999999997"/>
    <x v="8"/>
    <x v="0"/>
    <x v="1"/>
    <x v="1"/>
  </r>
  <r>
    <n v="1042086"/>
    <x v="0"/>
    <n v="13.64"/>
    <n v="13.69"/>
    <n v="93.6"/>
    <x v="3"/>
    <x v="0"/>
    <x v="1"/>
    <x v="1"/>
  </r>
  <r>
    <n v="1042094"/>
    <x v="0"/>
    <n v="12.75"/>
    <n v="12.8"/>
    <n v="29.9"/>
    <x v="3"/>
    <x v="0"/>
    <x v="1"/>
    <x v="1"/>
  </r>
  <r>
    <n v="1042109"/>
    <x v="0"/>
    <n v="13.64"/>
    <n v="13.69"/>
    <n v="34.75"/>
    <x v="3"/>
    <x v="0"/>
    <x v="1"/>
    <x v="1"/>
  </r>
  <r>
    <n v="1042135"/>
    <x v="0"/>
    <n v="12.75"/>
    <n v="12.8"/>
    <n v="123.75"/>
    <x v="3"/>
    <x v="0"/>
    <x v="1"/>
    <x v="1"/>
  </r>
  <r>
    <n v="1042157"/>
    <x v="0"/>
    <n v="23.16"/>
    <n v="23.21"/>
    <n v="23.75"/>
    <x v="9"/>
    <x v="0"/>
    <x v="1"/>
    <x v="1"/>
  </r>
  <r>
    <n v="1042159"/>
    <x v="0"/>
    <n v="12.75"/>
    <n v="12.8"/>
    <n v="87.35"/>
    <x v="3"/>
    <x v="0"/>
    <x v="1"/>
    <x v="1"/>
  </r>
  <r>
    <n v="1042161"/>
    <x v="0"/>
    <n v="9.65"/>
    <n v="9.6999999999999993"/>
    <n v="59.85"/>
    <x v="0"/>
    <x v="0"/>
    <x v="1"/>
    <x v="1"/>
  </r>
  <r>
    <n v="1042202"/>
    <x v="0"/>
    <n v="20.73"/>
    <n v="23.2"/>
    <n v="232.88"/>
    <x v="9"/>
    <x v="0"/>
    <x v="1"/>
    <x v="1"/>
  </r>
  <r>
    <n v="1042222"/>
    <x v="0"/>
    <n v="13.64"/>
    <n v="13.69"/>
    <n v="34.700000000000003"/>
    <x v="3"/>
    <x v="0"/>
    <x v="1"/>
    <x v="1"/>
  </r>
  <r>
    <n v="1042229"/>
    <x v="0"/>
    <n v="12.75"/>
    <n v="12.8"/>
    <n v="14.75"/>
    <x v="3"/>
    <x v="0"/>
    <x v="1"/>
    <x v="1"/>
  </r>
  <r>
    <n v="1042231"/>
    <x v="0"/>
    <n v="12.75"/>
    <n v="12.8"/>
    <n v="19.899999999999999"/>
    <x v="3"/>
    <x v="0"/>
    <x v="1"/>
    <x v="1"/>
  </r>
  <r>
    <n v="1042236"/>
    <x v="0"/>
    <n v="12.26"/>
    <n v="12.31"/>
    <n v="163.69999999999999"/>
    <x v="7"/>
    <x v="0"/>
    <x v="1"/>
    <x v="1"/>
  </r>
  <r>
    <n v="1042263"/>
    <x v="0"/>
    <n v="66.98"/>
    <n v="67.02"/>
    <n v="141.35"/>
    <x v="2"/>
    <x v="0"/>
    <x v="1"/>
    <x v="1"/>
  </r>
  <r>
    <n v="1042276"/>
    <x v="0"/>
    <n v="13.64"/>
    <n v="13.69"/>
    <n v="2.5"/>
    <x v="3"/>
    <x v="0"/>
    <x v="1"/>
    <x v="1"/>
  </r>
  <r>
    <n v="1042295"/>
    <x v="0"/>
    <n v="13.64"/>
    <n v="13.68"/>
    <n v="82.4"/>
    <x v="3"/>
    <x v="0"/>
    <x v="1"/>
    <x v="1"/>
  </r>
  <r>
    <n v="1042305"/>
    <x v="0"/>
    <n v="10.57"/>
    <n v="11.43"/>
    <n v="99.8"/>
    <x v="0"/>
    <x v="0"/>
    <x v="1"/>
    <x v="1"/>
  </r>
  <r>
    <n v="1042331"/>
    <x v="0"/>
    <n v="12.75"/>
    <n v="12.8"/>
    <n v="9.5"/>
    <x v="3"/>
    <x v="0"/>
    <x v="1"/>
    <x v="1"/>
  </r>
  <r>
    <n v="1042337"/>
    <x v="0"/>
    <n v="23.47"/>
    <n v="23.52"/>
    <n v="34.75"/>
    <x v="9"/>
    <x v="0"/>
    <x v="1"/>
    <x v="1"/>
  </r>
  <r>
    <n v="1042339"/>
    <x v="0"/>
    <n v="13.64"/>
    <n v="13.69"/>
    <n v="40.799999999999997"/>
    <x v="3"/>
    <x v="0"/>
    <x v="1"/>
    <x v="1"/>
  </r>
  <r>
    <n v="1042353"/>
    <x v="0"/>
    <n v="9.65"/>
    <n v="9.7100000000000009"/>
    <n v="79.349999999999994"/>
    <x v="0"/>
    <x v="0"/>
    <x v="1"/>
    <x v="1"/>
  </r>
  <r>
    <n v="1042354"/>
    <x v="0"/>
    <n v="12.75"/>
    <n v="12.8"/>
    <n v="27.65"/>
    <x v="3"/>
    <x v="0"/>
    <x v="1"/>
    <x v="1"/>
  </r>
  <r>
    <n v="1042368"/>
    <x v="0"/>
    <n v="13.64"/>
    <n v="13.69"/>
    <n v="46.6"/>
    <x v="3"/>
    <x v="0"/>
    <x v="1"/>
    <x v="1"/>
  </r>
  <r>
    <n v="1042381"/>
    <x v="0"/>
    <n v="12.75"/>
    <n v="12.8"/>
    <n v="23.4"/>
    <x v="3"/>
    <x v="0"/>
    <x v="1"/>
    <x v="1"/>
  </r>
  <r>
    <n v="1042386"/>
    <x v="0"/>
    <n v="13.64"/>
    <n v="13.69"/>
    <n v="5.95"/>
    <x v="3"/>
    <x v="0"/>
    <x v="1"/>
    <x v="1"/>
  </r>
  <r>
    <n v="1042392"/>
    <x v="0"/>
    <n v="12.75"/>
    <n v="12.8"/>
    <n v="85.15"/>
    <x v="3"/>
    <x v="0"/>
    <x v="1"/>
    <x v="1"/>
  </r>
  <r>
    <n v="1042401"/>
    <x v="0"/>
    <n v="13.64"/>
    <n v="13.69"/>
    <n v="63"/>
    <x v="3"/>
    <x v="0"/>
    <x v="1"/>
    <x v="1"/>
  </r>
  <r>
    <n v="1042423"/>
    <x v="0"/>
    <n v="12.75"/>
    <n v="12.8"/>
    <n v="22.85"/>
    <x v="3"/>
    <x v="0"/>
    <x v="1"/>
    <x v="1"/>
  </r>
  <r>
    <n v="1042435"/>
    <x v="0"/>
    <n v="13.64"/>
    <n v="13.69"/>
    <n v="39.9"/>
    <x v="3"/>
    <x v="0"/>
    <x v="1"/>
    <x v="1"/>
  </r>
  <r>
    <n v="1042437"/>
    <x v="0"/>
    <n v="23.16"/>
    <n v="23.21"/>
    <n v="2.95"/>
    <x v="9"/>
    <x v="0"/>
    <x v="1"/>
    <x v="1"/>
  </r>
  <r>
    <n v="1042454"/>
    <x v="0"/>
    <n v="58.59"/>
    <n v="58.64"/>
    <n v="229.6"/>
    <x v="2"/>
    <x v="0"/>
    <x v="1"/>
    <x v="1"/>
  </r>
  <r>
    <n v="1042469"/>
    <x v="0"/>
    <n v="16.440000000000001"/>
    <n v="16.489999999999998"/>
    <n v="33.35"/>
    <x v="4"/>
    <x v="0"/>
    <x v="1"/>
    <x v="1"/>
  </r>
  <r>
    <n v="1042472"/>
    <x v="0"/>
    <n v="9.66"/>
    <n v="9.6999999999999993"/>
    <n v="49.15"/>
    <x v="0"/>
    <x v="0"/>
    <x v="1"/>
    <x v="1"/>
  </r>
  <r>
    <n v="1042478"/>
    <x v="0"/>
    <n v="13.64"/>
    <n v="13.69"/>
    <n v="34.950000000000003"/>
    <x v="3"/>
    <x v="0"/>
    <x v="1"/>
    <x v="1"/>
  </r>
  <r>
    <n v="1042502"/>
    <x v="0"/>
    <n v="12.75"/>
    <n v="12.8"/>
    <n v="25.85"/>
    <x v="3"/>
    <x v="0"/>
    <x v="1"/>
    <x v="1"/>
  </r>
  <r>
    <n v="1042512"/>
    <x v="0"/>
    <n v="12.75"/>
    <n v="12.8"/>
    <n v="69.8"/>
    <x v="3"/>
    <x v="0"/>
    <x v="1"/>
    <x v="1"/>
  </r>
  <r>
    <n v="1042533"/>
    <x v="0"/>
    <n v="12.75"/>
    <n v="12.8"/>
    <n v="23.9"/>
    <x v="3"/>
    <x v="0"/>
    <x v="1"/>
    <x v="1"/>
  </r>
  <r>
    <n v="1042611"/>
    <x v="0"/>
    <n v="26.37"/>
    <n v="26.42"/>
    <n v="91.2"/>
    <x v="9"/>
    <x v="0"/>
    <x v="1"/>
    <x v="1"/>
  </r>
  <r>
    <n v="1042612"/>
    <x v="0"/>
    <n v="18.02"/>
    <n v="18.84"/>
    <n v="74.95"/>
    <x v="9"/>
    <x v="0"/>
    <x v="1"/>
    <x v="1"/>
  </r>
  <r>
    <n v="1042617"/>
    <x v="0"/>
    <n v="13.64"/>
    <n v="13.69"/>
    <n v="14.95"/>
    <x v="3"/>
    <x v="0"/>
    <x v="1"/>
    <x v="1"/>
  </r>
  <r>
    <n v="1042618"/>
    <x v="0"/>
    <n v="15.02"/>
    <n v="15.07"/>
    <n v="115.55"/>
    <x v="6"/>
    <x v="0"/>
    <x v="1"/>
    <x v="1"/>
  </r>
  <r>
    <n v="1042638"/>
    <x v="0"/>
    <n v="13.64"/>
    <n v="13.69"/>
    <n v="33.1"/>
    <x v="3"/>
    <x v="0"/>
    <x v="1"/>
    <x v="1"/>
  </r>
  <r>
    <n v="1042654"/>
    <x v="0"/>
    <n v="9.66"/>
    <n v="9.7100000000000009"/>
    <n v="9.9499999999999993"/>
    <x v="0"/>
    <x v="0"/>
    <x v="1"/>
    <x v="1"/>
  </r>
  <r>
    <n v="1042655"/>
    <x v="0"/>
    <n v="9.65"/>
    <n v="0"/>
    <n v="65.06"/>
    <x v="0"/>
    <x v="0"/>
    <x v="0"/>
    <x v="42"/>
  </r>
  <r>
    <n v="1042665"/>
    <x v="0"/>
    <n v="12.75"/>
    <n v="12.8"/>
    <n v="33.6"/>
    <x v="3"/>
    <x v="0"/>
    <x v="1"/>
    <x v="1"/>
  </r>
  <r>
    <n v="1042674"/>
    <x v="0"/>
    <n v="9.66"/>
    <n v="9.7100000000000009"/>
    <n v="89.8"/>
    <x v="0"/>
    <x v="0"/>
    <x v="1"/>
    <x v="1"/>
  </r>
  <r>
    <n v="1042675"/>
    <x v="0"/>
    <n v="9.66"/>
    <n v="9.7100000000000009"/>
    <n v="74.849999999999994"/>
    <x v="0"/>
    <x v="0"/>
    <x v="1"/>
    <x v="1"/>
  </r>
  <r>
    <n v="1042713"/>
    <x v="0"/>
    <n v="10.94"/>
    <n v="10.99"/>
    <n v="24.95"/>
    <x v="8"/>
    <x v="0"/>
    <x v="1"/>
    <x v="1"/>
  </r>
  <r>
    <n v="1042730"/>
    <x v="0"/>
    <n v="9.65"/>
    <n v="9.6999999999999993"/>
    <n v="132.44999999999999"/>
    <x v="0"/>
    <x v="0"/>
    <x v="1"/>
    <x v="1"/>
  </r>
  <r>
    <n v="1042740"/>
    <x v="0"/>
    <n v="16.34"/>
    <n v="16.39"/>
    <n v="11.95"/>
    <x v="4"/>
    <x v="0"/>
    <x v="1"/>
    <x v="1"/>
  </r>
  <r>
    <n v="1042747"/>
    <x v="0"/>
    <n v="13.64"/>
    <n v="13.68"/>
    <n v="49.3"/>
    <x v="3"/>
    <x v="0"/>
    <x v="1"/>
    <x v="1"/>
  </r>
  <r>
    <n v="1042762"/>
    <x v="0"/>
    <n v="12.75"/>
    <n v="12.8"/>
    <n v="36.85"/>
    <x v="3"/>
    <x v="0"/>
    <x v="1"/>
    <x v="1"/>
  </r>
  <r>
    <n v="1042781"/>
    <x v="0"/>
    <n v="25.94"/>
    <n v="27.48"/>
    <n v="198.9"/>
    <x v="9"/>
    <x v="0"/>
    <x v="1"/>
    <x v="1"/>
  </r>
  <r>
    <n v="1042794"/>
    <x v="0"/>
    <n v="12.75"/>
    <n v="12.8"/>
    <n v="86.45"/>
    <x v="3"/>
    <x v="0"/>
    <x v="1"/>
    <x v="1"/>
  </r>
  <r>
    <n v="1042812"/>
    <x v="0"/>
    <n v="9.66"/>
    <n v="9.6999999999999993"/>
    <n v="40.25"/>
    <x v="0"/>
    <x v="0"/>
    <x v="1"/>
    <x v="1"/>
  </r>
  <r>
    <n v="1042823"/>
    <x v="0"/>
    <n v="16.350000000000001"/>
    <n v="17.309999999999999"/>
    <n v="599.9"/>
    <x v="10"/>
    <x v="0"/>
    <x v="1"/>
    <x v="1"/>
  </r>
  <r>
    <n v="1042825"/>
    <x v="0"/>
    <n v="16.75"/>
    <n v="18.64"/>
    <n v="14.95"/>
    <x v="4"/>
    <x v="0"/>
    <x v="1"/>
    <x v="1"/>
  </r>
  <r>
    <n v="1042830"/>
    <x v="0"/>
    <n v="13.64"/>
    <n v="13.69"/>
    <n v="15.9"/>
    <x v="3"/>
    <x v="0"/>
    <x v="1"/>
    <x v="1"/>
  </r>
  <r>
    <n v="1042845"/>
    <x v="0"/>
    <n v="23.47"/>
    <n v="23.52"/>
    <n v="39.799999999999997"/>
    <x v="9"/>
    <x v="0"/>
    <x v="1"/>
    <x v="1"/>
  </r>
  <r>
    <n v="1042850"/>
    <x v="0"/>
    <n v="12.75"/>
    <n v="12.8"/>
    <n v="22.8"/>
    <x v="3"/>
    <x v="0"/>
    <x v="1"/>
    <x v="1"/>
  </r>
  <r>
    <n v="1042865"/>
    <x v="0"/>
    <n v="9.65"/>
    <n v="9.7100000000000009"/>
    <n v="40.25"/>
    <x v="0"/>
    <x v="0"/>
    <x v="1"/>
    <x v="1"/>
  </r>
  <r>
    <n v="1042890"/>
    <x v="0"/>
    <n v="13.64"/>
    <n v="13.69"/>
    <n v="45.95"/>
    <x v="3"/>
    <x v="0"/>
    <x v="1"/>
    <x v="1"/>
  </r>
  <r>
    <n v="1042893"/>
    <x v="0"/>
    <n v="12.75"/>
    <n v="12.8"/>
    <n v="15"/>
    <x v="3"/>
    <x v="0"/>
    <x v="1"/>
    <x v="1"/>
  </r>
  <r>
    <n v="1042908"/>
    <x v="0"/>
    <n v="9.66"/>
    <n v="9.7100000000000009"/>
    <n v="19.95"/>
    <x v="0"/>
    <x v="0"/>
    <x v="1"/>
    <x v="1"/>
  </r>
  <r>
    <n v="1042982"/>
    <x v="0"/>
    <n v="9.66"/>
    <n v="9.7100000000000009"/>
    <n v="31.9"/>
    <x v="0"/>
    <x v="0"/>
    <x v="1"/>
    <x v="1"/>
  </r>
  <r>
    <n v="1042985"/>
    <x v="0"/>
    <n v="89.68"/>
    <n v="156.91"/>
    <n v="1010.7"/>
    <x v="10"/>
    <x v="0"/>
    <x v="1"/>
    <x v="1"/>
  </r>
  <r>
    <n v="1042989"/>
    <x v="0"/>
    <n v="13.64"/>
    <n v="13.69"/>
    <n v="13.9"/>
    <x v="3"/>
    <x v="0"/>
    <x v="1"/>
    <x v="1"/>
  </r>
  <r>
    <n v="1043000"/>
    <x v="0"/>
    <n v="12.75"/>
    <n v="12.8"/>
    <n v="14.95"/>
    <x v="3"/>
    <x v="0"/>
    <x v="1"/>
    <x v="1"/>
  </r>
  <r>
    <n v="1043023"/>
    <x v="0"/>
    <n v="58.31"/>
    <n v="61.16"/>
    <n v="23.8"/>
    <x v="5"/>
    <x v="0"/>
    <x v="1"/>
    <x v="1"/>
  </r>
  <r>
    <n v="1043032"/>
    <x v="0"/>
    <n v="12.75"/>
    <n v="12.8"/>
    <n v="47.7"/>
    <x v="3"/>
    <x v="0"/>
    <x v="1"/>
    <x v="1"/>
  </r>
  <r>
    <n v="1043036"/>
    <x v="0"/>
    <n v="24.69"/>
    <n v="27.29"/>
    <n v="98.3"/>
    <x v="9"/>
    <x v="0"/>
    <x v="1"/>
    <x v="1"/>
  </r>
  <r>
    <n v="1043044"/>
    <x v="0"/>
    <n v="16.649999999999999"/>
    <n v="16.690000000000001"/>
    <n v="45.85"/>
    <x v="4"/>
    <x v="0"/>
    <x v="1"/>
    <x v="1"/>
  </r>
  <r>
    <n v="1043058"/>
    <x v="0"/>
    <n v="9.66"/>
    <n v="9.7100000000000009"/>
    <n v="112.1"/>
    <x v="0"/>
    <x v="0"/>
    <x v="1"/>
    <x v="1"/>
  </r>
  <r>
    <n v="1043079"/>
    <x v="0"/>
    <n v="9.65"/>
    <n v="13.69"/>
    <n v="143.80000000000001"/>
    <x v="0"/>
    <x v="0"/>
    <x v="1"/>
    <x v="1"/>
  </r>
  <r>
    <n v="1043082"/>
    <x v="0"/>
    <n v="9.66"/>
    <n v="9.7100000000000009"/>
    <n v="108.8"/>
    <x v="0"/>
    <x v="0"/>
    <x v="1"/>
    <x v="1"/>
  </r>
  <r>
    <n v="1043088"/>
    <x v="0"/>
    <n v="19.079999999999998"/>
    <n v="19.13"/>
    <n v="224.6"/>
    <x v="10"/>
    <x v="0"/>
    <x v="1"/>
    <x v="1"/>
  </r>
  <r>
    <n v="1043093"/>
    <x v="0"/>
    <n v="16.34"/>
    <n v="16.39"/>
    <n v="39.799999999999997"/>
    <x v="4"/>
    <x v="0"/>
    <x v="1"/>
    <x v="1"/>
  </r>
  <r>
    <n v="1043111"/>
    <x v="0"/>
    <n v="66.97"/>
    <n v="67.03"/>
    <n v="170.25"/>
    <x v="2"/>
    <x v="0"/>
    <x v="1"/>
    <x v="1"/>
  </r>
  <r>
    <n v="1043120"/>
    <x v="0"/>
    <n v="12.75"/>
    <n v="12.8"/>
    <n v="3.95"/>
    <x v="3"/>
    <x v="0"/>
    <x v="1"/>
    <x v="1"/>
  </r>
  <r>
    <n v="1043122"/>
    <x v="0"/>
    <n v="15.02"/>
    <n v="15.07"/>
    <n v="87"/>
    <x v="6"/>
    <x v="0"/>
    <x v="1"/>
    <x v="1"/>
  </r>
  <r>
    <n v="1043139"/>
    <x v="0"/>
    <n v="15.02"/>
    <n v="15.07"/>
    <n v="66.7"/>
    <x v="6"/>
    <x v="0"/>
    <x v="1"/>
    <x v="1"/>
  </r>
  <r>
    <n v="1043217"/>
    <x v="0"/>
    <n v="13.64"/>
    <n v="13.68"/>
    <n v="60.75"/>
    <x v="3"/>
    <x v="0"/>
    <x v="1"/>
    <x v="1"/>
  </r>
  <r>
    <n v="1043227"/>
    <x v="0"/>
    <n v="26.37"/>
    <n v="28.73"/>
    <n v="237.45"/>
    <x v="9"/>
    <x v="0"/>
    <x v="1"/>
    <x v="1"/>
  </r>
  <r>
    <n v="1043245"/>
    <x v="0"/>
    <n v="9.65"/>
    <n v="9.6999999999999993"/>
    <n v="74.95"/>
    <x v="0"/>
    <x v="0"/>
    <x v="1"/>
    <x v="1"/>
  </r>
  <r>
    <n v="1043249"/>
    <x v="0"/>
    <n v="9.65"/>
    <n v="9.6999999999999993"/>
    <n v="3.95"/>
    <x v="0"/>
    <x v="0"/>
    <x v="1"/>
    <x v="1"/>
  </r>
  <r>
    <n v="1043252"/>
    <x v="0"/>
    <n v="23.47"/>
    <n v="23.52"/>
    <n v="11.85"/>
    <x v="9"/>
    <x v="0"/>
    <x v="1"/>
    <x v="1"/>
  </r>
  <r>
    <n v="1043258"/>
    <x v="0"/>
    <n v="12.75"/>
    <n v="12.8"/>
    <n v="64.900000000000006"/>
    <x v="3"/>
    <x v="0"/>
    <x v="1"/>
    <x v="1"/>
  </r>
  <r>
    <n v="1043261"/>
    <x v="0"/>
    <n v="13.64"/>
    <n v="13.69"/>
    <n v="30.75"/>
    <x v="3"/>
    <x v="0"/>
    <x v="1"/>
    <x v="1"/>
  </r>
  <r>
    <n v="1043292"/>
    <x v="0"/>
    <n v="12.75"/>
    <n v="12.8"/>
    <n v="123.45"/>
    <x v="3"/>
    <x v="0"/>
    <x v="1"/>
    <x v="1"/>
  </r>
  <r>
    <n v="1043323"/>
    <x v="0"/>
    <n v="17.920000000000002"/>
    <n v="16.850000000000001"/>
    <n v="165.8"/>
    <x v="4"/>
    <x v="0"/>
    <x v="0"/>
    <x v="52"/>
  </r>
  <r>
    <n v="1043324"/>
    <x v="0"/>
    <n v="13.64"/>
    <n v="13.69"/>
    <n v="27.8"/>
    <x v="3"/>
    <x v="0"/>
    <x v="1"/>
    <x v="1"/>
  </r>
  <r>
    <n v="1043332"/>
    <x v="0"/>
    <n v="15.02"/>
    <n v="15.07"/>
    <n v="46.1"/>
    <x v="6"/>
    <x v="0"/>
    <x v="1"/>
    <x v="1"/>
  </r>
  <r>
    <n v="1043344"/>
    <x v="0"/>
    <n v="12.75"/>
    <n v="12.8"/>
    <n v="44.9"/>
    <x v="3"/>
    <x v="0"/>
    <x v="1"/>
    <x v="1"/>
  </r>
  <r>
    <n v="1043364"/>
    <x v="0"/>
    <n v="15.02"/>
    <n v="15.07"/>
    <n v="131.05000000000001"/>
    <x v="6"/>
    <x v="0"/>
    <x v="1"/>
    <x v="1"/>
  </r>
  <r>
    <n v="1043369"/>
    <x v="0"/>
    <n v="16.27"/>
    <n v="16.329999999999998"/>
    <n v="106.15"/>
    <x v="6"/>
    <x v="0"/>
    <x v="1"/>
    <x v="1"/>
  </r>
  <r>
    <n v="1043374"/>
    <x v="0"/>
    <n v="12.75"/>
    <n v="12.8"/>
    <n v="85.8"/>
    <x v="3"/>
    <x v="0"/>
    <x v="1"/>
    <x v="1"/>
  </r>
  <r>
    <n v="1043404"/>
    <x v="0"/>
    <n v="12.75"/>
    <n v="12.8"/>
    <n v="27.4"/>
    <x v="3"/>
    <x v="0"/>
    <x v="1"/>
    <x v="1"/>
  </r>
  <r>
    <n v="1043429"/>
    <x v="0"/>
    <n v="12.75"/>
    <n v="12.8"/>
    <n v="9.9499999999999993"/>
    <x v="3"/>
    <x v="0"/>
    <x v="1"/>
    <x v="1"/>
  </r>
  <r>
    <n v="1043444"/>
    <x v="0"/>
    <n v="13.63"/>
    <n v="13.68"/>
    <n v="41.65"/>
    <x v="3"/>
    <x v="0"/>
    <x v="1"/>
    <x v="1"/>
  </r>
  <r>
    <n v="1043476"/>
    <x v="0"/>
    <n v="12.75"/>
    <n v="12.8"/>
    <n v="15.9"/>
    <x v="3"/>
    <x v="0"/>
    <x v="1"/>
    <x v="1"/>
  </r>
  <r>
    <n v="1043480"/>
    <x v="0"/>
    <n v="13.64"/>
    <n v="13.69"/>
    <n v="59.7"/>
    <x v="3"/>
    <x v="0"/>
    <x v="1"/>
    <x v="1"/>
  </r>
  <r>
    <n v="1043500"/>
    <x v="0"/>
    <n v="12.75"/>
    <n v="12.8"/>
    <n v="137.75"/>
    <x v="3"/>
    <x v="0"/>
    <x v="1"/>
    <x v="1"/>
  </r>
  <r>
    <n v="1043511"/>
    <x v="0"/>
    <n v="16.34"/>
    <n v="16.39"/>
    <n v="37.5"/>
    <x v="4"/>
    <x v="0"/>
    <x v="1"/>
    <x v="1"/>
  </r>
  <r>
    <n v="1043520"/>
    <x v="0"/>
    <n v="9.65"/>
    <n v="9.6999999999999993"/>
    <n v="37.9"/>
    <x v="0"/>
    <x v="0"/>
    <x v="1"/>
    <x v="1"/>
  </r>
  <r>
    <n v="1043525"/>
    <x v="0"/>
    <n v="12.26"/>
    <n v="12.31"/>
    <n v="97.2"/>
    <x v="7"/>
    <x v="0"/>
    <x v="1"/>
    <x v="1"/>
  </r>
  <r>
    <n v="1043534"/>
    <x v="0"/>
    <n v="13.64"/>
    <n v="14.2"/>
    <n v="47.4"/>
    <x v="3"/>
    <x v="0"/>
    <x v="1"/>
    <x v="1"/>
  </r>
  <r>
    <n v="1043535"/>
    <x v="0"/>
    <n v="13.64"/>
    <n v="13.69"/>
    <n v="23.1"/>
    <x v="3"/>
    <x v="0"/>
    <x v="1"/>
    <x v="1"/>
  </r>
  <r>
    <n v="1043537"/>
    <x v="0"/>
    <n v="13.64"/>
    <n v="13.69"/>
    <n v="35"/>
    <x v="3"/>
    <x v="0"/>
    <x v="1"/>
    <x v="1"/>
  </r>
  <r>
    <n v="1043561"/>
    <x v="0"/>
    <n v="12.26"/>
    <n v="12.31"/>
    <n v="119.85"/>
    <x v="7"/>
    <x v="0"/>
    <x v="1"/>
    <x v="1"/>
  </r>
  <r>
    <n v="1043572"/>
    <x v="0"/>
    <n v="13.64"/>
    <n v="13.69"/>
    <n v="24.95"/>
    <x v="3"/>
    <x v="0"/>
    <x v="1"/>
    <x v="1"/>
  </r>
  <r>
    <n v="1043615"/>
    <x v="0"/>
    <n v="58.59"/>
    <n v="58.64"/>
    <n v="23.9"/>
    <x v="2"/>
    <x v="0"/>
    <x v="1"/>
    <x v="1"/>
  </r>
  <r>
    <n v="1043618"/>
    <x v="0"/>
    <n v="25.49"/>
    <n v="25.54"/>
    <n v="264.45"/>
    <x v="10"/>
    <x v="0"/>
    <x v="1"/>
    <x v="1"/>
  </r>
  <r>
    <n v="1043640"/>
    <x v="0"/>
    <n v="12.36"/>
    <n v="15.97"/>
    <n v="79.95"/>
    <x v="7"/>
    <x v="0"/>
    <x v="1"/>
    <x v="1"/>
  </r>
  <r>
    <n v="1043647"/>
    <x v="0"/>
    <n v="9.65"/>
    <n v="13.69"/>
    <n v="26.6"/>
    <x v="0"/>
    <x v="0"/>
    <x v="1"/>
    <x v="1"/>
  </r>
  <r>
    <n v="1043672"/>
    <x v="0"/>
    <n v="13.64"/>
    <n v="13.69"/>
    <n v="11.9"/>
    <x v="3"/>
    <x v="0"/>
    <x v="1"/>
    <x v="1"/>
  </r>
  <r>
    <n v="1043701"/>
    <x v="0"/>
    <n v="9.65"/>
    <n v="9.6999999999999993"/>
    <n v="6.95"/>
    <x v="0"/>
    <x v="0"/>
    <x v="1"/>
    <x v="1"/>
  </r>
  <r>
    <n v="1043710"/>
    <x v="0"/>
    <n v="12.26"/>
    <n v="12.31"/>
    <n v="25.85"/>
    <x v="7"/>
    <x v="0"/>
    <x v="1"/>
    <x v="1"/>
  </r>
  <r>
    <n v="1043716"/>
    <x v="0"/>
    <n v="12.75"/>
    <n v="12.8"/>
    <n v="60.4"/>
    <x v="3"/>
    <x v="0"/>
    <x v="1"/>
    <x v="1"/>
  </r>
  <r>
    <n v="1043719"/>
    <x v="0"/>
    <n v="12.75"/>
    <n v="12.8"/>
    <n v="120.45"/>
    <x v="3"/>
    <x v="0"/>
    <x v="1"/>
    <x v="1"/>
  </r>
  <r>
    <n v="1043737"/>
    <x v="0"/>
    <n v="12.75"/>
    <n v="12.8"/>
    <n v="24.45"/>
    <x v="3"/>
    <x v="0"/>
    <x v="1"/>
    <x v="1"/>
  </r>
  <r>
    <n v="1043765"/>
    <x v="0"/>
    <n v="13.64"/>
    <n v="13.69"/>
    <n v="47.9"/>
    <x v="3"/>
    <x v="0"/>
    <x v="1"/>
    <x v="1"/>
  </r>
  <r>
    <n v="1043770"/>
    <x v="0"/>
    <n v="13.64"/>
    <n v="13.69"/>
    <n v="51.9"/>
    <x v="3"/>
    <x v="0"/>
    <x v="1"/>
    <x v="1"/>
  </r>
  <r>
    <n v="1043792"/>
    <x v="0"/>
    <n v="13.64"/>
    <n v="13.69"/>
    <n v="47.9"/>
    <x v="3"/>
    <x v="0"/>
    <x v="1"/>
    <x v="1"/>
  </r>
  <r>
    <n v="1043804"/>
    <x v="0"/>
    <n v="12.75"/>
    <n v="12.8"/>
    <n v="39.950000000000003"/>
    <x v="3"/>
    <x v="0"/>
    <x v="1"/>
    <x v="1"/>
  </r>
  <r>
    <n v="1043840"/>
    <x v="0"/>
    <n v="13.64"/>
    <n v="13.69"/>
    <n v="86.3"/>
    <x v="3"/>
    <x v="0"/>
    <x v="1"/>
    <x v="1"/>
  </r>
  <r>
    <n v="1043868"/>
    <x v="0"/>
    <n v="13.64"/>
    <n v="13.69"/>
    <n v="39.950000000000003"/>
    <x v="3"/>
    <x v="0"/>
    <x v="1"/>
    <x v="1"/>
  </r>
  <r>
    <n v="1043874"/>
    <x v="0"/>
    <n v="12.75"/>
    <n v="12.8"/>
    <n v="99.95"/>
    <x v="3"/>
    <x v="0"/>
    <x v="1"/>
    <x v="1"/>
  </r>
  <r>
    <n v="1043876"/>
    <x v="0"/>
    <n v="12.75"/>
    <n v="12.8"/>
    <n v="55.85"/>
    <x v="3"/>
    <x v="0"/>
    <x v="1"/>
    <x v="1"/>
  </r>
  <r>
    <n v="1043891"/>
    <x v="0"/>
    <n v="16.649999999999999"/>
    <n v="16.7"/>
    <n v="67.8"/>
    <x v="4"/>
    <x v="0"/>
    <x v="1"/>
    <x v="1"/>
  </r>
  <r>
    <n v="1043902"/>
    <x v="0"/>
    <n v="10.94"/>
    <n v="10.99"/>
    <n v="45.9"/>
    <x v="8"/>
    <x v="0"/>
    <x v="1"/>
    <x v="1"/>
  </r>
  <r>
    <n v="1043906"/>
    <x v="0"/>
    <n v="12.75"/>
    <n v="13.61"/>
    <n v="109.9"/>
    <x v="3"/>
    <x v="0"/>
    <x v="1"/>
    <x v="1"/>
  </r>
  <r>
    <n v="1043909"/>
    <x v="0"/>
    <n v="12.75"/>
    <n v="12.8"/>
    <n v="39.950000000000003"/>
    <x v="3"/>
    <x v="0"/>
    <x v="1"/>
    <x v="1"/>
  </r>
  <r>
    <n v="1043911"/>
    <x v="0"/>
    <n v="12.75"/>
    <n v="13.2"/>
    <n v="185.8"/>
    <x v="3"/>
    <x v="0"/>
    <x v="1"/>
    <x v="1"/>
  </r>
  <r>
    <n v="1043937"/>
    <x v="0"/>
    <n v="12.75"/>
    <n v="12.8"/>
    <n v="74.7"/>
    <x v="3"/>
    <x v="0"/>
    <x v="1"/>
    <x v="1"/>
  </r>
  <r>
    <n v="1043947"/>
    <x v="0"/>
    <n v="13.64"/>
    <n v="13.69"/>
    <n v="39.950000000000003"/>
    <x v="3"/>
    <x v="0"/>
    <x v="1"/>
    <x v="1"/>
  </r>
  <r>
    <n v="1043954"/>
    <x v="0"/>
    <n v="15.33"/>
    <n v="15.38"/>
    <n v="99.95"/>
    <x v="6"/>
    <x v="0"/>
    <x v="1"/>
    <x v="1"/>
  </r>
  <r>
    <n v="1043961"/>
    <x v="0"/>
    <n v="13.64"/>
    <n v="13.69"/>
    <n v="67.8"/>
    <x v="3"/>
    <x v="0"/>
    <x v="1"/>
    <x v="1"/>
  </r>
  <r>
    <n v="1043965"/>
    <x v="0"/>
    <n v="13.64"/>
    <n v="13.69"/>
    <n v="5.95"/>
    <x v="3"/>
    <x v="0"/>
    <x v="1"/>
    <x v="1"/>
  </r>
  <r>
    <n v="1043977"/>
    <x v="0"/>
    <n v="12.75"/>
    <n v="12.8"/>
    <n v="39.950000000000003"/>
    <x v="3"/>
    <x v="0"/>
    <x v="1"/>
    <x v="1"/>
  </r>
  <r>
    <n v="1043983"/>
    <x v="0"/>
    <n v="13.64"/>
    <n v="13.69"/>
    <n v="39.950000000000003"/>
    <x v="3"/>
    <x v="0"/>
    <x v="1"/>
    <x v="1"/>
  </r>
  <r>
    <n v="1044002"/>
    <x v="0"/>
    <n v="12.75"/>
    <n v="12.8"/>
    <n v="55.9"/>
    <x v="3"/>
    <x v="0"/>
    <x v="1"/>
    <x v="1"/>
  </r>
  <r>
    <n v="1044014"/>
    <x v="0"/>
    <n v="13.64"/>
    <n v="13.69"/>
    <n v="47.9"/>
    <x v="3"/>
    <x v="0"/>
    <x v="1"/>
    <x v="1"/>
  </r>
  <r>
    <n v="1044015"/>
    <x v="0"/>
    <n v="12.75"/>
    <n v="12.8"/>
    <n v="39.950000000000003"/>
    <x v="3"/>
    <x v="0"/>
    <x v="1"/>
    <x v="1"/>
  </r>
  <r>
    <n v="1044019"/>
    <x v="0"/>
    <n v="9.66"/>
    <n v="9.7100000000000009"/>
    <n v="39.950000000000003"/>
    <x v="0"/>
    <x v="0"/>
    <x v="1"/>
    <x v="1"/>
  </r>
  <r>
    <n v="1044022"/>
    <x v="0"/>
    <n v="13.64"/>
    <n v="13.69"/>
    <n v="39.950000000000003"/>
    <x v="3"/>
    <x v="0"/>
    <x v="1"/>
    <x v="1"/>
  </r>
  <r>
    <n v="1044032"/>
    <x v="0"/>
    <n v="12.75"/>
    <n v="12.84"/>
    <n v="46.9"/>
    <x v="3"/>
    <x v="0"/>
    <x v="1"/>
    <x v="1"/>
  </r>
  <r>
    <n v="1044037"/>
    <x v="0"/>
    <n v="13.64"/>
    <n v="13.69"/>
    <n v="7.5"/>
    <x v="3"/>
    <x v="0"/>
    <x v="1"/>
    <x v="1"/>
  </r>
  <r>
    <n v="1044040"/>
    <x v="0"/>
    <n v="13.68"/>
    <n v="13.73"/>
    <n v="77.650000000000006"/>
    <x v="3"/>
    <x v="0"/>
    <x v="1"/>
    <x v="1"/>
  </r>
  <r>
    <n v="1044044"/>
    <x v="0"/>
    <n v="9.65"/>
    <n v="13.69"/>
    <n v="19.95"/>
    <x v="0"/>
    <x v="0"/>
    <x v="1"/>
    <x v="1"/>
  </r>
  <r>
    <n v="1044071"/>
    <x v="0"/>
    <n v="12.75"/>
    <n v="12.8"/>
    <n v="119.35"/>
    <x v="3"/>
    <x v="0"/>
    <x v="1"/>
    <x v="1"/>
  </r>
  <r>
    <n v="1044090"/>
    <x v="0"/>
    <n v="15.32"/>
    <n v="15.37"/>
    <n v="4.5"/>
    <x v="6"/>
    <x v="0"/>
    <x v="1"/>
    <x v="1"/>
  </r>
  <r>
    <n v="1044093"/>
    <x v="0"/>
    <n v="12.75"/>
    <n v="12.8"/>
    <n v="14.95"/>
    <x v="3"/>
    <x v="0"/>
    <x v="1"/>
    <x v="1"/>
  </r>
  <r>
    <n v="1044121"/>
    <x v="0"/>
    <n v="12.75"/>
    <n v="12.8"/>
    <n v="39.950000000000003"/>
    <x v="3"/>
    <x v="0"/>
    <x v="1"/>
    <x v="1"/>
  </r>
  <r>
    <n v="1044149"/>
    <x v="0"/>
    <n v="13.64"/>
    <n v="13.69"/>
    <n v="38.450000000000003"/>
    <x v="3"/>
    <x v="0"/>
    <x v="1"/>
    <x v="1"/>
  </r>
  <r>
    <n v="1044164"/>
    <x v="0"/>
    <n v="13.64"/>
    <n v="13.69"/>
    <n v="67.75"/>
    <x v="3"/>
    <x v="0"/>
    <x v="1"/>
    <x v="1"/>
  </r>
  <r>
    <n v="1044165"/>
    <x v="0"/>
    <n v="12.75"/>
    <n v="12.8"/>
    <n v="39.950000000000003"/>
    <x v="3"/>
    <x v="0"/>
    <x v="1"/>
    <x v="1"/>
  </r>
  <r>
    <n v="1044196"/>
    <x v="0"/>
    <n v="12.75"/>
    <n v="12.8"/>
    <n v="24.9"/>
    <x v="3"/>
    <x v="0"/>
    <x v="1"/>
    <x v="1"/>
  </r>
  <r>
    <n v="1044220"/>
    <x v="0"/>
    <n v="9.66"/>
    <n v="9.6999999999999993"/>
    <n v="50.65"/>
    <x v="0"/>
    <x v="0"/>
    <x v="1"/>
    <x v="1"/>
  </r>
  <r>
    <n v="1044239"/>
    <x v="0"/>
    <n v="13.64"/>
    <n v="13.69"/>
    <n v="21.3"/>
    <x v="3"/>
    <x v="0"/>
    <x v="1"/>
    <x v="1"/>
  </r>
  <r>
    <n v="1044241"/>
    <x v="0"/>
    <n v="13.64"/>
    <n v="13.69"/>
    <n v="58.9"/>
    <x v="3"/>
    <x v="0"/>
    <x v="1"/>
    <x v="1"/>
  </r>
  <r>
    <n v="1044251"/>
    <x v="0"/>
    <n v="16.8"/>
    <n v="17.97"/>
    <n v="206.2"/>
    <x v="4"/>
    <x v="0"/>
    <x v="1"/>
    <x v="1"/>
  </r>
  <r>
    <n v="1044274"/>
    <x v="0"/>
    <n v="12.75"/>
    <n v="12.8"/>
    <n v="34.950000000000003"/>
    <x v="3"/>
    <x v="0"/>
    <x v="1"/>
    <x v="1"/>
  </r>
  <r>
    <n v="1044281"/>
    <x v="0"/>
    <n v="12.75"/>
    <n v="12.8"/>
    <n v="47.7"/>
    <x v="3"/>
    <x v="0"/>
    <x v="1"/>
    <x v="1"/>
  </r>
  <r>
    <n v="1044288"/>
    <x v="0"/>
    <n v="16.34"/>
    <n v="16.39"/>
    <n v="32.65"/>
    <x v="4"/>
    <x v="0"/>
    <x v="1"/>
    <x v="1"/>
  </r>
  <r>
    <n v="1044293"/>
    <x v="0"/>
    <n v="13.64"/>
    <n v="13.69"/>
    <n v="27.8"/>
    <x v="3"/>
    <x v="0"/>
    <x v="1"/>
    <x v="1"/>
  </r>
  <r>
    <n v="1044302"/>
    <x v="0"/>
    <n v="16.649999999999999"/>
    <n v="16.7"/>
    <n v="86.9"/>
    <x v="4"/>
    <x v="0"/>
    <x v="1"/>
    <x v="1"/>
  </r>
  <r>
    <n v="1044308"/>
    <x v="0"/>
    <n v="15.02"/>
    <n v="15.07"/>
    <n v="8.0500000000000007"/>
    <x v="6"/>
    <x v="0"/>
    <x v="1"/>
    <x v="1"/>
  </r>
  <r>
    <n v="1044321"/>
    <x v="0"/>
    <n v="13.64"/>
    <n v="13.69"/>
    <n v="9.75"/>
    <x v="3"/>
    <x v="0"/>
    <x v="1"/>
    <x v="1"/>
  </r>
  <r>
    <n v="1044338"/>
    <x v="0"/>
    <n v="19.09"/>
    <n v="20.86"/>
    <n v="208.1"/>
    <x v="9"/>
    <x v="0"/>
    <x v="1"/>
    <x v="1"/>
  </r>
  <r>
    <n v="1044348"/>
    <x v="0"/>
    <n v="9.65"/>
    <n v="9.74"/>
    <n v="95.75"/>
    <x v="0"/>
    <x v="0"/>
    <x v="1"/>
    <x v="1"/>
  </r>
  <r>
    <n v="1044362"/>
    <x v="0"/>
    <n v="13.63"/>
    <n v="13.69"/>
    <n v="99.85"/>
    <x v="3"/>
    <x v="0"/>
    <x v="1"/>
    <x v="1"/>
  </r>
  <r>
    <n v="1044378"/>
    <x v="0"/>
    <n v="16.75"/>
    <n v="18.64"/>
    <n v="21.9"/>
    <x v="4"/>
    <x v="0"/>
    <x v="1"/>
    <x v="1"/>
  </r>
  <r>
    <n v="1044395"/>
    <x v="0"/>
    <n v="12.75"/>
    <n v="12.8"/>
    <n v="25.15"/>
    <x v="3"/>
    <x v="0"/>
    <x v="1"/>
    <x v="1"/>
  </r>
  <r>
    <n v="1044401"/>
    <x v="0"/>
    <n v="12.75"/>
    <n v="13.25"/>
    <n v="75.900000000000006"/>
    <x v="3"/>
    <x v="0"/>
    <x v="1"/>
    <x v="1"/>
  </r>
  <r>
    <n v="1044406"/>
    <x v="0"/>
    <n v="13.64"/>
    <n v="13.69"/>
    <n v="68.900000000000006"/>
    <x v="3"/>
    <x v="0"/>
    <x v="1"/>
    <x v="1"/>
  </r>
  <r>
    <n v="1044413"/>
    <x v="0"/>
    <n v="13.63"/>
    <n v="14.7"/>
    <n v="37"/>
    <x v="3"/>
    <x v="0"/>
    <x v="1"/>
    <x v="1"/>
  </r>
  <r>
    <n v="1044416"/>
    <x v="0"/>
    <n v="13.64"/>
    <n v="13.69"/>
    <n v="32.799999999999997"/>
    <x v="3"/>
    <x v="0"/>
    <x v="1"/>
    <x v="1"/>
  </r>
  <r>
    <n v="1044420"/>
    <x v="0"/>
    <n v="12.75"/>
    <n v="12.8"/>
    <n v="33.35"/>
    <x v="3"/>
    <x v="0"/>
    <x v="1"/>
    <x v="1"/>
  </r>
  <r>
    <n v="1044425"/>
    <x v="0"/>
    <n v="12.75"/>
    <n v="12.8"/>
    <n v="67.849999999999994"/>
    <x v="3"/>
    <x v="0"/>
    <x v="1"/>
    <x v="1"/>
  </r>
  <r>
    <n v="1044450"/>
    <x v="0"/>
    <n v="16.440000000000001"/>
    <n v="16.489999999999998"/>
    <n v="11.9"/>
    <x v="4"/>
    <x v="0"/>
    <x v="1"/>
    <x v="1"/>
  </r>
  <r>
    <n v="1044480"/>
    <x v="0"/>
    <n v="17.64"/>
    <n v="18.87"/>
    <n v="230.75"/>
    <x v="6"/>
    <x v="0"/>
    <x v="1"/>
    <x v="1"/>
  </r>
  <r>
    <n v="1044492"/>
    <x v="0"/>
    <n v="13.64"/>
    <n v="13.69"/>
    <n v="24.95"/>
    <x v="3"/>
    <x v="0"/>
    <x v="1"/>
    <x v="1"/>
  </r>
  <r>
    <n v="1044515"/>
    <x v="0"/>
    <n v="13.64"/>
    <n v="13.69"/>
    <n v="18.8"/>
    <x v="3"/>
    <x v="0"/>
    <x v="1"/>
    <x v="1"/>
  </r>
  <r>
    <n v="1044519"/>
    <x v="0"/>
    <n v="10.94"/>
    <n v="10.99"/>
    <n v="8.6"/>
    <x v="8"/>
    <x v="0"/>
    <x v="1"/>
    <x v="1"/>
  </r>
  <r>
    <n v="1044530"/>
    <x v="0"/>
    <n v="16.72"/>
    <n v="16.77"/>
    <n v="109.9"/>
    <x v="4"/>
    <x v="0"/>
    <x v="1"/>
    <x v="1"/>
  </r>
  <r>
    <n v="1044537"/>
    <x v="0"/>
    <n v="13.64"/>
    <n v="13.69"/>
    <n v="34.950000000000003"/>
    <x v="3"/>
    <x v="0"/>
    <x v="1"/>
    <x v="1"/>
  </r>
  <r>
    <n v="1044554"/>
    <x v="0"/>
    <n v="13.64"/>
    <n v="13.69"/>
    <n v="51.15"/>
    <x v="3"/>
    <x v="0"/>
    <x v="1"/>
    <x v="1"/>
  </r>
  <r>
    <n v="1044560"/>
    <x v="0"/>
    <n v="16.34"/>
    <n v="16.39"/>
    <n v="57.8"/>
    <x v="4"/>
    <x v="0"/>
    <x v="1"/>
    <x v="1"/>
  </r>
  <r>
    <n v="1044585"/>
    <x v="0"/>
    <n v="12.75"/>
    <n v="12.8"/>
    <n v="29.95"/>
    <x v="3"/>
    <x v="0"/>
    <x v="1"/>
    <x v="1"/>
  </r>
  <r>
    <n v="1044590"/>
    <x v="0"/>
    <n v="13.64"/>
    <n v="13.69"/>
    <n v="1.75"/>
    <x v="3"/>
    <x v="0"/>
    <x v="1"/>
    <x v="1"/>
  </r>
  <r>
    <n v="1044631"/>
    <x v="0"/>
    <n v="13.64"/>
    <n v="13.69"/>
    <n v="19.95"/>
    <x v="3"/>
    <x v="0"/>
    <x v="1"/>
    <x v="1"/>
  </r>
  <r>
    <n v="1044637"/>
    <x v="0"/>
    <n v="9.65"/>
    <n v="9.6999999999999993"/>
    <n v="9.9499999999999993"/>
    <x v="0"/>
    <x v="0"/>
    <x v="1"/>
    <x v="1"/>
  </r>
  <r>
    <n v="1044649"/>
    <x v="0"/>
    <n v="16.28"/>
    <n v="17.690000000000001"/>
    <n v="46.4"/>
    <x v="6"/>
    <x v="0"/>
    <x v="1"/>
    <x v="1"/>
  </r>
  <r>
    <n v="1044652"/>
    <x v="0"/>
    <n v="12.75"/>
    <n v="12.8"/>
    <n v="36.700000000000003"/>
    <x v="3"/>
    <x v="0"/>
    <x v="1"/>
    <x v="1"/>
  </r>
  <r>
    <n v="1044669"/>
    <x v="0"/>
    <n v="13.64"/>
    <n v="13.69"/>
    <n v="14.95"/>
    <x v="3"/>
    <x v="0"/>
    <x v="1"/>
    <x v="1"/>
  </r>
  <r>
    <n v="1044677"/>
    <x v="0"/>
    <n v="12.75"/>
    <n v="12.8"/>
    <n v="7.95"/>
    <x v="3"/>
    <x v="0"/>
    <x v="1"/>
    <x v="1"/>
  </r>
  <r>
    <n v="1044687"/>
    <x v="0"/>
    <n v="13.64"/>
    <n v="13.69"/>
    <n v="34.1"/>
    <x v="3"/>
    <x v="0"/>
    <x v="1"/>
    <x v="1"/>
  </r>
  <r>
    <n v="1044691"/>
    <x v="0"/>
    <n v="9.65"/>
    <n v="9.6999999999999993"/>
    <n v="83.6"/>
    <x v="0"/>
    <x v="0"/>
    <x v="1"/>
    <x v="1"/>
  </r>
  <r>
    <n v="1044705"/>
    <x v="0"/>
    <n v="16.440000000000001"/>
    <n v="24.01"/>
    <n v="39.950000000000003"/>
    <x v="4"/>
    <x v="0"/>
    <x v="1"/>
    <x v="1"/>
  </r>
  <r>
    <n v="1044707"/>
    <x v="0"/>
    <n v="12.75"/>
    <n v="12.8"/>
    <n v="32.9"/>
    <x v="3"/>
    <x v="0"/>
    <x v="1"/>
    <x v="1"/>
  </r>
  <r>
    <n v="1044739"/>
    <x v="0"/>
    <n v="10.94"/>
    <n v="10.99"/>
    <n v="104.85"/>
    <x v="8"/>
    <x v="0"/>
    <x v="1"/>
    <x v="1"/>
  </r>
  <r>
    <n v="1044767"/>
    <x v="0"/>
    <n v="15.02"/>
    <n v="15.07"/>
    <n v="3"/>
    <x v="6"/>
    <x v="0"/>
    <x v="1"/>
    <x v="1"/>
  </r>
  <r>
    <n v="1044771"/>
    <x v="0"/>
    <n v="12.75"/>
    <n v="12.8"/>
    <n v="92.75"/>
    <x v="3"/>
    <x v="0"/>
    <x v="1"/>
    <x v="1"/>
  </r>
  <r>
    <n v="1044772"/>
    <x v="0"/>
    <n v="12.75"/>
    <n v="12.8"/>
    <n v="57.85"/>
    <x v="3"/>
    <x v="0"/>
    <x v="1"/>
    <x v="1"/>
  </r>
  <r>
    <n v="1044780"/>
    <x v="0"/>
    <n v="21.7"/>
    <n v="21.75"/>
    <n v="21.95"/>
    <x v="9"/>
    <x v="0"/>
    <x v="1"/>
    <x v="1"/>
  </r>
  <r>
    <n v="1044784"/>
    <x v="0"/>
    <n v="14.03"/>
    <n v="13.94"/>
    <n v="34.950000000000003"/>
    <x v="3"/>
    <x v="0"/>
    <x v="0"/>
    <x v="53"/>
  </r>
  <r>
    <n v="1044788"/>
    <x v="0"/>
    <n v="13.63"/>
    <n v="14.09"/>
    <n v="89.95"/>
    <x v="3"/>
    <x v="0"/>
    <x v="1"/>
    <x v="1"/>
  </r>
  <r>
    <n v="1044796"/>
    <x v="0"/>
    <n v="12.75"/>
    <n v="12.8"/>
    <n v="3.95"/>
    <x v="3"/>
    <x v="0"/>
    <x v="1"/>
    <x v="1"/>
  </r>
  <r>
    <n v="1044825"/>
    <x v="0"/>
    <n v="16.34"/>
    <n v="16.39"/>
    <n v="22.5"/>
    <x v="4"/>
    <x v="0"/>
    <x v="1"/>
    <x v="1"/>
  </r>
  <r>
    <n v="1044830"/>
    <x v="0"/>
    <n v="13.64"/>
    <n v="13.69"/>
    <n v="17.899999999999999"/>
    <x v="3"/>
    <x v="0"/>
    <x v="1"/>
    <x v="1"/>
  </r>
  <r>
    <n v="1044831"/>
    <x v="0"/>
    <n v="13.64"/>
    <n v="13.68"/>
    <n v="32.85"/>
    <x v="3"/>
    <x v="0"/>
    <x v="1"/>
    <x v="1"/>
  </r>
  <r>
    <n v="1044838"/>
    <x v="0"/>
    <n v="12.75"/>
    <n v="12.8"/>
    <n v="7.5"/>
    <x v="3"/>
    <x v="0"/>
    <x v="1"/>
    <x v="1"/>
  </r>
  <r>
    <n v="1044848"/>
    <x v="0"/>
    <n v="12.75"/>
    <n v="12.8"/>
    <n v="36.200000000000003"/>
    <x v="3"/>
    <x v="0"/>
    <x v="1"/>
    <x v="1"/>
  </r>
  <r>
    <n v="1044854"/>
    <x v="0"/>
    <n v="13.64"/>
    <n v="13.69"/>
    <n v="20.66"/>
    <x v="3"/>
    <x v="0"/>
    <x v="1"/>
    <x v="1"/>
  </r>
  <r>
    <n v="1044860"/>
    <x v="0"/>
    <n v="13.64"/>
    <n v="13.69"/>
    <n v="86.3"/>
    <x v="3"/>
    <x v="0"/>
    <x v="1"/>
    <x v="1"/>
  </r>
  <r>
    <n v="1044863"/>
    <x v="0"/>
    <n v="12.75"/>
    <n v="12.8"/>
    <n v="34.85"/>
    <x v="3"/>
    <x v="0"/>
    <x v="1"/>
    <x v="1"/>
  </r>
  <r>
    <n v="1044874"/>
    <x v="0"/>
    <n v="13.64"/>
    <n v="13.69"/>
    <n v="4.95"/>
    <x v="3"/>
    <x v="0"/>
    <x v="1"/>
    <x v="1"/>
  </r>
  <r>
    <n v="1044892"/>
    <x v="0"/>
    <n v="12.75"/>
    <n v="12.8"/>
    <n v="79.900000000000006"/>
    <x v="3"/>
    <x v="0"/>
    <x v="1"/>
    <x v="1"/>
  </r>
  <r>
    <n v="1044906"/>
    <x v="0"/>
    <n v="10.94"/>
    <n v="10.99"/>
    <n v="41.35"/>
    <x v="8"/>
    <x v="0"/>
    <x v="1"/>
    <x v="1"/>
  </r>
  <r>
    <n v="1044928"/>
    <x v="0"/>
    <n v="16.34"/>
    <n v="16.39"/>
    <n v="28.9"/>
    <x v="4"/>
    <x v="0"/>
    <x v="1"/>
    <x v="1"/>
  </r>
  <r>
    <n v="1044936"/>
    <x v="0"/>
    <n v="13.64"/>
    <n v="13.69"/>
    <n v="57.85"/>
    <x v="3"/>
    <x v="0"/>
    <x v="1"/>
    <x v="1"/>
  </r>
  <r>
    <n v="1044944"/>
    <x v="0"/>
    <n v="12.75"/>
    <n v="12.8"/>
    <n v="68.599999999999994"/>
    <x v="3"/>
    <x v="0"/>
    <x v="1"/>
    <x v="1"/>
  </r>
  <r>
    <n v="1044957"/>
    <x v="0"/>
    <n v="12.75"/>
    <n v="12.8"/>
    <n v="59.4"/>
    <x v="3"/>
    <x v="0"/>
    <x v="1"/>
    <x v="1"/>
  </r>
  <r>
    <n v="1044986"/>
    <x v="0"/>
    <n v="16.649999999999999"/>
    <n v="16.7"/>
    <n v="14.95"/>
    <x v="4"/>
    <x v="0"/>
    <x v="1"/>
    <x v="1"/>
  </r>
  <r>
    <n v="1045010"/>
    <x v="0"/>
    <n v="55.79"/>
    <n v="58.64"/>
    <n v="314.10000000000002"/>
    <x v="2"/>
    <x v="0"/>
    <x v="1"/>
    <x v="1"/>
  </r>
  <r>
    <n v="1045024"/>
    <x v="0"/>
    <n v="9.65"/>
    <n v="9.6999999999999993"/>
    <n v="49.95"/>
    <x v="0"/>
    <x v="0"/>
    <x v="1"/>
    <x v="1"/>
  </r>
  <r>
    <n v="1045040"/>
    <x v="0"/>
    <n v="13.64"/>
    <n v="13.68"/>
    <n v="10.45"/>
    <x v="3"/>
    <x v="0"/>
    <x v="1"/>
    <x v="1"/>
  </r>
  <r>
    <n v="1045051"/>
    <x v="0"/>
    <n v="13.64"/>
    <n v="13.69"/>
    <n v="39.9"/>
    <x v="3"/>
    <x v="0"/>
    <x v="1"/>
    <x v="1"/>
  </r>
  <r>
    <n v="1045070"/>
    <x v="0"/>
    <n v="12.75"/>
    <n v="12.8"/>
    <n v="34.950000000000003"/>
    <x v="3"/>
    <x v="0"/>
    <x v="1"/>
    <x v="1"/>
  </r>
  <r>
    <n v="1045072"/>
    <x v="0"/>
    <n v="12.75"/>
    <n v="12.8"/>
    <n v="14.95"/>
    <x v="3"/>
    <x v="0"/>
    <x v="1"/>
    <x v="1"/>
  </r>
  <r>
    <n v="1045080"/>
    <x v="0"/>
    <n v="16.64"/>
    <n v="16.690000000000001"/>
    <n v="34.950000000000003"/>
    <x v="4"/>
    <x v="0"/>
    <x v="1"/>
    <x v="1"/>
  </r>
  <r>
    <n v="1045084"/>
    <x v="0"/>
    <n v="12.75"/>
    <n v="12.8"/>
    <n v="49.8"/>
    <x v="3"/>
    <x v="0"/>
    <x v="1"/>
    <x v="1"/>
  </r>
  <r>
    <n v="1045098"/>
    <x v="0"/>
    <n v="13.63"/>
    <n v="13.68"/>
    <n v="121.65"/>
    <x v="3"/>
    <x v="0"/>
    <x v="1"/>
    <x v="1"/>
  </r>
  <r>
    <n v="1045106"/>
    <x v="0"/>
    <n v="9.65"/>
    <n v="9.6999999999999993"/>
    <n v="39.950000000000003"/>
    <x v="0"/>
    <x v="0"/>
    <x v="1"/>
    <x v="1"/>
  </r>
  <r>
    <n v="1045118"/>
    <x v="0"/>
    <n v="13.64"/>
    <n v="13.69"/>
    <n v="2.95"/>
    <x v="3"/>
    <x v="0"/>
    <x v="1"/>
    <x v="1"/>
  </r>
  <r>
    <n v="1045134"/>
    <x v="0"/>
    <n v="13.64"/>
    <n v="13.69"/>
    <n v="17.850000000000001"/>
    <x v="3"/>
    <x v="0"/>
    <x v="1"/>
    <x v="1"/>
  </r>
  <r>
    <n v="1045146"/>
    <x v="0"/>
    <n v="13.64"/>
    <n v="13.69"/>
    <n v="47.8"/>
    <x v="3"/>
    <x v="0"/>
    <x v="1"/>
    <x v="1"/>
  </r>
  <r>
    <n v="1045149"/>
    <x v="0"/>
    <n v="12.75"/>
    <n v="12.8"/>
    <n v="72.55"/>
    <x v="3"/>
    <x v="0"/>
    <x v="1"/>
    <x v="1"/>
  </r>
  <r>
    <n v="1045162"/>
    <x v="0"/>
    <n v="12.75"/>
    <n v="12.8"/>
    <n v="6.95"/>
    <x v="3"/>
    <x v="0"/>
    <x v="1"/>
    <x v="1"/>
  </r>
  <r>
    <n v="1045186"/>
    <x v="0"/>
    <n v="12.75"/>
    <n v="12.8"/>
    <n v="21.95"/>
    <x v="3"/>
    <x v="0"/>
    <x v="1"/>
    <x v="1"/>
  </r>
  <r>
    <n v="1045200"/>
    <x v="0"/>
    <n v="13.64"/>
    <n v="13.69"/>
    <n v="4.95"/>
    <x v="3"/>
    <x v="0"/>
    <x v="1"/>
    <x v="1"/>
  </r>
  <r>
    <n v="1045203"/>
    <x v="0"/>
    <n v="13.5"/>
    <n v="13.55"/>
    <n v="85.75"/>
    <x v="10"/>
    <x v="0"/>
    <x v="1"/>
    <x v="1"/>
  </r>
  <r>
    <n v="1045206"/>
    <x v="0"/>
    <n v="16.34"/>
    <n v="16.39"/>
    <n v="34.950000000000003"/>
    <x v="4"/>
    <x v="0"/>
    <x v="1"/>
    <x v="1"/>
  </r>
  <r>
    <n v="1045229"/>
    <x v="0"/>
    <n v="12.75"/>
    <n v="12.8"/>
    <n v="31.9"/>
    <x v="3"/>
    <x v="0"/>
    <x v="1"/>
    <x v="1"/>
  </r>
  <r>
    <n v="1045267"/>
    <x v="0"/>
    <n v="12.26"/>
    <n v="12.31"/>
    <n v="12"/>
    <x v="7"/>
    <x v="0"/>
    <x v="1"/>
    <x v="1"/>
  </r>
  <r>
    <n v="1045273"/>
    <x v="0"/>
    <n v="16.649999999999999"/>
    <n v="16.7"/>
    <n v="29.95"/>
    <x v="4"/>
    <x v="0"/>
    <x v="1"/>
    <x v="1"/>
  </r>
  <r>
    <n v="1045289"/>
    <x v="0"/>
    <n v="9.66"/>
    <n v="9.7100000000000009"/>
    <n v="5"/>
    <x v="0"/>
    <x v="0"/>
    <x v="1"/>
    <x v="1"/>
  </r>
  <r>
    <n v="1045324"/>
    <x v="0"/>
    <n v="12.75"/>
    <n v="12.8"/>
    <n v="49.95"/>
    <x v="3"/>
    <x v="0"/>
    <x v="1"/>
    <x v="1"/>
  </r>
  <r>
    <n v="1045338"/>
    <x v="0"/>
    <n v="15.02"/>
    <n v="15.07"/>
    <n v="24"/>
    <x v="6"/>
    <x v="0"/>
    <x v="1"/>
    <x v="1"/>
  </r>
  <r>
    <n v="1045342"/>
    <x v="0"/>
    <n v="28.68"/>
    <n v="28.73"/>
    <n v="165"/>
    <x v="9"/>
    <x v="0"/>
    <x v="1"/>
    <x v="1"/>
  </r>
  <r>
    <n v="1045346"/>
    <x v="0"/>
    <n v="13.64"/>
    <n v="13.69"/>
    <n v="24.95"/>
    <x v="3"/>
    <x v="0"/>
    <x v="1"/>
    <x v="1"/>
  </r>
  <r>
    <n v="1045353"/>
    <x v="0"/>
    <n v="12.26"/>
    <n v="12.31"/>
    <n v="89.85"/>
    <x v="7"/>
    <x v="0"/>
    <x v="1"/>
    <x v="1"/>
  </r>
  <r>
    <n v="1045375"/>
    <x v="0"/>
    <n v="16.34"/>
    <n v="17.760000000000002"/>
    <n v="75.8"/>
    <x v="4"/>
    <x v="0"/>
    <x v="1"/>
    <x v="1"/>
  </r>
  <r>
    <n v="1045388"/>
    <x v="0"/>
    <n v="12.75"/>
    <n v="12.8"/>
    <n v="39.35"/>
    <x v="3"/>
    <x v="0"/>
    <x v="1"/>
    <x v="1"/>
  </r>
  <r>
    <n v="1045390"/>
    <x v="0"/>
    <n v="15.33"/>
    <n v="15.38"/>
    <n v="10.9"/>
    <x v="6"/>
    <x v="0"/>
    <x v="1"/>
    <x v="1"/>
  </r>
  <r>
    <n v="1045407"/>
    <x v="0"/>
    <n v="15.02"/>
    <n v="15.07"/>
    <n v="112.25"/>
    <x v="6"/>
    <x v="0"/>
    <x v="1"/>
    <x v="1"/>
  </r>
  <r>
    <n v="1045440"/>
    <x v="0"/>
    <n v="17.579999999999998"/>
    <n v="17.63"/>
    <n v="28.9"/>
    <x v="9"/>
    <x v="0"/>
    <x v="1"/>
    <x v="1"/>
  </r>
  <r>
    <n v="1045447"/>
    <x v="0"/>
    <n v="13.64"/>
    <n v="13.69"/>
    <n v="44.65"/>
    <x v="3"/>
    <x v="0"/>
    <x v="1"/>
    <x v="1"/>
  </r>
  <r>
    <n v="1045463"/>
    <x v="0"/>
    <n v="13.64"/>
    <n v="13.69"/>
    <n v="20.85"/>
    <x v="3"/>
    <x v="0"/>
    <x v="1"/>
    <x v="1"/>
  </r>
  <r>
    <n v="1045553"/>
    <x v="0"/>
    <n v="15.02"/>
    <n v="15.07"/>
    <n v="49.1"/>
    <x v="6"/>
    <x v="0"/>
    <x v="1"/>
    <x v="1"/>
  </r>
  <r>
    <n v="1045554"/>
    <x v="0"/>
    <n v="13.64"/>
    <n v="13.69"/>
    <n v="28.65"/>
    <x v="3"/>
    <x v="0"/>
    <x v="1"/>
    <x v="1"/>
  </r>
  <r>
    <n v="1045572"/>
    <x v="0"/>
    <n v="9.66"/>
    <n v="12.8"/>
    <n v="63.85"/>
    <x v="0"/>
    <x v="0"/>
    <x v="1"/>
    <x v="1"/>
  </r>
  <r>
    <n v="1045580"/>
    <x v="0"/>
    <n v="12.75"/>
    <n v="12.8"/>
    <n v="54.8"/>
    <x v="3"/>
    <x v="0"/>
    <x v="1"/>
    <x v="1"/>
  </r>
  <r>
    <n v="1045602"/>
    <x v="0"/>
    <n v="9.65"/>
    <n v="9.6999999999999993"/>
    <n v="27.95"/>
    <x v="0"/>
    <x v="0"/>
    <x v="1"/>
    <x v="1"/>
  </r>
  <r>
    <n v="1045636"/>
    <x v="0"/>
    <n v="9.65"/>
    <n v="9.7100000000000009"/>
    <n v="124.9"/>
    <x v="0"/>
    <x v="0"/>
    <x v="1"/>
    <x v="1"/>
  </r>
  <r>
    <n v="1045658"/>
    <x v="0"/>
    <n v="9.65"/>
    <n v="9.6999999999999993"/>
    <n v="73.3"/>
    <x v="0"/>
    <x v="0"/>
    <x v="1"/>
    <x v="1"/>
  </r>
  <r>
    <n v="1045664"/>
    <x v="0"/>
    <n v="15.33"/>
    <n v="15.38"/>
    <n v="22"/>
    <x v="6"/>
    <x v="0"/>
    <x v="1"/>
    <x v="1"/>
  </r>
  <r>
    <n v="1045667"/>
    <x v="0"/>
    <n v="12.75"/>
    <n v="12.8"/>
    <n v="44.65"/>
    <x v="3"/>
    <x v="0"/>
    <x v="1"/>
    <x v="1"/>
  </r>
  <r>
    <n v="1045673"/>
    <x v="0"/>
    <n v="16.649999999999999"/>
    <n v="16.7"/>
    <n v="75.849999999999994"/>
    <x v="4"/>
    <x v="0"/>
    <x v="1"/>
    <x v="1"/>
  </r>
  <r>
    <n v="1045689"/>
    <x v="0"/>
    <n v="12.26"/>
    <n v="12.31"/>
    <n v="35.6"/>
    <x v="7"/>
    <x v="0"/>
    <x v="1"/>
    <x v="1"/>
  </r>
  <r>
    <n v="1045691"/>
    <x v="0"/>
    <n v="16.649999999999999"/>
    <n v="16.7"/>
    <n v="180.35"/>
    <x v="4"/>
    <x v="0"/>
    <x v="1"/>
    <x v="1"/>
  </r>
  <r>
    <n v="1045693"/>
    <x v="0"/>
    <n v="12.75"/>
    <n v="12.8"/>
    <n v="39.9"/>
    <x v="3"/>
    <x v="0"/>
    <x v="1"/>
    <x v="1"/>
  </r>
  <r>
    <n v="1045698"/>
    <x v="0"/>
    <n v="13.64"/>
    <n v="13.69"/>
    <n v="111.1"/>
    <x v="3"/>
    <x v="0"/>
    <x v="1"/>
    <x v="1"/>
  </r>
  <r>
    <n v="1045705"/>
    <x v="0"/>
    <n v="13.5"/>
    <n v="13.55"/>
    <n v="51.75"/>
    <x v="10"/>
    <x v="0"/>
    <x v="1"/>
    <x v="1"/>
  </r>
  <r>
    <n v="1045707"/>
    <x v="0"/>
    <n v="13.64"/>
    <n v="13.69"/>
    <n v="84.8"/>
    <x v="3"/>
    <x v="0"/>
    <x v="1"/>
    <x v="1"/>
  </r>
  <r>
    <n v="1045709"/>
    <x v="0"/>
    <n v="12.26"/>
    <n v="12.31"/>
    <n v="16.899999999999999"/>
    <x v="7"/>
    <x v="0"/>
    <x v="1"/>
    <x v="1"/>
  </r>
  <r>
    <n v="1045714"/>
    <x v="0"/>
    <n v="12.75"/>
    <n v="12.8"/>
    <n v="5.95"/>
    <x v="3"/>
    <x v="0"/>
    <x v="1"/>
    <x v="1"/>
  </r>
  <r>
    <n v="1045735"/>
    <x v="0"/>
    <n v="17.309999999999999"/>
    <n v="18.72"/>
    <n v="149.5"/>
    <x v="10"/>
    <x v="0"/>
    <x v="1"/>
    <x v="1"/>
  </r>
  <r>
    <n v="1045808"/>
    <x v="0"/>
    <n v="9.65"/>
    <n v="9.6999999999999993"/>
    <n v="39.950000000000003"/>
    <x v="0"/>
    <x v="0"/>
    <x v="1"/>
    <x v="1"/>
  </r>
  <r>
    <n v="1045812"/>
    <x v="0"/>
    <n v="15.33"/>
    <n v="15.38"/>
    <n v="166.15"/>
    <x v="6"/>
    <x v="0"/>
    <x v="1"/>
    <x v="1"/>
  </r>
  <r>
    <n v="1045820"/>
    <x v="0"/>
    <n v="12.75"/>
    <n v="12.8"/>
    <n v="25"/>
    <x v="3"/>
    <x v="0"/>
    <x v="1"/>
    <x v="1"/>
  </r>
  <r>
    <n v="1045832"/>
    <x v="0"/>
    <n v="12.75"/>
    <n v="12.8"/>
    <n v="69.900000000000006"/>
    <x v="3"/>
    <x v="0"/>
    <x v="1"/>
    <x v="1"/>
  </r>
  <r>
    <n v="1045865"/>
    <x v="0"/>
    <n v="13.64"/>
    <n v="13.69"/>
    <n v="55.85"/>
    <x v="3"/>
    <x v="0"/>
    <x v="1"/>
    <x v="1"/>
  </r>
  <r>
    <n v="1045888"/>
    <x v="0"/>
    <n v="13.64"/>
    <n v="13.69"/>
    <n v="11.9"/>
    <x v="3"/>
    <x v="0"/>
    <x v="1"/>
    <x v="1"/>
  </r>
  <r>
    <n v="1045894"/>
    <x v="0"/>
    <n v="9.65"/>
    <n v="12.8"/>
    <n v="55.85"/>
    <x v="0"/>
    <x v="0"/>
    <x v="1"/>
    <x v="1"/>
  </r>
  <r>
    <n v="1045911"/>
    <x v="0"/>
    <n v="12.75"/>
    <n v="12.8"/>
    <n v="39.950000000000003"/>
    <x v="3"/>
    <x v="0"/>
    <x v="1"/>
    <x v="1"/>
  </r>
  <r>
    <n v="1045924"/>
    <x v="0"/>
    <n v="12.75"/>
    <n v="12.8"/>
    <n v="89.3"/>
    <x v="3"/>
    <x v="0"/>
    <x v="1"/>
    <x v="1"/>
  </r>
  <r>
    <n v="1045925"/>
    <x v="0"/>
    <n v="12.75"/>
    <n v="12.8"/>
    <n v="29.95"/>
    <x v="3"/>
    <x v="0"/>
    <x v="1"/>
    <x v="1"/>
  </r>
  <r>
    <n v="1045929"/>
    <x v="0"/>
    <n v="13.64"/>
    <n v="13.69"/>
    <n v="66.8"/>
    <x v="3"/>
    <x v="0"/>
    <x v="1"/>
    <x v="1"/>
  </r>
  <r>
    <n v="1045931"/>
    <x v="0"/>
    <n v="15.33"/>
    <n v="15.38"/>
    <n v="14.95"/>
    <x v="6"/>
    <x v="0"/>
    <x v="1"/>
    <x v="1"/>
  </r>
  <r>
    <n v="1045981"/>
    <x v="0"/>
    <n v="9.65"/>
    <n v="9.6999999999999993"/>
    <n v="47.9"/>
    <x v="0"/>
    <x v="0"/>
    <x v="1"/>
    <x v="1"/>
  </r>
  <r>
    <n v="1046005"/>
    <x v="0"/>
    <n v="12.75"/>
    <n v="12.8"/>
    <n v="39.950000000000003"/>
    <x v="3"/>
    <x v="0"/>
    <x v="1"/>
    <x v="1"/>
  </r>
  <r>
    <n v="1046028"/>
    <x v="0"/>
    <n v="16.64"/>
    <n v="16.690000000000001"/>
    <n v="47.9"/>
    <x v="4"/>
    <x v="0"/>
    <x v="1"/>
    <x v="1"/>
  </r>
  <r>
    <n v="1046048"/>
    <x v="0"/>
    <n v="12.75"/>
    <n v="12.8"/>
    <n v="5"/>
    <x v="3"/>
    <x v="0"/>
    <x v="1"/>
    <x v="1"/>
  </r>
  <r>
    <n v="1046072"/>
    <x v="0"/>
    <n v="13.64"/>
    <n v="13.69"/>
    <n v="39.950000000000003"/>
    <x v="3"/>
    <x v="0"/>
    <x v="1"/>
    <x v="1"/>
  </r>
  <r>
    <n v="1046095"/>
    <x v="0"/>
    <n v="12.75"/>
    <n v="12.8"/>
    <n v="34.950000000000003"/>
    <x v="3"/>
    <x v="0"/>
    <x v="1"/>
    <x v="1"/>
  </r>
  <r>
    <n v="1046109"/>
    <x v="0"/>
    <n v="13.64"/>
    <n v="13.69"/>
    <n v="20.8"/>
    <x v="3"/>
    <x v="0"/>
    <x v="1"/>
    <x v="1"/>
  </r>
  <r>
    <n v="1046119"/>
    <x v="0"/>
    <n v="13.64"/>
    <n v="13.69"/>
    <n v="34.950000000000003"/>
    <x v="3"/>
    <x v="0"/>
    <x v="1"/>
    <x v="1"/>
  </r>
  <r>
    <n v="1046159"/>
    <x v="0"/>
    <n v="88.25"/>
    <n v="81.790000000000006"/>
    <n v="188"/>
    <x v="5"/>
    <x v="0"/>
    <x v="0"/>
    <x v="54"/>
  </r>
  <r>
    <n v="1046161"/>
    <x v="0"/>
    <n v="9.66"/>
    <n v="13.69"/>
    <n v="49.9"/>
    <x v="0"/>
    <x v="0"/>
    <x v="1"/>
    <x v="1"/>
  </r>
  <r>
    <n v="1046174"/>
    <x v="0"/>
    <n v="13.64"/>
    <n v="13.69"/>
    <n v="5"/>
    <x v="3"/>
    <x v="0"/>
    <x v="1"/>
    <x v="1"/>
  </r>
  <r>
    <n v="1046181"/>
    <x v="0"/>
    <n v="9.65"/>
    <n v="9.6999999999999993"/>
    <n v="70.5"/>
    <x v="0"/>
    <x v="0"/>
    <x v="1"/>
    <x v="1"/>
  </r>
  <r>
    <n v="1046214"/>
    <x v="0"/>
    <n v="12.75"/>
    <n v="12.8"/>
    <n v="44.95"/>
    <x v="3"/>
    <x v="0"/>
    <x v="1"/>
    <x v="1"/>
  </r>
  <r>
    <n v="1046234"/>
    <x v="0"/>
    <n v="12.75"/>
    <n v="12.8"/>
    <n v="46.8"/>
    <x v="3"/>
    <x v="0"/>
    <x v="1"/>
    <x v="1"/>
  </r>
  <r>
    <n v="1046252"/>
    <x v="0"/>
    <n v="12.75"/>
    <n v="12.8"/>
    <n v="34.9"/>
    <x v="3"/>
    <x v="0"/>
    <x v="1"/>
    <x v="1"/>
  </r>
  <r>
    <n v="1046294"/>
    <x v="0"/>
    <n v="15.33"/>
    <n v="15.38"/>
    <n v="101.05"/>
    <x v="6"/>
    <x v="0"/>
    <x v="1"/>
    <x v="1"/>
  </r>
  <r>
    <n v="1046301"/>
    <x v="0"/>
    <n v="13.64"/>
    <n v="13.69"/>
    <n v="51.85"/>
    <x v="3"/>
    <x v="0"/>
    <x v="1"/>
    <x v="1"/>
  </r>
  <r>
    <n v="1046322"/>
    <x v="0"/>
    <n v="13.64"/>
    <n v="13.69"/>
    <n v="29.95"/>
    <x v="3"/>
    <x v="0"/>
    <x v="1"/>
    <x v="1"/>
  </r>
  <r>
    <n v="1046323"/>
    <x v="0"/>
    <n v="13.64"/>
    <n v="15.91"/>
    <n v="59.9"/>
    <x v="3"/>
    <x v="0"/>
    <x v="1"/>
    <x v="1"/>
  </r>
  <r>
    <n v="1046324"/>
    <x v="0"/>
    <n v="13.64"/>
    <n v="13.69"/>
    <n v="27.1"/>
    <x v="3"/>
    <x v="0"/>
    <x v="1"/>
    <x v="1"/>
  </r>
  <r>
    <n v="1046342"/>
    <x v="0"/>
    <n v="12.75"/>
    <n v="12.8"/>
    <n v="59.7"/>
    <x v="3"/>
    <x v="0"/>
    <x v="1"/>
    <x v="1"/>
  </r>
  <r>
    <n v="1046361"/>
    <x v="0"/>
    <n v="13.64"/>
    <n v="13.69"/>
    <n v="89.85"/>
    <x v="3"/>
    <x v="0"/>
    <x v="1"/>
    <x v="1"/>
  </r>
  <r>
    <n v="1046370"/>
    <x v="0"/>
    <n v="26.67"/>
    <n v="28.84"/>
    <n v="424.5"/>
    <x v="10"/>
    <x v="0"/>
    <x v="1"/>
    <x v="1"/>
  </r>
  <r>
    <n v="1046374"/>
    <x v="0"/>
    <n v="12.75"/>
    <n v="12.8"/>
    <n v="11.95"/>
    <x v="3"/>
    <x v="0"/>
    <x v="1"/>
    <x v="1"/>
  </r>
  <r>
    <n v="1046396"/>
    <x v="0"/>
    <n v="9.66"/>
    <n v="9.7100000000000009"/>
    <n v="39.950000000000003"/>
    <x v="0"/>
    <x v="0"/>
    <x v="1"/>
    <x v="1"/>
  </r>
  <r>
    <n v="1046403"/>
    <x v="0"/>
    <n v="13.64"/>
    <n v="13.69"/>
    <n v="12.9"/>
    <x v="3"/>
    <x v="0"/>
    <x v="1"/>
    <x v="1"/>
  </r>
  <r>
    <n v="1046420"/>
    <x v="0"/>
    <n v="12.75"/>
    <n v="12.8"/>
    <n v="54.35"/>
    <x v="3"/>
    <x v="0"/>
    <x v="1"/>
    <x v="1"/>
  </r>
  <r>
    <n v="1046429"/>
    <x v="0"/>
    <n v="10.94"/>
    <n v="10.99"/>
    <n v="69.5"/>
    <x v="8"/>
    <x v="0"/>
    <x v="1"/>
    <x v="1"/>
  </r>
  <r>
    <n v="1046448"/>
    <x v="0"/>
    <n v="13.64"/>
    <n v="13.73"/>
    <n v="50.05"/>
    <x v="3"/>
    <x v="0"/>
    <x v="1"/>
    <x v="1"/>
  </r>
  <r>
    <n v="1046454"/>
    <x v="0"/>
    <n v="12.75"/>
    <n v="12.8"/>
    <n v="77.349999999999994"/>
    <x v="3"/>
    <x v="0"/>
    <x v="1"/>
    <x v="1"/>
  </r>
  <r>
    <n v="1046490"/>
    <x v="0"/>
    <n v="16.649999999999999"/>
    <n v="16.7"/>
    <n v="9.1"/>
    <x v="4"/>
    <x v="0"/>
    <x v="1"/>
    <x v="1"/>
  </r>
  <r>
    <n v="1046525"/>
    <x v="0"/>
    <n v="16.440000000000001"/>
    <n v="18.329999999999998"/>
    <n v="34.9"/>
    <x v="4"/>
    <x v="0"/>
    <x v="1"/>
    <x v="1"/>
  </r>
  <r>
    <n v="1046538"/>
    <x v="0"/>
    <n v="12.75"/>
    <n v="12.8"/>
    <n v="7.95"/>
    <x v="3"/>
    <x v="0"/>
    <x v="1"/>
    <x v="1"/>
  </r>
  <r>
    <n v="1046547"/>
    <x v="0"/>
    <n v="13.64"/>
    <n v="13.69"/>
    <n v="52.9"/>
    <x v="3"/>
    <x v="0"/>
    <x v="1"/>
    <x v="1"/>
  </r>
  <r>
    <n v="1046561"/>
    <x v="0"/>
    <n v="16.440000000000001"/>
    <n v="18.329999999999998"/>
    <n v="21.9"/>
    <x v="4"/>
    <x v="0"/>
    <x v="1"/>
    <x v="1"/>
  </r>
  <r>
    <n v="1046570"/>
    <x v="0"/>
    <n v="9.66"/>
    <n v="9.7100000000000009"/>
    <n v="17.95"/>
    <x v="0"/>
    <x v="0"/>
    <x v="1"/>
    <x v="1"/>
  </r>
  <r>
    <n v="1046576"/>
    <x v="0"/>
    <n v="13.64"/>
    <n v="13.69"/>
    <n v="14.95"/>
    <x v="3"/>
    <x v="0"/>
    <x v="1"/>
    <x v="1"/>
  </r>
  <r>
    <n v="1046614"/>
    <x v="0"/>
    <n v="13.64"/>
    <n v="13.69"/>
    <n v="5"/>
    <x v="3"/>
    <x v="0"/>
    <x v="1"/>
    <x v="1"/>
  </r>
  <r>
    <n v="1046617"/>
    <x v="0"/>
    <n v="12.75"/>
    <n v="12.8"/>
    <n v="19.3"/>
    <x v="3"/>
    <x v="0"/>
    <x v="1"/>
    <x v="1"/>
  </r>
  <r>
    <n v="1046623"/>
    <x v="0"/>
    <n v="12.75"/>
    <n v="9.7100000000000009"/>
    <n v="9.9499999999999993"/>
    <x v="3"/>
    <x v="0"/>
    <x v="0"/>
    <x v="55"/>
  </r>
  <r>
    <n v="1046632"/>
    <x v="0"/>
    <n v="17.36"/>
    <n v="17.41"/>
    <n v="161.05000000000001"/>
    <x v="6"/>
    <x v="0"/>
    <x v="1"/>
    <x v="1"/>
  </r>
  <r>
    <n v="1046645"/>
    <x v="0"/>
    <n v="12.75"/>
    <n v="13.25"/>
    <n v="125.55"/>
    <x v="3"/>
    <x v="0"/>
    <x v="1"/>
    <x v="1"/>
  </r>
  <r>
    <n v="1046651"/>
    <x v="0"/>
    <n v="9.65"/>
    <n v="9.6999999999999993"/>
    <n v="12.9"/>
    <x v="0"/>
    <x v="0"/>
    <x v="1"/>
    <x v="1"/>
  </r>
  <r>
    <n v="1046652"/>
    <x v="0"/>
    <n v="9.65"/>
    <n v="9.6999999999999993"/>
    <n v="5"/>
    <x v="0"/>
    <x v="0"/>
    <x v="1"/>
    <x v="1"/>
  </r>
  <r>
    <n v="1046668"/>
    <x v="0"/>
    <n v="15.33"/>
    <n v="15.38"/>
    <n v="7.95"/>
    <x v="6"/>
    <x v="0"/>
    <x v="1"/>
    <x v="1"/>
  </r>
  <r>
    <n v="1046674"/>
    <x v="0"/>
    <n v="12.75"/>
    <n v="12.8"/>
    <n v="5"/>
    <x v="3"/>
    <x v="0"/>
    <x v="1"/>
    <x v="1"/>
  </r>
  <r>
    <n v="1046683"/>
    <x v="0"/>
    <n v="13.64"/>
    <n v="13.69"/>
    <n v="69.95"/>
    <x v="3"/>
    <x v="0"/>
    <x v="1"/>
    <x v="1"/>
  </r>
  <r>
    <n v="1046693"/>
    <x v="0"/>
    <n v="13.64"/>
    <n v="13.69"/>
    <n v="21.85"/>
    <x v="3"/>
    <x v="0"/>
    <x v="1"/>
    <x v="1"/>
  </r>
  <r>
    <n v="1046709"/>
    <x v="0"/>
    <n v="16.64"/>
    <n v="16.690000000000001"/>
    <n v="39.65"/>
    <x v="4"/>
    <x v="0"/>
    <x v="1"/>
    <x v="1"/>
  </r>
  <r>
    <n v="1046722"/>
    <x v="0"/>
    <n v="15.33"/>
    <n v="15.39"/>
    <n v="54.85"/>
    <x v="6"/>
    <x v="0"/>
    <x v="1"/>
    <x v="1"/>
  </r>
  <r>
    <n v="1046736"/>
    <x v="0"/>
    <n v="12.75"/>
    <n v="12.8"/>
    <n v="34.9"/>
    <x v="3"/>
    <x v="0"/>
    <x v="1"/>
    <x v="1"/>
  </r>
  <r>
    <n v="1046742"/>
    <x v="0"/>
    <n v="12.75"/>
    <n v="12.8"/>
    <n v="108.65"/>
    <x v="3"/>
    <x v="0"/>
    <x v="1"/>
    <x v="1"/>
  </r>
  <r>
    <n v="1046748"/>
    <x v="0"/>
    <n v="15.02"/>
    <n v="15.07"/>
    <n v="77.2"/>
    <x v="6"/>
    <x v="0"/>
    <x v="1"/>
    <x v="1"/>
  </r>
  <r>
    <n v="1046750"/>
    <x v="0"/>
    <n v="13.64"/>
    <n v="13.69"/>
    <n v="48.75"/>
    <x v="3"/>
    <x v="0"/>
    <x v="1"/>
    <x v="1"/>
  </r>
  <r>
    <n v="1046752"/>
    <x v="0"/>
    <n v="13.64"/>
    <n v="13.69"/>
    <n v="126.7"/>
    <x v="3"/>
    <x v="0"/>
    <x v="1"/>
    <x v="1"/>
  </r>
  <r>
    <n v="1046785"/>
    <x v="0"/>
    <n v="26.93"/>
    <n v="29.7"/>
    <n v="150.65"/>
    <x v="9"/>
    <x v="0"/>
    <x v="1"/>
    <x v="1"/>
  </r>
  <r>
    <n v="1046791"/>
    <x v="0"/>
    <n v="12.75"/>
    <n v="12.8"/>
    <n v="52"/>
    <x v="3"/>
    <x v="0"/>
    <x v="1"/>
    <x v="1"/>
  </r>
  <r>
    <n v="1046797"/>
    <x v="0"/>
    <n v="13.64"/>
    <n v="13.69"/>
    <n v="24.9"/>
    <x v="3"/>
    <x v="0"/>
    <x v="1"/>
    <x v="1"/>
  </r>
  <r>
    <n v="1046802"/>
    <x v="0"/>
    <n v="27.61"/>
    <n v="27.66"/>
    <n v="124.75"/>
    <x v="7"/>
    <x v="0"/>
    <x v="1"/>
    <x v="1"/>
  </r>
  <r>
    <n v="1046806"/>
    <x v="0"/>
    <n v="18.23"/>
    <n v="20.079999999999998"/>
    <n v="119.8"/>
    <x v="4"/>
    <x v="0"/>
    <x v="1"/>
    <x v="1"/>
  </r>
  <r>
    <n v="1046810"/>
    <x v="0"/>
    <n v="16.34"/>
    <n v="16.39"/>
    <n v="44.95"/>
    <x v="4"/>
    <x v="0"/>
    <x v="1"/>
    <x v="1"/>
  </r>
  <r>
    <n v="1046815"/>
    <x v="0"/>
    <n v="15.03"/>
    <n v="15.08"/>
    <n v="44.75"/>
    <x v="6"/>
    <x v="0"/>
    <x v="1"/>
    <x v="1"/>
  </r>
  <r>
    <n v="1046823"/>
    <x v="0"/>
    <n v="21.7"/>
    <n v="21.75"/>
    <n v="6.95"/>
    <x v="9"/>
    <x v="0"/>
    <x v="1"/>
    <x v="1"/>
  </r>
  <r>
    <n v="1046847"/>
    <x v="0"/>
    <n v="16.75"/>
    <n v="18.64"/>
    <n v="14.95"/>
    <x v="4"/>
    <x v="0"/>
    <x v="1"/>
    <x v="1"/>
  </r>
  <r>
    <n v="1046860"/>
    <x v="0"/>
    <n v="12.75"/>
    <n v="12.8"/>
    <n v="67.25"/>
    <x v="3"/>
    <x v="0"/>
    <x v="1"/>
    <x v="1"/>
  </r>
  <r>
    <n v="1046868"/>
    <x v="0"/>
    <n v="13.64"/>
    <n v="13.68"/>
    <n v="179.6"/>
    <x v="3"/>
    <x v="0"/>
    <x v="1"/>
    <x v="1"/>
  </r>
  <r>
    <n v="1046870"/>
    <x v="0"/>
    <n v="12.75"/>
    <n v="12.8"/>
    <n v="74.05"/>
    <x v="3"/>
    <x v="0"/>
    <x v="1"/>
    <x v="1"/>
  </r>
  <r>
    <n v="1046903"/>
    <x v="0"/>
    <n v="13.64"/>
    <n v="13.69"/>
    <n v="87.35"/>
    <x v="3"/>
    <x v="0"/>
    <x v="1"/>
    <x v="1"/>
  </r>
  <r>
    <n v="1046906"/>
    <x v="0"/>
    <n v="13.64"/>
    <n v="13.68"/>
    <n v="29.95"/>
    <x v="3"/>
    <x v="0"/>
    <x v="1"/>
    <x v="1"/>
  </r>
  <r>
    <n v="1046917"/>
    <x v="0"/>
    <n v="12.75"/>
    <n v="12.8"/>
    <n v="26.9"/>
    <x v="3"/>
    <x v="0"/>
    <x v="1"/>
    <x v="1"/>
  </r>
  <r>
    <n v="1046933"/>
    <x v="0"/>
    <n v="13.64"/>
    <n v="13.69"/>
    <n v="29.95"/>
    <x v="3"/>
    <x v="0"/>
    <x v="1"/>
    <x v="1"/>
  </r>
  <r>
    <n v="1046937"/>
    <x v="0"/>
    <n v="12.75"/>
    <n v="12.8"/>
    <n v="6.95"/>
    <x v="3"/>
    <x v="0"/>
    <x v="1"/>
    <x v="1"/>
  </r>
  <r>
    <n v="1046968"/>
    <x v="0"/>
    <n v="12.26"/>
    <n v="12.31"/>
    <n v="38"/>
    <x v="7"/>
    <x v="0"/>
    <x v="1"/>
    <x v="1"/>
  </r>
  <r>
    <n v="1046975"/>
    <x v="0"/>
    <n v="13.64"/>
    <n v="13.69"/>
    <n v="86.15"/>
    <x v="3"/>
    <x v="0"/>
    <x v="1"/>
    <x v="1"/>
  </r>
  <r>
    <n v="1046978"/>
    <x v="0"/>
    <n v="13.64"/>
    <n v="13.68"/>
    <n v="34.9"/>
    <x v="3"/>
    <x v="0"/>
    <x v="1"/>
    <x v="1"/>
  </r>
  <r>
    <n v="1046980"/>
    <x v="0"/>
    <n v="16.64"/>
    <n v="16.690000000000001"/>
    <n v="15.9"/>
    <x v="4"/>
    <x v="0"/>
    <x v="1"/>
    <x v="1"/>
  </r>
  <r>
    <n v="1047031"/>
    <x v="0"/>
    <n v="13.64"/>
    <n v="13.73"/>
    <n v="50.82"/>
    <x v="3"/>
    <x v="0"/>
    <x v="1"/>
    <x v="1"/>
  </r>
  <r>
    <n v="1047042"/>
    <x v="0"/>
    <n v="12.75"/>
    <n v="12.8"/>
    <n v="29.9"/>
    <x v="3"/>
    <x v="0"/>
    <x v="1"/>
    <x v="1"/>
  </r>
  <r>
    <n v="1047077"/>
    <x v="0"/>
    <n v="10.59"/>
    <n v="14.7"/>
    <n v="122.7"/>
    <x v="0"/>
    <x v="0"/>
    <x v="1"/>
    <x v="1"/>
  </r>
  <r>
    <n v="1047121"/>
    <x v="0"/>
    <n v="13.64"/>
    <n v="13.69"/>
    <n v="29.95"/>
    <x v="3"/>
    <x v="0"/>
    <x v="1"/>
    <x v="1"/>
  </r>
  <r>
    <n v="1047145"/>
    <x v="0"/>
    <n v="12.75"/>
    <n v="12.8"/>
    <n v="34.9"/>
    <x v="3"/>
    <x v="0"/>
    <x v="1"/>
    <x v="1"/>
  </r>
  <r>
    <n v="1047159"/>
    <x v="0"/>
    <n v="13.64"/>
    <n v="13.69"/>
    <n v="29.95"/>
    <x v="3"/>
    <x v="0"/>
    <x v="1"/>
    <x v="1"/>
  </r>
  <r>
    <n v="1047164"/>
    <x v="0"/>
    <n v="12.75"/>
    <n v="12.8"/>
    <n v="102.55"/>
    <x v="3"/>
    <x v="0"/>
    <x v="1"/>
    <x v="1"/>
  </r>
  <r>
    <n v="1047167"/>
    <x v="0"/>
    <n v="17.7"/>
    <n v="14.57"/>
    <n v="195"/>
    <x v="10"/>
    <x v="0"/>
    <x v="0"/>
    <x v="56"/>
  </r>
  <r>
    <n v="1047187"/>
    <x v="0"/>
    <n v="13.64"/>
    <n v="13.69"/>
    <n v="34.85"/>
    <x v="3"/>
    <x v="0"/>
    <x v="1"/>
    <x v="1"/>
  </r>
  <r>
    <n v="1047228"/>
    <x v="0"/>
    <n v="9.65"/>
    <n v="9.6999999999999993"/>
    <n v="89.7"/>
    <x v="0"/>
    <x v="0"/>
    <x v="1"/>
    <x v="1"/>
  </r>
  <r>
    <n v="1047250"/>
    <x v="0"/>
    <n v="15.02"/>
    <n v="15.07"/>
    <n v="19.95"/>
    <x v="6"/>
    <x v="0"/>
    <x v="1"/>
    <x v="1"/>
  </r>
  <r>
    <n v="1047277"/>
    <x v="0"/>
    <n v="13.64"/>
    <n v="13.69"/>
    <n v="9.9499999999999993"/>
    <x v="3"/>
    <x v="0"/>
    <x v="1"/>
    <x v="1"/>
  </r>
  <r>
    <n v="1047286"/>
    <x v="0"/>
    <n v="9.65"/>
    <n v="9.6999999999999993"/>
    <n v="12.9"/>
    <x v="0"/>
    <x v="0"/>
    <x v="1"/>
    <x v="1"/>
  </r>
  <r>
    <n v="1047297"/>
    <x v="0"/>
    <n v="12.26"/>
    <n v="12.31"/>
    <n v="87.5"/>
    <x v="7"/>
    <x v="0"/>
    <x v="1"/>
    <x v="1"/>
  </r>
  <r>
    <n v="1047319"/>
    <x v="0"/>
    <n v="12.75"/>
    <n v="12.8"/>
    <n v="36.4"/>
    <x v="3"/>
    <x v="0"/>
    <x v="1"/>
    <x v="1"/>
  </r>
  <r>
    <n v="1047322"/>
    <x v="0"/>
    <n v="13.5"/>
    <n v="13.55"/>
    <n v="128.18"/>
    <x v="10"/>
    <x v="0"/>
    <x v="1"/>
    <x v="1"/>
  </r>
  <r>
    <n v="1047346"/>
    <x v="0"/>
    <n v="12.75"/>
    <n v="12.8"/>
    <n v="29.75"/>
    <x v="3"/>
    <x v="0"/>
    <x v="1"/>
    <x v="1"/>
  </r>
  <r>
    <n v="1047352"/>
    <x v="0"/>
    <n v="9.66"/>
    <n v="13.69"/>
    <n v="14.95"/>
    <x v="0"/>
    <x v="0"/>
    <x v="1"/>
    <x v="1"/>
  </r>
  <r>
    <n v="1047353"/>
    <x v="0"/>
    <n v="9.65"/>
    <n v="9.6999999999999993"/>
    <n v="135.6"/>
    <x v="0"/>
    <x v="0"/>
    <x v="1"/>
    <x v="1"/>
  </r>
  <r>
    <n v="1047364"/>
    <x v="0"/>
    <n v="12.75"/>
    <n v="12.8"/>
    <n v="140.65"/>
    <x v="3"/>
    <x v="0"/>
    <x v="1"/>
    <x v="1"/>
  </r>
  <r>
    <n v="1047365"/>
    <x v="0"/>
    <n v="13.64"/>
    <n v="13.69"/>
    <n v="23.4"/>
    <x v="3"/>
    <x v="0"/>
    <x v="1"/>
    <x v="1"/>
  </r>
  <r>
    <n v="1047389"/>
    <x v="0"/>
    <n v="9.66"/>
    <n v="12.8"/>
    <n v="59.75"/>
    <x v="0"/>
    <x v="0"/>
    <x v="1"/>
    <x v="1"/>
  </r>
  <r>
    <n v="1047403"/>
    <x v="0"/>
    <n v="12.75"/>
    <n v="12.8"/>
    <n v="34.9"/>
    <x v="3"/>
    <x v="0"/>
    <x v="1"/>
    <x v="1"/>
  </r>
  <r>
    <n v="1047410"/>
    <x v="0"/>
    <n v="12.75"/>
    <n v="12.8"/>
    <n v="21.9"/>
    <x v="3"/>
    <x v="0"/>
    <x v="1"/>
    <x v="1"/>
  </r>
  <r>
    <n v="1047435"/>
    <x v="0"/>
    <n v="14.09"/>
    <n v="14.7"/>
    <n v="124.2"/>
    <x v="3"/>
    <x v="0"/>
    <x v="1"/>
    <x v="1"/>
  </r>
  <r>
    <n v="1047451"/>
    <x v="0"/>
    <n v="13.5"/>
    <n v="13.55"/>
    <n v="86.9"/>
    <x v="10"/>
    <x v="0"/>
    <x v="1"/>
    <x v="1"/>
  </r>
  <r>
    <n v="1047498"/>
    <x v="0"/>
    <n v="12.75"/>
    <n v="12.8"/>
    <n v="59.8"/>
    <x v="3"/>
    <x v="0"/>
    <x v="1"/>
    <x v="1"/>
  </r>
  <r>
    <n v="1047512"/>
    <x v="0"/>
    <n v="16.649999999999999"/>
    <n v="16.7"/>
    <n v="86.65"/>
    <x v="4"/>
    <x v="0"/>
    <x v="1"/>
    <x v="1"/>
  </r>
  <r>
    <n v="1047538"/>
    <x v="0"/>
    <n v="12.75"/>
    <n v="12.8"/>
    <n v="43.9"/>
    <x v="3"/>
    <x v="0"/>
    <x v="1"/>
    <x v="1"/>
  </r>
  <r>
    <n v="1047554"/>
    <x v="0"/>
    <n v="12.75"/>
    <n v="12.8"/>
    <n v="34.950000000000003"/>
    <x v="3"/>
    <x v="0"/>
    <x v="1"/>
    <x v="1"/>
  </r>
  <r>
    <n v="1047557"/>
    <x v="0"/>
    <n v="13.64"/>
    <n v="13.69"/>
    <n v="43.95"/>
    <x v="3"/>
    <x v="0"/>
    <x v="1"/>
    <x v="1"/>
  </r>
  <r>
    <n v="1047574"/>
    <x v="0"/>
    <n v="15.02"/>
    <n v="15.07"/>
    <n v="18.899999999999999"/>
    <x v="6"/>
    <x v="0"/>
    <x v="1"/>
    <x v="1"/>
  </r>
  <r>
    <n v="1047580"/>
    <x v="0"/>
    <n v="13.63"/>
    <n v="13.68"/>
    <n v="60"/>
    <x v="3"/>
    <x v="0"/>
    <x v="1"/>
    <x v="1"/>
  </r>
  <r>
    <n v="1047588"/>
    <x v="0"/>
    <n v="9.65"/>
    <n v="9.6999999999999993"/>
    <n v="27.8"/>
    <x v="0"/>
    <x v="0"/>
    <x v="1"/>
    <x v="1"/>
  </r>
  <r>
    <n v="1047589"/>
    <x v="0"/>
    <n v="16.34"/>
    <n v="16.39"/>
    <n v="36.75"/>
    <x v="4"/>
    <x v="0"/>
    <x v="1"/>
    <x v="1"/>
  </r>
  <r>
    <n v="1047590"/>
    <x v="0"/>
    <n v="10.57"/>
    <n v="14.97"/>
    <n v="119.96"/>
    <x v="0"/>
    <x v="0"/>
    <x v="1"/>
    <x v="1"/>
  </r>
  <r>
    <n v="1047642"/>
    <x v="0"/>
    <n v="13.64"/>
    <n v="13.69"/>
    <n v="49.6"/>
    <x v="3"/>
    <x v="0"/>
    <x v="1"/>
    <x v="1"/>
  </r>
  <r>
    <n v="1047659"/>
    <x v="0"/>
    <n v="12.75"/>
    <n v="13.03"/>
    <n v="144.30000000000001"/>
    <x v="3"/>
    <x v="0"/>
    <x v="1"/>
    <x v="1"/>
  </r>
  <r>
    <n v="1047660"/>
    <x v="0"/>
    <n v="13.64"/>
    <n v="13.84"/>
    <n v="64.849999999999994"/>
    <x v="3"/>
    <x v="0"/>
    <x v="1"/>
    <x v="1"/>
  </r>
  <r>
    <n v="1047669"/>
    <x v="0"/>
    <n v="31.35"/>
    <n v="31.39"/>
    <n v="98.25"/>
    <x v="4"/>
    <x v="0"/>
    <x v="1"/>
    <x v="1"/>
  </r>
  <r>
    <n v="1047688"/>
    <x v="0"/>
    <n v="12.75"/>
    <n v="12.8"/>
    <n v="11.8"/>
    <x v="3"/>
    <x v="0"/>
    <x v="1"/>
    <x v="1"/>
  </r>
  <r>
    <n v="1047695"/>
    <x v="0"/>
    <n v="9.65"/>
    <n v="9.6999999999999993"/>
    <n v="8.9499999999999993"/>
    <x v="0"/>
    <x v="0"/>
    <x v="1"/>
    <x v="1"/>
  </r>
  <r>
    <n v="1047700"/>
    <x v="0"/>
    <n v="12.75"/>
    <n v="12.8"/>
    <n v="19.5"/>
    <x v="3"/>
    <x v="0"/>
    <x v="1"/>
    <x v="1"/>
  </r>
  <r>
    <n v="1047705"/>
    <x v="0"/>
    <n v="9.65"/>
    <n v="9.6999999999999993"/>
    <n v="14.95"/>
    <x v="0"/>
    <x v="0"/>
    <x v="1"/>
    <x v="1"/>
  </r>
  <r>
    <n v="1047715"/>
    <x v="0"/>
    <n v="12.75"/>
    <n v="12.8"/>
    <n v="62.45"/>
    <x v="3"/>
    <x v="0"/>
    <x v="1"/>
    <x v="1"/>
  </r>
  <r>
    <n v="1047717"/>
    <x v="0"/>
    <n v="13.64"/>
    <n v="14.2"/>
    <n v="64.849999999999994"/>
    <x v="3"/>
    <x v="0"/>
    <x v="1"/>
    <x v="1"/>
  </r>
  <r>
    <n v="1047723"/>
    <x v="0"/>
    <n v="13.64"/>
    <n v="13.68"/>
    <n v="34.950000000000003"/>
    <x v="3"/>
    <x v="0"/>
    <x v="1"/>
    <x v="1"/>
  </r>
  <r>
    <n v="1047742"/>
    <x v="0"/>
    <n v="16.75"/>
    <n v="16.8"/>
    <n v="19.95"/>
    <x v="4"/>
    <x v="0"/>
    <x v="1"/>
    <x v="1"/>
  </r>
  <r>
    <n v="1047757"/>
    <x v="0"/>
    <n v="15.33"/>
    <n v="16.079999999999998"/>
    <n v="189.9"/>
    <x v="6"/>
    <x v="0"/>
    <x v="1"/>
    <x v="1"/>
  </r>
  <r>
    <n v="1047769"/>
    <x v="0"/>
    <n v="16.440000000000001"/>
    <n v="18.329999999999998"/>
    <n v="20.65"/>
    <x v="4"/>
    <x v="0"/>
    <x v="1"/>
    <x v="1"/>
  </r>
  <r>
    <n v="1047778"/>
    <x v="0"/>
    <n v="12.75"/>
    <n v="12.8"/>
    <n v="5"/>
    <x v="3"/>
    <x v="0"/>
    <x v="1"/>
    <x v="1"/>
  </r>
  <r>
    <n v="1047788"/>
    <x v="0"/>
    <n v="12.75"/>
    <n v="12.8"/>
    <n v="10.9"/>
    <x v="3"/>
    <x v="0"/>
    <x v="1"/>
    <x v="1"/>
  </r>
  <r>
    <n v="1047823"/>
    <x v="0"/>
    <n v="12.75"/>
    <n v="12.8"/>
    <n v="39.950000000000003"/>
    <x v="3"/>
    <x v="0"/>
    <x v="1"/>
    <x v="1"/>
  </r>
  <r>
    <n v="1047827"/>
    <x v="0"/>
    <n v="9.65"/>
    <n v="9.6999999999999993"/>
    <n v="8.9499999999999993"/>
    <x v="0"/>
    <x v="0"/>
    <x v="1"/>
    <x v="1"/>
  </r>
  <r>
    <n v="1047845"/>
    <x v="0"/>
    <n v="12.75"/>
    <n v="12.8"/>
    <n v="39.950000000000003"/>
    <x v="3"/>
    <x v="0"/>
    <x v="1"/>
    <x v="1"/>
  </r>
  <r>
    <n v="1047851"/>
    <x v="0"/>
    <n v="12.75"/>
    <n v="12.8"/>
    <n v="5"/>
    <x v="3"/>
    <x v="0"/>
    <x v="1"/>
    <x v="1"/>
  </r>
  <r>
    <n v="1047854"/>
    <x v="0"/>
    <n v="13.64"/>
    <n v="13.69"/>
    <n v="5"/>
    <x v="3"/>
    <x v="0"/>
    <x v="1"/>
    <x v="1"/>
  </r>
  <r>
    <n v="1047863"/>
    <x v="0"/>
    <n v="13.64"/>
    <n v="14.14"/>
    <n v="27.8"/>
    <x v="3"/>
    <x v="0"/>
    <x v="1"/>
    <x v="1"/>
  </r>
  <r>
    <n v="1047959"/>
    <x v="0"/>
    <n v="12.75"/>
    <n v="12.8"/>
    <n v="65.400000000000006"/>
    <x v="3"/>
    <x v="0"/>
    <x v="1"/>
    <x v="1"/>
  </r>
  <r>
    <n v="1047980"/>
    <x v="0"/>
    <n v="15.02"/>
    <n v="15.07"/>
    <n v="104.85"/>
    <x v="6"/>
    <x v="0"/>
    <x v="1"/>
    <x v="1"/>
  </r>
  <r>
    <n v="1047984"/>
    <x v="0"/>
    <n v="12.75"/>
    <n v="12.8"/>
    <n v="69.8"/>
    <x v="3"/>
    <x v="0"/>
    <x v="1"/>
    <x v="1"/>
  </r>
  <r>
    <n v="1047989"/>
    <x v="0"/>
    <n v="9.65"/>
    <n v="9.6999999999999993"/>
    <n v="5"/>
    <x v="0"/>
    <x v="0"/>
    <x v="1"/>
    <x v="1"/>
  </r>
  <r>
    <n v="1047994"/>
    <x v="0"/>
    <n v="16.34"/>
    <n v="16.39"/>
    <n v="39.950000000000003"/>
    <x v="4"/>
    <x v="0"/>
    <x v="1"/>
    <x v="1"/>
  </r>
  <r>
    <n v="1048057"/>
    <x v="0"/>
    <n v="13.64"/>
    <n v="13.69"/>
    <n v="44.95"/>
    <x v="3"/>
    <x v="0"/>
    <x v="1"/>
    <x v="1"/>
  </r>
  <r>
    <n v="1048064"/>
    <x v="0"/>
    <n v="12.75"/>
    <n v="12.8"/>
    <n v="111.2"/>
    <x v="3"/>
    <x v="0"/>
    <x v="1"/>
    <x v="1"/>
  </r>
  <r>
    <n v="1048074"/>
    <x v="0"/>
    <n v="12.75"/>
    <n v="12.8"/>
    <n v="5"/>
    <x v="3"/>
    <x v="0"/>
    <x v="1"/>
    <x v="1"/>
  </r>
  <r>
    <n v="1048110"/>
    <x v="0"/>
    <n v="12.75"/>
    <n v="12.8"/>
    <n v="47.9"/>
    <x v="3"/>
    <x v="0"/>
    <x v="1"/>
    <x v="1"/>
  </r>
  <r>
    <n v="1048125"/>
    <x v="0"/>
    <n v="12.75"/>
    <n v="12.8"/>
    <n v="51.35"/>
    <x v="3"/>
    <x v="0"/>
    <x v="1"/>
    <x v="1"/>
  </r>
  <r>
    <n v="1048145"/>
    <x v="0"/>
    <n v="12.75"/>
    <n v="12.8"/>
    <n v="57.9"/>
    <x v="3"/>
    <x v="0"/>
    <x v="1"/>
    <x v="1"/>
  </r>
  <r>
    <n v="1048155"/>
    <x v="0"/>
    <n v="12.75"/>
    <n v="12.8"/>
    <n v="1.5"/>
    <x v="3"/>
    <x v="0"/>
    <x v="1"/>
    <x v="1"/>
  </r>
  <r>
    <n v="1048156"/>
    <x v="0"/>
    <n v="13.64"/>
    <n v="13.69"/>
    <n v="55.85"/>
    <x v="3"/>
    <x v="0"/>
    <x v="1"/>
    <x v="1"/>
  </r>
  <r>
    <n v="1048204"/>
    <x v="0"/>
    <n v="9.65"/>
    <n v="9.7100000000000009"/>
    <n v="66.05"/>
    <x v="0"/>
    <x v="0"/>
    <x v="1"/>
    <x v="1"/>
  </r>
  <r>
    <n v="1048222"/>
    <x v="0"/>
    <n v="15.02"/>
    <n v="16.329999999999998"/>
    <n v="77.849999999999994"/>
    <x v="6"/>
    <x v="0"/>
    <x v="1"/>
    <x v="1"/>
  </r>
  <r>
    <n v="1048252"/>
    <x v="0"/>
    <n v="16.75"/>
    <n v="16.8"/>
    <n v="217.9"/>
    <x v="4"/>
    <x v="0"/>
    <x v="1"/>
    <x v="1"/>
  </r>
  <r>
    <n v="1048256"/>
    <x v="0"/>
    <n v="16.649999999999999"/>
    <n v="16.690000000000001"/>
    <n v="95.8"/>
    <x v="4"/>
    <x v="0"/>
    <x v="1"/>
    <x v="1"/>
  </r>
  <r>
    <n v="1048262"/>
    <x v="0"/>
    <n v="15.33"/>
    <n v="15.38"/>
    <n v="22.5"/>
    <x v="6"/>
    <x v="0"/>
    <x v="1"/>
    <x v="1"/>
  </r>
  <r>
    <n v="1048264"/>
    <x v="0"/>
    <n v="12.75"/>
    <n v="12.8"/>
    <n v="39.950000000000003"/>
    <x v="3"/>
    <x v="0"/>
    <x v="1"/>
    <x v="1"/>
  </r>
  <r>
    <n v="1048289"/>
    <x v="0"/>
    <n v="13.64"/>
    <n v="13.69"/>
    <n v="6.95"/>
    <x v="3"/>
    <x v="0"/>
    <x v="1"/>
    <x v="1"/>
  </r>
  <r>
    <n v="1048299"/>
    <x v="0"/>
    <n v="15.02"/>
    <n v="15.07"/>
    <n v="35.299999999999997"/>
    <x v="6"/>
    <x v="0"/>
    <x v="1"/>
    <x v="1"/>
  </r>
  <r>
    <n v="1048308"/>
    <x v="0"/>
    <n v="9.66"/>
    <n v="12.8"/>
    <n v="34.950000000000003"/>
    <x v="0"/>
    <x v="0"/>
    <x v="1"/>
    <x v="1"/>
  </r>
  <r>
    <n v="1048314"/>
    <x v="0"/>
    <n v="12.75"/>
    <n v="12.8"/>
    <n v="56.85"/>
    <x v="3"/>
    <x v="0"/>
    <x v="1"/>
    <x v="1"/>
  </r>
  <r>
    <n v="1048333"/>
    <x v="0"/>
    <n v="16.34"/>
    <n v="16.850000000000001"/>
    <n v="135.55000000000001"/>
    <x v="4"/>
    <x v="0"/>
    <x v="1"/>
    <x v="1"/>
  </r>
  <r>
    <n v="1048340"/>
    <x v="0"/>
    <n v="13.64"/>
    <n v="13.69"/>
    <n v="64.95"/>
    <x v="3"/>
    <x v="0"/>
    <x v="1"/>
    <x v="1"/>
  </r>
  <r>
    <n v="1048362"/>
    <x v="0"/>
    <n v="12.75"/>
    <n v="12.8"/>
    <n v="90.8"/>
    <x v="3"/>
    <x v="0"/>
    <x v="1"/>
    <x v="1"/>
  </r>
  <r>
    <n v="1048363"/>
    <x v="0"/>
    <n v="12.75"/>
    <n v="12.8"/>
    <n v="39.950000000000003"/>
    <x v="3"/>
    <x v="0"/>
    <x v="1"/>
    <x v="1"/>
  </r>
  <r>
    <n v="1048370"/>
    <x v="0"/>
    <n v="12.75"/>
    <n v="12.8"/>
    <n v="10.95"/>
    <x v="3"/>
    <x v="0"/>
    <x v="1"/>
    <x v="1"/>
  </r>
  <r>
    <n v="1048387"/>
    <x v="0"/>
    <n v="13.64"/>
    <n v="13.69"/>
    <n v="42.9"/>
    <x v="3"/>
    <x v="0"/>
    <x v="1"/>
    <x v="1"/>
  </r>
  <r>
    <n v="1048413"/>
    <x v="0"/>
    <n v="12.75"/>
    <n v="12.8"/>
    <n v="45.3"/>
    <x v="3"/>
    <x v="0"/>
    <x v="1"/>
    <x v="1"/>
  </r>
  <r>
    <n v="1048425"/>
    <x v="0"/>
    <n v="13.64"/>
    <n v="13.68"/>
    <n v="165"/>
    <x v="3"/>
    <x v="0"/>
    <x v="1"/>
    <x v="1"/>
  </r>
  <r>
    <n v="1048429"/>
    <x v="0"/>
    <n v="13.64"/>
    <n v="13.69"/>
    <n v="9.9"/>
    <x v="3"/>
    <x v="0"/>
    <x v="1"/>
    <x v="1"/>
  </r>
  <r>
    <n v="1048431"/>
    <x v="0"/>
    <n v="15.02"/>
    <n v="15.07"/>
    <n v="54.8"/>
    <x v="6"/>
    <x v="0"/>
    <x v="1"/>
    <x v="1"/>
  </r>
  <r>
    <n v="1048517"/>
    <x v="0"/>
    <n v="104.69"/>
    <n v="85.86"/>
    <n v="1501.53"/>
    <x v="2"/>
    <x v="0"/>
    <x v="0"/>
    <x v="57"/>
  </r>
  <r>
    <n v="1048539"/>
    <x v="0"/>
    <n v="16.649999999999999"/>
    <n v="16.7"/>
    <n v="30"/>
    <x v="4"/>
    <x v="0"/>
    <x v="1"/>
    <x v="1"/>
  </r>
  <r>
    <n v="1048548"/>
    <x v="0"/>
    <n v="76.33"/>
    <n v="90.8"/>
    <n v="721.41"/>
    <x v="2"/>
    <x v="0"/>
    <x v="1"/>
    <x v="1"/>
  </r>
  <r>
    <n v="1048551"/>
    <x v="0"/>
    <n v="77.900000000000006"/>
    <n v="71.56"/>
    <n v="809.4"/>
    <x v="2"/>
    <x v="0"/>
    <x v="0"/>
    <x v="58"/>
  </r>
  <r>
    <n v="1048558"/>
    <x v="0"/>
    <n v="12.75"/>
    <n v="12.8"/>
    <n v="63"/>
    <x v="3"/>
    <x v="0"/>
    <x v="1"/>
    <x v="1"/>
  </r>
  <r>
    <n v="1048569"/>
    <x v="0"/>
    <n v="66.98"/>
    <n v="67.02"/>
    <n v="47.6"/>
    <x v="2"/>
    <x v="0"/>
    <x v="1"/>
    <x v="1"/>
  </r>
  <r>
    <n v="1048593"/>
    <x v="0"/>
    <n v="12.75"/>
    <n v="12.8"/>
    <n v="34.9"/>
    <x v="3"/>
    <x v="0"/>
    <x v="1"/>
    <x v="1"/>
  </r>
  <r>
    <n v="1048596"/>
    <x v="0"/>
    <n v="13.64"/>
    <n v="13.69"/>
    <n v="33.75"/>
    <x v="3"/>
    <x v="0"/>
    <x v="1"/>
    <x v="1"/>
  </r>
  <r>
    <n v="1048601"/>
    <x v="0"/>
    <n v="13.64"/>
    <n v="13.69"/>
    <n v="29.95"/>
    <x v="3"/>
    <x v="0"/>
    <x v="1"/>
    <x v="1"/>
  </r>
  <r>
    <n v="1048608"/>
    <x v="0"/>
    <n v="12.26"/>
    <n v="12.31"/>
    <n v="40.5"/>
    <x v="7"/>
    <x v="0"/>
    <x v="1"/>
    <x v="1"/>
  </r>
  <r>
    <n v="1048620"/>
    <x v="0"/>
    <n v="12.75"/>
    <n v="12.8"/>
    <n v="88.75"/>
    <x v="3"/>
    <x v="0"/>
    <x v="1"/>
    <x v="1"/>
  </r>
  <r>
    <n v="1048641"/>
    <x v="0"/>
    <n v="10.94"/>
    <n v="10.99"/>
    <n v="19.899999999999999"/>
    <x v="8"/>
    <x v="0"/>
    <x v="1"/>
    <x v="1"/>
  </r>
  <r>
    <n v="1048647"/>
    <x v="0"/>
    <n v="18.02"/>
    <n v="19.850000000000001"/>
    <n v="68.55"/>
    <x v="9"/>
    <x v="0"/>
    <x v="1"/>
    <x v="1"/>
  </r>
  <r>
    <n v="1048708"/>
    <x v="0"/>
    <n v="12.75"/>
    <n v="12.8"/>
    <n v="81.95"/>
    <x v="3"/>
    <x v="0"/>
    <x v="1"/>
    <x v="1"/>
  </r>
  <r>
    <n v="1048737"/>
    <x v="0"/>
    <n v="12.75"/>
    <n v="12.8"/>
    <n v="34.9"/>
    <x v="3"/>
    <x v="0"/>
    <x v="1"/>
    <x v="1"/>
  </r>
  <r>
    <n v="1048778"/>
    <x v="0"/>
    <n v="13.64"/>
    <n v="13.69"/>
    <n v="52.45"/>
    <x v="3"/>
    <x v="0"/>
    <x v="1"/>
    <x v="1"/>
  </r>
  <r>
    <n v="1048790"/>
    <x v="0"/>
    <n v="12.75"/>
    <n v="12.8"/>
    <n v="9.9499999999999993"/>
    <x v="3"/>
    <x v="0"/>
    <x v="1"/>
    <x v="1"/>
  </r>
  <r>
    <n v="1048806"/>
    <x v="0"/>
    <n v="15.02"/>
    <n v="15.12"/>
    <n v="127.15"/>
    <x v="6"/>
    <x v="0"/>
    <x v="1"/>
    <x v="1"/>
  </r>
  <r>
    <n v="1048846"/>
    <x v="0"/>
    <n v="16.649999999999999"/>
    <n v="16.7"/>
    <n v="51.9"/>
    <x v="4"/>
    <x v="0"/>
    <x v="1"/>
    <x v="1"/>
  </r>
  <r>
    <n v="1048853"/>
    <x v="0"/>
    <n v="12.75"/>
    <n v="12.8"/>
    <n v="39.950000000000003"/>
    <x v="3"/>
    <x v="0"/>
    <x v="1"/>
    <x v="1"/>
  </r>
  <r>
    <n v="1048857"/>
    <x v="0"/>
    <n v="9.66"/>
    <n v="13.69"/>
    <n v="39.950000000000003"/>
    <x v="0"/>
    <x v="0"/>
    <x v="1"/>
    <x v="1"/>
  </r>
  <r>
    <n v="1048879"/>
    <x v="0"/>
    <n v="13.64"/>
    <n v="13.69"/>
    <n v="39.950000000000003"/>
    <x v="3"/>
    <x v="0"/>
    <x v="1"/>
    <x v="1"/>
  </r>
  <r>
    <n v="1048892"/>
    <x v="0"/>
    <n v="9.66"/>
    <n v="9.7100000000000009"/>
    <n v="15.2"/>
    <x v="0"/>
    <x v="0"/>
    <x v="1"/>
    <x v="1"/>
  </r>
  <r>
    <n v="1048910"/>
    <x v="0"/>
    <n v="9.65"/>
    <n v="9.6999999999999993"/>
    <n v="22.95"/>
    <x v="0"/>
    <x v="0"/>
    <x v="1"/>
    <x v="1"/>
  </r>
  <r>
    <n v="1048922"/>
    <x v="0"/>
    <n v="9.65"/>
    <n v="9.6999999999999993"/>
    <n v="99.95"/>
    <x v="0"/>
    <x v="0"/>
    <x v="1"/>
    <x v="1"/>
  </r>
  <r>
    <n v="1048932"/>
    <x v="0"/>
    <n v="13.64"/>
    <n v="13.69"/>
    <n v="43.25"/>
    <x v="3"/>
    <x v="0"/>
    <x v="1"/>
    <x v="1"/>
  </r>
  <r>
    <n v="1048941"/>
    <x v="0"/>
    <n v="12.75"/>
    <n v="12.8"/>
    <n v="62.9"/>
    <x v="3"/>
    <x v="0"/>
    <x v="1"/>
    <x v="1"/>
  </r>
  <r>
    <n v="1048995"/>
    <x v="0"/>
    <n v="15.02"/>
    <n v="15.07"/>
    <n v="39.950000000000003"/>
    <x v="6"/>
    <x v="0"/>
    <x v="1"/>
    <x v="1"/>
  </r>
  <r>
    <n v="1048999"/>
    <x v="0"/>
    <n v="12.75"/>
    <n v="13.25"/>
    <n v="67.05"/>
    <x v="3"/>
    <x v="0"/>
    <x v="1"/>
    <x v="1"/>
  </r>
  <r>
    <n v="1049017"/>
    <x v="0"/>
    <n v="16.440000000000001"/>
    <n v="16.489999999999998"/>
    <n v="17.899999999999999"/>
    <x v="4"/>
    <x v="0"/>
    <x v="1"/>
    <x v="1"/>
  </r>
  <r>
    <n v="1049030"/>
    <x v="0"/>
    <n v="9.65"/>
    <n v="13.69"/>
    <n v="128.69999999999999"/>
    <x v="0"/>
    <x v="0"/>
    <x v="1"/>
    <x v="1"/>
  </r>
  <r>
    <n v="1049035"/>
    <x v="0"/>
    <n v="9.65"/>
    <n v="13.69"/>
    <n v="128.69999999999999"/>
    <x v="0"/>
    <x v="0"/>
    <x v="1"/>
    <x v="1"/>
  </r>
  <r>
    <n v="1049042"/>
    <x v="0"/>
    <n v="12.75"/>
    <n v="12.8"/>
    <n v="56.85"/>
    <x v="3"/>
    <x v="0"/>
    <x v="1"/>
    <x v="1"/>
  </r>
  <r>
    <n v="1049055"/>
    <x v="0"/>
    <n v="9.66"/>
    <n v="9.7100000000000009"/>
    <n v="76.7"/>
    <x v="0"/>
    <x v="0"/>
    <x v="1"/>
    <x v="1"/>
  </r>
  <r>
    <n v="1049074"/>
    <x v="0"/>
    <n v="13.64"/>
    <n v="13.69"/>
    <n v="34.9"/>
    <x v="3"/>
    <x v="0"/>
    <x v="1"/>
    <x v="1"/>
  </r>
  <r>
    <n v="1049098"/>
    <x v="0"/>
    <n v="12.75"/>
    <n v="12.8"/>
    <n v="31.4"/>
    <x v="3"/>
    <x v="0"/>
    <x v="1"/>
    <x v="1"/>
  </r>
  <r>
    <n v="1049099"/>
    <x v="0"/>
    <n v="9.66"/>
    <n v="9.6999999999999993"/>
    <n v="123.6"/>
    <x v="0"/>
    <x v="0"/>
    <x v="1"/>
    <x v="1"/>
  </r>
  <r>
    <n v="1049104"/>
    <x v="0"/>
    <n v="12.75"/>
    <n v="12.8"/>
    <n v="39.950000000000003"/>
    <x v="3"/>
    <x v="0"/>
    <x v="1"/>
    <x v="1"/>
  </r>
  <r>
    <n v="1049107"/>
    <x v="0"/>
    <n v="12.75"/>
    <n v="12.8"/>
    <n v="25.85"/>
    <x v="3"/>
    <x v="0"/>
    <x v="1"/>
    <x v="1"/>
  </r>
  <r>
    <n v="1049128"/>
    <x v="0"/>
    <n v="13.64"/>
    <n v="13.69"/>
    <n v="63.7"/>
    <x v="3"/>
    <x v="0"/>
    <x v="1"/>
    <x v="1"/>
  </r>
  <r>
    <n v="1049142"/>
    <x v="0"/>
    <n v="16.34"/>
    <n v="16.39"/>
    <n v="143.75"/>
    <x v="4"/>
    <x v="0"/>
    <x v="1"/>
    <x v="1"/>
  </r>
  <r>
    <n v="1049168"/>
    <x v="0"/>
    <n v="12.75"/>
    <n v="12.8"/>
    <n v="21"/>
    <x v="3"/>
    <x v="0"/>
    <x v="1"/>
    <x v="1"/>
  </r>
  <r>
    <n v="1049174"/>
    <x v="0"/>
    <n v="16.649999999999999"/>
    <n v="16.7"/>
    <n v="142"/>
    <x v="4"/>
    <x v="0"/>
    <x v="1"/>
    <x v="1"/>
  </r>
  <r>
    <n v="1049185"/>
    <x v="0"/>
    <n v="13.64"/>
    <n v="13.69"/>
    <n v="12"/>
    <x v="3"/>
    <x v="0"/>
    <x v="1"/>
    <x v="1"/>
  </r>
  <r>
    <n v="1049230"/>
    <x v="0"/>
    <n v="12.75"/>
    <n v="12.8"/>
    <n v="73.8"/>
    <x v="3"/>
    <x v="0"/>
    <x v="1"/>
    <x v="1"/>
  </r>
  <r>
    <n v="1049253"/>
    <x v="0"/>
    <n v="10.94"/>
    <n v="10.99"/>
    <n v="7.6"/>
    <x v="8"/>
    <x v="0"/>
    <x v="1"/>
    <x v="1"/>
  </r>
  <r>
    <n v="1049254"/>
    <x v="0"/>
    <n v="25.84"/>
    <n v="25.89"/>
    <n v="27.8"/>
    <x v="9"/>
    <x v="0"/>
    <x v="1"/>
    <x v="1"/>
  </r>
  <r>
    <n v="1049273"/>
    <x v="0"/>
    <n v="9.65"/>
    <n v="9.6999999999999993"/>
    <n v="99.95"/>
    <x v="0"/>
    <x v="0"/>
    <x v="1"/>
    <x v="1"/>
  </r>
  <r>
    <n v="1049277"/>
    <x v="0"/>
    <n v="12.75"/>
    <n v="12.8"/>
    <n v="24.95"/>
    <x v="3"/>
    <x v="0"/>
    <x v="1"/>
    <x v="1"/>
  </r>
  <r>
    <n v="1049279"/>
    <x v="0"/>
    <n v="13.64"/>
    <n v="13.69"/>
    <n v="39.950000000000003"/>
    <x v="3"/>
    <x v="0"/>
    <x v="1"/>
    <x v="1"/>
  </r>
  <r>
    <n v="1049335"/>
    <x v="0"/>
    <n v="16.75"/>
    <n v="16.8"/>
    <n v="44.15"/>
    <x v="4"/>
    <x v="0"/>
    <x v="1"/>
    <x v="1"/>
  </r>
  <r>
    <n v="1049371"/>
    <x v="0"/>
    <n v="12.75"/>
    <n v="13.2"/>
    <n v="162.94999999999999"/>
    <x v="3"/>
    <x v="0"/>
    <x v="1"/>
    <x v="1"/>
  </r>
  <r>
    <n v="1049395"/>
    <x v="0"/>
    <n v="13.64"/>
    <n v="13.69"/>
    <n v="47.9"/>
    <x v="3"/>
    <x v="0"/>
    <x v="1"/>
    <x v="1"/>
  </r>
  <r>
    <n v="1049397"/>
    <x v="0"/>
    <n v="13.64"/>
    <n v="13.69"/>
    <n v="97.25"/>
    <x v="3"/>
    <x v="0"/>
    <x v="1"/>
    <x v="1"/>
  </r>
  <r>
    <n v="1049408"/>
    <x v="0"/>
    <n v="13.64"/>
    <n v="13.69"/>
    <n v="39.950000000000003"/>
    <x v="3"/>
    <x v="0"/>
    <x v="1"/>
    <x v="1"/>
  </r>
  <r>
    <n v="1049420"/>
    <x v="0"/>
    <n v="9.66"/>
    <n v="9.6999999999999993"/>
    <n v="39.9"/>
    <x v="0"/>
    <x v="0"/>
    <x v="1"/>
    <x v="1"/>
  </r>
  <r>
    <n v="1049424"/>
    <x v="0"/>
    <n v="12.75"/>
    <n v="12.8"/>
    <n v="27.8"/>
    <x v="3"/>
    <x v="0"/>
    <x v="1"/>
    <x v="1"/>
  </r>
  <r>
    <n v="1049458"/>
    <x v="0"/>
    <n v="12.75"/>
    <n v="12.8"/>
    <n v="29.85"/>
    <x v="3"/>
    <x v="0"/>
    <x v="1"/>
    <x v="1"/>
  </r>
  <r>
    <n v="1049464"/>
    <x v="0"/>
    <n v="13.64"/>
    <n v="14.14"/>
    <n v="85.15"/>
    <x v="3"/>
    <x v="0"/>
    <x v="1"/>
    <x v="1"/>
  </r>
  <r>
    <n v="1049477"/>
    <x v="0"/>
    <n v="13.64"/>
    <n v="13.69"/>
    <n v="29.9"/>
    <x v="3"/>
    <x v="0"/>
    <x v="1"/>
    <x v="1"/>
  </r>
  <r>
    <n v="1049492"/>
    <x v="0"/>
    <n v="13.64"/>
    <n v="13.69"/>
    <n v="5"/>
    <x v="3"/>
    <x v="0"/>
    <x v="1"/>
    <x v="1"/>
  </r>
  <r>
    <n v="1049513"/>
    <x v="0"/>
    <n v="33.380000000000003"/>
    <n v="39.159999999999997"/>
    <n v="44.95"/>
    <x v="9"/>
    <x v="0"/>
    <x v="1"/>
    <x v="1"/>
  </r>
  <r>
    <n v="1049514"/>
    <x v="0"/>
    <n v="13.64"/>
    <n v="13.69"/>
    <n v="10.45"/>
    <x v="3"/>
    <x v="0"/>
    <x v="1"/>
    <x v="1"/>
  </r>
  <r>
    <n v="1049515"/>
    <x v="0"/>
    <n v="16.440000000000001"/>
    <n v="16.489999999999998"/>
    <n v="5"/>
    <x v="4"/>
    <x v="0"/>
    <x v="1"/>
    <x v="1"/>
  </r>
  <r>
    <n v="1049537"/>
    <x v="0"/>
    <n v="12.75"/>
    <n v="12.8"/>
    <n v="5"/>
    <x v="3"/>
    <x v="0"/>
    <x v="1"/>
    <x v="1"/>
  </r>
  <r>
    <n v="1049543"/>
    <x v="0"/>
    <n v="9.66"/>
    <n v="9.7100000000000009"/>
    <n v="81.55"/>
    <x v="0"/>
    <x v="0"/>
    <x v="1"/>
    <x v="1"/>
  </r>
  <r>
    <n v="1049545"/>
    <x v="0"/>
    <n v="12.75"/>
    <n v="12.8"/>
    <n v="5"/>
    <x v="3"/>
    <x v="0"/>
    <x v="1"/>
    <x v="1"/>
  </r>
  <r>
    <n v="1049572"/>
    <x v="0"/>
    <n v="12.75"/>
    <n v="13.25"/>
    <n v="97.7"/>
    <x v="3"/>
    <x v="0"/>
    <x v="1"/>
    <x v="1"/>
  </r>
  <r>
    <n v="1049586"/>
    <x v="0"/>
    <n v="9.65"/>
    <n v="9.6999999999999993"/>
    <n v="5"/>
    <x v="0"/>
    <x v="0"/>
    <x v="1"/>
    <x v="1"/>
  </r>
  <r>
    <n v="1049614"/>
    <x v="0"/>
    <n v="13.64"/>
    <n v="13.69"/>
    <n v="24.55"/>
    <x v="3"/>
    <x v="0"/>
    <x v="1"/>
    <x v="1"/>
  </r>
  <r>
    <n v="1049627"/>
    <x v="0"/>
    <n v="13.64"/>
    <n v="13.69"/>
    <n v="17.850000000000001"/>
    <x v="3"/>
    <x v="0"/>
    <x v="1"/>
    <x v="1"/>
  </r>
  <r>
    <n v="1049643"/>
    <x v="0"/>
    <n v="12.75"/>
    <n v="12.8"/>
    <n v="39.950000000000003"/>
    <x v="3"/>
    <x v="0"/>
    <x v="1"/>
    <x v="1"/>
  </r>
  <r>
    <n v="1049649"/>
    <x v="0"/>
    <n v="13.63"/>
    <n v="13.69"/>
    <n v="64.400000000000006"/>
    <x v="3"/>
    <x v="0"/>
    <x v="1"/>
    <x v="1"/>
  </r>
  <r>
    <n v="1049709"/>
    <x v="0"/>
    <n v="9.65"/>
    <n v="9.6999999999999993"/>
    <n v="5.9"/>
    <x v="0"/>
    <x v="0"/>
    <x v="1"/>
    <x v="1"/>
  </r>
  <r>
    <n v="1049722"/>
    <x v="0"/>
    <n v="12.75"/>
    <n v="12.8"/>
    <n v="5"/>
    <x v="3"/>
    <x v="0"/>
    <x v="1"/>
    <x v="1"/>
  </r>
  <r>
    <n v="1049724"/>
    <x v="0"/>
    <n v="13.64"/>
    <n v="13.69"/>
    <n v="5"/>
    <x v="3"/>
    <x v="0"/>
    <x v="1"/>
    <x v="1"/>
  </r>
  <r>
    <n v="1049725"/>
    <x v="0"/>
    <n v="16.649999999999999"/>
    <n v="16.7"/>
    <n v="5"/>
    <x v="4"/>
    <x v="0"/>
    <x v="1"/>
    <x v="1"/>
  </r>
  <r>
    <n v="1049733"/>
    <x v="0"/>
    <n v="13.64"/>
    <n v="13.69"/>
    <n v="13.4"/>
    <x v="3"/>
    <x v="0"/>
    <x v="1"/>
    <x v="1"/>
  </r>
  <r>
    <n v="1049735"/>
    <x v="0"/>
    <n v="13.64"/>
    <n v="13.69"/>
    <n v="37.299999999999997"/>
    <x v="3"/>
    <x v="0"/>
    <x v="1"/>
    <x v="1"/>
  </r>
  <r>
    <n v="1049746"/>
    <x v="0"/>
    <n v="13.64"/>
    <n v="13.69"/>
    <n v="11.95"/>
    <x v="3"/>
    <x v="0"/>
    <x v="1"/>
    <x v="1"/>
  </r>
  <r>
    <n v="1049754"/>
    <x v="0"/>
    <n v="12.75"/>
    <n v="12.8"/>
    <n v="35.75"/>
    <x v="3"/>
    <x v="0"/>
    <x v="1"/>
    <x v="1"/>
  </r>
  <r>
    <n v="1049773"/>
    <x v="0"/>
    <n v="12.75"/>
    <n v="12.8"/>
    <n v="69.900000000000006"/>
    <x v="3"/>
    <x v="0"/>
    <x v="1"/>
    <x v="1"/>
  </r>
  <r>
    <n v="1049775"/>
    <x v="0"/>
    <n v="12.75"/>
    <n v="12.8"/>
    <n v="5"/>
    <x v="3"/>
    <x v="0"/>
    <x v="1"/>
    <x v="1"/>
  </r>
  <r>
    <n v="1049794"/>
    <x v="0"/>
    <n v="13.64"/>
    <n v="13.69"/>
    <n v="13.9"/>
    <x v="3"/>
    <x v="0"/>
    <x v="1"/>
    <x v="1"/>
  </r>
  <r>
    <n v="1049803"/>
    <x v="0"/>
    <n v="13.64"/>
    <n v="13.73"/>
    <n v="116.3"/>
    <x v="3"/>
    <x v="0"/>
    <x v="1"/>
    <x v="1"/>
  </r>
  <r>
    <n v="1049843"/>
    <x v="0"/>
    <n v="13.64"/>
    <n v="13.69"/>
    <n v="49.45"/>
    <x v="3"/>
    <x v="0"/>
    <x v="1"/>
    <x v="1"/>
  </r>
  <r>
    <n v="1049900"/>
    <x v="0"/>
    <n v="12.75"/>
    <n v="12.8"/>
    <n v="148.44999999999999"/>
    <x v="3"/>
    <x v="0"/>
    <x v="1"/>
    <x v="1"/>
  </r>
  <r>
    <n v="1049909"/>
    <x v="0"/>
    <n v="16.440000000000001"/>
    <n v="16.489999999999998"/>
    <n v="19.5"/>
    <x v="4"/>
    <x v="0"/>
    <x v="1"/>
    <x v="1"/>
  </r>
  <r>
    <n v="1049913"/>
    <x v="0"/>
    <n v="16.34"/>
    <n v="16.39"/>
    <n v="144.85"/>
    <x v="4"/>
    <x v="0"/>
    <x v="1"/>
    <x v="1"/>
  </r>
  <r>
    <n v="1049995"/>
    <x v="0"/>
    <n v="12.75"/>
    <n v="12.8"/>
    <n v="117.75"/>
    <x v="3"/>
    <x v="0"/>
    <x v="1"/>
    <x v="1"/>
  </r>
  <r>
    <n v="1050026"/>
    <x v="0"/>
    <n v="29.61"/>
    <n v="29.65"/>
    <n v="29.95"/>
    <x v="7"/>
    <x v="0"/>
    <x v="1"/>
    <x v="1"/>
  </r>
  <r>
    <n v="1050044"/>
    <x v="0"/>
    <n v="16.34"/>
    <n v="16.39"/>
    <n v="69.900000000000006"/>
    <x v="4"/>
    <x v="0"/>
    <x v="1"/>
    <x v="1"/>
  </r>
  <r>
    <n v="1050065"/>
    <x v="0"/>
    <n v="16.34"/>
    <n v="16.39"/>
    <n v="141.85"/>
    <x v="4"/>
    <x v="0"/>
    <x v="1"/>
    <x v="1"/>
  </r>
  <r>
    <n v="1050080"/>
    <x v="0"/>
    <n v="12.75"/>
    <n v="12.8"/>
    <n v="19.850000000000001"/>
    <x v="3"/>
    <x v="0"/>
    <x v="1"/>
    <x v="1"/>
  </r>
  <r>
    <n v="1050094"/>
    <x v="0"/>
    <n v="13.64"/>
    <n v="13.69"/>
    <n v="47.9"/>
    <x v="3"/>
    <x v="0"/>
    <x v="1"/>
    <x v="1"/>
  </r>
  <r>
    <n v="1050095"/>
    <x v="0"/>
    <n v="11.94"/>
    <n v="11"/>
    <n v="98.7"/>
    <x v="8"/>
    <x v="0"/>
    <x v="0"/>
    <x v="59"/>
  </r>
  <r>
    <n v="1050115"/>
    <x v="0"/>
    <n v="9.66"/>
    <n v="9.7100000000000009"/>
    <n v="19.899999999999999"/>
    <x v="0"/>
    <x v="0"/>
    <x v="1"/>
    <x v="1"/>
  </r>
  <r>
    <n v="1050123"/>
    <x v="0"/>
    <n v="13.64"/>
    <n v="13.69"/>
    <n v="20.85"/>
    <x v="3"/>
    <x v="0"/>
    <x v="1"/>
    <x v="1"/>
  </r>
  <r>
    <n v="1050124"/>
    <x v="0"/>
    <n v="23.47"/>
    <n v="24.74"/>
    <n v="55.95"/>
    <x v="9"/>
    <x v="0"/>
    <x v="1"/>
    <x v="1"/>
  </r>
  <r>
    <n v="1050130"/>
    <x v="0"/>
    <n v="9.66"/>
    <n v="9.7100000000000009"/>
    <n v="19.899999999999999"/>
    <x v="0"/>
    <x v="0"/>
    <x v="1"/>
    <x v="1"/>
  </r>
  <r>
    <n v="1050138"/>
    <x v="0"/>
    <n v="16.649999999999999"/>
    <n v="16.7"/>
    <n v="35.6"/>
    <x v="4"/>
    <x v="0"/>
    <x v="1"/>
    <x v="1"/>
  </r>
  <r>
    <n v="1050151"/>
    <x v="0"/>
    <n v="16.649999999999999"/>
    <n v="16.7"/>
    <n v="7.95"/>
    <x v="4"/>
    <x v="0"/>
    <x v="1"/>
    <x v="1"/>
  </r>
  <r>
    <n v="1050172"/>
    <x v="0"/>
    <n v="9.65"/>
    <n v="9.6999999999999993"/>
    <n v="62.2"/>
    <x v="0"/>
    <x v="0"/>
    <x v="1"/>
    <x v="1"/>
  </r>
  <r>
    <n v="1050174"/>
    <x v="0"/>
    <n v="9.65"/>
    <n v="9.6999999999999993"/>
    <n v="164.5"/>
    <x v="0"/>
    <x v="0"/>
    <x v="1"/>
    <x v="1"/>
  </r>
  <r>
    <n v="1050175"/>
    <x v="0"/>
    <n v="23.16"/>
    <n v="23.21"/>
    <n v="22.5"/>
    <x v="9"/>
    <x v="0"/>
    <x v="1"/>
    <x v="1"/>
  </r>
  <r>
    <n v="1050179"/>
    <x v="0"/>
    <n v="12.75"/>
    <n v="12.8"/>
    <n v="29.95"/>
    <x v="3"/>
    <x v="0"/>
    <x v="1"/>
    <x v="1"/>
  </r>
  <r>
    <n v="1050195"/>
    <x v="0"/>
    <n v="12.75"/>
    <n v="12.8"/>
    <n v="80.849999999999994"/>
    <x v="3"/>
    <x v="0"/>
    <x v="1"/>
    <x v="1"/>
  </r>
  <r>
    <n v="1050203"/>
    <x v="0"/>
    <n v="13.64"/>
    <n v="13.69"/>
    <n v="59.05"/>
    <x v="3"/>
    <x v="0"/>
    <x v="1"/>
    <x v="1"/>
  </r>
  <r>
    <n v="1050225"/>
    <x v="0"/>
    <n v="9.65"/>
    <n v="10.26"/>
    <n v="99.9"/>
    <x v="0"/>
    <x v="0"/>
    <x v="1"/>
    <x v="1"/>
  </r>
  <r>
    <n v="1050228"/>
    <x v="0"/>
    <n v="9.66"/>
    <n v="9.7100000000000009"/>
    <n v="52.5"/>
    <x v="0"/>
    <x v="0"/>
    <x v="1"/>
    <x v="1"/>
  </r>
  <r>
    <n v="1050258"/>
    <x v="0"/>
    <n v="15.32"/>
    <n v="15.96"/>
    <n v="49.9"/>
    <x v="6"/>
    <x v="0"/>
    <x v="1"/>
    <x v="1"/>
  </r>
  <r>
    <n v="1050265"/>
    <x v="0"/>
    <n v="12.75"/>
    <n v="12.8"/>
    <n v="41.7"/>
    <x v="3"/>
    <x v="0"/>
    <x v="1"/>
    <x v="1"/>
  </r>
  <r>
    <n v="1050272"/>
    <x v="0"/>
    <n v="9.65"/>
    <n v="13.68"/>
    <n v="40.799999999999997"/>
    <x v="0"/>
    <x v="0"/>
    <x v="1"/>
    <x v="1"/>
  </r>
  <r>
    <n v="1050294"/>
    <x v="0"/>
    <n v="13.64"/>
    <n v="13.69"/>
    <n v="42.85"/>
    <x v="3"/>
    <x v="0"/>
    <x v="1"/>
    <x v="1"/>
  </r>
  <r>
    <n v="1050309"/>
    <x v="0"/>
    <n v="12.75"/>
    <n v="12.8"/>
    <n v="45.65"/>
    <x v="3"/>
    <x v="0"/>
    <x v="1"/>
    <x v="1"/>
  </r>
  <r>
    <n v="1050326"/>
    <x v="0"/>
    <n v="12.75"/>
    <n v="12.8"/>
    <n v="46.65"/>
    <x v="3"/>
    <x v="0"/>
    <x v="1"/>
    <x v="1"/>
  </r>
  <r>
    <n v="1050333"/>
    <x v="0"/>
    <n v="9.65"/>
    <n v="9.6999999999999993"/>
    <n v="5.95"/>
    <x v="0"/>
    <x v="0"/>
    <x v="1"/>
    <x v="1"/>
  </r>
  <r>
    <n v="1050363"/>
    <x v="0"/>
    <n v="13.64"/>
    <n v="13.69"/>
    <n v="24.95"/>
    <x v="3"/>
    <x v="0"/>
    <x v="1"/>
    <x v="1"/>
  </r>
  <r>
    <n v="1050367"/>
    <x v="0"/>
    <n v="12.75"/>
    <n v="12.8"/>
    <n v="3.95"/>
    <x v="3"/>
    <x v="0"/>
    <x v="1"/>
    <x v="1"/>
  </r>
  <r>
    <n v="1050368"/>
    <x v="0"/>
    <n v="12.75"/>
    <n v="12.8"/>
    <n v="20.9"/>
    <x v="3"/>
    <x v="0"/>
    <x v="1"/>
    <x v="1"/>
  </r>
  <r>
    <n v="1050379"/>
    <x v="0"/>
    <n v="9.66"/>
    <n v="9.7100000000000009"/>
    <n v="15.9"/>
    <x v="0"/>
    <x v="0"/>
    <x v="1"/>
    <x v="1"/>
  </r>
  <r>
    <n v="1050398"/>
    <x v="0"/>
    <n v="24.69"/>
    <n v="27.29"/>
    <n v="49.45"/>
    <x v="9"/>
    <x v="0"/>
    <x v="1"/>
    <x v="1"/>
  </r>
  <r>
    <n v="1050484"/>
    <x v="0"/>
    <n v="12.97"/>
    <n v="12.8"/>
    <n v="174.8"/>
    <x v="3"/>
    <x v="0"/>
    <x v="0"/>
    <x v="60"/>
  </r>
  <r>
    <n v="1050486"/>
    <x v="0"/>
    <n v="12.75"/>
    <n v="12.8"/>
    <n v="133"/>
    <x v="3"/>
    <x v="0"/>
    <x v="1"/>
    <x v="1"/>
  </r>
  <r>
    <n v="1050502"/>
    <x v="0"/>
    <n v="13.64"/>
    <n v="13.69"/>
    <n v="45.9"/>
    <x v="3"/>
    <x v="0"/>
    <x v="1"/>
    <x v="1"/>
  </r>
  <r>
    <n v="1050503"/>
    <x v="0"/>
    <n v="101.51"/>
    <n v="111.23"/>
    <n v="606.4"/>
    <x v="2"/>
    <x v="0"/>
    <x v="1"/>
    <x v="1"/>
  </r>
  <r>
    <n v="1050522"/>
    <x v="0"/>
    <n v="12.75"/>
    <n v="12.8"/>
    <n v="41.8"/>
    <x v="3"/>
    <x v="0"/>
    <x v="1"/>
    <x v="1"/>
  </r>
  <r>
    <n v="1050531"/>
    <x v="0"/>
    <n v="9.66"/>
    <n v="13.69"/>
    <n v="24.95"/>
    <x v="0"/>
    <x v="0"/>
    <x v="1"/>
    <x v="1"/>
  </r>
  <r>
    <n v="1050540"/>
    <x v="0"/>
    <n v="9.65"/>
    <n v="9.6999999999999993"/>
    <n v="25.95"/>
    <x v="0"/>
    <x v="0"/>
    <x v="1"/>
    <x v="1"/>
  </r>
  <r>
    <n v="1050557"/>
    <x v="0"/>
    <n v="9.65"/>
    <n v="9.6999999999999993"/>
    <n v="15.8"/>
    <x v="0"/>
    <x v="0"/>
    <x v="1"/>
    <x v="1"/>
  </r>
  <r>
    <n v="1050565"/>
    <x v="0"/>
    <n v="12.75"/>
    <n v="12.8"/>
    <n v="15.9"/>
    <x v="3"/>
    <x v="0"/>
    <x v="1"/>
    <x v="1"/>
  </r>
  <r>
    <n v="1050576"/>
    <x v="0"/>
    <n v="9.65"/>
    <n v="9.6999999999999993"/>
    <n v="99.95"/>
    <x v="0"/>
    <x v="0"/>
    <x v="1"/>
    <x v="1"/>
  </r>
  <r>
    <n v="1050585"/>
    <x v="0"/>
    <n v="13.64"/>
    <n v="13.69"/>
    <n v="39.950000000000003"/>
    <x v="3"/>
    <x v="0"/>
    <x v="1"/>
    <x v="1"/>
  </r>
  <r>
    <n v="1050589"/>
    <x v="0"/>
    <n v="9.65"/>
    <n v="9.6999999999999993"/>
    <n v="39.950000000000003"/>
    <x v="0"/>
    <x v="0"/>
    <x v="1"/>
    <x v="1"/>
  </r>
  <r>
    <n v="1050596"/>
    <x v="0"/>
    <n v="13.63"/>
    <n v="13.68"/>
    <n v="87.65"/>
    <x v="3"/>
    <x v="0"/>
    <x v="1"/>
    <x v="1"/>
  </r>
  <r>
    <n v="1050604"/>
    <x v="0"/>
    <n v="15.02"/>
    <n v="15.07"/>
    <n v="38.799999999999997"/>
    <x v="6"/>
    <x v="0"/>
    <x v="1"/>
    <x v="1"/>
  </r>
  <r>
    <n v="1050629"/>
    <x v="0"/>
    <n v="9.65"/>
    <n v="12.8"/>
    <n v="69.8"/>
    <x v="0"/>
    <x v="0"/>
    <x v="1"/>
    <x v="1"/>
  </r>
  <r>
    <n v="1050635"/>
    <x v="0"/>
    <n v="15.33"/>
    <n v="15.38"/>
    <n v="6"/>
    <x v="6"/>
    <x v="0"/>
    <x v="1"/>
    <x v="1"/>
  </r>
  <r>
    <n v="1050637"/>
    <x v="0"/>
    <n v="9.65"/>
    <n v="9.6999999999999993"/>
    <n v="74.849999999999994"/>
    <x v="0"/>
    <x v="0"/>
    <x v="1"/>
    <x v="1"/>
  </r>
  <r>
    <n v="1050645"/>
    <x v="0"/>
    <n v="12.75"/>
    <n v="12.8"/>
    <n v="34.950000000000003"/>
    <x v="3"/>
    <x v="0"/>
    <x v="1"/>
    <x v="1"/>
  </r>
  <r>
    <n v="1050653"/>
    <x v="0"/>
    <n v="12.75"/>
    <n v="12.8"/>
    <n v="69.900000000000006"/>
    <x v="3"/>
    <x v="0"/>
    <x v="1"/>
    <x v="1"/>
  </r>
  <r>
    <n v="1050661"/>
    <x v="0"/>
    <n v="12.75"/>
    <n v="12.8"/>
    <n v="47.9"/>
    <x v="3"/>
    <x v="0"/>
    <x v="1"/>
    <x v="1"/>
  </r>
  <r>
    <n v="1050666"/>
    <x v="0"/>
    <n v="12.75"/>
    <n v="13.03"/>
    <n v="99.95"/>
    <x v="3"/>
    <x v="0"/>
    <x v="1"/>
    <x v="1"/>
  </r>
  <r>
    <n v="1050696"/>
    <x v="0"/>
    <n v="12.75"/>
    <n v="12.8"/>
    <n v="32.4"/>
    <x v="3"/>
    <x v="0"/>
    <x v="1"/>
    <x v="1"/>
  </r>
  <r>
    <n v="1050701"/>
    <x v="0"/>
    <n v="16.649999999999999"/>
    <n v="16.690000000000001"/>
    <n v="72.400000000000006"/>
    <x v="4"/>
    <x v="0"/>
    <x v="1"/>
    <x v="1"/>
  </r>
  <r>
    <n v="1050711"/>
    <x v="0"/>
    <n v="13.64"/>
    <n v="13.69"/>
    <n v="109.85"/>
    <x v="3"/>
    <x v="0"/>
    <x v="1"/>
    <x v="1"/>
  </r>
  <r>
    <n v="1050716"/>
    <x v="0"/>
    <n v="12.75"/>
    <n v="13.03"/>
    <n v="99.95"/>
    <x v="3"/>
    <x v="0"/>
    <x v="1"/>
    <x v="1"/>
  </r>
  <r>
    <n v="1050743"/>
    <x v="0"/>
    <n v="16.27"/>
    <n v="17.690000000000001"/>
    <n v="42.1"/>
    <x v="6"/>
    <x v="0"/>
    <x v="1"/>
    <x v="1"/>
  </r>
  <r>
    <n v="1050745"/>
    <x v="0"/>
    <n v="16.34"/>
    <n v="16.39"/>
    <n v="30.3"/>
    <x v="4"/>
    <x v="0"/>
    <x v="1"/>
    <x v="1"/>
  </r>
  <r>
    <n v="1050746"/>
    <x v="0"/>
    <n v="13.64"/>
    <n v="13.69"/>
    <n v="99.95"/>
    <x v="3"/>
    <x v="0"/>
    <x v="1"/>
    <x v="1"/>
  </r>
  <r>
    <n v="1050748"/>
    <x v="0"/>
    <n v="13.63"/>
    <n v="13.68"/>
    <n v="42.95"/>
    <x v="3"/>
    <x v="0"/>
    <x v="1"/>
    <x v="1"/>
  </r>
  <r>
    <n v="1050762"/>
    <x v="0"/>
    <n v="12.75"/>
    <n v="12.8"/>
    <n v="47.9"/>
    <x v="3"/>
    <x v="0"/>
    <x v="1"/>
    <x v="1"/>
  </r>
  <r>
    <n v="1050767"/>
    <x v="0"/>
    <n v="13.64"/>
    <n v="13.69"/>
    <n v="39.950000000000003"/>
    <x v="3"/>
    <x v="0"/>
    <x v="1"/>
    <x v="1"/>
  </r>
  <r>
    <n v="1050784"/>
    <x v="0"/>
    <n v="12.75"/>
    <n v="12.8"/>
    <n v="36.9"/>
    <x v="3"/>
    <x v="0"/>
    <x v="1"/>
    <x v="1"/>
  </r>
  <r>
    <n v="1050790"/>
    <x v="0"/>
    <n v="15.33"/>
    <n v="15.38"/>
    <n v="28.73"/>
    <x v="6"/>
    <x v="0"/>
    <x v="1"/>
    <x v="1"/>
  </r>
  <r>
    <n v="1050813"/>
    <x v="0"/>
    <n v="15.35"/>
    <n v="15.39"/>
    <n v="34.75"/>
    <x v="6"/>
    <x v="0"/>
    <x v="1"/>
    <x v="1"/>
  </r>
  <r>
    <n v="1050830"/>
    <x v="0"/>
    <n v="13.64"/>
    <n v="13.69"/>
    <n v="74.75"/>
    <x v="3"/>
    <x v="0"/>
    <x v="1"/>
    <x v="1"/>
  </r>
  <r>
    <n v="1050858"/>
    <x v="0"/>
    <n v="9.66"/>
    <n v="9.7100000000000009"/>
    <n v="39.950000000000003"/>
    <x v="0"/>
    <x v="0"/>
    <x v="1"/>
    <x v="1"/>
  </r>
  <r>
    <n v="1050867"/>
    <x v="0"/>
    <n v="13.64"/>
    <n v="13.69"/>
    <n v="99.95"/>
    <x v="3"/>
    <x v="0"/>
    <x v="1"/>
    <x v="1"/>
  </r>
  <r>
    <n v="1050876"/>
    <x v="0"/>
    <n v="12.75"/>
    <n v="12.8"/>
    <n v="109.95"/>
    <x v="3"/>
    <x v="0"/>
    <x v="1"/>
    <x v="1"/>
  </r>
  <r>
    <n v="1050879"/>
    <x v="0"/>
    <n v="12.75"/>
    <n v="12.8"/>
    <n v="47.9"/>
    <x v="3"/>
    <x v="0"/>
    <x v="1"/>
    <x v="1"/>
  </r>
  <r>
    <n v="1050918"/>
    <x v="0"/>
    <n v="12.75"/>
    <n v="13.03"/>
    <n v="99.95"/>
    <x v="3"/>
    <x v="0"/>
    <x v="1"/>
    <x v="1"/>
  </r>
  <r>
    <n v="1050925"/>
    <x v="0"/>
    <n v="15.02"/>
    <n v="15.07"/>
    <n v="47.35"/>
    <x v="6"/>
    <x v="0"/>
    <x v="1"/>
    <x v="1"/>
  </r>
  <r>
    <n v="1050950"/>
    <x v="0"/>
    <n v="9.66"/>
    <n v="9.7100000000000009"/>
    <n v="73.8"/>
    <x v="0"/>
    <x v="0"/>
    <x v="1"/>
    <x v="1"/>
  </r>
  <r>
    <n v="1050956"/>
    <x v="0"/>
    <n v="13.64"/>
    <n v="13.69"/>
    <n v="39.950000000000003"/>
    <x v="3"/>
    <x v="0"/>
    <x v="1"/>
    <x v="1"/>
  </r>
  <r>
    <n v="1050957"/>
    <x v="0"/>
    <n v="13.64"/>
    <n v="13.69"/>
    <n v="75.8"/>
    <x v="3"/>
    <x v="0"/>
    <x v="1"/>
    <x v="1"/>
  </r>
  <r>
    <n v="1050976"/>
    <x v="0"/>
    <n v="10.94"/>
    <n v="10.99"/>
    <n v="11.9"/>
    <x v="8"/>
    <x v="0"/>
    <x v="1"/>
    <x v="1"/>
  </r>
  <r>
    <n v="1050986"/>
    <x v="0"/>
    <n v="15.22"/>
    <n v="19.27"/>
    <n v="89.9"/>
    <x v="3"/>
    <x v="0"/>
    <x v="1"/>
    <x v="1"/>
  </r>
  <r>
    <n v="1050995"/>
    <x v="0"/>
    <n v="13.64"/>
    <n v="13.69"/>
    <n v="17.8"/>
    <x v="3"/>
    <x v="0"/>
    <x v="1"/>
    <x v="1"/>
  </r>
  <r>
    <n v="1050997"/>
    <x v="0"/>
    <n v="12.75"/>
    <n v="12.8"/>
    <n v="39.950000000000003"/>
    <x v="3"/>
    <x v="0"/>
    <x v="1"/>
    <x v="1"/>
  </r>
  <r>
    <n v="1051000"/>
    <x v="0"/>
    <n v="16.34"/>
    <n v="16.39"/>
    <n v="54.9"/>
    <x v="4"/>
    <x v="0"/>
    <x v="1"/>
    <x v="1"/>
  </r>
  <r>
    <n v="1051001"/>
    <x v="0"/>
    <n v="9.65"/>
    <n v="9.6999999999999993"/>
    <n v="99.95"/>
    <x v="0"/>
    <x v="0"/>
    <x v="1"/>
    <x v="1"/>
  </r>
  <r>
    <n v="1051015"/>
    <x v="0"/>
    <n v="12.75"/>
    <n v="12.8"/>
    <n v="73.3"/>
    <x v="3"/>
    <x v="0"/>
    <x v="1"/>
    <x v="1"/>
  </r>
  <r>
    <n v="1051043"/>
    <x v="0"/>
    <n v="12.75"/>
    <n v="12.8"/>
    <n v="11.8"/>
    <x v="3"/>
    <x v="0"/>
    <x v="1"/>
    <x v="1"/>
  </r>
  <r>
    <n v="1051048"/>
    <x v="0"/>
    <n v="13.2"/>
    <n v="13.25"/>
    <n v="44.94"/>
    <x v="3"/>
    <x v="0"/>
    <x v="1"/>
    <x v="1"/>
  </r>
  <r>
    <n v="1051049"/>
    <x v="0"/>
    <n v="16.34"/>
    <n v="16.39"/>
    <n v="39.950000000000003"/>
    <x v="4"/>
    <x v="0"/>
    <x v="1"/>
    <x v="1"/>
  </r>
  <r>
    <n v="1051050"/>
    <x v="0"/>
    <n v="9.66"/>
    <n v="9.7100000000000009"/>
    <n v="71.95"/>
    <x v="0"/>
    <x v="0"/>
    <x v="1"/>
    <x v="1"/>
  </r>
  <r>
    <n v="1051067"/>
    <x v="0"/>
    <n v="16.64"/>
    <n v="18.07"/>
    <n v="33.549999999999997"/>
    <x v="4"/>
    <x v="0"/>
    <x v="1"/>
    <x v="1"/>
  </r>
  <r>
    <n v="1051071"/>
    <x v="0"/>
    <n v="9.65"/>
    <n v="9.6999999999999993"/>
    <n v="13.9"/>
    <x v="0"/>
    <x v="0"/>
    <x v="1"/>
    <x v="1"/>
  </r>
  <r>
    <n v="1051084"/>
    <x v="0"/>
    <n v="12.75"/>
    <n v="12.8"/>
    <n v="91.65"/>
    <x v="3"/>
    <x v="0"/>
    <x v="1"/>
    <x v="1"/>
  </r>
  <r>
    <n v="1051097"/>
    <x v="0"/>
    <n v="13.64"/>
    <n v="13.69"/>
    <n v="42.8"/>
    <x v="3"/>
    <x v="0"/>
    <x v="1"/>
    <x v="1"/>
  </r>
  <r>
    <n v="1051098"/>
    <x v="0"/>
    <n v="12.75"/>
    <n v="14.21"/>
    <n v="103.9"/>
    <x v="3"/>
    <x v="0"/>
    <x v="1"/>
    <x v="1"/>
  </r>
  <r>
    <n v="1051125"/>
    <x v="0"/>
    <n v="13.64"/>
    <n v="13.69"/>
    <n v="47.9"/>
    <x v="3"/>
    <x v="0"/>
    <x v="1"/>
    <x v="1"/>
  </r>
  <r>
    <n v="1051129"/>
    <x v="0"/>
    <n v="12.75"/>
    <n v="13.25"/>
    <n v="53.6"/>
    <x v="3"/>
    <x v="0"/>
    <x v="1"/>
    <x v="1"/>
  </r>
  <r>
    <n v="1051139"/>
    <x v="0"/>
    <n v="16.34"/>
    <n v="16.39"/>
    <n v="26.85"/>
    <x v="4"/>
    <x v="0"/>
    <x v="1"/>
    <x v="1"/>
  </r>
  <r>
    <n v="1051148"/>
    <x v="0"/>
    <n v="13.64"/>
    <n v="13.69"/>
    <n v="34.75"/>
    <x v="3"/>
    <x v="0"/>
    <x v="1"/>
    <x v="1"/>
  </r>
  <r>
    <n v="1051149"/>
    <x v="0"/>
    <n v="13.64"/>
    <n v="13.69"/>
    <n v="135"/>
    <x v="3"/>
    <x v="0"/>
    <x v="1"/>
    <x v="1"/>
  </r>
  <r>
    <n v="1051151"/>
    <x v="0"/>
    <n v="12.75"/>
    <n v="12.8"/>
    <n v="39.950000000000003"/>
    <x v="3"/>
    <x v="0"/>
    <x v="1"/>
    <x v="1"/>
  </r>
  <r>
    <n v="1051185"/>
    <x v="0"/>
    <n v="16.649999999999999"/>
    <n v="16.7"/>
    <n v="142.6"/>
    <x v="4"/>
    <x v="0"/>
    <x v="1"/>
    <x v="1"/>
  </r>
  <r>
    <n v="1051197"/>
    <x v="0"/>
    <n v="12.75"/>
    <n v="12.8"/>
    <n v="99.95"/>
    <x v="3"/>
    <x v="0"/>
    <x v="1"/>
    <x v="1"/>
  </r>
  <r>
    <n v="1051227"/>
    <x v="0"/>
    <n v="12.75"/>
    <n v="12.8"/>
    <n v="44.8"/>
    <x v="3"/>
    <x v="0"/>
    <x v="1"/>
    <x v="1"/>
  </r>
  <r>
    <n v="1051279"/>
    <x v="0"/>
    <n v="9.66"/>
    <n v="9.6999999999999993"/>
    <n v="89"/>
    <x v="0"/>
    <x v="0"/>
    <x v="1"/>
    <x v="1"/>
  </r>
  <r>
    <n v="1051289"/>
    <x v="0"/>
    <n v="9.66"/>
    <n v="9.7100000000000009"/>
    <n v="31.9"/>
    <x v="0"/>
    <x v="0"/>
    <x v="1"/>
    <x v="1"/>
  </r>
  <r>
    <n v="1051292"/>
    <x v="0"/>
    <n v="12.75"/>
    <n v="12.8"/>
    <n v="14.95"/>
    <x v="3"/>
    <x v="0"/>
    <x v="1"/>
    <x v="1"/>
  </r>
  <r>
    <n v="1051307"/>
    <x v="0"/>
    <n v="13.5"/>
    <n v="13.55"/>
    <n v="23.85"/>
    <x v="10"/>
    <x v="0"/>
    <x v="1"/>
    <x v="1"/>
  </r>
  <r>
    <n v="1051329"/>
    <x v="0"/>
    <n v="12.75"/>
    <n v="12.8"/>
    <n v="26.95"/>
    <x v="3"/>
    <x v="0"/>
    <x v="1"/>
    <x v="1"/>
  </r>
  <r>
    <n v="1051330"/>
    <x v="0"/>
    <n v="9.66"/>
    <n v="9.7100000000000009"/>
    <n v="44.85"/>
    <x v="0"/>
    <x v="0"/>
    <x v="1"/>
    <x v="1"/>
  </r>
  <r>
    <n v="1051357"/>
    <x v="0"/>
    <n v="12.75"/>
    <n v="12.8"/>
    <n v="157.9"/>
    <x v="3"/>
    <x v="0"/>
    <x v="1"/>
    <x v="1"/>
  </r>
  <r>
    <n v="1051360"/>
    <x v="0"/>
    <n v="15.02"/>
    <n v="15.07"/>
    <n v="12.9"/>
    <x v="6"/>
    <x v="0"/>
    <x v="1"/>
    <x v="1"/>
  </r>
  <r>
    <n v="1051383"/>
    <x v="0"/>
    <n v="13.64"/>
    <n v="13.69"/>
    <n v="84.9"/>
    <x v="3"/>
    <x v="0"/>
    <x v="1"/>
    <x v="1"/>
  </r>
  <r>
    <n v="1051387"/>
    <x v="0"/>
    <n v="12.75"/>
    <n v="12.8"/>
    <n v="61.8"/>
    <x v="3"/>
    <x v="0"/>
    <x v="1"/>
    <x v="1"/>
  </r>
  <r>
    <n v="1051406"/>
    <x v="0"/>
    <n v="13.64"/>
    <n v="13.69"/>
    <n v="14.8"/>
    <x v="3"/>
    <x v="0"/>
    <x v="1"/>
    <x v="1"/>
  </r>
  <r>
    <n v="1051415"/>
    <x v="0"/>
    <n v="22.29"/>
    <n v="26.42"/>
    <n v="75.25"/>
    <x v="10"/>
    <x v="0"/>
    <x v="1"/>
    <x v="1"/>
  </r>
  <r>
    <n v="1051429"/>
    <x v="0"/>
    <n v="9.66"/>
    <n v="12.8"/>
    <n v="109.95"/>
    <x v="0"/>
    <x v="0"/>
    <x v="1"/>
    <x v="1"/>
  </r>
  <r>
    <n v="1051475"/>
    <x v="0"/>
    <n v="9.65"/>
    <n v="13.69"/>
    <n v="51.05"/>
    <x v="0"/>
    <x v="0"/>
    <x v="1"/>
    <x v="1"/>
  </r>
  <r>
    <n v="1051488"/>
    <x v="0"/>
    <n v="13.64"/>
    <n v="13.69"/>
    <n v="15.9"/>
    <x v="3"/>
    <x v="0"/>
    <x v="1"/>
    <x v="1"/>
  </r>
  <r>
    <n v="1051493"/>
    <x v="0"/>
    <n v="16.649999999999999"/>
    <n v="17"/>
    <n v="92.9"/>
    <x v="4"/>
    <x v="0"/>
    <x v="1"/>
    <x v="1"/>
  </r>
  <r>
    <n v="1051494"/>
    <x v="0"/>
    <n v="16.649999999999999"/>
    <n v="16.7"/>
    <n v="51.55"/>
    <x v="4"/>
    <x v="0"/>
    <x v="1"/>
    <x v="1"/>
  </r>
  <r>
    <n v="1051500"/>
    <x v="0"/>
    <n v="13.64"/>
    <n v="13.69"/>
    <n v="34.950000000000003"/>
    <x v="3"/>
    <x v="0"/>
    <x v="1"/>
    <x v="1"/>
  </r>
  <r>
    <n v="1051510"/>
    <x v="0"/>
    <n v="12.75"/>
    <n v="12.8"/>
    <n v="9.9499999999999993"/>
    <x v="3"/>
    <x v="0"/>
    <x v="1"/>
    <x v="1"/>
  </r>
  <r>
    <n v="1051511"/>
    <x v="0"/>
    <n v="12.75"/>
    <n v="12.8"/>
    <n v="45.35"/>
    <x v="3"/>
    <x v="0"/>
    <x v="1"/>
    <x v="1"/>
  </r>
  <r>
    <n v="1051512"/>
    <x v="0"/>
    <n v="15.02"/>
    <n v="15.07"/>
    <n v="29.95"/>
    <x v="6"/>
    <x v="0"/>
    <x v="1"/>
    <x v="1"/>
  </r>
  <r>
    <n v="1051541"/>
    <x v="0"/>
    <n v="12.75"/>
    <n v="12.8"/>
    <n v="74.2"/>
    <x v="3"/>
    <x v="0"/>
    <x v="1"/>
    <x v="1"/>
  </r>
  <r>
    <n v="1051546"/>
    <x v="0"/>
    <n v="12.75"/>
    <n v="12.8"/>
    <n v="43.4"/>
    <x v="3"/>
    <x v="0"/>
    <x v="1"/>
    <x v="1"/>
  </r>
  <r>
    <n v="1051572"/>
    <x v="0"/>
    <n v="12.75"/>
    <n v="12.8"/>
    <n v="23.45"/>
    <x v="3"/>
    <x v="0"/>
    <x v="1"/>
    <x v="1"/>
  </r>
  <r>
    <n v="1051593"/>
    <x v="0"/>
    <n v="13.63"/>
    <n v="15.1"/>
    <n v="99.95"/>
    <x v="3"/>
    <x v="0"/>
    <x v="1"/>
    <x v="1"/>
  </r>
  <r>
    <n v="1051646"/>
    <x v="0"/>
    <n v="12.75"/>
    <n v="12.8"/>
    <n v="15.95"/>
    <x v="3"/>
    <x v="0"/>
    <x v="1"/>
    <x v="1"/>
  </r>
  <r>
    <n v="1051653"/>
    <x v="0"/>
    <n v="12.75"/>
    <n v="12.8"/>
    <n v="45.85"/>
    <x v="3"/>
    <x v="0"/>
    <x v="1"/>
    <x v="1"/>
  </r>
  <r>
    <n v="1051661"/>
    <x v="0"/>
    <n v="18.02"/>
    <n v="18.07"/>
    <n v="12.4"/>
    <x v="9"/>
    <x v="0"/>
    <x v="1"/>
    <x v="1"/>
  </r>
  <r>
    <n v="1051702"/>
    <x v="0"/>
    <n v="9.74"/>
    <n v="10.07"/>
    <n v="132.18"/>
    <x v="0"/>
    <x v="0"/>
    <x v="1"/>
    <x v="1"/>
  </r>
  <r>
    <n v="1051704"/>
    <x v="0"/>
    <n v="10.95"/>
    <n v="14.46"/>
    <n v="99.95"/>
    <x v="8"/>
    <x v="0"/>
    <x v="1"/>
    <x v="1"/>
  </r>
  <r>
    <n v="1051712"/>
    <x v="0"/>
    <n v="9.65"/>
    <n v="9.6999999999999993"/>
    <n v="39.950000000000003"/>
    <x v="0"/>
    <x v="0"/>
    <x v="1"/>
    <x v="1"/>
  </r>
  <r>
    <n v="1051715"/>
    <x v="0"/>
    <n v="13.64"/>
    <n v="13.69"/>
    <n v="139.85"/>
    <x v="3"/>
    <x v="0"/>
    <x v="1"/>
    <x v="1"/>
  </r>
  <r>
    <n v="1051733"/>
    <x v="0"/>
    <n v="12.75"/>
    <n v="12.8"/>
    <n v="47.9"/>
    <x v="3"/>
    <x v="0"/>
    <x v="1"/>
    <x v="1"/>
  </r>
  <r>
    <n v="1051747"/>
    <x v="0"/>
    <n v="13.64"/>
    <n v="13.69"/>
    <n v="64.95"/>
    <x v="3"/>
    <x v="0"/>
    <x v="1"/>
    <x v="1"/>
  </r>
  <r>
    <n v="1051775"/>
    <x v="0"/>
    <n v="13.56"/>
    <n v="14.79"/>
    <n v="276.5"/>
    <x v="8"/>
    <x v="0"/>
    <x v="1"/>
    <x v="1"/>
  </r>
  <r>
    <n v="1051798"/>
    <x v="0"/>
    <n v="9.65"/>
    <n v="0"/>
    <n v="53.94"/>
    <x v="0"/>
    <x v="0"/>
    <x v="0"/>
    <x v="42"/>
  </r>
  <r>
    <n v="1051807"/>
    <x v="0"/>
    <n v="12.75"/>
    <n v="12.8"/>
    <n v="49.9"/>
    <x v="3"/>
    <x v="0"/>
    <x v="1"/>
    <x v="1"/>
  </r>
  <r>
    <n v="1051820"/>
    <x v="0"/>
    <n v="15.02"/>
    <n v="15.12"/>
    <n v="99.95"/>
    <x v="6"/>
    <x v="0"/>
    <x v="1"/>
    <x v="1"/>
  </r>
  <r>
    <n v="1051822"/>
    <x v="0"/>
    <n v="12.75"/>
    <n v="12.8"/>
    <n v="26.9"/>
    <x v="3"/>
    <x v="0"/>
    <x v="1"/>
    <x v="1"/>
  </r>
  <r>
    <n v="1051862"/>
    <x v="0"/>
    <n v="12.75"/>
    <n v="12.8"/>
    <n v="110.95"/>
    <x v="3"/>
    <x v="0"/>
    <x v="1"/>
    <x v="1"/>
  </r>
  <r>
    <n v="1051882"/>
    <x v="0"/>
    <n v="13.64"/>
    <n v="13.69"/>
    <n v="39.950000000000003"/>
    <x v="3"/>
    <x v="0"/>
    <x v="1"/>
    <x v="1"/>
  </r>
  <r>
    <n v="1051903"/>
    <x v="0"/>
    <n v="13.64"/>
    <n v="13.92"/>
    <n v="99.95"/>
    <x v="3"/>
    <x v="0"/>
    <x v="1"/>
    <x v="1"/>
  </r>
  <r>
    <n v="1051910"/>
    <x v="0"/>
    <n v="12.75"/>
    <n v="12.8"/>
    <n v="4.75"/>
    <x v="3"/>
    <x v="0"/>
    <x v="1"/>
    <x v="1"/>
  </r>
  <r>
    <n v="1051928"/>
    <x v="0"/>
    <n v="15.02"/>
    <n v="15.07"/>
    <n v="1.5"/>
    <x v="6"/>
    <x v="0"/>
    <x v="1"/>
    <x v="1"/>
  </r>
  <r>
    <n v="1051936"/>
    <x v="0"/>
    <n v="12.75"/>
    <n v="12.8"/>
    <n v="103"/>
    <x v="3"/>
    <x v="0"/>
    <x v="1"/>
    <x v="1"/>
  </r>
  <r>
    <n v="1051941"/>
    <x v="0"/>
    <n v="13.63"/>
    <n v="14.09"/>
    <n v="99.95"/>
    <x v="3"/>
    <x v="0"/>
    <x v="1"/>
    <x v="1"/>
  </r>
  <r>
    <n v="1051956"/>
    <x v="0"/>
    <n v="12.75"/>
    <n v="12.8"/>
    <n v="47.9"/>
    <x v="3"/>
    <x v="0"/>
    <x v="1"/>
    <x v="1"/>
  </r>
  <r>
    <n v="1051979"/>
    <x v="0"/>
    <n v="12.75"/>
    <n v="12.8"/>
    <n v="99.95"/>
    <x v="3"/>
    <x v="0"/>
    <x v="1"/>
    <x v="1"/>
  </r>
  <r>
    <n v="1051980"/>
    <x v="0"/>
    <n v="12.75"/>
    <n v="12.8"/>
    <n v="75.599999999999994"/>
    <x v="3"/>
    <x v="0"/>
    <x v="1"/>
    <x v="1"/>
  </r>
  <r>
    <n v="1051993"/>
    <x v="0"/>
    <n v="12.75"/>
    <n v="13.03"/>
    <n v="89.2"/>
    <x v="3"/>
    <x v="0"/>
    <x v="1"/>
    <x v="1"/>
  </r>
  <r>
    <n v="1051995"/>
    <x v="0"/>
    <n v="22.68"/>
    <n v="23.2"/>
    <n v="147"/>
    <x v="9"/>
    <x v="0"/>
    <x v="1"/>
    <x v="1"/>
  </r>
  <r>
    <n v="1051996"/>
    <x v="0"/>
    <n v="12.75"/>
    <n v="12.8"/>
    <n v="47.9"/>
    <x v="3"/>
    <x v="0"/>
    <x v="1"/>
    <x v="1"/>
  </r>
  <r>
    <n v="1051998"/>
    <x v="0"/>
    <n v="13.64"/>
    <n v="13.69"/>
    <n v="24.45"/>
    <x v="3"/>
    <x v="0"/>
    <x v="1"/>
    <x v="1"/>
  </r>
  <r>
    <n v="1052021"/>
    <x v="0"/>
    <n v="13.64"/>
    <n v="13.69"/>
    <n v="48.9"/>
    <x v="3"/>
    <x v="0"/>
    <x v="1"/>
    <x v="1"/>
  </r>
  <r>
    <n v="1052023"/>
    <x v="0"/>
    <n v="13.64"/>
    <n v="13.69"/>
    <n v="45.95"/>
    <x v="3"/>
    <x v="0"/>
    <x v="1"/>
    <x v="1"/>
  </r>
  <r>
    <n v="1052027"/>
    <x v="0"/>
    <n v="14.15"/>
    <n v="16"/>
    <n v="285.5"/>
    <x v="7"/>
    <x v="0"/>
    <x v="1"/>
    <x v="1"/>
  </r>
  <r>
    <n v="1052037"/>
    <x v="0"/>
    <n v="12.26"/>
    <n v="16.39"/>
    <n v="23.7"/>
    <x v="7"/>
    <x v="0"/>
    <x v="1"/>
    <x v="1"/>
  </r>
  <r>
    <n v="1052040"/>
    <x v="0"/>
    <n v="9.65"/>
    <n v="9.74"/>
    <n v="129.75"/>
    <x v="0"/>
    <x v="0"/>
    <x v="1"/>
    <x v="1"/>
  </r>
  <r>
    <n v="1052069"/>
    <x v="0"/>
    <n v="15.02"/>
    <n v="15.07"/>
    <n v="5.9"/>
    <x v="6"/>
    <x v="0"/>
    <x v="1"/>
    <x v="1"/>
  </r>
  <r>
    <n v="1052076"/>
    <x v="0"/>
    <n v="12.26"/>
    <n v="12.31"/>
    <n v="60.7"/>
    <x v="7"/>
    <x v="0"/>
    <x v="1"/>
    <x v="1"/>
  </r>
  <r>
    <n v="1052089"/>
    <x v="0"/>
    <n v="13.64"/>
    <n v="13.68"/>
    <n v="63.05"/>
    <x v="3"/>
    <x v="0"/>
    <x v="1"/>
    <x v="1"/>
  </r>
  <r>
    <n v="1052108"/>
    <x v="0"/>
    <n v="13.64"/>
    <n v="13.69"/>
    <n v="42.45"/>
    <x v="3"/>
    <x v="0"/>
    <x v="1"/>
    <x v="1"/>
  </r>
  <r>
    <n v="1052183"/>
    <x v="0"/>
    <n v="13.64"/>
    <n v="13.69"/>
    <n v="47.9"/>
    <x v="3"/>
    <x v="0"/>
    <x v="1"/>
    <x v="1"/>
  </r>
  <r>
    <n v="1052184"/>
    <x v="0"/>
    <n v="15.33"/>
    <n v="15.38"/>
    <n v="47.9"/>
    <x v="6"/>
    <x v="0"/>
    <x v="1"/>
    <x v="1"/>
  </r>
  <r>
    <n v="1052220"/>
    <x v="0"/>
    <n v="13.64"/>
    <n v="13.69"/>
    <n v="23.1"/>
    <x v="3"/>
    <x v="0"/>
    <x v="1"/>
    <x v="1"/>
  </r>
  <r>
    <n v="1052239"/>
    <x v="0"/>
    <n v="12.26"/>
    <n v="12.31"/>
    <n v="59.6"/>
    <x v="7"/>
    <x v="0"/>
    <x v="1"/>
    <x v="1"/>
  </r>
  <r>
    <n v="1052243"/>
    <x v="0"/>
    <n v="16.34"/>
    <n v="16.39"/>
    <n v="174.8"/>
    <x v="4"/>
    <x v="0"/>
    <x v="1"/>
    <x v="1"/>
  </r>
  <r>
    <n v="1052244"/>
    <x v="0"/>
    <n v="15.02"/>
    <n v="15.07"/>
    <n v="39.72"/>
    <x v="6"/>
    <x v="0"/>
    <x v="1"/>
    <x v="1"/>
  </r>
  <r>
    <n v="1052250"/>
    <x v="0"/>
    <n v="10.95"/>
    <n v="11"/>
    <n v="50.25"/>
    <x v="8"/>
    <x v="0"/>
    <x v="1"/>
    <x v="1"/>
  </r>
  <r>
    <n v="1052254"/>
    <x v="0"/>
    <n v="12.75"/>
    <n v="12.8"/>
    <n v="47.9"/>
    <x v="3"/>
    <x v="0"/>
    <x v="1"/>
    <x v="1"/>
  </r>
  <r>
    <n v="1052255"/>
    <x v="0"/>
    <n v="13.64"/>
    <n v="13.69"/>
    <n v="47.9"/>
    <x v="3"/>
    <x v="0"/>
    <x v="1"/>
    <x v="1"/>
  </r>
  <r>
    <n v="1052258"/>
    <x v="0"/>
    <n v="13.64"/>
    <n v="13.69"/>
    <n v="9.5"/>
    <x v="3"/>
    <x v="0"/>
    <x v="1"/>
    <x v="1"/>
  </r>
  <r>
    <n v="1052277"/>
    <x v="0"/>
    <n v="13.64"/>
    <n v="13.68"/>
    <n v="38.9"/>
    <x v="3"/>
    <x v="0"/>
    <x v="1"/>
    <x v="1"/>
  </r>
  <r>
    <n v="1052291"/>
    <x v="0"/>
    <n v="12.75"/>
    <n v="12.8"/>
    <n v="7.15"/>
    <x v="3"/>
    <x v="0"/>
    <x v="1"/>
    <x v="1"/>
  </r>
  <r>
    <n v="1052298"/>
    <x v="0"/>
    <n v="12.75"/>
    <n v="12.8"/>
    <n v="44.95"/>
    <x v="3"/>
    <x v="0"/>
    <x v="1"/>
    <x v="1"/>
  </r>
  <r>
    <n v="1052302"/>
    <x v="0"/>
    <n v="13.64"/>
    <n v="13.69"/>
    <n v="7.9"/>
    <x v="3"/>
    <x v="0"/>
    <x v="1"/>
    <x v="1"/>
  </r>
  <r>
    <n v="1052309"/>
    <x v="0"/>
    <n v="12.75"/>
    <n v="12.8"/>
    <n v="7.95"/>
    <x v="3"/>
    <x v="0"/>
    <x v="1"/>
    <x v="1"/>
  </r>
  <r>
    <n v="1052330"/>
    <x v="0"/>
    <n v="12.26"/>
    <n v="12.31"/>
    <n v="32.9"/>
    <x v="7"/>
    <x v="0"/>
    <x v="1"/>
    <x v="1"/>
  </r>
  <r>
    <n v="1052346"/>
    <x v="0"/>
    <n v="58.59"/>
    <n v="58.64"/>
    <n v="128.6"/>
    <x v="2"/>
    <x v="0"/>
    <x v="1"/>
    <x v="1"/>
  </r>
  <r>
    <n v="1052359"/>
    <x v="0"/>
    <n v="15.02"/>
    <n v="15.07"/>
    <n v="7.5"/>
    <x v="6"/>
    <x v="0"/>
    <x v="1"/>
    <x v="1"/>
  </r>
  <r>
    <n v="1052379"/>
    <x v="0"/>
    <n v="12.75"/>
    <n v="12.8"/>
    <n v="9.9499999999999993"/>
    <x v="3"/>
    <x v="0"/>
    <x v="1"/>
    <x v="1"/>
  </r>
  <r>
    <n v="1052389"/>
    <x v="0"/>
    <n v="16.34"/>
    <n v="16.39"/>
    <n v="60.6"/>
    <x v="4"/>
    <x v="0"/>
    <x v="1"/>
    <x v="1"/>
  </r>
  <r>
    <n v="1052407"/>
    <x v="0"/>
    <n v="12.75"/>
    <n v="12.8"/>
    <n v="76.650000000000006"/>
    <x v="3"/>
    <x v="0"/>
    <x v="1"/>
    <x v="1"/>
  </r>
  <r>
    <n v="1052409"/>
    <x v="0"/>
    <n v="13.64"/>
    <n v="13.69"/>
    <n v="39.950000000000003"/>
    <x v="3"/>
    <x v="0"/>
    <x v="1"/>
    <x v="1"/>
  </r>
  <r>
    <n v="1052410"/>
    <x v="0"/>
    <n v="16.34"/>
    <n v="16.39"/>
    <n v="31.65"/>
    <x v="4"/>
    <x v="0"/>
    <x v="1"/>
    <x v="1"/>
  </r>
  <r>
    <n v="1052449"/>
    <x v="0"/>
    <n v="12.75"/>
    <n v="12.8"/>
    <n v="39.950000000000003"/>
    <x v="3"/>
    <x v="0"/>
    <x v="1"/>
    <x v="1"/>
  </r>
  <r>
    <n v="1052482"/>
    <x v="0"/>
    <n v="15.02"/>
    <n v="15.07"/>
    <n v="47.9"/>
    <x v="6"/>
    <x v="0"/>
    <x v="1"/>
    <x v="1"/>
  </r>
  <r>
    <n v="1052483"/>
    <x v="0"/>
    <n v="12.75"/>
    <n v="12.8"/>
    <n v="52.95"/>
    <x v="3"/>
    <x v="0"/>
    <x v="1"/>
    <x v="1"/>
  </r>
  <r>
    <n v="1052486"/>
    <x v="0"/>
    <n v="13.64"/>
    <n v="13.69"/>
    <n v="139.85"/>
    <x v="3"/>
    <x v="0"/>
    <x v="1"/>
    <x v="1"/>
  </r>
  <r>
    <n v="1052491"/>
    <x v="0"/>
    <n v="12.75"/>
    <n v="12.8"/>
    <n v="43.3"/>
    <x v="3"/>
    <x v="0"/>
    <x v="1"/>
    <x v="1"/>
  </r>
  <r>
    <n v="1052506"/>
    <x v="0"/>
    <n v="12.75"/>
    <n v="13.76"/>
    <n v="77.849999999999994"/>
    <x v="3"/>
    <x v="0"/>
    <x v="1"/>
    <x v="1"/>
  </r>
  <r>
    <n v="1052518"/>
    <x v="0"/>
    <n v="15.03"/>
    <n v="15.08"/>
    <n v="83.7"/>
    <x v="6"/>
    <x v="0"/>
    <x v="1"/>
    <x v="1"/>
  </r>
  <r>
    <n v="1052519"/>
    <x v="0"/>
    <n v="12.75"/>
    <n v="12.8"/>
    <n v="5"/>
    <x v="3"/>
    <x v="0"/>
    <x v="1"/>
    <x v="1"/>
  </r>
  <r>
    <n v="1052539"/>
    <x v="0"/>
    <n v="16.649999999999999"/>
    <n v="16.690000000000001"/>
    <n v="83.45"/>
    <x v="4"/>
    <x v="0"/>
    <x v="1"/>
    <x v="1"/>
  </r>
  <r>
    <n v="1052544"/>
    <x v="0"/>
    <n v="10.94"/>
    <n v="15.07"/>
    <n v="57.55"/>
    <x v="8"/>
    <x v="0"/>
    <x v="1"/>
    <x v="1"/>
  </r>
  <r>
    <n v="1052552"/>
    <x v="0"/>
    <n v="12.75"/>
    <n v="12.8"/>
    <n v="76.849999999999994"/>
    <x v="3"/>
    <x v="0"/>
    <x v="1"/>
    <x v="1"/>
  </r>
  <r>
    <n v="1052559"/>
    <x v="0"/>
    <n v="14.75"/>
    <n v="14.79"/>
    <n v="175.8"/>
    <x v="8"/>
    <x v="0"/>
    <x v="1"/>
    <x v="1"/>
  </r>
  <r>
    <n v="1052560"/>
    <x v="0"/>
    <n v="12.79"/>
    <n v="13.61"/>
    <n v="165.8"/>
    <x v="3"/>
    <x v="0"/>
    <x v="1"/>
    <x v="1"/>
  </r>
  <r>
    <n v="1052561"/>
    <x v="0"/>
    <n v="16.34"/>
    <n v="16.39"/>
    <n v="39.950000000000003"/>
    <x v="4"/>
    <x v="0"/>
    <x v="1"/>
    <x v="1"/>
  </r>
  <r>
    <n v="1052565"/>
    <x v="0"/>
    <n v="13.64"/>
    <n v="13.69"/>
    <n v="39.9"/>
    <x v="3"/>
    <x v="0"/>
    <x v="1"/>
    <x v="1"/>
  </r>
  <r>
    <n v="1052574"/>
    <x v="0"/>
    <n v="13.64"/>
    <n v="13.69"/>
    <n v="114.25"/>
    <x v="3"/>
    <x v="0"/>
    <x v="1"/>
    <x v="1"/>
  </r>
  <r>
    <n v="1052589"/>
    <x v="0"/>
    <n v="13.64"/>
    <n v="13.69"/>
    <n v="39.950000000000003"/>
    <x v="3"/>
    <x v="0"/>
    <x v="1"/>
    <x v="1"/>
  </r>
  <r>
    <n v="1052590"/>
    <x v="0"/>
    <n v="13.64"/>
    <n v="13.69"/>
    <n v="3.95"/>
    <x v="3"/>
    <x v="0"/>
    <x v="1"/>
    <x v="1"/>
  </r>
  <r>
    <n v="1052601"/>
    <x v="0"/>
    <n v="13.64"/>
    <n v="13.69"/>
    <n v="99.95"/>
    <x v="3"/>
    <x v="0"/>
    <x v="1"/>
    <x v="1"/>
  </r>
  <r>
    <n v="1052633"/>
    <x v="0"/>
    <n v="13.64"/>
    <n v="13.69"/>
    <n v="10"/>
    <x v="3"/>
    <x v="0"/>
    <x v="1"/>
    <x v="1"/>
  </r>
  <r>
    <n v="1052636"/>
    <x v="0"/>
    <n v="13.64"/>
    <n v="13.69"/>
    <n v="29.95"/>
    <x v="3"/>
    <x v="0"/>
    <x v="1"/>
    <x v="1"/>
  </r>
  <r>
    <n v="1052646"/>
    <x v="0"/>
    <n v="13.64"/>
    <n v="13.69"/>
    <n v="37.5"/>
    <x v="3"/>
    <x v="0"/>
    <x v="1"/>
    <x v="1"/>
  </r>
  <r>
    <n v="1052659"/>
    <x v="0"/>
    <n v="12.75"/>
    <n v="12.8"/>
    <n v="45.7"/>
    <x v="3"/>
    <x v="0"/>
    <x v="1"/>
    <x v="1"/>
  </r>
  <r>
    <n v="1052697"/>
    <x v="0"/>
    <n v="12.75"/>
    <n v="12.8"/>
    <n v="19.95"/>
    <x v="3"/>
    <x v="0"/>
    <x v="1"/>
    <x v="1"/>
  </r>
  <r>
    <n v="1052700"/>
    <x v="0"/>
    <n v="12.75"/>
    <n v="12.8"/>
    <n v="141.65"/>
    <x v="3"/>
    <x v="0"/>
    <x v="1"/>
    <x v="1"/>
  </r>
  <r>
    <n v="1052705"/>
    <x v="0"/>
    <n v="9.65"/>
    <n v="9.6999999999999993"/>
    <n v="58.8"/>
    <x v="0"/>
    <x v="0"/>
    <x v="1"/>
    <x v="1"/>
  </r>
  <r>
    <n v="1052707"/>
    <x v="0"/>
    <n v="13.63"/>
    <n v="13.69"/>
    <n v="141.6"/>
    <x v="3"/>
    <x v="0"/>
    <x v="1"/>
    <x v="1"/>
  </r>
  <r>
    <n v="1052712"/>
    <x v="0"/>
    <n v="13.64"/>
    <n v="13.69"/>
    <n v="79.95"/>
    <x v="3"/>
    <x v="0"/>
    <x v="1"/>
    <x v="1"/>
  </r>
  <r>
    <n v="1052717"/>
    <x v="0"/>
    <n v="12.75"/>
    <n v="12.8"/>
    <n v="116.8"/>
    <x v="3"/>
    <x v="0"/>
    <x v="1"/>
    <x v="1"/>
  </r>
  <r>
    <n v="1052733"/>
    <x v="0"/>
    <n v="15.33"/>
    <n v="15.38"/>
    <n v="22.6"/>
    <x v="6"/>
    <x v="0"/>
    <x v="1"/>
    <x v="1"/>
  </r>
  <r>
    <n v="1052762"/>
    <x v="0"/>
    <n v="16.440000000000001"/>
    <n v="21.9"/>
    <n v="131.94999999999999"/>
    <x v="4"/>
    <x v="0"/>
    <x v="1"/>
    <x v="1"/>
  </r>
  <r>
    <n v="1052787"/>
    <x v="0"/>
    <n v="14.09"/>
    <n v="14.7"/>
    <n v="57.15"/>
    <x v="3"/>
    <x v="0"/>
    <x v="1"/>
    <x v="1"/>
  </r>
  <r>
    <n v="1052795"/>
    <x v="0"/>
    <n v="66.760000000000005"/>
    <n v="66.81"/>
    <n v="49.95"/>
    <x v="2"/>
    <x v="0"/>
    <x v="1"/>
    <x v="1"/>
  </r>
  <r>
    <n v="1052802"/>
    <x v="0"/>
    <n v="13.64"/>
    <n v="13.69"/>
    <n v="19.95"/>
    <x v="3"/>
    <x v="0"/>
    <x v="1"/>
    <x v="1"/>
  </r>
  <r>
    <n v="1052816"/>
    <x v="0"/>
    <n v="12.75"/>
    <n v="12.8"/>
    <n v="9.9"/>
    <x v="3"/>
    <x v="0"/>
    <x v="1"/>
    <x v="1"/>
  </r>
  <r>
    <n v="1052829"/>
    <x v="0"/>
    <n v="12.75"/>
    <n v="12.8"/>
    <n v="7.9"/>
    <x v="3"/>
    <x v="0"/>
    <x v="1"/>
    <x v="1"/>
  </r>
  <r>
    <n v="1052831"/>
    <x v="0"/>
    <n v="12.75"/>
    <n v="12.8"/>
    <n v="76.650000000000006"/>
    <x v="3"/>
    <x v="0"/>
    <x v="1"/>
    <x v="1"/>
  </r>
  <r>
    <n v="1052846"/>
    <x v="0"/>
    <n v="16.649999999999999"/>
    <n v="16.7"/>
    <n v="74.8"/>
    <x v="4"/>
    <x v="0"/>
    <x v="1"/>
    <x v="1"/>
  </r>
  <r>
    <n v="1052869"/>
    <x v="0"/>
    <n v="15.02"/>
    <n v="16.329999999999998"/>
    <n v="137.9"/>
    <x v="6"/>
    <x v="0"/>
    <x v="1"/>
    <x v="1"/>
  </r>
  <r>
    <n v="1052896"/>
    <x v="0"/>
    <n v="15.02"/>
    <n v="15.07"/>
    <n v="150.15"/>
    <x v="6"/>
    <x v="0"/>
    <x v="1"/>
    <x v="1"/>
  </r>
  <r>
    <n v="1052898"/>
    <x v="0"/>
    <n v="12.75"/>
    <n v="12.8"/>
    <n v="25.8"/>
    <x v="3"/>
    <x v="0"/>
    <x v="1"/>
    <x v="1"/>
  </r>
  <r>
    <n v="1052907"/>
    <x v="0"/>
    <n v="15.02"/>
    <n v="15.07"/>
    <n v="62.4"/>
    <x v="6"/>
    <x v="0"/>
    <x v="1"/>
    <x v="1"/>
  </r>
  <r>
    <n v="1052916"/>
    <x v="0"/>
    <n v="13.64"/>
    <n v="13.69"/>
    <n v="29.9"/>
    <x v="3"/>
    <x v="0"/>
    <x v="1"/>
    <x v="1"/>
  </r>
  <r>
    <n v="1052922"/>
    <x v="0"/>
    <n v="12.75"/>
    <n v="12.8"/>
    <n v="24"/>
    <x v="3"/>
    <x v="0"/>
    <x v="1"/>
    <x v="1"/>
  </r>
  <r>
    <n v="1052932"/>
    <x v="0"/>
    <n v="13.64"/>
    <n v="13.69"/>
    <n v="29.65"/>
    <x v="3"/>
    <x v="0"/>
    <x v="1"/>
    <x v="1"/>
  </r>
  <r>
    <n v="1052954"/>
    <x v="0"/>
    <n v="16.649999999999999"/>
    <n v="16.7"/>
    <n v="39.75"/>
    <x v="4"/>
    <x v="0"/>
    <x v="1"/>
    <x v="1"/>
  </r>
  <r>
    <n v="1052957"/>
    <x v="0"/>
    <n v="12.75"/>
    <n v="13.81"/>
    <n v="18.899999999999999"/>
    <x v="3"/>
    <x v="0"/>
    <x v="1"/>
    <x v="1"/>
  </r>
  <r>
    <n v="1052982"/>
    <x v="0"/>
    <n v="13.64"/>
    <n v="13.69"/>
    <n v="18"/>
    <x v="3"/>
    <x v="0"/>
    <x v="1"/>
    <x v="1"/>
  </r>
  <r>
    <n v="1052992"/>
    <x v="0"/>
    <n v="12.75"/>
    <n v="12.84"/>
    <n v="58.9"/>
    <x v="3"/>
    <x v="0"/>
    <x v="1"/>
    <x v="1"/>
  </r>
  <r>
    <n v="1053017"/>
    <x v="0"/>
    <n v="12.75"/>
    <n v="12.8"/>
    <n v="9.75"/>
    <x v="3"/>
    <x v="0"/>
    <x v="1"/>
    <x v="1"/>
  </r>
  <r>
    <n v="1053028"/>
    <x v="0"/>
    <n v="13.64"/>
    <n v="13.69"/>
    <n v="10.95"/>
    <x v="3"/>
    <x v="0"/>
    <x v="1"/>
    <x v="1"/>
  </r>
  <r>
    <n v="1053033"/>
    <x v="0"/>
    <n v="9.65"/>
    <n v="13.68"/>
    <n v="29.7"/>
    <x v="0"/>
    <x v="0"/>
    <x v="1"/>
    <x v="1"/>
  </r>
  <r>
    <n v="1053036"/>
    <x v="0"/>
    <n v="16.34"/>
    <n v="16.39"/>
    <n v="24.95"/>
    <x v="4"/>
    <x v="0"/>
    <x v="1"/>
    <x v="1"/>
  </r>
  <r>
    <n v="1053049"/>
    <x v="0"/>
    <n v="10.19"/>
    <n v="10.3"/>
    <n v="199.95"/>
    <x v="0"/>
    <x v="0"/>
    <x v="1"/>
    <x v="1"/>
  </r>
  <r>
    <n v="1053056"/>
    <x v="0"/>
    <n v="9.65"/>
    <n v="9.6999999999999993"/>
    <n v="18.95"/>
    <x v="0"/>
    <x v="0"/>
    <x v="1"/>
    <x v="1"/>
  </r>
  <r>
    <n v="1053067"/>
    <x v="0"/>
    <n v="15.33"/>
    <n v="15.38"/>
    <n v="31.9"/>
    <x v="6"/>
    <x v="0"/>
    <x v="1"/>
    <x v="1"/>
  </r>
  <r>
    <n v="1053075"/>
    <x v="0"/>
    <n v="15.33"/>
    <n v="15.38"/>
    <n v="16.100000000000001"/>
    <x v="6"/>
    <x v="0"/>
    <x v="1"/>
    <x v="1"/>
  </r>
  <r>
    <n v="1053085"/>
    <x v="0"/>
    <n v="12.75"/>
    <n v="12.8"/>
    <n v="9.9499999999999993"/>
    <x v="3"/>
    <x v="0"/>
    <x v="1"/>
    <x v="1"/>
  </r>
  <r>
    <n v="1053089"/>
    <x v="0"/>
    <n v="13.64"/>
    <n v="13.68"/>
    <n v="15.9"/>
    <x v="3"/>
    <x v="0"/>
    <x v="1"/>
    <x v="1"/>
  </r>
  <r>
    <n v="1053111"/>
    <x v="0"/>
    <n v="16.34"/>
    <n v="16.39"/>
    <n v="73.5"/>
    <x v="4"/>
    <x v="0"/>
    <x v="1"/>
    <x v="1"/>
  </r>
  <r>
    <n v="1053128"/>
    <x v="0"/>
    <n v="12.75"/>
    <n v="12.8"/>
    <n v="35.85"/>
    <x v="3"/>
    <x v="0"/>
    <x v="1"/>
    <x v="1"/>
  </r>
  <r>
    <n v="1053137"/>
    <x v="0"/>
    <n v="13.64"/>
    <n v="13.69"/>
    <n v="63"/>
    <x v="3"/>
    <x v="0"/>
    <x v="1"/>
    <x v="1"/>
  </r>
  <r>
    <n v="1053140"/>
    <x v="0"/>
    <n v="13.64"/>
    <n v="13.69"/>
    <n v="49.85"/>
    <x v="3"/>
    <x v="0"/>
    <x v="1"/>
    <x v="1"/>
  </r>
  <r>
    <n v="1053152"/>
    <x v="0"/>
    <n v="12.75"/>
    <n v="12.8"/>
    <n v="59.35"/>
    <x v="3"/>
    <x v="0"/>
    <x v="1"/>
    <x v="1"/>
  </r>
  <r>
    <n v="1053159"/>
    <x v="0"/>
    <n v="12.75"/>
    <n v="12.8"/>
    <n v="155.85"/>
    <x v="3"/>
    <x v="0"/>
    <x v="1"/>
    <x v="1"/>
  </r>
  <r>
    <n v="1053167"/>
    <x v="0"/>
    <n v="13.63"/>
    <n v="14.7"/>
    <n v="46.1"/>
    <x v="3"/>
    <x v="0"/>
    <x v="1"/>
    <x v="1"/>
  </r>
  <r>
    <n v="1053172"/>
    <x v="0"/>
    <n v="9.65"/>
    <n v="9.7100000000000009"/>
    <n v="82.2"/>
    <x v="0"/>
    <x v="0"/>
    <x v="1"/>
    <x v="1"/>
  </r>
  <r>
    <n v="1053182"/>
    <x v="0"/>
    <n v="13.64"/>
    <n v="13.69"/>
    <n v="22.2"/>
    <x v="3"/>
    <x v="0"/>
    <x v="1"/>
    <x v="1"/>
  </r>
  <r>
    <n v="1053185"/>
    <x v="0"/>
    <n v="12.75"/>
    <n v="12.8"/>
    <n v="27.2"/>
    <x v="3"/>
    <x v="0"/>
    <x v="1"/>
    <x v="1"/>
  </r>
  <r>
    <n v="1053211"/>
    <x v="0"/>
    <n v="12.75"/>
    <n v="12.8"/>
    <n v="29.95"/>
    <x v="3"/>
    <x v="0"/>
    <x v="1"/>
    <x v="1"/>
  </r>
  <r>
    <n v="1053223"/>
    <x v="0"/>
    <n v="13.64"/>
    <n v="13.69"/>
    <n v="12.9"/>
    <x v="3"/>
    <x v="0"/>
    <x v="1"/>
    <x v="1"/>
  </r>
  <r>
    <n v="1053240"/>
    <x v="0"/>
    <n v="14.04"/>
    <n v="14.09"/>
    <n v="183.85"/>
    <x v="3"/>
    <x v="0"/>
    <x v="1"/>
    <x v="1"/>
  </r>
  <r>
    <n v="1053279"/>
    <x v="0"/>
    <n v="12.75"/>
    <n v="12.8"/>
    <n v="35.450000000000003"/>
    <x v="3"/>
    <x v="0"/>
    <x v="1"/>
    <x v="1"/>
  </r>
  <r>
    <n v="1053298"/>
    <x v="0"/>
    <n v="16.649999999999999"/>
    <n v="16.7"/>
    <n v="24.9"/>
    <x v="4"/>
    <x v="0"/>
    <x v="1"/>
    <x v="1"/>
  </r>
  <r>
    <n v="1053301"/>
    <x v="0"/>
    <n v="26.6"/>
    <n v="30.46"/>
    <n v="120.1"/>
    <x v="4"/>
    <x v="0"/>
    <x v="1"/>
    <x v="1"/>
  </r>
  <r>
    <n v="1053319"/>
    <x v="0"/>
    <n v="12.75"/>
    <n v="12.8"/>
    <n v="71.5"/>
    <x v="3"/>
    <x v="0"/>
    <x v="1"/>
    <x v="1"/>
  </r>
  <r>
    <n v="1053322"/>
    <x v="0"/>
    <n v="16.64"/>
    <n v="18.07"/>
    <n v="83.35"/>
    <x v="4"/>
    <x v="0"/>
    <x v="1"/>
    <x v="1"/>
  </r>
  <r>
    <n v="1053354"/>
    <x v="0"/>
    <n v="13.64"/>
    <n v="13.68"/>
    <n v="54"/>
    <x v="3"/>
    <x v="0"/>
    <x v="1"/>
    <x v="1"/>
  </r>
  <r>
    <n v="1053359"/>
    <x v="0"/>
    <n v="12.75"/>
    <n v="12.8"/>
    <n v="63.95"/>
    <x v="3"/>
    <x v="0"/>
    <x v="1"/>
    <x v="1"/>
  </r>
  <r>
    <n v="1053365"/>
    <x v="0"/>
    <n v="66.760000000000005"/>
    <n v="66.81"/>
    <n v="148.69999999999999"/>
    <x v="2"/>
    <x v="0"/>
    <x v="1"/>
    <x v="1"/>
  </r>
  <r>
    <n v="1053391"/>
    <x v="0"/>
    <n v="9.65"/>
    <n v="9.6999999999999993"/>
    <n v="33.25"/>
    <x v="0"/>
    <x v="0"/>
    <x v="1"/>
    <x v="1"/>
  </r>
  <r>
    <n v="1053447"/>
    <x v="0"/>
    <n v="9.65"/>
    <n v="9.6999999999999993"/>
    <n v="6"/>
    <x v="0"/>
    <x v="0"/>
    <x v="1"/>
    <x v="1"/>
  </r>
  <r>
    <n v="1053456"/>
    <x v="0"/>
    <n v="12.26"/>
    <n v="12.31"/>
    <n v="86.75"/>
    <x v="7"/>
    <x v="0"/>
    <x v="1"/>
    <x v="1"/>
  </r>
  <r>
    <n v="1053478"/>
    <x v="0"/>
    <n v="12.75"/>
    <n v="12.8"/>
    <n v="110.7"/>
    <x v="3"/>
    <x v="0"/>
    <x v="1"/>
    <x v="1"/>
  </r>
  <r>
    <n v="1053501"/>
    <x v="0"/>
    <n v="12.75"/>
    <n v="12.8"/>
    <n v="44.9"/>
    <x v="3"/>
    <x v="0"/>
    <x v="1"/>
    <x v="1"/>
  </r>
  <r>
    <n v="1053521"/>
    <x v="0"/>
    <n v="15.33"/>
    <n v="15.38"/>
    <n v="56.95"/>
    <x v="6"/>
    <x v="0"/>
    <x v="1"/>
    <x v="1"/>
  </r>
  <r>
    <n v="1053546"/>
    <x v="0"/>
    <n v="12.75"/>
    <n v="12.8"/>
    <n v="9.9499999999999993"/>
    <x v="3"/>
    <x v="0"/>
    <x v="1"/>
    <x v="1"/>
  </r>
  <r>
    <n v="1053562"/>
    <x v="0"/>
    <n v="16.34"/>
    <n v="16.39"/>
    <n v="79.95"/>
    <x v="4"/>
    <x v="0"/>
    <x v="1"/>
    <x v="1"/>
  </r>
  <r>
    <n v="1053565"/>
    <x v="0"/>
    <n v="15.33"/>
    <n v="15.38"/>
    <n v="74.849999999999994"/>
    <x v="6"/>
    <x v="0"/>
    <x v="1"/>
    <x v="1"/>
  </r>
  <r>
    <n v="1053592"/>
    <x v="0"/>
    <n v="13.64"/>
    <n v="13.69"/>
    <n v="39.950000000000003"/>
    <x v="3"/>
    <x v="0"/>
    <x v="1"/>
    <x v="1"/>
  </r>
  <r>
    <n v="1053597"/>
    <x v="0"/>
    <n v="28.99"/>
    <n v="29.04"/>
    <n v="307.60000000000002"/>
    <x v="9"/>
    <x v="0"/>
    <x v="1"/>
    <x v="1"/>
  </r>
  <r>
    <n v="1053623"/>
    <x v="0"/>
    <n v="9.65"/>
    <n v="9.6999999999999993"/>
    <n v="39.950000000000003"/>
    <x v="0"/>
    <x v="0"/>
    <x v="1"/>
    <x v="1"/>
  </r>
  <r>
    <n v="1053639"/>
    <x v="0"/>
    <n v="16.440000000000001"/>
    <n v="18.329999999999998"/>
    <n v="118.05"/>
    <x v="4"/>
    <x v="0"/>
    <x v="1"/>
    <x v="1"/>
  </r>
  <r>
    <n v="1053640"/>
    <x v="0"/>
    <n v="9.66"/>
    <n v="9.7100000000000009"/>
    <n v="9.9"/>
    <x v="0"/>
    <x v="0"/>
    <x v="1"/>
    <x v="1"/>
  </r>
  <r>
    <n v="1053653"/>
    <x v="0"/>
    <n v="12.75"/>
    <n v="12.8"/>
    <n v="22.9"/>
    <x v="3"/>
    <x v="0"/>
    <x v="1"/>
    <x v="1"/>
  </r>
  <r>
    <n v="1053690"/>
    <x v="0"/>
    <n v="9.66"/>
    <n v="9.7100000000000009"/>
    <n v="99.8"/>
    <x v="0"/>
    <x v="0"/>
    <x v="1"/>
    <x v="1"/>
  </r>
  <r>
    <n v="1053707"/>
    <x v="0"/>
    <n v="13.64"/>
    <n v="13.69"/>
    <n v="73.75"/>
    <x v="3"/>
    <x v="0"/>
    <x v="1"/>
    <x v="1"/>
  </r>
  <r>
    <n v="1053718"/>
    <x v="0"/>
    <n v="12.75"/>
    <n v="12.8"/>
    <n v="47.9"/>
    <x v="3"/>
    <x v="0"/>
    <x v="1"/>
    <x v="1"/>
  </r>
  <r>
    <n v="1053730"/>
    <x v="0"/>
    <n v="12.75"/>
    <n v="12.8"/>
    <n v="69.900000000000006"/>
    <x v="3"/>
    <x v="0"/>
    <x v="1"/>
    <x v="1"/>
  </r>
  <r>
    <n v="1053743"/>
    <x v="0"/>
    <n v="12.75"/>
    <n v="12.8"/>
    <n v="39.299999999999997"/>
    <x v="3"/>
    <x v="0"/>
    <x v="1"/>
    <x v="1"/>
  </r>
  <r>
    <n v="1053745"/>
    <x v="0"/>
    <n v="16.649999999999999"/>
    <n v="16.7"/>
    <n v="3.2"/>
    <x v="4"/>
    <x v="0"/>
    <x v="1"/>
    <x v="1"/>
  </r>
  <r>
    <n v="1053746"/>
    <x v="0"/>
    <n v="16.579999999999998"/>
    <n v="18"/>
    <n v="56.7"/>
    <x v="6"/>
    <x v="0"/>
    <x v="1"/>
    <x v="1"/>
  </r>
  <r>
    <n v="1053759"/>
    <x v="0"/>
    <n v="19.96"/>
    <n v="24.09"/>
    <n v="39.950000000000003"/>
    <x v="10"/>
    <x v="0"/>
    <x v="1"/>
    <x v="1"/>
  </r>
  <r>
    <n v="1053813"/>
    <x v="0"/>
    <n v="15.33"/>
    <n v="15.38"/>
    <n v="39.950000000000003"/>
    <x v="6"/>
    <x v="0"/>
    <x v="1"/>
    <x v="1"/>
  </r>
  <r>
    <n v="1053818"/>
    <x v="0"/>
    <n v="15.02"/>
    <n v="15.07"/>
    <n v="3.9"/>
    <x v="6"/>
    <x v="0"/>
    <x v="1"/>
    <x v="1"/>
  </r>
  <r>
    <n v="1053823"/>
    <x v="0"/>
    <n v="12.75"/>
    <n v="12.8"/>
    <n v="15.9"/>
    <x v="3"/>
    <x v="0"/>
    <x v="1"/>
    <x v="1"/>
  </r>
  <r>
    <n v="1053853"/>
    <x v="0"/>
    <n v="13.64"/>
    <n v="13.69"/>
    <n v="39.700000000000003"/>
    <x v="3"/>
    <x v="0"/>
    <x v="1"/>
    <x v="1"/>
  </r>
  <r>
    <n v="1053858"/>
    <x v="0"/>
    <n v="12.75"/>
    <n v="12.8"/>
    <n v="63.85"/>
    <x v="3"/>
    <x v="0"/>
    <x v="1"/>
    <x v="1"/>
  </r>
  <r>
    <n v="1053872"/>
    <x v="0"/>
    <n v="9.65"/>
    <n v="9.6999999999999993"/>
    <n v="39.950000000000003"/>
    <x v="0"/>
    <x v="0"/>
    <x v="1"/>
    <x v="1"/>
  </r>
  <r>
    <n v="1053894"/>
    <x v="0"/>
    <n v="12.75"/>
    <n v="13.81"/>
    <n v="23.45"/>
    <x v="3"/>
    <x v="0"/>
    <x v="1"/>
    <x v="1"/>
  </r>
  <r>
    <n v="1053898"/>
    <x v="0"/>
    <n v="13.64"/>
    <n v="13.69"/>
    <n v="49.3"/>
    <x v="3"/>
    <x v="0"/>
    <x v="1"/>
    <x v="1"/>
  </r>
  <r>
    <n v="1053906"/>
    <x v="0"/>
    <n v="16.649999999999999"/>
    <n v="16.7"/>
    <n v="49.9"/>
    <x v="4"/>
    <x v="0"/>
    <x v="1"/>
    <x v="1"/>
  </r>
  <r>
    <n v="1053940"/>
    <x v="0"/>
    <n v="24.38"/>
    <n v="24.44"/>
    <n v="106.75"/>
    <x v="9"/>
    <x v="0"/>
    <x v="1"/>
    <x v="1"/>
  </r>
  <r>
    <n v="1053954"/>
    <x v="0"/>
    <n v="9.66"/>
    <n v="9.7100000000000009"/>
    <n v="39.9"/>
    <x v="0"/>
    <x v="0"/>
    <x v="1"/>
    <x v="1"/>
  </r>
  <r>
    <n v="1053964"/>
    <x v="0"/>
    <n v="13.94"/>
    <n v="13.99"/>
    <n v="44.6"/>
    <x v="10"/>
    <x v="0"/>
    <x v="1"/>
    <x v="1"/>
  </r>
  <r>
    <n v="1053972"/>
    <x v="0"/>
    <n v="10.94"/>
    <n v="10.99"/>
    <n v="8.9499999999999993"/>
    <x v="8"/>
    <x v="0"/>
    <x v="1"/>
    <x v="1"/>
  </r>
  <r>
    <n v="1054004"/>
    <x v="0"/>
    <n v="16.34"/>
    <n v="16.39"/>
    <n v="14.95"/>
    <x v="4"/>
    <x v="0"/>
    <x v="1"/>
    <x v="1"/>
  </r>
  <r>
    <n v="1054024"/>
    <x v="0"/>
    <n v="13.64"/>
    <n v="13.69"/>
    <n v="52.45"/>
    <x v="3"/>
    <x v="0"/>
    <x v="1"/>
    <x v="1"/>
  </r>
  <r>
    <n v="1054036"/>
    <x v="0"/>
    <n v="13.64"/>
    <n v="13.69"/>
    <n v="51.85"/>
    <x v="3"/>
    <x v="0"/>
    <x v="1"/>
    <x v="1"/>
  </r>
  <r>
    <n v="1054055"/>
    <x v="0"/>
    <n v="9.66"/>
    <n v="9.7100000000000009"/>
    <n v="60.85"/>
    <x v="0"/>
    <x v="0"/>
    <x v="1"/>
    <x v="1"/>
  </r>
  <r>
    <n v="1054072"/>
    <x v="0"/>
    <n v="12.75"/>
    <n v="12.8"/>
    <n v="6.8"/>
    <x v="3"/>
    <x v="0"/>
    <x v="1"/>
    <x v="1"/>
  </r>
  <r>
    <n v="1054087"/>
    <x v="0"/>
    <n v="12.75"/>
    <n v="13.25"/>
    <n v="85"/>
    <x v="3"/>
    <x v="0"/>
    <x v="1"/>
    <x v="1"/>
  </r>
  <r>
    <n v="1054095"/>
    <x v="0"/>
    <n v="10.94"/>
    <n v="10.99"/>
    <n v="68.75"/>
    <x v="8"/>
    <x v="0"/>
    <x v="1"/>
    <x v="1"/>
  </r>
  <r>
    <n v="1054096"/>
    <x v="0"/>
    <n v="13.64"/>
    <n v="13.69"/>
    <n v="47.9"/>
    <x v="3"/>
    <x v="0"/>
    <x v="1"/>
    <x v="1"/>
  </r>
  <r>
    <n v="1054100"/>
    <x v="0"/>
    <n v="9.66"/>
    <n v="12.8"/>
    <n v="14.95"/>
    <x v="0"/>
    <x v="0"/>
    <x v="1"/>
    <x v="1"/>
  </r>
  <r>
    <n v="1054107"/>
    <x v="0"/>
    <n v="15.02"/>
    <n v="16.329999999999998"/>
    <n v="48.9"/>
    <x v="6"/>
    <x v="0"/>
    <x v="1"/>
    <x v="1"/>
  </r>
  <r>
    <n v="1054116"/>
    <x v="0"/>
    <n v="12.75"/>
    <n v="12.8"/>
    <n v="39.5"/>
    <x v="3"/>
    <x v="0"/>
    <x v="1"/>
    <x v="1"/>
  </r>
  <r>
    <n v="1054122"/>
    <x v="0"/>
    <n v="13.64"/>
    <n v="13.69"/>
    <n v="174.85"/>
    <x v="3"/>
    <x v="0"/>
    <x v="1"/>
    <x v="1"/>
  </r>
  <r>
    <n v="1054139"/>
    <x v="0"/>
    <n v="13.64"/>
    <n v="13.69"/>
    <n v="34.950000000000003"/>
    <x v="3"/>
    <x v="0"/>
    <x v="1"/>
    <x v="1"/>
  </r>
  <r>
    <n v="1054152"/>
    <x v="0"/>
    <n v="9.65"/>
    <n v="9.6999999999999993"/>
    <n v="108.7"/>
    <x v="0"/>
    <x v="0"/>
    <x v="1"/>
    <x v="1"/>
  </r>
  <r>
    <n v="1054170"/>
    <x v="0"/>
    <n v="19.96"/>
    <n v="20.010000000000002"/>
    <n v="79.849999999999994"/>
    <x v="10"/>
    <x v="0"/>
    <x v="1"/>
    <x v="1"/>
  </r>
  <r>
    <n v="1054187"/>
    <x v="0"/>
    <n v="16.649999999999999"/>
    <n v="16.7"/>
    <n v="19.95"/>
    <x v="4"/>
    <x v="0"/>
    <x v="1"/>
    <x v="1"/>
  </r>
  <r>
    <n v="1054257"/>
    <x v="0"/>
    <n v="78.11"/>
    <n v="85.65"/>
    <n v="584.35"/>
    <x v="5"/>
    <x v="0"/>
    <x v="1"/>
    <x v="1"/>
  </r>
  <r>
    <n v="1054298"/>
    <x v="0"/>
    <n v="66.98"/>
    <n v="67.02"/>
    <n v="298.64999999999998"/>
    <x v="2"/>
    <x v="0"/>
    <x v="1"/>
    <x v="1"/>
  </r>
  <r>
    <n v="1054308"/>
    <x v="0"/>
    <n v="15.02"/>
    <n v="15.07"/>
    <n v="157.94999999999999"/>
    <x v="6"/>
    <x v="0"/>
    <x v="1"/>
    <x v="1"/>
  </r>
  <r>
    <n v="1054320"/>
    <x v="0"/>
    <n v="12.75"/>
    <n v="12.8"/>
    <n v="99.95"/>
    <x v="3"/>
    <x v="0"/>
    <x v="1"/>
    <x v="1"/>
  </r>
  <r>
    <n v="1054331"/>
    <x v="0"/>
    <n v="16.649999999999999"/>
    <n v="16.7"/>
    <n v="4.75"/>
    <x v="4"/>
    <x v="0"/>
    <x v="1"/>
    <x v="1"/>
  </r>
  <r>
    <n v="1054347"/>
    <x v="0"/>
    <n v="12.75"/>
    <n v="12.8"/>
    <n v="16.95"/>
    <x v="3"/>
    <x v="0"/>
    <x v="1"/>
    <x v="1"/>
  </r>
  <r>
    <n v="1054386"/>
    <x v="0"/>
    <n v="13.64"/>
    <n v="13.69"/>
    <n v="11.95"/>
    <x v="3"/>
    <x v="0"/>
    <x v="1"/>
    <x v="1"/>
  </r>
  <r>
    <n v="1054395"/>
    <x v="0"/>
    <n v="12.75"/>
    <n v="12.8"/>
    <n v="89.95"/>
    <x v="3"/>
    <x v="0"/>
    <x v="1"/>
    <x v="1"/>
  </r>
  <r>
    <n v="1054400"/>
    <x v="0"/>
    <n v="12.75"/>
    <n v="12.8"/>
    <n v="99.95"/>
    <x v="3"/>
    <x v="0"/>
    <x v="1"/>
    <x v="1"/>
  </r>
  <r>
    <n v="1054417"/>
    <x v="0"/>
    <n v="13.63"/>
    <n v="13.84"/>
    <n v="148"/>
    <x v="3"/>
    <x v="0"/>
    <x v="1"/>
    <x v="1"/>
  </r>
  <r>
    <n v="1054421"/>
    <x v="0"/>
    <n v="9.65"/>
    <n v="9.6999999999999993"/>
    <n v="74.95"/>
    <x v="0"/>
    <x v="0"/>
    <x v="1"/>
    <x v="1"/>
  </r>
  <r>
    <n v="1054423"/>
    <x v="0"/>
    <n v="16.440000000000001"/>
    <n v="16.489999999999998"/>
    <n v="55.1"/>
    <x v="4"/>
    <x v="0"/>
    <x v="1"/>
    <x v="1"/>
  </r>
  <r>
    <n v="1054432"/>
    <x v="0"/>
    <n v="9.65"/>
    <n v="9.6999999999999993"/>
    <n v="66.849999999999994"/>
    <x v="0"/>
    <x v="0"/>
    <x v="1"/>
    <x v="1"/>
  </r>
  <r>
    <n v="1054433"/>
    <x v="0"/>
    <n v="12.75"/>
    <n v="12.8"/>
    <n v="53.95"/>
    <x v="3"/>
    <x v="0"/>
    <x v="1"/>
    <x v="1"/>
  </r>
  <r>
    <n v="1054453"/>
    <x v="0"/>
    <n v="13.64"/>
    <n v="13.69"/>
    <n v="15.9"/>
    <x v="3"/>
    <x v="0"/>
    <x v="1"/>
    <x v="1"/>
  </r>
  <r>
    <n v="1054456"/>
    <x v="0"/>
    <n v="13.63"/>
    <n v="14.7"/>
    <n v="82.85"/>
    <x v="3"/>
    <x v="0"/>
    <x v="1"/>
    <x v="1"/>
  </r>
  <r>
    <n v="1054478"/>
    <x v="0"/>
    <n v="15.02"/>
    <n v="15.07"/>
    <n v="17.95"/>
    <x v="6"/>
    <x v="0"/>
    <x v="1"/>
    <x v="1"/>
  </r>
  <r>
    <n v="1054517"/>
    <x v="0"/>
    <n v="12.75"/>
    <n v="12.8"/>
    <n v="89.9"/>
    <x v="3"/>
    <x v="0"/>
    <x v="1"/>
    <x v="1"/>
  </r>
  <r>
    <n v="1054565"/>
    <x v="0"/>
    <n v="12.75"/>
    <n v="12.8"/>
    <n v="16.95"/>
    <x v="3"/>
    <x v="0"/>
    <x v="1"/>
    <x v="1"/>
  </r>
  <r>
    <n v="1054578"/>
    <x v="0"/>
    <n v="15.33"/>
    <n v="18.27"/>
    <n v="146.80000000000001"/>
    <x v="6"/>
    <x v="0"/>
    <x v="1"/>
    <x v="1"/>
  </r>
  <r>
    <n v="1054582"/>
    <x v="0"/>
    <n v="12.75"/>
    <n v="12.8"/>
    <n v="54.8"/>
    <x v="3"/>
    <x v="0"/>
    <x v="1"/>
    <x v="1"/>
  </r>
  <r>
    <n v="1054590"/>
    <x v="0"/>
    <n v="12.75"/>
    <n v="12.8"/>
    <n v="47.4"/>
    <x v="3"/>
    <x v="0"/>
    <x v="1"/>
    <x v="1"/>
  </r>
  <r>
    <n v="1054644"/>
    <x v="0"/>
    <n v="12.75"/>
    <n v="12.8"/>
    <n v="103.7"/>
    <x v="3"/>
    <x v="0"/>
    <x v="1"/>
    <x v="1"/>
  </r>
  <r>
    <n v="1054659"/>
    <x v="0"/>
    <n v="16.34"/>
    <n v="16.39"/>
    <n v="17.5"/>
    <x v="4"/>
    <x v="0"/>
    <x v="1"/>
    <x v="1"/>
  </r>
  <r>
    <n v="1054675"/>
    <x v="0"/>
    <n v="12.75"/>
    <n v="12.8"/>
    <n v="54.4"/>
    <x v="3"/>
    <x v="0"/>
    <x v="1"/>
    <x v="1"/>
  </r>
  <r>
    <n v="1054680"/>
    <x v="0"/>
    <n v="9.66"/>
    <n v="12.8"/>
    <n v="23.7"/>
    <x v="0"/>
    <x v="0"/>
    <x v="1"/>
    <x v="1"/>
  </r>
  <r>
    <n v="1054694"/>
    <x v="0"/>
    <n v="15.02"/>
    <n v="15.07"/>
    <n v="98.85"/>
    <x v="6"/>
    <x v="0"/>
    <x v="1"/>
    <x v="1"/>
  </r>
  <r>
    <n v="1054701"/>
    <x v="0"/>
    <n v="16.34"/>
    <n v="16.77"/>
    <n v="30.75"/>
    <x v="4"/>
    <x v="0"/>
    <x v="1"/>
    <x v="1"/>
  </r>
  <r>
    <n v="1054703"/>
    <x v="0"/>
    <n v="12.75"/>
    <n v="12.8"/>
    <n v="20.9"/>
    <x v="3"/>
    <x v="0"/>
    <x v="1"/>
    <x v="1"/>
  </r>
  <r>
    <n v="1054713"/>
    <x v="0"/>
    <n v="12.75"/>
    <n v="12.8"/>
    <n v="54.85"/>
    <x v="3"/>
    <x v="0"/>
    <x v="1"/>
    <x v="1"/>
  </r>
  <r>
    <n v="1054722"/>
    <x v="0"/>
    <n v="13.64"/>
    <n v="13.69"/>
    <n v="21.7"/>
    <x v="3"/>
    <x v="0"/>
    <x v="1"/>
    <x v="1"/>
  </r>
  <r>
    <n v="1054731"/>
    <x v="0"/>
    <n v="13.64"/>
    <n v="13.69"/>
    <n v="62.8"/>
    <x v="3"/>
    <x v="0"/>
    <x v="1"/>
    <x v="1"/>
  </r>
  <r>
    <n v="1054742"/>
    <x v="0"/>
    <n v="12.75"/>
    <n v="12.8"/>
    <n v="99.7"/>
    <x v="3"/>
    <x v="0"/>
    <x v="1"/>
    <x v="1"/>
  </r>
  <r>
    <n v="1054743"/>
    <x v="0"/>
    <n v="9.65"/>
    <n v="9.6999999999999993"/>
    <n v="21.95"/>
    <x v="0"/>
    <x v="0"/>
    <x v="1"/>
    <x v="1"/>
  </r>
  <r>
    <n v="1054748"/>
    <x v="0"/>
    <n v="16.34"/>
    <n v="16.39"/>
    <n v="86.8"/>
    <x v="4"/>
    <x v="0"/>
    <x v="1"/>
    <x v="1"/>
  </r>
  <r>
    <n v="1054757"/>
    <x v="0"/>
    <n v="13.63"/>
    <n v="15.1"/>
    <n v="134.9"/>
    <x v="3"/>
    <x v="0"/>
    <x v="1"/>
    <x v="1"/>
  </r>
  <r>
    <n v="1054763"/>
    <x v="0"/>
    <n v="12.75"/>
    <n v="12.8"/>
    <n v="184.8"/>
    <x v="3"/>
    <x v="0"/>
    <x v="1"/>
    <x v="1"/>
  </r>
  <r>
    <n v="1054781"/>
    <x v="0"/>
    <n v="12.75"/>
    <n v="12.8"/>
    <n v="67.849999999999994"/>
    <x v="3"/>
    <x v="0"/>
    <x v="1"/>
    <x v="1"/>
  </r>
  <r>
    <n v="1054782"/>
    <x v="0"/>
    <n v="12.75"/>
    <n v="12.8"/>
    <n v="10.85"/>
    <x v="3"/>
    <x v="0"/>
    <x v="1"/>
    <x v="1"/>
  </r>
  <r>
    <n v="1054798"/>
    <x v="0"/>
    <n v="12.75"/>
    <n v="12.8"/>
    <n v="60.8"/>
    <x v="3"/>
    <x v="0"/>
    <x v="1"/>
    <x v="1"/>
  </r>
  <r>
    <n v="1054799"/>
    <x v="0"/>
    <n v="12.26"/>
    <n v="12.31"/>
    <n v="9.9"/>
    <x v="7"/>
    <x v="0"/>
    <x v="1"/>
    <x v="1"/>
  </r>
  <r>
    <n v="1054801"/>
    <x v="0"/>
    <n v="16.34"/>
    <n v="16.39"/>
    <n v="9.9499999999999993"/>
    <x v="4"/>
    <x v="0"/>
    <x v="1"/>
    <x v="1"/>
  </r>
  <r>
    <n v="1054817"/>
    <x v="0"/>
    <n v="16.64"/>
    <n v="16.690000000000001"/>
    <n v="94.65"/>
    <x v="4"/>
    <x v="0"/>
    <x v="1"/>
    <x v="1"/>
  </r>
  <r>
    <n v="1054820"/>
    <x v="0"/>
    <n v="9.66"/>
    <n v="12.8"/>
    <n v="48.9"/>
    <x v="0"/>
    <x v="0"/>
    <x v="1"/>
    <x v="1"/>
  </r>
  <r>
    <n v="1054823"/>
    <x v="0"/>
    <n v="16.649999999999999"/>
    <n v="16.7"/>
    <n v="19.45"/>
    <x v="4"/>
    <x v="0"/>
    <x v="1"/>
    <x v="1"/>
  </r>
  <r>
    <n v="1054832"/>
    <x v="0"/>
    <n v="15.11"/>
    <n v="15.16"/>
    <n v="111.89"/>
    <x v="6"/>
    <x v="0"/>
    <x v="1"/>
    <x v="1"/>
  </r>
  <r>
    <n v="1054838"/>
    <x v="0"/>
    <n v="12.75"/>
    <n v="12.8"/>
    <n v="5.9"/>
    <x v="3"/>
    <x v="0"/>
    <x v="1"/>
    <x v="1"/>
  </r>
  <r>
    <n v="1054839"/>
    <x v="0"/>
    <n v="9.65"/>
    <n v="10.07"/>
    <n v="110.95"/>
    <x v="0"/>
    <x v="0"/>
    <x v="1"/>
    <x v="1"/>
  </r>
  <r>
    <n v="1054869"/>
    <x v="0"/>
    <n v="9.65"/>
    <n v="9.7100000000000009"/>
    <n v="53.6"/>
    <x v="0"/>
    <x v="0"/>
    <x v="1"/>
    <x v="1"/>
  </r>
  <r>
    <n v="1054887"/>
    <x v="0"/>
    <n v="13.64"/>
    <n v="13.69"/>
    <n v="9.9499999999999993"/>
    <x v="3"/>
    <x v="0"/>
    <x v="1"/>
    <x v="1"/>
  </r>
  <r>
    <n v="1054905"/>
    <x v="0"/>
    <n v="9.66"/>
    <n v="9.7100000000000009"/>
    <n v="11.95"/>
    <x v="0"/>
    <x v="0"/>
    <x v="1"/>
    <x v="1"/>
  </r>
  <r>
    <n v="1054911"/>
    <x v="0"/>
    <n v="17.579999999999998"/>
    <n v="17.63"/>
    <n v="49.45"/>
    <x v="9"/>
    <x v="0"/>
    <x v="1"/>
    <x v="1"/>
  </r>
  <r>
    <n v="1054931"/>
    <x v="0"/>
    <n v="9.66"/>
    <n v="9.7100000000000009"/>
    <n v="74.95"/>
    <x v="0"/>
    <x v="0"/>
    <x v="1"/>
    <x v="1"/>
  </r>
  <r>
    <n v="1054932"/>
    <x v="0"/>
    <n v="19.079999999999998"/>
    <n v="19.13"/>
    <n v="11.25"/>
    <x v="10"/>
    <x v="0"/>
    <x v="1"/>
    <x v="1"/>
  </r>
  <r>
    <n v="1054964"/>
    <x v="0"/>
    <n v="15.32"/>
    <n v="15.37"/>
    <n v="39.950000000000003"/>
    <x v="6"/>
    <x v="0"/>
    <x v="1"/>
    <x v="1"/>
  </r>
  <r>
    <n v="1054979"/>
    <x v="0"/>
    <n v="13.63"/>
    <n v="13.68"/>
    <n v="91.9"/>
    <x v="3"/>
    <x v="0"/>
    <x v="1"/>
    <x v="1"/>
  </r>
  <r>
    <n v="1054980"/>
    <x v="0"/>
    <n v="9.65"/>
    <n v="9.74"/>
    <n v="126.7"/>
    <x v="0"/>
    <x v="0"/>
    <x v="1"/>
    <x v="1"/>
  </r>
  <r>
    <n v="1054987"/>
    <x v="0"/>
    <n v="17.579999999999998"/>
    <n v="17.63"/>
    <n v="44.95"/>
    <x v="9"/>
    <x v="0"/>
    <x v="1"/>
    <x v="1"/>
  </r>
  <r>
    <n v="1055002"/>
    <x v="0"/>
    <n v="10.94"/>
    <n v="10.99"/>
    <n v="22.5"/>
    <x v="8"/>
    <x v="0"/>
    <x v="1"/>
    <x v="1"/>
  </r>
  <r>
    <n v="1055007"/>
    <x v="0"/>
    <n v="12.75"/>
    <n v="12.8"/>
    <n v="139.55000000000001"/>
    <x v="3"/>
    <x v="0"/>
    <x v="1"/>
    <x v="1"/>
  </r>
  <r>
    <n v="1055018"/>
    <x v="0"/>
    <n v="16.440000000000001"/>
    <n v="16.489999999999998"/>
    <n v="34.950000000000003"/>
    <x v="4"/>
    <x v="0"/>
    <x v="1"/>
    <x v="1"/>
  </r>
  <r>
    <n v="1055024"/>
    <x v="0"/>
    <n v="15.02"/>
    <n v="15.07"/>
    <n v="24.7"/>
    <x v="6"/>
    <x v="0"/>
    <x v="1"/>
    <x v="1"/>
  </r>
  <r>
    <n v="1055033"/>
    <x v="0"/>
    <n v="16.649999999999999"/>
    <n v="16.7"/>
    <n v="14.95"/>
    <x v="4"/>
    <x v="0"/>
    <x v="1"/>
    <x v="1"/>
  </r>
  <r>
    <n v="1055059"/>
    <x v="0"/>
    <n v="12.75"/>
    <n v="12.8"/>
    <n v="4.95"/>
    <x v="3"/>
    <x v="0"/>
    <x v="1"/>
    <x v="1"/>
  </r>
  <r>
    <n v="1055075"/>
    <x v="0"/>
    <n v="12.75"/>
    <n v="12.8"/>
    <n v="11.9"/>
    <x v="3"/>
    <x v="0"/>
    <x v="1"/>
    <x v="1"/>
  </r>
  <r>
    <n v="1055101"/>
    <x v="0"/>
    <n v="12.75"/>
    <n v="12.8"/>
    <n v="55.85"/>
    <x v="3"/>
    <x v="0"/>
    <x v="1"/>
    <x v="1"/>
  </r>
  <r>
    <n v="1055107"/>
    <x v="0"/>
    <n v="16.440000000000001"/>
    <n v="16.489999999999998"/>
    <n v="34.950000000000003"/>
    <x v="4"/>
    <x v="0"/>
    <x v="1"/>
    <x v="1"/>
  </r>
  <r>
    <n v="1055125"/>
    <x v="0"/>
    <n v="16.649999999999999"/>
    <n v="16.7"/>
    <n v="17.8"/>
    <x v="4"/>
    <x v="0"/>
    <x v="1"/>
    <x v="1"/>
  </r>
  <r>
    <n v="1055134"/>
    <x v="0"/>
    <n v="9.65"/>
    <n v="0"/>
    <n v="46.93"/>
    <x v="0"/>
    <x v="0"/>
    <x v="0"/>
    <x v="42"/>
  </r>
  <r>
    <n v="1055137"/>
    <x v="0"/>
    <n v="13.64"/>
    <n v="13.68"/>
    <n v="72.900000000000006"/>
    <x v="3"/>
    <x v="0"/>
    <x v="1"/>
    <x v="1"/>
  </r>
  <r>
    <n v="1055152"/>
    <x v="0"/>
    <n v="16.34"/>
    <n v="16.39"/>
    <n v="36.799999999999997"/>
    <x v="4"/>
    <x v="0"/>
    <x v="1"/>
    <x v="1"/>
  </r>
  <r>
    <n v="1055168"/>
    <x v="0"/>
    <n v="12.26"/>
    <n v="12.31"/>
    <n v="29.9"/>
    <x v="7"/>
    <x v="0"/>
    <x v="1"/>
    <x v="1"/>
  </r>
  <r>
    <n v="1055208"/>
    <x v="0"/>
    <n v="12.75"/>
    <n v="12.8"/>
    <n v="89.6"/>
    <x v="3"/>
    <x v="0"/>
    <x v="1"/>
    <x v="1"/>
  </r>
  <r>
    <n v="1055217"/>
    <x v="0"/>
    <n v="12.75"/>
    <n v="12.8"/>
    <n v="67.349999999999994"/>
    <x v="3"/>
    <x v="0"/>
    <x v="1"/>
    <x v="1"/>
  </r>
  <r>
    <n v="1055228"/>
    <x v="0"/>
    <n v="9.65"/>
    <n v="9.6999999999999993"/>
    <n v="73.75"/>
    <x v="0"/>
    <x v="0"/>
    <x v="1"/>
    <x v="1"/>
  </r>
  <r>
    <n v="1055258"/>
    <x v="0"/>
    <n v="19.079999999999998"/>
    <n v="19.13"/>
    <n v="43"/>
    <x v="10"/>
    <x v="0"/>
    <x v="1"/>
    <x v="1"/>
  </r>
  <r>
    <n v="1055259"/>
    <x v="0"/>
    <n v="16.59"/>
    <n v="16.64"/>
    <n v="153.6"/>
    <x v="6"/>
    <x v="0"/>
    <x v="1"/>
    <x v="1"/>
  </r>
  <r>
    <n v="1055264"/>
    <x v="0"/>
    <n v="9.65"/>
    <n v="9.6999999999999993"/>
    <n v="66.3"/>
    <x v="0"/>
    <x v="0"/>
    <x v="1"/>
    <x v="1"/>
  </r>
  <r>
    <n v="1055266"/>
    <x v="0"/>
    <n v="12.75"/>
    <n v="12.8"/>
    <n v="4.2"/>
    <x v="3"/>
    <x v="0"/>
    <x v="1"/>
    <x v="1"/>
  </r>
  <r>
    <n v="1055278"/>
    <x v="0"/>
    <n v="9.65"/>
    <n v="9.6999999999999993"/>
    <n v="39.9"/>
    <x v="0"/>
    <x v="0"/>
    <x v="1"/>
    <x v="1"/>
  </r>
  <r>
    <n v="1055336"/>
    <x v="0"/>
    <n v="15.35"/>
    <n v="16.38"/>
    <n v="46.75"/>
    <x v="6"/>
    <x v="0"/>
    <x v="1"/>
    <x v="1"/>
  </r>
  <r>
    <n v="1055344"/>
    <x v="0"/>
    <n v="13.63"/>
    <n v="13.84"/>
    <n v="122.45"/>
    <x v="3"/>
    <x v="0"/>
    <x v="1"/>
    <x v="1"/>
  </r>
  <r>
    <n v="1055355"/>
    <x v="0"/>
    <n v="13.64"/>
    <n v="14.7"/>
    <n v="19.899999999999999"/>
    <x v="3"/>
    <x v="0"/>
    <x v="1"/>
    <x v="1"/>
  </r>
  <r>
    <n v="1055389"/>
    <x v="0"/>
    <n v="66.760000000000005"/>
    <n v="68.489999999999995"/>
    <n v="210.7"/>
    <x v="2"/>
    <x v="0"/>
    <x v="1"/>
    <x v="1"/>
  </r>
  <r>
    <n v="1055403"/>
    <x v="0"/>
    <n v="12.75"/>
    <n v="12.8"/>
    <n v="38.9"/>
    <x v="3"/>
    <x v="0"/>
    <x v="1"/>
    <x v="1"/>
  </r>
  <r>
    <n v="1055423"/>
    <x v="0"/>
    <n v="16.64"/>
    <n v="16.690000000000001"/>
    <n v="57.85"/>
    <x v="4"/>
    <x v="0"/>
    <x v="1"/>
    <x v="1"/>
  </r>
  <r>
    <n v="1055432"/>
    <x v="0"/>
    <n v="12.75"/>
    <n v="12.8"/>
    <n v="15"/>
    <x v="3"/>
    <x v="0"/>
    <x v="1"/>
    <x v="1"/>
  </r>
  <r>
    <n v="1055454"/>
    <x v="0"/>
    <n v="13.64"/>
    <n v="13.69"/>
    <n v="6.95"/>
    <x v="3"/>
    <x v="0"/>
    <x v="1"/>
    <x v="1"/>
  </r>
  <r>
    <n v="1055485"/>
    <x v="0"/>
    <n v="12.75"/>
    <n v="12.8"/>
    <n v="158.65"/>
    <x v="3"/>
    <x v="0"/>
    <x v="1"/>
    <x v="1"/>
  </r>
  <r>
    <n v="1055508"/>
    <x v="0"/>
    <n v="12.75"/>
    <n v="12.8"/>
    <n v="17.95"/>
    <x v="3"/>
    <x v="0"/>
    <x v="1"/>
    <x v="1"/>
  </r>
  <r>
    <n v="1055514"/>
    <x v="0"/>
    <n v="13.64"/>
    <n v="13.69"/>
    <n v="174.75"/>
    <x v="3"/>
    <x v="0"/>
    <x v="1"/>
    <x v="1"/>
  </r>
  <r>
    <n v="1055540"/>
    <x v="0"/>
    <n v="31.05"/>
    <n v="33.229999999999997"/>
    <n v="156.05000000000001"/>
    <x v="9"/>
    <x v="0"/>
    <x v="1"/>
    <x v="1"/>
  </r>
  <r>
    <n v="1055544"/>
    <x v="0"/>
    <n v="13.64"/>
    <n v="13.69"/>
    <n v="39.950000000000003"/>
    <x v="3"/>
    <x v="0"/>
    <x v="1"/>
    <x v="1"/>
  </r>
  <r>
    <n v="1055559"/>
    <x v="0"/>
    <n v="13.64"/>
    <n v="13.69"/>
    <n v="80.75"/>
    <x v="3"/>
    <x v="0"/>
    <x v="1"/>
    <x v="1"/>
  </r>
  <r>
    <n v="1055569"/>
    <x v="0"/>
    <n v="12.75"/>
    <n v="12.8"/>
    <n v="118.6"/>
    <x v="3"/>
    <x v="0"/>
    <x v="1"/>
    <x v="1"/>
  </r>
  <r>
    <n v="1055578"/>
    <x v="0"/>
    <n v="15.33"/>
    <n v="15.38"/>
    <n v="79.900000000000006"/>
    <x v="6"/>
    <x v="0"/>
    <x v="1"/>
    <x v="1"/>
  </r>
  <r>
    <n v="1055585"/>
    <x v="0"/>
    <n v="12.75"/>
    <n v="12.8"/>
    <n v="40.9"/>
    <x v="3"/>
    <x v="0"/>
    <x v="1"/>
    <x v="1"/>
  </r>
  <r>
    <n v="1055600"/>
    <x v="0"/>
    <n v="12.75"/>
    <n v="12.8"/>
    <n v="72.400000000000006"/>
    <x v="3"/>
    <x v="0"/>
    <x v="1"/>
    <x v="1"/>
  </r>
  <r>
    <n v="1055651"/>
    <x v="0"/>
    <n v="12.75"/>
    <n v="12.8"/>
    <n v="19.899999999999999"/>
    <x v="3"/>
    <x v="0"/>
    <x v="1"/>
    <x v="1"/>
  </r>
  <r>
    <n v="1055664"/>
    <x v="0"/>
    <n v="12.75"/>
    <n v="12.8"/>
    <n v="11.65"/>
    <x v="3"/>
    <x v="0"/>
    <x v="1"/>
    <x v="1"/>
  </r>
  <r>
    <n v="1055673"/>
    <x v="0"/>
    <n v="13.64"/>
    <n v="13.69"/>
    <n v="82.2"/>
    <x v="3"/>
    <x v="0"/>
    <x v="1"/>
    <x v="1"/>
  </r>
  <r>
    <n v="1055678"/>
    <x v="0"/>
    <n v="12.75"/>
    <n v="12.8"/>
    <n v="39.15"/>
    <x v="3"/>
    <x v="0"/>
    <x v="1"/>
    <x v="1"/>
  </r>
  <r>
    <n v="1055680"/>
    <x v="0"/>
    <n v="13.64"/>
    <n v="13.69"/>
    <n v="119.9"/>
    <x v="3"/>
    <x v="0"/>
    <x v="1"/>
    <x v="1"/>
  </r>
  <r>
    <n v="1055687"/>
    <x v="0"/>
    <n v="12.75"/>
    <n v="12.84"/>
    <n v="65.75"/>
    <x v="3"/>
    <x v="0"/>
    <x v="1"/>
    <x v="1"/>
  </r>
  <r>
    <n v="1055689"/>
    <x v="0"/>
    <n v="12.75"/>
    <n v="12.8"/>
    <n v="25.85"/>
    <x v="3"/>
    <x v="0"/>
    <x v="1"/>
    <x v="1"/>
  </r>
  <r>
    <n v="1055690"/>
    <x v="0"/>
    <n v="20"/>
    <n v="20.05"/>
    <n v="162.6"/>
    <x v="4"/>
    <x v="0"/>
    <x v="1"/>
    <x v="1"/>
  </r>
  <r>
    <n v="1055707"/>
    <x v="0"/>
    <n v="24.35"/>
    <n v="24.4"/>
    <n v="15.9"/>
    <x v="9"/>
    <x v="0"/>
    <x v="1"/>
    <x v="1"/>
  </r>
  <r>
    <n v="1055718"/>
    <x v="0"/>
    <n v="12.75"/>
    <n v="12.8"/>
    <n v="38.5"/>
    <x v="3"/>
    <x v="0"/>
    <x v="1"/>
    <x v="1"/>
  </r>
  <r>
    <n v="1055724"/>
    <x v="0"/>
    <n v="12.75"/>
    <n v="12.8"/>
    <n v="36.450000000000003"/>
    <x v="3"/>
    <x v="0"/>
    <x v="1"/>
    <x v="1"/>
  </r>
  <r>
    <n v="1055726"/>
    <x v="0"/>
    <n v="13.64"/>
    <n v="13.69"/>
    <n v="31.95"/>
    <x v="3"/>
    <x v="0"/>
    <x v="1"/>
    <x v="1"/>
  </r>
  <r>
    <n v="1055754"/>
    <x v="0"/>
    <n v="13.64"/>
    <n v="13.69"/>
    <n v="128.75"/>
    <x v="3"/>
    <x v="0"/>
    <x v="1"/>
    <x v="1"/>
  </r>
  <r>
    <n v="1055764"/>
    <x v="0"/>
    <n v="12.79"/>
    <n v="13.61"/>
    <n v="9.9499999999999993"/>
    <x v="3"/>
    <x v="0"/>
    <x v="1"/>
    <x v="1"/>
  </r>
  <r>
    <n v="1055777"/>
    <x v="0"/>
    <n v="13.64"/>
    <n v="13.69"/>
    <n v="75.8"/>
    <x v="3"/>
    <x v="0"/>
    <x v="1"/>
    <x v="1"/>
  </r>
  <r>
    <n v="1055788"/>
    <x v="0"/>
    <n v="9.65"/>
    <n v="9.7100000000000009"/>
    <n v="25.85"/>
    <x v="0"/>
    <x v="0"/>
    <x v="1"/>
    <x v="1"/>
  </r>
  <r>
    <n v="1055812"/>
    <x v="0"/>
    <n v="12.75"/>
    <n v="12.8"/>
    <n v="87.85"/>
    <x v="3"/>
    <x v="0"/>
    <x v="1"/>
    <x v="1"/>
  </r>
  <r>
    <n v="1055819"/>
    <x v="0"/>
    <n v="16.34"/>
    <n v="16.39"/>
    <n v="71.95"/>
    <x v="4"/>
    <x v="0"/>
    <x v="1"/>
    <x v="1"/>
  </r>
  <r>
    <n v="1055888"/>
    <x v="0"/>
    <n v="12.75"/>
    <n v="12.8"/>
    <n v="14.95"/>
    <x v="3"/>
    <x v="0"/>
    <x v="1"/>
    <x v="1"/>
  </r>
  <r>
    <n v="1055895"/>
    <x v="0"/>
    <n v="12.26"/>
    <n v="12.31"/>
    <n v="149.55000000000001"/>
    <x v="7"/>
    <x v="0"/>
    <x v="1"/>
    <x v="1"/>
  </r>
  <r>
    <n v="1055909"/>
    <x v="0"/>
    <n v="9.66"/>
    <n v="9.7100000000000009"/>
    <n v="50"/>
    <x v="0"/>
    <x v="0"/>
    <x v="1"/>
    <x v="1"/>
  </r>
  <r>
    <n v="1055924"/>
    <x v="0"/>
    <n v="9.66"/>
    <n v="9.7100000000000009"/>
    <n v="48.9"/>
    <x v="0"/>
    <x v="0"/>
    <x v="1"/>
    <x v="1"/>
  </r>
  <r>
    <n v="1055936"/>
    <x v="0"/>
    <n v="12.75"/>
    <n v="12.8"/>
    <n v="31.3"/>
    <x v="3"/>
    <x v="0"/>
    <x v="1"/>
    <x v="1"/>
  </r>
  <r>
    <n v="1055943"/>
    <x v="0"/>
    <n v="13.64"/>
    <n v="13.69"/>
    <n v="50.85"/>
    <x v="3"/>
    <x v="0"/>
    <x v="1"/>
    <x v="1"/>
  </r>
  <r>
    <n v="1055945"/>
    <x v="0"/>
    <n v="12.26"/>
    <n v="12.31"/>
    <n v="55.85"/>
    <x v="7"/>
    <x v="0"/>
    <x v="1"/>
    <x v="1"/>
  </r>
  <r>
    <n v="1055981"/>
    <x v="0"/>
    <n v="10.94"/>
    <n v="10.99"/>
    <n v="257.7"/>
    <x v="8"/>
    <x v="0"/>
    <x v="1"/>
    <x v="1"/>
  </r>
  <r>
    <n v="1055994"/>
    <x v="0"/>
    <n v="15.32"/>
    <n v="15.37"/>
    <n v="34.950000000000003"/>
    <x v="6"/>
    <x v="0"/>
    <x v="1"/>
    <x v="1"/>
  </r>
  <r>
    <n v="1056003"/>
    <x v="0"/>
    <n v="12.75"/>
    <n v="12.8"/>
    <n v="50"/>
    <x v="3"/>
    <x v="0"/>
    <x v="1"/>
    <x v="1"/>
  </r>
  <r>
    <n v="1056016"/>
    <x v="0"/>
    <n v="15.32"/>
    <n v="15.37"/>
    <n v="9.9499999999999993"/>
    <x v="6"/>
    <x v="0"/>
    <x v="1"/>
    <x v="1"/>
  </r>
  <r>
    <n v="1056017"/>
    <x v="0"/>
    <n v="13.64"/>
    <n v="13.69"/>
    <n v="84.9"/>
    <x v="3"/>
    <x v="0"/>
    <x v="1"/>
    <x v="1"/>
  </r>
  <r>
    <n v="1056020"/>
    <x v="0"/>
    <n v="12.75"/>
    <n v="12.8"/>
    <n v="11.7"/>
    <x v="3"/>
    <x v="0"/>
    <x v="1"/>
    <x v="1"/>
  </r>
  <r>
    <n v="1056031"/>
    <x v="0"/>
    <n v="9.65"/>
    <n v="9.6999999999999993"/>
    <n v="37.9"/>
    <x v="0"/>
    <x v="0"/>
    <x v="1"/>
    <x v="1"/>
  </r>
  <r>
    <n v="1056050"/>
    <x v="0"/>
    <n v="9.65"/>
    <n v="9.6999999999999993"/>
    <n v="164.8"/>
    <x v="0"/>
    <x v="0"/>
    <x v="1"/>
    <x v="1"/>
  </r>
  <r>
    <n v="1056060"/>
    <x v="0"/>
    <n v="13.64"/>
    <n v="13.69"/>
    <n v="191.6"/>
    <x v="3"/>
    <x v="0"/>
    <x v="1"/>
    <x v="1"/>
  </r>
  <r>
    <n v="1056071"/>
    <x v="0"/>
    <n v="13.64"/>
    <n v="13.69"/>
    <n v="38.700000000000003"/>
    <x v="3"/>
    <x v="0"/>
    <x v="1"/>
    <x v="1"/>
  </r>
  <r>
    <n v="1056087"/>
    <x v="0"/>
    <n v="12.75"/>
    <n v="12.8"/>
    <n v="61.3"/>
    <x v="3"/>
    <x v="0"/>
    <x v="1"/>
    <x v="1"/>
  </r>
  <r>
    <n v="1056094"/>
    <x v="0"/>
    <n v="12.75"/>
    <n v="12.8"/>
    <n v="44.95"/>
    <x v="3"/>
    <x v="0"/>
    <x v="1"/>
    <x v="1"/>
  </r>
  <r>
    <n v="1056098"/>
    <x v="0"/>
    <n v="12.75"/>
    <n v="12.8"/>
    <n v="38.299999999999997"/>
    <x v="3"/>
    <x v="0"/>
    <x v="1"/>
    <x v="1"/>
  </r>
  <r>
    <n v="1056121"/>
    <x v="0"/>
    <n v="9.65"/>
    <n v="14.57"/>
    <n v="59.9"/>
    <x v="0"/>
    <x v="0"/>
    <x v="1"/>
    <x v="1"/>
  </r>
  <r>
    <n v="1056123"/>
    <x v="0"/>
    <n v="12.75"/>
    <n v="12.8"/>
    <n v="5"/>
    <x v="3"/>
    <x v="0"/>
    <x v="1"/>
    <x v="1"/>
  </r>
  <r>
    <n v="1056130"/>
    <x v="0"/>
    <n v="12.75"/>
    <n v="12.8"/>
    <n v="19.2"/>
    <x v="3"/>
    <x v="0"/>
    <x v="1"/>
    <x v="1"/>
  </r>
  <r>
    <n v="1056137"/>
    <x v="0"/>
    <n v="58.3"/>
    <n v="60.46"/>
    <n v="246.5"/>
    <x v="2"/>
    <x v="0"/>
    <x v="1"/>
    <x v="1"/>
  </r>
  <r>
    <n v="1056150"/>
    <x v="0"/>
    <n v="13.64"/>
    <n v="13.69"/>
    <n v="126.05"/>
    <x v="3"/>
    <x v="0"/>
    <x v="1"/>
    <x v="1"/>
  </r>
  <r>
    <n v="1056159"/>
    <x v="0"/>
    <n v="12.75"/>
    <n v="12.8"/>
    <n v="4.95"/>
    <x v="3"/>
    <x v="0"/>
    <x v="1"/>
    <x v="1"/>
  </r>
  <r>
    <n v="1056171"/>
    <x v="0"/>
    <n v="13.64"/>
    <n v="13.69"/>
    <n v="114.9"/>
    <x v="3"/>
    <x v="0"/>
    <x v="1"/>
    <x v="1"/>
  </r>
  <r>
    <n v="1056185"/>
    <x v="0"/>
    <n v="12.75"/>
    <n v="12.8"/>
    <n v="39.950000000000003"/>
    <x v="3"/>
    <x v="0"/>
    <x v="1"/>
    <x v="1"/>
  </r>
  <r>
    <n v="1056201"/>
    <x v="0"/>
    <n v="16.649999999999999"/>
    <n v="16.7"/>
    <n v="6.5"/>
    <x v="4"/>
    <x v="0"/>
    <x v="1"/>
    <x v="1"/>
  </r>
  <r>
    <n v="1056207"/>
    <x v="0"/>
    <n v="9.66"/>
    <n v="9.7100000000000009"/>
    <n v="29.95"/>
    <x v="0"/>
    <x v="0"/>
    <x v="1"/>
    <x v="1"/>
  </r>
  <r>
    <n v="1056248"/>
    <x v="0"/>
    <n v="16.649999999999999"/>
    <n v="16.7"/>
    <n v="65.8"/>
    <x v="4"/>
    <x v="0"/>
    <x v="1"/>
    <x v="1"/>
  </r>
  <r>
    <n v="1056250"/>
    <x v="0"/>
    <n v="28.68"/>
    <n v="28.73"/>
    <n v="64.400000000000006"/>
    <x v="9"/>
    <x v="0"/>
    <x v="1"/>
    <x v="1"/>
  </r>
  <r>
    <n v="1056252"/>
    <x v="0"/>
    <n v="16.649999999999999"/>
    <n v="16.7"/>
    <n v="47.9"/>
    <x v="4"/>
    <x v="0"/>
    <x v="1"/>
    <x v="1"/>
  </r>
  <r>
    <n v="1056253"/>
    <x v="0"/>
    <n v="13.64"/>
    <n v="13.69"/>
    <n v="19.5"/>
    <x v="3"/>
    <x v="0"/>
    <x v="1"/>
    <x v="1"/>
  </r>
  <r>
    <n v="1056271"/>
    <x v="0"/>
    <n v="9.65"/>
    <n v="9.6999999999999993"/>
    <n v="12.9"/>
    <x v="0"/>
    <x v="0"/>
    <x v="1"/>
    <x v="1"/>
  </r>
  <r>
    <n v="1056283"/>
    <x v="0"/>
    <n v="13.64"/>
    <n v="13.69"/>
    <n v="7.95"/>
    <x v="3"/>
    <x v="0"/>
    <x v="1"/>
    <x v="1"/>
  </r>
  <r>
    <n v="1056325"/>
    <x v="0"/>
    <n v="13.64"/>
    <n v="13.69"/>
    <n v="53.8"/>
    <x v="3"/>
    <x v="0"/>
    <x v="1"/>
    <x v="1"/>
  </r>
  <r>
    <n v="1056327"/>
    <x v="0"/>
    <n v="12.75"/>
    <n v="12.8"/>
    <n v="69.900000000000006"/>
    <x v="3"/>
    <x v="0"/>
    <x v="1"/>
    <x v="1"/>
  </r>
  <r>
    <n v="1056329"/>
    <x v="0"/>
    <n v="9.66"/>
    <n v="9.7100000000000009"/>
    <n v="23.85"/>
    <x v="0"/>
    <x v="0"/>
    <x v="1"/>
    <x v="1"/>
  </r>
  <r>
    <n v="1056336"/>
    <x v="0"/>
    <n v="18.32"/>
    <n v="18.37"/>
    <n v="5"/>
    <x v="9"/>
    <x v="0"/>
    <x v="1"/>
    <x v="1"/>
  </r>
  <r>
    <n v="1056339"/>
    <x v="0"/>
    <n v="9.66"/>
    <n v="9.7100000000000009"/>
    <n v="5"/>
    <x v="0"/>
    <x v="0"/>
    <x v="1"/>
    <x v="1"/>
  </r>
  <r>
    <n v="1056342"/>
    <x v="0"/>
    <n v="12.75"/>
    <n v="12.8"/>
    <n v="9.9499999999999993"/>
    <x v="3"/>
    <x v="0"/>
    <x v="1"/>
    <x v="1"/>
  </r>
  <r>
    <n v="1056346"/>
    <x v="0"/>
    <n v="12.75"/>
    <n v="12.8"/>
    <n v="34.950000000000003"/>
    <x v="3"/>
    <x v="0"/>
    <x v="1"/>
    <x v="1"/>
  </r>
  <r>
    <n v="1056372"/>
    <x v="0"/>
    <n v="12.75"/>
    <n v="12.8"/>
    <n v="5"/>
    <x v="3"/>
    <x v="0"/>
    <x v="1"/>
    <x v="1"/>
  </r>
  <r>
    <n v="1056375"/>
    <x v="0"/>
    <n v="12.75"/>
    <n v="12.8"/>
    <n v="44.95"/>
    <x v="3"/>
    <x v="0"/>
    <x v="1"/>
    <x v="1"/>
  </r>
  <r>
    <n v="1056392"/>
    <x v="0"/>
    <n v="9.65"/>
    <n v="13.69"/>
    <n v="16.25"/>
    <x v="0"/>
    <x v="0"/>
    <x v="1"/>
    <x v="1"/>
  </r>
  <r>
    <n v="1056394"/>
    <x v="0"/>
    <n v="13.64"/>
    <n v="13.69"/>
    <n v="5.95"/>
    <x v="3"/>
    <x v="0"/>
    <x v="1"/>
    <x v="1"/>
  </r>
  <r>
    <n v="1056398"/>
    <x v="0"/>
    <n v="13.64"/>
    <n v="13.69"/>
    <n v="37.35"/>
    <x v="3"/>
    <x v="0"/>
    <x v="1"/>
    <x v="1"/>
  </r>
  <r>
    <n v="1056411"/>
    <x v="0"/>
    <n v="57.61"/>
    <n v="60.46"/>
    <n v="73.650000000000006"/>
    <x v="2"/>
    <x v="0"/>
    <x v="1"/>
    <x v="1"/>
  </r>
  <r>
    <n v="1056425"/>
    <x v="0"/>
    <n v="12.75"/>
    <n v="12.8"/>
    <n v="12.85"/>
    <x v="3"/>
    <x v="0"/>
    <x v="1"/>
    <x v="1"/>
  </r>
  <r>
    <n v="1056463"/>
    <x v="0"/>
    <n v="16.649999999999999"/>
    <n v="16.7"/>
    <n v="88.9"/>
    <x v="4"/>
    <x v="0"/>
    <x v="1"/>
    <x v="1"/>
  </r>
  <r>
    <n v="1056477"/>
    <x v="0"/>
    <n v="13.64"/>
    <n v="13.69"/>
    <n v="1.95"/>
    <x v="3"/>
    <x v="0"/>
    <x v="1"/>
    <x v="1"/>
  </r>
  <r>
    <n v="1056483"/>
    <x v="0"/>
    <n v="9.65"/>
    <n v="9.6999999999999993"/>
    <n v="39.9"/>
    <x v="0"/>
    <x v="0"/>
    <x v="1"/>
    <x v="1"/>
  </r>
  <r>
    <n v="1056495"/>
    <x v="0"/>
    <n v="12.75"/>
    <n v="12.8"/>
    <n v="70.45"/>
    <x v="3"/>
    <x v="0"/>
    <x v="1"/>
    <x v="1"/>
  </r>
  <r>
    <n v="1056524"/>
    <x v="0"/>
    <n v="16.34"/>
    <n v="16.39"/>
    <n v="59.95"/>
    <x v="4"/>
    <x v="0"/>
    <x v="1"/>
    <x v="1"/>
  </r>
  <r>
    <n v="1056533"/>
    <x v="0"/>
    <n v="13.64"/>
    <n v="13.69"/>
    <n v="98.35"/>
    <x v="3"/>
    <x v="0"/>
    <x v="1"/>
    <x v="1"/>
  </r>
  <r>
    <n v="1056535"/>
    <x v="0"/>
    <n v="22.55"/>
    <n v="9.6999999999999993"/>
    <n v="35.700000000000003"/>
    <x v="0"/>
    <x v="0"/>
    <x v="0"/>
    <x v="61"/>
  </r>
  <r>
    <n v="1056537"/>
    <x v="0"/>
    <n v="9.66"/>
    <n v="9.7100000000000009"/>
    <n v="17.95"/>
    <x v="0"/>
    <x v="0"/>
    <x v="1"/>
    <x v="1"/>
  </r>
  <r>
    <n v="1056552"/>
    <x v="0"/>
    <n v="9.66"/>
    <n v="9.6999999999999993"/>
    <n v="70.8"/>
    <x v="0"/>
    <x v="0"/>
    <x v="1"/>
    <x v="1"/>
  </r>
  <r>
    <n v="1056579"/>
    <x v="0"/>
    <n v="9.65"/>
    <n v="9.6999999999999993"/>
    <n v="19.2"/>
    <x v="0"/>
    <x v="0"/>
    <x v="1"/>
    <x v="1"/>
  </r>
  <r>
    <n v="1056584"/>
    <x v="0"/>
    <n v="13.64"/>
    <n v="13.69"/>
    <n v="40.4"/>
    <x v="3"/>
    <x v="0"/>
    <x v="1"/>
    <x v="1"/>
  </r>
  <r>
    <n v="1056593"/>
    <x v="0"/>
    <n v="9.65"/>
    <n v="9.6999999999999993"/>
    <n v="27.45"/>
    <x v="0"/>
    <x v="0"/>
    <x v="1"/>
    <x v="1"/>
  </r>
  <r>
    <n v="1056622"/>
    <x v="0"/>
    <n v="12.36"/>
    <n v="16.489999999999998"/>
    <n v="19.8"/>
    <x v="7"/>
    <x v="0"/>
    <x v="1"/>
    <x v="1"/>
  </r>
  <r>
    <n v="1056623"/>
    <x v="0"/>
    <n v="12.75"/>
    <n v="12.8"/>
    <n v="95.8"/>
    <x v="3"/>
    <x v="0"/>
    <x v="1"/>
    <x v="1"/>
  </r>
  <r>
    <n v="1056633"/>
    <x v="0"/>
    <n v="12.75"/>
    <n v="12.8"/>
    <n v="59.95"/>
    <x v="3"/>
    <x v="0"/>
    <x v="1"/>
    <x v="1"/>
  </r>
  <r>
    <n v="1056664"/>
    <x v="0"/>
    <n v="18.02"/>
    <n v="18.84"/>
    <n v="69.75"/>
    <x v="9"/>
    <x v="0"/>
    <x v="1"/>
    <x v="1"/>
  </r>
  <r>
    <n v="1056666"/>
    <x v="0"/>
    <n v="13.64"/>
    <n v="13.69"/>
    <n v="29.85"/>
    <x v="3"/>
    <x v="0"/>
    <x v="1"/>
    <x v="1"/>
  </r>
  <r>
    <n v="1056675"/>
    <x v="0"/>
    <n v="12.75"/>
    <n v="12.8"/>
    <n v="89.85"/>
    <x v="3"/>
    <x v="0"/>
    <x v="1"/>
    <x v="1"/>
  </r>
  <r>
    <n v="1056747"/>
    <x v="0"/>
    <n v="12.26"/>
    <n v="12.31"/>
    <n v="56.9"/>
    <x v="7"/>
    <x v="0"/>
    <x v="1"/>
    <x v="1"/>
  </r>
  <r>
    <n v="1056764"/>
    <x v="0"/>
    <n v="13.64"/>
    <n v="13.69"/>
    <n v="14.95"/>
    <x v="3"/>
    <x v="0"/>
    <x v="1"/>
    <x v="1"/>
  </r>
  <r>
    <n v="1056771"/>
    <x v="0"/>
    <n v="13.64"/>
    <n v="13.68"/>
    <n v="63.85"/>
    <x v="3"/>
    <x v="0"/>
    <x v="1"/>
    <x v="1"/>
  </r>
  <r>
    <n v="1056778"/>
    <x v="0"/>
    <n v="12.75"/>
    <n v="12.8"/>
    <n v="29.95"/>
    <x v="3"/>
    <x v="0"/>
    <x v="1"/>
    <x v="1"/>
  </r>
  <r>
    <n v="1056799"/>
    <x v="0"/>
    <n v="13.64"/>
    <n v="13.69"/>
    <n v="83.05"/>
    <x v="3"/>
    <x v="0"/>
    <x v="1"/>
    <x v="1"/>
  </r>
  <r>
    <n v="1056832"/>
    <x v="0"/>
    <n v="13.64"/>
    <n v="13.73"/>
    <n v="50.35"/>
    <x v="3"/>
    <x v="0"/>
    <x v="1"/>
    <x v="1"/>
  </r>
  <r>
    <n v="1056848"/>
    <x v="0"/>
    <n v="60.41"/>
    <n v="61.15"/>
    <n v="88.05"/>
    <x v="2"/>
    <x v="0"/>
    <x v="1"/>
    <x v="1"/>
  </r>
  <r>
    <n v="1056852"/>
    <x v="0"/>
    <n v="9.66"/>
    <n v="9.7100000000000009"/>
    <n v="15.8"/>
    <x v="0"/>
    <x v="0"/>
    <x v="1"/>
    <x v="1"/>
  </r>
  <r>
    <n v="1056862"/>
    <x v="0"/>
    <n v="12.75"/>
    <n v="14.08"/>
    <n v="124.75"/>
    <x v="3"/>
    <x v="0"/>
    <x v="1"/>
    <x v="1"/>
  </r>
  <r>
    <n v="1056930"/>
    <x v="0"/>
    <n v="16.649999999999999"/>
    <n v="17.16"/>
    <n v="155.80000000000001"/>
    <x v="4"/>
    <x v="0"/>
    <x v="1"/>
    <x v="1"/>
  </r>
  <r>
    <n v="1056969"/>
    <x v="0"/>
    <n v="13.63"/>
    <n v="13.69"/>
    <n v="117.2"/>
    <x v="3"/>
    <x v="0"/>
    <x v="1"/>
    <x v="1"/>
  </r>
  <r>
    <n v="1057028"/>
    <x v="0"/>
    <n v="12.75"/>
    <n v="12.8"/>
    <n v="67.8"/>
    <x v="3"/>
    <x v="0"/>
    <x v="1"/>
    <x v="1"/>
  </r>
  <r>
    <n v="1057055"/>
    <x v="0"/>
    <n v="12.75"/>
    <n v="12.8"/>
    <n v="95.8"/>
    <x v="3"/>
    <x v="0"/>
    <x v="1"/>
    <x v="1"/>
  </r>
  <r>
    <n v="1057065"/>
    <x v="0"/>
    <n v="12.75"/>
    <n v="12.8"/>
    <n v="85.7"/>
    <x v="3"/>
    <x v="0"/>
    <x v="1"/>
    <x v="1"/>
  </r>
  <r>
    <n v="1057095"/>
    <x v="0"/>
    <n v="12.75"/>
    <n v="12.8"/>
    <n v="68.75"/>
    <x v="3"/>
    <x v="0"/>
    <x v="1"/>
    <x v="1"/>
  </r>
  <r>
    <n v="1057097"/>
    <x v="0"/>
    <n v="12.75"/>
    <n v="12.8"/>
    <n v="121.8"/>
    <x v="3"/>
    <x v="0"/>
    <x v="1"/>
    <x v="1"/>
  </r>
  <r>
    <n v="1057120"/>
    <x v="0"/>
    <n v="13.64"/>
    <n v="13.69"/>
    <n v="53.75"/>
    <x v="3"/>
    <x v="0"/>
    <x v="1"/>
    <x v="1"/>
  </r>
  <r>
    <n v="1057121"/>
    <x v="0"/>
    <n v="61.89"/>
    <n v="61.94"/>
    <n v="203.7"/>
    <x v="2"/>
    <x v="0"/>
    <x v="1"/>
    <x v="1"/>
  </r>
  <r>
    <n v="1057150"/>
    <x v="0"/>
    <n v="13.64"/>
    <n v="13.69"/>
    <n v="67.8"/>
    <x v="3"/>
    <x v="0"/>
    <x v="1"/>
    <x v="1"/>
  </r>
  <r>
    <n v="1057155"/>
    <x v="0"/>
    <n v="13.64"/>
    <n v="13.69"/>
    <n v="17.5"/>
    <x v="3"/>
    <x v="0"/>
    <x v="1"/>
    <x v="1"/>
  </r>
  <r>
    <n v="1057158"/>
    <x v="0"/>
    <n v="13.64"/>
    <n v="13.69"/>
    <n v="180.95"/>
    <x v="3"/>
    <x v="0"/>
    <x v="1"/>
    <x v="1"/>
  </r>
  <r>
    <n v="1057161"/>
    <x v="0"/>
    <n v="13.64"/>
    <n v="13.69"/>
    <n v="64.900000000000006"/>
    <x v="3"/>
    <x v="0"/>
    <x v="1"/>
    <x v="1"/>
  </r>
  <r>
    <n v="1057164"/>
    <x v="0"/>
    <n v="15.33"/>
    <n v="15.38"/>
    <n v="123.75"/>
    <x v="6"/>
    <x v="0"/>
    <x v="1"/>
    <x v="1"/>
  </r>
  <r>
    <n v="1057166"/>
    <x v="0"/>
    <n v="12.75"/>
    <n v="12.8"/>
    <n v="46.8"/>
    <x v="3"/>
    <x v="0"/>
    <x v="1"/>
    <x v="1"/>
  </r>
  <r>
    <n v="1057186"/>
    <x v="0"/>
    <n v="13.64"/>
    <n v="13.69"/>
    <n v="100"/>
    <x v="3"/>
    <x v="0"/>
    <x v="1"/>
    <x v="1"/>
  </r>
  <r>
    <n v="1057197"/>
    <x v="0"/>
    <n v="9.65"/>
    <n v="9.6999999999999993"/>
    <n v="113.35"/>
    <x v="0"/>
    <x v="0"/>
    <x v="1"/>
    <x v="1"/>
  </r>
  <r>
    <n v="1057266"/>
    <x v="0"/>
    <n v="16.34"/>
    <n v="16.39"/>
    <n v="29.9"/>
    <x v="4"/>
    <x v="0"/>
    <x v="1"/>
    <x v="1"/>
  </r>
  <r>
    <n v="1057308"/>
    <x v="0"/>
    <n v="16.64"/>
    <n v="16.690000000000001"/>
    <n v="39.85"/>
    <x v="4"/>
    <x v="0"/>
    <x v="1"/>
    <x v="1"/>
  </r>
  <r>
    <n v="1057310"/>
    <x v="0"/>
    <n v="13.64"/>
    <n v="13.69"/>
    <n v="59.35"/>
    <x v="3"/>
    <x v="0"/>
    <x v="1"/>
    <x v="1"/>
  </r>
  <r>
    <n v="1057312"/>
    <x v="0"/>
    <n v="12.75"/>
    <n v="12.8"/>
    <n v="40.15"/>
    <x v="3"/>
    <x v="0"/>
    <x v="1"/>
    <x v="1"/>
  </r>
  <r>
    <n v="1057336"/>
    <x v="0"/>
    <n v="17.309999999999999"/>
    <n v="17.36"/>
    <n v="19.95"/>
    <x v="10"/>
    <x v="0"/>
    <x v="1"/>
    <x v="1"/>
  </r>
  <r>
    <n v="1057348"/>
    <x v="0"/>
    <n v="12.75"/>
    <n v="12.8"/>
    <n v="29.95"/>
    <x v="3"/>
    <x v="0"/>
    <x v="1"/>
    <x v="1"/>
  </r>
  <r>
    <n v="1057395"/>
    <x v="0"/>
    <n v="16.649999999999999"/>
    <n v="16.7"/>
    <n v="82.25"/>
    <x v="4"/>
    <x v="0"/>
    <x v="1"/>
    <x v="1"/>
  </r>
  <r>
    <n v="1057402"/>
    <x v="0"/>
    <n v="13.64"/>
    <n v="13.69"/>
    <n v="7.8"/>
    <x v="3"/>
    <x v="0"/>
    <x v="1"/>
    <x v="1"/>
  </r>
  <r>
    <n v="1057439"/>
    <x v="0"/>
    <n v="71.47"/>
    <n v="90.37"/>
    <n v="178"/>
    <x v="5"/>
    <x v="0"/>
    <x v="1"/>
    <x v="1"/>
  </r>
  <r>
    <n v="1057462"/>
    <x v="0"/>
    <n v="16.75"/>
    <n v="18.64"/>
    <n v="106.6"/>
    <x v="4"/>
    <x v="0"/>
    <x v="1"/>
    <x v="1"/>
  </r>
  <r>
    <n v="1057480"/>
    <x v="0"/>
    <n v="13.64"/>
    <n v="13.69"/>
    <n v="43.35"/>
    <x v="3"/>
    <x v="0"/>
    <x v="1"/>
    <x v="1"/>
  </r>
  <r>
    <n v="1057487"/>
    <x v="0"/>
    <n v="13.64"/>
    <n v="13.69"/>
    <n v="47.9"/>
    <x v="3"/>
    <x v="0"/>
    <x v="1"/>
    <x v="1"/>
  </r>
  <r>
    <n v="1057499"/>
    <x v="0"/>
    <n v="18.28"/>
    <n v="18.329999999999998"/>
    <n v="59"/>
    <x v="4"/>
    <x v="0"/>
    <x v="1"/>
    <x v="1"/>
  </r>
  <r>
    <n v="1057503"/>
    <x v="0"/>
    <n v="13.64"/>
    <n v="13.69"/>
    <n v="62.75"/>
    <x v="3"/>
    <x v="0"/>
    <x v="1"/>
    <x v="1"/>
  </r>
  <r>
    <n v="1057521"/>
    <x v="0"/>
    <n v="16.350000000000001"/>
    <n v="17.420000000000002"/>
    <n v="883.86"/>
    <x v="10"/>
    <x v="0"/>
    <x v="1"/>
    <x v="1"/>
  </r>
  <r>
    <n v="1057533"/>
    <x v="0"/>
    <n v="12.75"/>
    <n v="12.8"/>
    <n v="78.25"/>
    <x v="3"/>
    <x v="0"/>
    <x v="1"/>
    <x v="1"/>
  </r>
  <r>
    <n v="1057550"/>
    <x v="0"/>
    <n v="12.75"/>
    <n v="12.8"/>
    <n v="34.700000000000003"/>
    <x v="3"/>
    <x v="0"/>
    <x v="1"/>
    <x v="1"/>
  </r>
  <r>
    <n v="1057552"/>
    <x v="0"/>
    <n v="12.75"/>
    <n v="12.8"/>
    <n v="34.9"/>
    <x v="3"/>
    <x v="0"/>
    <x v="1"/>
    <x v="1"/>
  </r>
  <r>
    <n v="1057553"/>
    <x v="0"/>
    <n v="13.64"/>
    <n v="13.69"/>
    <n v="29.95"/>
    <x v="3"/>
    <x v="0"/>
    <x v="1"/>
    <x v="1"/>
  </r>
  <r>
    <n v="1057557"/>
    <x v="0"/>
    <n v="26.37"/>
    <n v="26.42"/>
    <n v="95.8"/>
    <x v="9"/>
    <x v="0"/>
    <x v="1"/>
    <x v="1"/>
  </r>
  <r>
    <n v="1057559"/>
    <x v="0"/>
    <n v="13.64"/>
    <n v="13.69"/>
    <n v="40"/>
    <x v="3"/>
    <x v="0"/>
    <x v="1"/>
    <x v="1"/>
  </r>
  <r>
    <n v="1057569"/>
    <x v="0"/>
    <n v="12.75"/>
    <n v="12.8"/>
    <n v="90.4"/>
    <x v="3"/>
    <x v="0"/>
    <x v="1"/>
    <x v="1"/>
  </r>
  <r>
    <n v="1057604"/>
    <x v="0"/>
    <n v="12.75"/>
    <n v="12.8"/>
    <n v="47.45"/>
    <x v="3"/>
    <x v="0"/>
    <x v="1"/>
    <x v="1"/>
  </r>
  <r>
    <n v="1057619"/>
    <x v="0"/>
    <n v="13.64"/>
    <n v="13.68"/>
    <n v="49.85"/>
    <x v="3"/>
    <x v="0"/>
    <x v="1"/>
    <x v="1"/>
  </r>
  <r>
    <n v="1057642"/>
    <x v="0"/>
    <n v="9.66"/>
    <n v="9.6999999999999993"/>
    <n v="59.55"/>
    <x v="0"/>
    <x v="0"/>
    <x v="1"/>
    <x v="1"/>
  </r>
  <r>
    <n v="1057649"/>
    <x v="0"/>
    <n v="24.69"/>
    <n v="24.74"/>
    <n v="239.75"/>
    <x v="9"/>
    <x v="0"/>
    <x v="1"/>
    <x v="1"/>
  </r>
  <r>
    <n v="1057683"/>
    <x v="0"/>
    <n v="13.64"/>
    <n v="13.69"/>
    <n v="35"/>
    <x v="3"/>
    <x v="0"/>
    <x v="1"/>
    <x v="1"/>
  </r>
  <r>
    <n v="1057695"/>
    <x v="0"/>
    <n v="9.66"/>
    <n v="9.7100000000000009"/>
    <n v="9.9499999999999993"/>
    <x v="0"/>
    <x v="0"/>
    <x v="1"/>
    <x v="1"/>
  </r>
  <r>
    <n v="1057719"/>
    <x v="0"/>
    <n v="13.64"/>
    <n v="13.69"/>
    <n v="19.899999999999999"/>
    <x v="3"/>
    <x v="0"/>
    <x v="1"/>
    <x v="1"/>
  </r>
  <r>
    <n v="1057727"/>
    <x v="0"/>
    <n v="12.75"/>
    <n v="12.8"/>
    <n v="66.849999999999994"/>
    <x v="3"/>
    <x v="0"/>
    <x v="1"/>
    <x v="1"/>
  </r>
  <r>
    <n v="1057780"/>
    <x v="0"/>
    <n v="9.65"/>
    <n v="9.6999999999999993"/>
    <n v="50.45"/>
    <x v="0"/>
    <x v="0"/>
    <x v="1"/>
    <x v="1"/>
  </r>
  <r>
    <n v="1057789"/>
    <x v="0"/>
    <n v="13.64"/>
    <n v="13.69"/>
    <n v="34.950000000000003"/>
    <x v="3"/>
    <x v="0"/>
    <x v="1"/>
    <x v="1"/>
  </r>
  <r>
    <n v="1057811"/>
    <x v="0"/>
    <n v="13.64"/>
    <n v="13.69"/>
    <n v="40.75"/>
    <x v="3"/>
    <x v="0"/>
    <x v="1"/>
    <x v="1"/>
  </r>
  <r>
    <n v="1057821"/>
    <x v="0"/>
    <n v="16.34"/>
    <n v="16.39"/>
    <n v="11.9"/>
    <x v="4"/>
    <x v="0"/>
    <x v="1"/>
    <x v="1"/>
  </r>
  <r>
    <n v="1057826"/>
    <x v="0"/>
    <n v="12.75"/>
    <n v="13.25"/>
    <n v="85"/>
    <x v="3"/>
    <x v="0"/>
    <x v="1"/>
    <x v="1"/>
  </r>
  <r>
    <n v="1057853"/>
    <x v="0"/>
    <n v="12.75"/>
    <n v="12.8"/>
    <n v="9.9499999999999993"/>
    <x v="3"/>
    <x v="0"/>
    <x v="1"/>
    <x v="1"/>
  </r>
  <r>
    <n v="1057855"/>
    <x v="0"/>
    <n v="9.65"/>
    <n v="9.6999999999999993"/>
    <n v="96.85"/>
    <x v="0"/>
    <x v="0"/>
    <x v="1"/>
    <x v="1"/>
  </r>
  <r>
    <n v="1057861"/>
    <x v="0"/>
    <n v="9.65"/>
    <n v="14.14"/>
    <n v="95.4"/>
    <x v="0"/>
    <x v="0"/>
    <x v="1"/>
    <x v="1"/>
  </r>
  <r>
    <n v="1057874"/>
    <x v="0"/>
    <n v="13.64"/>
    <n v="13.69"/>
    <n v="17.5"/>
    <x v="3"/>
    <x v="0"/>
    <x v="1"/>
    <x v="1"/>
  </r>
  <r>
    <n v="1057883"/>
    <x v="0"/>
    <n v="12.75"/>
    <n v="12.8"/>
    <n v="1.95"/>
    <x v="3"/>
    <x v="0"/>
    <x v="1"/>
    <x v="1"/>
  </r>
  <r>
    <n v="1057885"/>
    <x v="0"/>
    <n v="13.64"/>
    <n v="13.69"/>
    <n v="47.9"/>
    <x v="3"/>
    <x v="0"/>
    <x v="1"/>
    <x v="1"/>
  </r>
  <r>
    <n v="1057913"/>
    <x v="0"/>
    <n v="12.75"/>
    <n v="12.8"/>
    <n v="5"/>
    <x v="3"/>
    <x v="0"/>
    <x v="1"/>
    <x v="1"/>
  </r>
  <r>
    <n v="1057930"/>
    <x v="0"/>
    <n v="12.75"/>
    <n v="12.8"/>
    <n v="13.9"/>
    <x v="3"/>
    <x v="0"/>
    <x v="1"/>
    <x v="1"/>
  </r>
  <r>
    <n v="1057943"/>
    <x v="0"/>
    <n v="13.64"/>
    <n v="9.6999999999999993"/>
    <n v="11.4"/>
    <x v="3"/>
    <x v="0"/>
    <x v="0"/>
    <x v="62"/>
  </r>
  <r>
    <n v="1058000"/>
    <x v="0"/>
    <n v="9.65"/>
    <n v="9.6999999999999993"/>
    <n v="5"/>
    <x v="0"/>
    <x v="0"/>
    <x v="1"/>
    <x v="1"/>
  </r>
  <r>
    <n v="1058021"/>
    <x v="0"/>
    <n v="12.75"/>
    <n v="12.8"/>
    <n v="39.950000000000003"/>
    <x v="3"/>
    <x v="0"/>
    <x v="1"/>
    <x v="1"/>
  </r>
  <r>
    <n v="1058065"/>
    <x v="0"/>
    <n v="12.75"/>
    <n v="12.8"/>
    <n v="5"/>
    <x v="3"/>
    <x v="0"/>
    <x v="1"/>
    <x v="1"/>
  </r>
  <r>
    <n v="1058066"/>
    <x v="0"/>
    <n v="13.64"/>
    <n v="13.73"/>
    <n v="55.1"/>
    <x v="3"/>
    <x v="0"/>
    <x v="1"/>
    <x v="1"/>
  </r>
  <r>
    <n v="1058078"/>
    <x v="0"/>
    <n v="13.64"/>
    <n v="13.69"/>
    <n v="5"/>
    <x v="3"/>
    <x v="0"/>
    <x v="1"/>
    <x v="1"/>
  </r>
  <r>
    <n v="1058083"/>
    <x v="0"/>
    <n v="12.75"/>
    <n v="12.8"/>
    <n v="77"/>
    <x v="3"/>
    <x v="0"/>
    <x v="1"/>
    <x v="1"/>
  </r>
  <r>
    <n v="1058084"/>
    <x v="0"/>
    <n v="13.64"/>
    <n v="13.69"/>
    <n v="5"/>
    <x v="3"/>
    <x v="0"/>
    <x v="1"/>
    <x v="1"/>
  </r>
  <r>
    <n v="1058086"/>
    <x v="0"/>
    <n v="14.32"/>
    <n v="14.37"/>
    <n v="100"/>
    <x v="3"/>
    <x v="0"/>
    <x v="1"/>
    <x v="1"/>
  </r>
  <r>
    <n v="1058093"/>
    <x v="0"/>
    <n v="13.64"/>
    <n v="13.73"/>
    <n v="47.85"/>
    <x v="3"/>
    <x v="0"/>
    <x v="1"/>
    <x v="1"/>
  </r>
  <r>
    <n v="1058104"/>
    <x v="0"/>
    <n v="16.75"/>
    <n v="16.8"/>
    <n v="79.900000000000006"/>
    <x v="4"/>
    <x v="0"/>
    <x v="1"/>
    <x v="1"/>
  </r>
  <r>
    <n v="1058107"/>
    <x v="0"/>
    <n v="12.75"/>
    <n v="12.8"/>
    <n v="5"/>
    <x v="3"/>
    <x v="0"/>
    <x v="1"/>
    <x v="1"/>
  </r>
  <r>
    <n v="1058124"/>
    <x v="0"/>
    <n v="10.85"/>
    <n v="15.26"/>
    <n v="100"/>
    <x v="0"/>
    <x v="0"/>
    <x v="1"/>
    <x v="1"/>
  </r>
  <r>
    <n v="1058128"/>
    <x v="0"/>
    <n v="9.65"/>
    <n v="9.6999999999999993"/>
    <n v="89.85"/>
    <x v="0"/>
    <x v="0"/>
    <x v="1"/>
    <x v="1"/>
  </r>
  <r>
    <n v="1058139"/>
    <x v="0"/>
    <n v="66.98"/>
    <n v="67.03"/>
    <n v="41.4"/>
    <x v="2"/>
    <x v="0"/>
    <x v="1"/>
    <x v="1"/>
  </r>
  <r>
    <n v="1058162"/>
    <x v="0"/>
    <n v="12.75"/>
    <n v="13.25"/>
    <n v="47.85"/>
    <x v="3"/>
    <x v="0"/>
    <x v="1"/>
    <x v="1"/>
  </r>
  <r>
    <n v="1058167"/>
    <x v="0"/>
    <n v="16.649999999999999"/>
    <n v="16.7"/>
    <n v="54.85"/>
    <x v="4"/>
    <x v="0"/>
    <x v="1"/>
    <x v="1"/>
  </r>
  <r>
    <n v="1058173"/>
    <x v="0"/>
    <n v="13.64"/>
    <n v="13.69"/>
    <n v="5"/>
    <x v="3"/>
    <x v="0"/>
    <x v="1"/>
    <x v="1"/>
  </r>
  <r>
    <n v="1058184"/>
    <x v="0"/>
    <n v="13.64"/>
    <n v="13.69"/>
    <n v="29.95"/>
    <x v="3"/>
    <x v="0"/>
    <x v="1"/>
    <x v="1"/>
  </r>
  <r>
    <n v="1058191"/>
    <x v="0"/>
    <n v="9.65"/>
    <n v="9.7100000000000009"/>
    <n v="99.75"/>
    <x v="0"/>
    <x v="0"/>
    <x v="1"/>
    <x v="1"/>
  </r>
  <r>
    <n v="1058195"/>
    <x v="0"/>
    <n v="9.66"/>
    <n v="9.7100000000000009"/>
    <n v="5"/>
    <x v="0"/>
    <x v="0"/>
    <x v="1"/>
    <x v="1"/>
  </r>
  <r>
    <n v="1058236"/>
    <x v="0"/>
    <n v="12.75"/>
    <n v="12.8"/>
    <n v="5"/>
    <x v="3"/>
    <x v="0"/>
    <x v="1"/>
    <x v="1"/>
  </r>
  <r>
    <n v="1058245"/>
    <x v="0"/>
    <n v="12.75"/>
    <n v="12.8"/>
    <n v="31.9"/>
    <x v="3"/>
    <x v="0"/>
    <x v="1"/>
    <x v="1"/>
  </r>
  <r>
    <n v="1058248"/>
    <x v="0"/>
    <n v="9.66"/>
    <n v="12.8"/>
    <n v="59.85"/>
    <x v="0"/>
    <x v="0"/>
    <x v="1"/>
    <x v="1"/>
  </r>
  <r>
    <n v="1058249"/>
    <x v="0"/>
    <n v="12.75"/>
    <n v="12.8"/>
    <n v="43.85"/>
    <x v="3"/>
    <x v="0"/>
    <x v="1"/>
    <x v="1"/>
  </r>
  <r>
    <n v="1058259"/>
    <x v="0"/>
    <n v="23.06"/>
    <n v="24.83"/>
    <n v="52.8"/>
    <x v="9"/>
    <x v="0"/>
    <x v="1"/>
    <x v="1"/>
  </r>
  <r>
    <n v="1058261"/>
    <x v="0"/>
    <n v="13.64"/>
    <n v="13.69"/>
    <n v="15.85"/>
    <x v="3"/>
    <x v="0"/>
    <x v="1"/>
    <x v="1"/>
  </r>
  <r>
    <n v="1058270"/>
    <x v="0"/>
    <n v="13.64"/>
    <n v="13.69"/>
    <n v="30.9"/>
    <x v="3"/>
    <x v="0"/>
    <x v="1"/>
    <x v="1"/>
  </r>
  <r>
    <n v="1058273"/>
    <x v="0"/>
    <n v="13.64"/>
    <n v="13.73"/>
    <n v="59.4"/>
    <x v="3"/>
    <x v="0"/>
    <x v="1"/>
    <x v="1"/>
  </r>
  <r>
    <n v="1058278"/>
    <x v="0"/>
    <n v="12.75"/>
    <n v="12.8"/>
    <n v="54.95"/>
    <x v="3"/>
    <x v="0"/>
    <x v="1"/>
    <x v="1"/>
  </r>
  <r>
    <n v="1058297"/>
    <x v="0"/>
    <n v="12.75"/>
    <n v="12.8"/>
    <n v="113.7"/>
    <x v="3"/>
    <x v="0"/>
    <x v="1"/>
    <x v="1"/>
  </r>
  <r>
    <n v="1058304"/>
    <x v="0"/>
    <n v="13.64"/>
    <n v="13.69"/>
    <n v="22.5"/>
    <x v="3"/>
    <x v="0"/>
    <x v="1"/>
    <x v="1"/>
  </r>
  <r>
    <n v="1058306"/>
    <x v="0"/>
    <n v="12.75"/>
    <n v="12.8"/>
    <n v="67.8"/>
    <x v="3"/>
    <x v="0"/>
    <x v="1"/>
    <x v="1"/>
  </r>
  <r>
    <n v="1058330"/>
    <x v="0"/>
    <n v="12.75"/>
    <n v="12.8"/>
    <n v="76.8"/>
    <x v="3"/>
    <x v="0"/>
    <x v="1"/>
    <x v="1"/>
  </r>
  <r>
    <n v="1058335"/>
    <x v="0"/>
    <n v="12.75"/>
    <n v="12.8"/>
    <n v="54"/>
    <x v="3"/>
    <x v="0"/>
    <x v="1"/>
    <x v="1"/>
  </r>
  <r>
    <n v="1058361"/>
    <x v="0"/>
    <n v="16.57"/>
    <n v="22.15"/>
    <n v="229.9"/>
    <x v="6"/>
    <x v="0"/>
    <x v="1"/>
    <x v="1"/>
  </r>
  <r>
    <n v="1058370"/>
    <x v="0"/>
    <n v="13.64"/>
    <n v="13.69"/>
    <n v="56.95"/>
    <x v="3"/>
    <x v="0"/>
    <x v="1"/>
    <x v="1"/>
  </r>
  <r>
    <n v="1058411"/>
    <x v="0"/>
    <n v="13.64"/>
    <n v="13.69"/>
    <n v="60.95"/>
    <x v="3"/>
    <x v="0"/>
    <x v="1"/>
    <x v="1"/>
  </r>
  <r>
    <n v="1058414"/>
    <x v="0"/>
    <n v="12.75"/>
    <n v="12.8"/>
    <n v="47.9"/>
    <x v="3"/>
    <x v="0"/>
    <x v="1"/>
    <x v="1"/>
  </r>
  <r>
    <n v="1058422"/>
    <x v="0"/>
    <n v="12.75"/>
    <n v="13.25"/>
    <n v="137.55000000000001"/>
    <x v="3"/>
    <x v="0"/>
    <x v="1"/>
    <x v="1"/>
  </r>
  <r>
    <n v="1058439"/>
    <x v="0"/>
    <n v="12.75"/>
    <n v="12.8"/>
    <n v="29.85"/>
    <x v="3"/>
    <x v="0"/>
    <x v="1"/>
    <x v="1"/>
  </r>
  <r>
    <n v="1058451"/>
    <x v="0"/>
    <n v="16.649999999999999"/>
    <n v="16.7"/>
    <n v="64.95"/>
    <x v="4"/>
    <x v="0"/>
    <x v="1"/>
    <x v="1"/>
  </r>
  <r>
    <n v="1058464"/>
    <x v="0"/>
    <n v="16.34"/>
    <n v="16.39"/>
    <n v="166.6"/>
    <x v="4"/>
    <x v="0"/>
    <x v="1"/>
    <x v="1"/>
  </r>
  <r>
    <n v="1058469"/>
    <x v="0"/>
    <n v="13.64"/>
    <n v="13.68"/>
    <n v="183.6"/>
    <x v="7"/>
    <x v="0"/>
    <x v="1"/>
    <x v="1"/>
  </r>
  <r>
    <n v="1058477"/>
    <x v="0"/>
    <n v="13.85"/>
    <n v="13.9"/>
    <n v="100"/>
    <x v="3"/>
    <x v="0"/>
    <x v="1"/>
    <x v="1"/>
  </r>
  <r>
    <n v="1058492"/>
    <x v="0"/>
    <n v="12.75"/>
    <n v="13.25"/>
    <n v="65.849999999999994"/>
    <x v="3"/>
    <x v="0"/>
    <x v="1"/>
    <x v="1"/>
  </r>
  <r>
    <n v="1058506"/>
    <x v="0"/>
    <n v="12.75"/>
    <n v="12.8"/>
    <n v="75.900000000000006"/>
    <x v="3"/>
    <x v="0"/>
    <x v="1"/>
    <x v="1"/>
  </r>
  <r>
    <n v="1058520"/>
    <x v="0"/>
    <n v="16.649999999999999"/>
    <n v="16.7"/>
    <n v="146.65"/>
    <x v="4"/>
    <x v="0"/>
    <x v="1"/>
    <x v="1"/>
  </r>
  <r>
    <n v="1058530"/>
    <x v="0"/>
    <n v="13.64"/>
    <n v="13.69"/>
    <n v="39.9"/>
    <x v="3"/>
    <x v="0"/>
    <x v="1"/>
    <x v="1"/>
  </r>
  <r>
    <n v="1058531"/>
    <x v="0"/>
    <n v="12.75"/>
    <n v="12.8"/>
    <n v="49.15"/>
    <x v="3"/>
    <x v="0"/>
    <x v="1"/>
    <x v="1"/>
  </r>
  <r>
    <n v="1058533"/>
    <x v="0"/>
    <n v="16.34"/>
    <n v="16.39"/>
    <n v="2.95"/>
    <x v="4"/>
    <x v="0"/>
    <x v="1"/>
    <x v="1"/>
  </r>
  <r>
    <n v="1058534"/>
    <x v="0"/>
    <n v="9.66"/>
    <n v="9.6999999999999993"/>
    <n v="8.9"/>
    <x v="0"/>
    <x v="0"/>
    <x v="1"/>
    <x v="1"/>
  </r>
  <r>
    <n v="1058545"/>
    <x v="0"/>
    <n v="12.75"/>
    <n v="12.8"/>
    <n v="57.85"/>
    <x v="3"/>
    <x v="0"/>
    <x v="1"/>
    <x v="1"/>
  </r>
  <r>
    <n v="1058546"/>
    <x v="0"/>
    <n v="15.02"/>
    <n v="15.07"/>
    <n v="19.899999999999999"/>
    <x v="6"/>
    <x v="0"/>
    <x v="1"/>
    <x v="1"/>
  </r>
  <r>
    <n v="1058548"/>
    <x v="0"/>
    <n v="13.64"/>
    <n v="13.69"/>
    <n v="60.85"/>
    <x v="3"/>
    <x v="0"/>
    <x v="1"/>
    <x v="1"/>
  </r>
  <r>
    <n v="1058563"/>
    <x v="0"/>
    <n v="13.64"/>
    <n v="14.14"/>
    <n v="25"/>
    <x v="3"/>
    <x v="0"/>
    <x v="1"/>
    <x v="1"/>
  </r>
  <r>
    <n v="1058581"/>
    <x v="0"/>
    <n v="15.33"/>
    <n v="15.38"/>
    <n v="21.5"/>
    <x v="6"/>
    <x v="0"/>
    <x v="1"/>
    <x v="1"/>
  </r>
  <r>
    <n v="1058586"/>
    <x v="0"/>
    <n v="12.75"/>
    <n v="12.8"/>
    <n v="69.900000000000006"/>
    <x v="3"/>
    <x v="0"/>
    <x v="1"/>
    <x v="1"/>
  </r>
  <r>
    <n v="1058603"/>
    <x v="0"/>
    <n v="13.64"/>
    <n v="13.69"/>
    <n v="72.75"/>
    <x v="3"/>
    <x v="0"/>
    <x v="1"/>
    <x v="1"/>
  </r>
  <r>
    <n v="1058606"/>
    <x v="0"/>
    <n v="12.75"/>
    <n v="12.8"/>
    <n v="40.799999999999997"/>
    <x v="3"/>
    <x v="0"/>
    <x v="1"/>
    <x v="1"/>
  </r>
  <r>
    <n v="1058607"/>
    <x v="0"/>
    <n v="13.64"/>
    <n v="13.69"/>
    <n v="47.95"/>
    <x v="3"/>
    <x v="0"/>
    <x v="1"/>
    <x v="1"/>
  </r>
  <r>
    <n v="1058623"/>
    <x v="0"/>
    <n v="18.02"/>
    <n v="18.84"/>
    <n v="75.599999999999994"/>
    <x v="9"/>
    <x v="0"/>
    <x v="1"/>
    <x v="1"/>
  </r>
  <r>
    <n v="1058630"/>
    <x v="0"/>
    <n v="13.64"/>
    <n v="13.69"/>
    <n v="21.5"/>
    <x v="3"/>
    <x v="0"/>
    <x v="1"/>
    <x v="1"/>
  </r>
  <r>
    <n v="1058633"/>
    <x v="0"/>
    <n v="12.75"/>
    <n v="12.8"/>
    <n v="40.6"/>
    <x v="3"/>
    <x v="0"/>
    <x v="1"/>
    <x v="1"/>
  </r>
  <r>
    <n v="1058652"/>
    <x v="0"/>
    <n v="12.75"/>
    <n v="12.8"/>
    <n v="49.9"/>
    <x v="3"/>
    <x v="0"/>
    <x v="1"/>
    <x v="1"/>
  </r>
  <r>
    <n v="1058654"/>
    <x v="0"/>
    <n v="16.34"/>
    <n v="16.39"/>
    <n v="10.6"/>
    <x v="4"/>
    <x v="0"/>
    <x v="1"/>
    <x v="1"/>
  </r>
  <r>
    <n v="1058664"/>
    <x v="0"/>
    <n v="13.64"/>
    <n v="13.69"/>
    <n v="69.5"/>
    <x v="3"/>
    <x v="0"/>
    <x v="1"/>
    <x v="1"/>
  </r>
  <r>
    <n v="1058681"/>
    <x v="0"/>
    <n v="16.34"/>
    <n v="16.39"/>
    <n v="36.9"/>
    <x v="4"/>
    <x v="0"/>
    <x v="1"/>
    <x v="1"/>
  </r>
  <r>
    <n v="1058740"/>
    <x v="0"/>
    <n v="12.75"/>
    <n v="12.8"/>
    <n v="75.8"/>
    <x v="3"/>
    <x v="0"/>
    <x v="1"/>
    <x v="1"/>
  </r>
  <r>
    <n v="1058755"/>
    <x v="0"/>
    <n v="71.209999999999994"/>
    <n v="74.98"/>
    <n v="114.95"/>
    <x v="5"/>
    <x v="0"/>
    <x v="1"/>
    <x v="1"/>
  </r>
  <r>
    <n v="1058761"/>
    <x v="0"/>
    <n v="12.75"/>
    <n v="12.8"/>
    <n v="69.599999999999994"/>
    <x v="3"/>
    <x v="0"/>
    <x v="1"/>
    <x v="1"/>
  </r>
  <r>
    <n v="1058792"/>
    <x v="0"/>
    <n v="71.209999999999994"/>
    <n v="78.16"/>
    <n v="153.9"/>
    <x v="5"/>
    <x v="0"/>
    <x v="1"/>
    <x v="1"/>
  </r>
  <r>
    <n v="1058793"/>
    <x v="0"/>
    <n v="13.64"/>
    <n v="13.69"/>
    <n v="102.7"/>
    <x v="3"/>
    <x v="0"/>
    <x v="1"/>
    <x v="1"/>
  </r>
  <r>
    <n v="1058807"/>
    <x v="0"/>
    <n v="12.75"/>
    <n v="12.8"/>
    <n v="24.95"/>
    <x v="3"/>
    <x v="0"/>
    <x v="1"/>
    <x v="1"/>
  </r>
  <r>
    <n v="1058826"/>
    <x v="0"/>
    <n v="13.64"/>
    <n v="13.69"/>
    <n v="34.85"/>
    <x v="3"/>
    <x v="0"/>
    <x v="1"/>
    <x v="1"/>
  </r>
  <r>
    <n v="1058851"/>
    <x v="0"/>
    <n v="12.75"/>
    <n v="12.8"/>
    <n v="26.45"/>
    <x v="3"/>
    <x v="0"/>
    <x v="1"/>
    <x v="1"/>
  </r>
  <r>
    <n v="1058861"/>
    <x v="0"/>
    <n v="13.64"/>
    <n v="13.69"/>
    <n v="97.85"/>
    <x v="3"/>
    <x v="0"/>
    <x v="1"/>
    <x v="1"/>
  </r>
  <r>
    <n v="1058875"/>
    <x v="0"/>
    <n v="18.79"/>
    <n v="19.850000000000001"/>
    <n v="168.5"/>
    <x v="9"/>
    <x v="0"/>
    <x v="1"/>
    <x v="1"/>
  </r>
  <r>
    <n v="1058902"/>
    <x v="0"/>
    <n v="13.64"/>
    <n v="13.69"/>
    <n v="110.8"/>
    <x v="3"/>
    <x v="0"/>
    <x v="1"/>
    <x v="1"/>
  </r>
  <r>
    <n v="1058905"/>
    <x v="0"/>
    <n v="9.65"/>
    <n v="9.6999999999999993"/>
    <n v="21.5"/>
    <x v="0"/>
    <x v="0"/>
    <x v="1"/>
    <x v="1"/>
  </r>
  <r>
    <n v="1058921"/>
    <x v="0"/>
    <n v="12.75"/>
    <n v="12.8"/>
    <n v="55.85"/>
    <x v="3"/>
    <x v="0"/>
    <x v="1"/>
    <x v="1"/>
  </r>
  <r>
    <n v="1058922"/>
    <x v="0"/>
    <n v="12.75"/>
    <n v="12.8"/>
    <n v="19.899999999999999"/>
    <x v="3"/>
    <x v="0"/>
    <x v="1"/>
    <x v="1"/>
  </r>
  <r>
    <n v="1058924"/>
    <x v="0"/>
    <n v="12.75"/>
    <n v="12.8"/>
    <n v="63.25"/>
    <x v="3"/>
    <x v="0"/>
    <x v="1"/>
    <x v="1"/>
  </r>
  <r>
    <n v="1058957"/>
    <x v="0"/>
    <n v="13.64"/>
    <n v="13.69"/>
    <n v="9.9499999999999993"/>
    <x v="3"/>
    <x v="0"/>
    <x v="1"/>
    <x v="1"/>
  </r>
  <r>
    <n v="1058970"/>
    <x v="0"/>
    <n v="16.34"/>
    <n v="16.39"/>
    <n v="27.52"/>
    <x v="4"/>
    <x v="0"/>
    <x v="1"/>
    <x v="1"/>
  </r>
  <r>
    <n v="1058972"/>
    <x v="0"/>
    <n v="71.16"/>
    <n v="71.209999999999994"/>
    <n v="26.9"/>
    <x v="5"/>
    <x v="0"/>
    <x v="1"/>
    <x v="1"/>
  </r>
  <r>
    <n v="1058975"/>
    <x v="0"/>
    <n v="12.75"/>
    <n v="12.8"/>
    <n v="56.9"/>
    <x v="3"/>
    <x v="0"/>
    <x v="1"/>
    <x v="1"/>
  </r>
  <r>
    <n v="1058978"/>
    <x v="0"/>
    <n v="12.75"/>
    <n v="12.8"/>
    <n v="23.85"/>
    <x v="3"/>
    <x v="0"/>
    <x v="1"/>
    <x v="1"/>
  </r>
  <r>
    <n v="1058986"/>
    <x v="0"/>
    <n v="9.66"/>
    <n v="9.7100000000000009"/>
    <n v="47.9"/>
    <x v="0"/>
    <x v="0"/>
    <x v="1"/>
    <x v="1"/>
  </r>
  <r>
    <n v="1059011"/>
    <x v="0"/>
    <n v="13.64"/>
    <n v="13.69"/>
    <n v="4.5"/>
    <x v="3"/>
    <x v="0"/>
    <x v="1"/>
    <x v="1"/>
  </r>
  <r>
    <n v="1059075"/>
    <x v="0"/>
    <n v="16.649999999999999"/>
    <n v="16.7"/>
    <n v="54.25"/>
    <x v="4"/>
    <x v="0"/>
    <x v="1"/>
    <x v="1"/>
  </r>
  <r>
    <n v="1059084"/>
    <x v="0"/>
    <n v="16.649999999999999"/>
    <n v="16.7"/>
    <n v="46"/>
    <x v="4"/>
    <x v="0"/>
    <x v="1"/>
    <x v="1"/>
  </r>
  <r>
    <n v="1059090"/>
    <x v="0"/>
    <n v="12.75"/>
    <n v="12.84"/>
    <n v="176.3"/>
    <x v="3"/>
    <x v="0"/>
    <x v="1"/>
    <x v="1"/>
  </r>
  <r>
    <n v="1059121"/>
    <x v="0"/>
    <n v="9.65"/>
    <n v="10.65"/>
    <n v="99.95"/>
    <x v="0"/>
    <x v="0"/>
    <x v="1"/>
    <x v="1"/>
  </r>
  <r>
    <n v="1059147"/>
    <x v="0"/>
    <n v="15.33"/>
    <n v="15.38"/>
    <n v="49.95"/>
    <x v="6"/>
    <x v="0"/>
    <x v="1"/>
    <x v="1"/>
  </r>
  <r>
    <n v="1059157"/>
    <x v="0"/>
    <n v="13.64"/>
    <n v="13.69"/>
    <n v="28.8"/>
    <x v="3"/>
    <x v="0"/>
    <x v="1"/>
    <x v="1"/>
  </r>
  <r>
    <n v="1059161"/>
    <x v="0"/>
    <n v="18.79"/>
    <n v="19.850000000000001"/>
    <n v="128.69999999999999"/>
    <x v="9"/>
    <x v="0"/>
    <x v="1"/>
    <x v="1"/>
  </r>
  <r>
    <n v="1059167"/>
    <x v="0"/>
    <n v="9.65"/>
    <n v="9.7100000000000009"/>
    <n v="83.7"/>
    <x v="0"/>
    <x v="0"/>
    <x v="1"/>
    <x v="1"/>
  </r>
  <r>
    <n v="1059180"/>
    <x v="0"/>
    <n v="12.75"/>
    <n v="12.8"/>
    <n v="39.950000000000003"/>
    <x v="3"/>
    <x v="0"/>
    <x v="1"/>
    <x v="1"/>
  </r>
  <r>
    <n v="1059183"/>
    <x v="0"/>
    <n v="13.64"/>
    <n v="13.69"/>
    <n v="23.95"/>
    <x v="3"/>
    <x v="0"/>
    <x v="1"/>
    <x v="1"/>
  </r>
  <r>
    <n v="1059189"/>
    <x v="0"/>
    <n v="13.64"/>
    <n v="13.69"/>
    <n v="70.599999999999994"/>
    <x v="3"/>
    <x v="0"/>
    <x v="1"/>
    <x v="1"/>
  </r>
  <r>
    <n v="1059202"/>
    <x v="0"/>
    <n v="13.64"/>
    <n v="13.69"/>
    <n v="38.9"/>
    <x v="3"/>
    <x v="0"/>
    <x v="1"/>
    <x v="1"/>
  </r>
  <r>
    <n v="1059207"/>
    <x v="0"/>
    <n v="13.64"/>
    <n v="13.69"/>
    <n v="4.95"/>
    <x v="3"/>
    <x v="0"/>
    <x v="1"/>
    <x v="1"/>
  </r>
  <r>
    <n v="1059209"/>
    <x v="0"/>
    <n v="15.35"/>
    <n v="16.38"/>
    <n v="44.15"/>
    <x v="6"/>
    <x v="0"/>
    <x v="1"/>
    <x v="1"/>
  </r>
  <r>
    <n v="1059223"/>
    <x v="0"/>
    <n v="15.33"/>
    <n v="15.39"/>
    <n v="54.95"/>
    <x v="6"/>
    <x v="0"/>
    <x v="1"/>
    <x v="1"/>
  </r>
  <r>
    <n v="1059240"/>
    <x v="0"/>
    <n v="9.65"/>
    <n v="9.6999999999999993"/>
    <n v="71.599999999999994"/>
    <x v="0"/>
    <x v="0"/>
    <x v="1"/>
    <x v="1"/>
  </r>
  <r>
    <n v="1059242"/>
    <x v="0"/>
    <n v="12.75"/>
    <n v="12.8"/>
    <n v="11.95"/>
    <x v="3"/>
    <x v="0"/>
    <x v="1"/>
    <x v="1"/>
  </r>
  <r>
    <n v="1059259"/>
    <x v="0"/>
    <n v="12.75"/>
    <n v="12.8"/>
    <n v="65.7"/>
    <x v="3"/>
    <x v="0"/>
    <x v="1"/>
    <x v="1"/>
  </r>
  <r>
    <n v="1059276"/>
    <x v="0"/>
    <n v="12.75"/>
    <n v="12.8"/>
    <n v="29.9"/>
    <x v="3"/>
    <x v="0"/>
    <x v="1"/>
    <x v="1"/>
  </r>
  <r>
    <n v="1059315"/>
    <x v="0"/>
    <n v="12.75"/>
    <n v="12.8"/>
    <n v="139.80000000000001"/>
    <x v="3"/>
    <x v="0"/>
    <x v="1"/>
    <x v="1"/>
  </r>
  <r>
    <n v="1059327"/>
    <x v="0"/>
    <n v="9.65"/>
    <n v="9.6999999999999993"/>
    <n v="24.5"/>
    <x v="0"/>
    <x v="0"/>
    <x v="1"/>
    <x v="1"/>
  </r>
  <r>
    <n v="1059346"/>
    <x v="0"/>
    <n v="12.75"/>
    <n v="12.8"/>
    <n v="29.95"/>
    <x v="3"/>
    <x v="0"/>
    <x v="1"/>
    <x v="1"/>
  </r>
  <r>
    <n v="1059359"/>
    <x v="0"/>
    <n v="18.02"/>
    <n v="19.850000000000001"/>
    <n v="123.8"/>
    <x v="9"/>
    <x v="0"/>
    <x v="1"/>
    <x v="1"/>
  </r>
  <r>
    <n v="1059363"/>
    <x v="0"/>
    <n v="13.64"/>
    <n v="13.69"/>
    <n v="54.75"/>
    <x v="3"/>
    <x v="0"/>
    <x v="1"/>
    <x v="1"/>
  </r>
  <r>
    <n v="1059418"/>
    <x v="0"/>
    <n v="13.64"/>
    <n v="13.69"/>
    <n v="69.8"/>
    <x v="3"/>
    <x v="0"/>
    <x v="1"/>
    <x v="1"/>
  </r>
  <r>
    <n v="1059430"/>
    <x v="0"/>
    <n v="13.64"/>
    <n v="13.69"/>
    <n v="24.95"/>
    <x v="3"/>
    <x v="0"/>
    <x v="1"/>
    <x v="1"/>
  </r>
  <r>
    <n v="1059435"/>
    <x v="0"/>
    <n v="13.64"/>
    <n v="13.69"/>
    <n v="59.9"/>
    <x v="3"/>
    <x v="0"/>
    <x v="1"/>
    <x v="1"/>
  </r>
  <r>
    <n v="1059460"/>
    <x v="0"/>
    <n v="9.66"/>
    <n v="9.6999999999999993"/>
    <n v="139.65"/>
    <x v="0"/>
    <x v="0"/>
    <x v="1"/>
    <x v="1"/>
  </r>
  <r>
    <n v="1059480"/>
    <x v="0"/>
    <n v="16.34"/>
    <n v="16.39"/>
    <n v="34.85"/>
    <x v="4"/>
    <x v="0"/>
    <x v="1"/>
    <x v="1"/>
  </r>
  <r>
    <n v="1059485"/>
    <x v="0"/>
    <n v="13.64"/>
    <n v="13.69"/>
    <n v="44.85"/>
    <x v="3"/>
    <x v="0"/>
    <x v="1"/>
    <x v="1"/>
  </r>
  <r>
    <n v="1059495"/>
    <x v="0"/>
    <n v="12.75"/>
    <n v="12.8"/>
    <n v="88"/>
    <x v="3"/>
    <x v="0"/>
    <x v="1"/>
    <x v="1"/>
  </r>
  <r>
    <n v="1059525"/>
    <x v="0"/>
    <n v="12.26"/>
    <n v="16.39"/>
    <n v="59.85"/>
    <x v="7"/>
    <x v="0"/>
    <x v="1"/>
    <x v="1"/>
  </r>
  <r>
    <n v="1059527"/>
    <x v="0"/>
    <n v="13.64"/>
    <n v="13.69"/>
    <n v="11.95"/>
    <x v="3"/>
    <x v="0"/>
    <x v="1"/>
    <x v="1"/>
  </r>
  <r>
    <n v="1059533"/>
    <x v="0"/>
    <n v="23.25"/>
    <n v="23.29"/>
    <n v="233.95"/>
    <x v="10"/>
    <x v="0"/>
    <x v="1"/>
    <x v="1"/>
  </r>
  <r>
    <n v="1059552"/>
    <x v="0"/>
    <n v="13.64"/>
    <n v="13.69"/>
    <n v="49.85"/>
    <x v="3"/>
    <x v="0"/>
    <x v="1"/>
    <x v="1"/>
  </r>
  <r>
    <n v="1059567"/>
    <x v="0"/>
    <n v="12.75"/>
    <n v="12.8"/>
    <n v="32.4"/>
    <x v="3"/>
    <x v="0"/>
    <x v="1"/>
    <x v="1"/>
  </r>
  <r>
    <n v="1059586"/>
    <x v="0"/>
    <n v="9.65"/>
    <n v="9.74"/>
    <n v="155"/>
    <x v="0"/>
    <x v="0"/>
    <x v="1"/>
    <x v="1"/>
  </r>
  <r>
    <n v="1059621"/>
    <x v="0"/>
    <n v="12.75"/>
    <n v="12.8"/>
    <n v="73.2"/>
    <x v="3"/>
    <x v="0"/>
    <x v="1"/>
    <x v="1"/>
  </r>
  <r>
    <n v="1059639"/>
    <x v="0"/>
    <n v="15.02"/>
    <n v="15.07"/>
    <n v="55.85"/>
    <x v="6"/>
    <x v="0"/>
    <x v="1"/>
    <x v="1"/>
  </r>
  <r>
    <n v="1059659"/>
    <x v="0"/>
    <n v="12.75"/>
    <n v="12.8"/>
    <n v="47.9"/>
    <x v="3"/>
    <x v="0"/>
    <x v="1"/>
    <x v="1"/>
  </r>
  <r>
    <n v="1059669"/>
    <x v="0"/>
    <n v="13.64"/>
    <n v="13.69"/>
    <n v="6.25"/>
    <x v="3"/>
    <x v="0"/>
    <x v="1"/>
    <x v="1"/>
  </r>
  <r>
    <n v="1059693"/>
    <x v="0"/>
    <n v="12.75"/>
    <n v="12.84"/>
    <n v="71.25"/>
    <x v="3"/>
    <x v="0"/>
    <x v="1"/>
    <x v="1"/>
  </r>
  <r>
    <n v="1059708"/>
    <x v="0"/>
    <n v="16.34"/>
    <n v="16.39"/>
    <n v="90.25"/>
    <x v="4"/>
    <x v="0"/>
    <x v="1"/>
    <x v="1"/>
  </r>
  <r>
    <n v="1059709"/>
    <x v="0"/>
    <n v="13.64"/>
    <n v="13.68"/>
    <n v="12.9"/>
    <x v="3"/>
    <x v="0"/>
    <x v="1"/>
    <x v="1"/>
  </r>
  <r>
    <n v="1059725"/>
    <x v="0"/>
    <n v="13.64"/>
    <n v="13.69"/>
    <n v="58.4"/>
    <x v="3"/>
    <x v="0"/>
    <x v="1"/>
    <x v="1"/>
  </r>
  <r>
    <n v="1059744"/>
    <x v="0"/>
    <n v="12.75"/>
    <n v="12.8"/>
    <n v="78.75"/>
    <x v="3"/>
    <x v="0"/>
    <x v="1"/>
    <x v="1"/>
  </r>
  <r>
    <n v="1059746"/>
    <x v="0"/>
    <n v="13.64"/>
    <n v="13.69"/>
    <n v="64.900000000000006"/>
    <x v="3"/>
    <x v="0"/>
    <x v="1"/>
    <x v="1"/>
  </r>
  <r>
    <n v="1059757"/>
    <x v="0"/>
    <n v="12.26"/>
    <n v="12.31"/>
    <n v="149.4"/>
    <x v="7"/>
    <x v="0"/>
    <x v="1"/>
    <x v="1"/>
  </r>
  <r>
    <n v="1059764"/>
    <x v="0"/>
    <n v="12.75"/>
    <n v="12.8"/>
    <n v="77.599999999999994"/>
    <x v="3"/>
    <x v="0"/>
    <x v="1"/>
    <x v="1"/>
  </r>
  <r>
    <n v="1059765"/>
    <x v="0"/>
    <n v="13.64"/>
    <n v="13.69"/>
    <n v="14.85"/>
    <x v="3"/>
    <x v="0"/>
    <x v="1"/>
    <x v="1"/>
  </r>
  <r>
    <n v="1059767"/>
    <x v="0"/>
    <n v="9.66"/>
    <n v="9.7100000000000009"/>
    <n v="24.95"/>
    <x v="0"/>
    <x v="0"/>
    <x v="1"/>
    <x v="1"/>
  </r>
  <r>
    <n v="1059772"/>
    <x v="0"/>
    <n v="17.36"/>
    <n v="17.41"/>
    <n v="159.25"/>
    <x v="6"/>
    <x v="0"/>
    <x v="1"/>
    <x v="1"/>
  </r>
  <r>
    <n v="1059794"/>
    <x v="0"/>
    <n v="12.75"/>
    <n v="12.8"/>
    <n v="56.8"/>
    <x v="3"/>
    <x v="0"/>
    <x v="1"/>
    <x v="1"/>
  </r>
  <r>
    <n v="1059801"/>
    <x v="0"/>
    <n v="12.75"/>
    <n v="12.8"/>
    <n v="67.8"/>
    <x v="3"/>
    <x v="0"/>
    <x v="1"/>
    <x v="1"/>
  </r>
  <r>
    <n v="1059805"/>
    <x v="0"/>
    <n v="13.64"/>
    <n v="13.69"/>
    <n v="14.95"/>
    <x v="3"/>
    <x v="0"/>
    <x v="1"/>
    <x v="1"/>
  </r>
  <r>
    <n v="1059814"/>
    <x v="0"/>
    <n v="16.75"/>
    <n v="16.8"/>
    <n v="94.85"/>
    <x v="4"/>
    <x v="0"/>
    <x v="1"/>
    <x v="1"/>
  </r>
  <r>
    <n v="1059825"/>
    <x v="0"/>
    <n v="12.75"/>
    <n v="12.8"/>
    <n v="47.9"/>
    <x v="3"/>
    <x v="0"/>
    <x v="1"/>
    <x v="1"/>
  </r>
  <r>
    <n v="1059837"/>
    <x v="0"/>
    <n v="9.65"/>
    <n v="9.6999999999999993"/>
    <n v="9.9499999999999993"/>
    <x v="0"/>
    <x v="0"/>
    <x v="1"/>
    <x v="1"/>
  </r>
  <r>
    <n v="1059863"/>
    <x v="0"/>
    <n v="12.75"/>
    <n v="12.8"/>
    <n v="72.75"/>
    <x v="3"/>
    <x v="0"/>
    <x v="1"/>
    <x v="1"/>
  </r>
  <r>
    <n v="1059869"/>
    <x v="0"/>
    <n v="12.75"/>
    <n v="12.8"/>
    <n v="39.950000000000003"/>
    <x v="3"/>
    <x v="0"/>
    <x v="1"/>
    <x v="1"/>
  </r>
  <r>
    <n v="1059871"/>
    <x v="0"/>
    <n v="9.65"/>
    <n v="9.7100000000000009"/>
    <n v="114.55"/>
    <x v="0"/>
    <x v="0"/>
    <x v="1"/>
    <x v="1"/>
  </r>
  <r>
    <n v="1059878"/>
    <x v="0"/>
    <n v="16.34"/>
    <n v="16.39"/>
    <n v="23.6"/>
    <x v="4"/>
    <x v="0"/>
    <x v="1"/>
    <x v="1"/>
  </r>
  <r>
    <n v="1059895"/>
    <x v="0"/>
    <n v="12.75"/>
    <n v="13.25"/>
    <n v="74.650000000000006"/>
    <x v="3"/>
    <x v="0"/>
    <x v="1"/>
    <x v="1"/>
  </r>
  <r>
    <n v="1059911"/>
    <x v="0"/>
    <n v="12.75"/>
    <n v="12.8"/>
    <n v="29.9"/>
    <x v="3"/>
    <x v="0"/>
    <x v="1"/>
    <x v="1"/>
  </r>
  <r>
    <n v="1059912"/>
    <x v="0"/>
    <n v="61.89"/>
    <n v="60.46"/>
    <n v="131.80000000000001"/>
    <x v="2"/>
    <x v="0"/>
    <x v="0"/>
    <x v="63"/>
  </r>
  <r>
    <n v="1059926"/>
    <x v="0"/>
    <n v="15.02"/>
    <n v="15.07"/>
    <n v="101.45"/>
    <x v="6"/>
    <x v="0"/>
    <x v="1"/>
    <x v="1"/>
  </r>
  <r>
    <n v="1059936"/>
    <x v="0"/>
    <n v="12.75"/>
    <n v="12.8"/>
    <n v="119.55"/>
    <x v="3"/>
    <x v="0"/>
    <x v="1"/>
    <x v="1"/>
  </r>
  <r>
    <n v="1059947"/>
    <x v="0"/>
    <n v="13.64"/>
    <n v="13.69"/>
    <n v="14.95"/>
    <x v="3"/>
    <x v="0"/>
    <x v="1"/>
    <x v="1"/>
  </r>
  <r>
    <n v="1059958"/>
    <x v="0"/>
    <n v="12.26"/>
    <n v="12.31"/>
    <n v="118.65"/>
    <x v="7"/>
    <x v="0"/>
    <x v="1"/>
    <x v="1"/>
  </r>
  <r>
    <n v="1059991"/>
    <x v="0"/>
    <n v="16.440000000000001"/>
    <n v="16.489999999999998"/>
    <n v="67.8"/>
    <x v="4"/>
    <x v="0"/>
    <x v="1"/>
    <x v="1"/>
  </r>
  <r>
    <n v="1059995"/>
    <x v="0"/>
    <n v="12.75"/>
    <n v="12.8"/>
    <n v="88.65"/>
    <x v="3"/>
    <x v="0"/>
    <x v="1"/>
    <x v="1"/>
  </r>
  <r>
    <n v="1060001"/>
    <x v="0"/>
    <n v="12.75"/>
    <n v="12.8"/>
    <n v="109.85"/>
    <x v="3"/>
    <x v="0"/>
    <x v="1"/>
    <x v="1"/>
  </r>
  <r>
    <n v="1060011"/>
    <x v="0"/>
    <n v="16.649999999999999"/>
    <n v="16.7"/>
    <n v="39.950000000000003"/>
    <x v="4"/>
    <x v="0"/>
    <x v="1"/>
    <x v="1"/>
  </r>
  <r>
    <n v="1060038"/>
    <x v="0"/>
    <n v="13.64"/>
    <n v="13.69"/>
    <n v="15"/>
    <x v="3"/>
    <x v="0"/>
    <x v="1"/>
    <x v="1"/>
  </r>
  <r>
    <n v="1060044"/>
    <x v="0"/>
    <n v="15.33"/>
    <n v="18.93"/>
    <n v="49.9"/>
    <x v="6"/>
    <x v="0"/>
    <x v="1"/>
    <x v="1"/>
  </r>
  <r>
    <n v="1060070"/>
    <x v="0"/>
    <n v="15.33"/>
    <n v="15.38"/>
    <n v="2.95"/>
    <x v="6"/>
    <x v="0"/>
    <x v="1"/>
    <x v="1"/>
  </r>
  <r>
    <n v="1060113"/>
    <x v="0"/>
    <n v="13.64"/>
    <n v="13.69"/>
    <n v="67.75"/>
    <x v="3"/>
    <x v="0"/>
    <x v="1"/>
    <x v="1"/>
  </r>
  <r>
    <n v="1060117"/>
    <x v="0"/>
    <n v="9.66"/>
    <n v="9.7100000000000009"/>
    <n v="6.8"/>
    <x v="0"/>
    <x v="0"/>
    <x v="1"/>
    <x v="1"/>
  </r>
  <r>
    <n v="1060136"/>
    <x v="0"/>
    <n v="12.75"/>
    <n v="12.8"/>
    <n v="43.9"/>
    <x v="3"/>
    <x v="0"/>
    <x v="1"/>
    <x v="1"/>
  </r>
  <r>
    <n v="1060147"/>
    <x v="0"/>
    <n v="13.63"/>
    <n v="13.84"/>
    <n v="17.5"/>
    <x v="3"/>
    <x v="0"/>
    <x v="1"/>
    <x v="1"/>
  </r>
  <r>
    <n v="1060150"/>
    <x v="0"/>
    <n v="13.64"/>
    <n v="13.68"/>
    <n v="50.9"/>
    <x v="3"/>
    <x v="0"/>
    <x v="1"/>
    <x v="1"/>
  </r>
  <r>
    <n v="1060155"/>
    <x v="0"/>
    <n v="66.760000000000005"/>
    <n v="66.81"/>
    <n v="34.950000000000003"/>
    <x v="2"/>
    <x v="0"/>
    <x v="1"/>
    <x v="1"/>
  </r>
  <r>
    <n v="1060156"/>
    <x v="0"/>
    <n v="12.75"/>
    <n v="12.8"/>
    <n v="69.25"/>
    <x v="3"/>
    <x v="0"/>
    <x v="1"/>
    <x v="1"/>
  </r>
  <r>
    <n v="1060173"/>
    <x v="0"/>
    <n v="12.75"/>
    <n v="12.8"/>
    <n v="79.95"/>
    <x v="3"/>
    <x v="0"/>
    <x v="1"/>
    <x v="1"/>
  </r>
  <r>
    <n v="1060188"/>
    <x v="0"/>
    <n v="21.7"/>
    <n v="21.75"/>
    <n v="49.95"/>
    <x v="9"/>
    <x v="0"/>
    <x v="1"/>
    <x v="1"/>
  </r>
  <r>
    <n v="1060228"/>
    <x v="0"/>
    <n v="13.64"/>
    <n v="13.69"/>
    <n v="23.35"/>
    <x v="3"/>
    <x v="0"/>
    <x v="1"/>
    <x v="1"/>
  </r>
  <r>
    <n v="1060231"/>
    <x v="0"/>
    <n v="13.64"/>
    <n v="13.69"/>
    <n v="25"/>
    <x v="3"/>
    <x v="0"/>
    <x v="1"/>
    <x v="1"/>
  </r>
  <r>
    <n v="1060236"/>
    <x v="0"/>
    <n v="12.75"/>
    <n v="12.8"/>
    <n v="103.25"/>
    <x v="3"/>
    <x v="0"/>
    <x v="1"/>
    <x v="1"/>
  </r>
  <r>
    <n v="1060255"/>
    <x v="0"/>
    <n v="12.75"/>
    <n v="12.8"/>
    <n v="53.9"/>
    <x v="3"/>
    <x v="0"/>
    <x v="1"/>
    <x v="1"/>
  </r>
  <r>
    <n v="1060259"/>
    <x v="0"/>
    <n v="13.63"/>
    <n v="13.68"/>
    <n v="110.7"/>
    <x v="7"/>
    <x v="0"/>
    <x v="1"/>
    <x v="1"/>
  </r>
  <r>
    <n v="1060291"/>
    <x v="0"/>
    <n v="12.75"/>
    <n v="12.8"/>
    <n v="22.85"/>
    <x v="3"/>
    <x v="0"/>
    <x v="1"/>
    <x v="1"/>
  </r>
  <r>
    <n v="1060302"/>
    <x v="0"/>
    <n v="9.66"/>
    <n v="9.7100000000000009"/>
    <n v="5.95"/>
    <x v="0"/>
    <x v="0"/>
    <x v="1"/>
    <x v="1"/>
  </r>
  <r>
    <n v="1060305"/>
    <x v="0"/>
    <n v="15.33"/>
    <n v="15.39"/>
    <n v="29.9"/>
    <x v="6"/>
    <x v="0"/>
    <x v="1"/>
    <x v="1"/>
  </r>
  <r>
    <n v="1060326"/>
    <x v="0"/>
    <n v="13.64"/>
    <n v="13.69"/>
    <n v="47.9"/>
    <x v="3"/>
    <x v="0"/>
    <x v="1"/>
    <x v="1"/>
  </r>
  <r>
    <n v="1060328"/>
    <x v="0"/>
    <n v="13.64"/>
    <n v="13.69"/>
    <n v="17.600000000000001"/>
    <x v="3"/>
    <x v="0"/>
    <x v="1"/>
    <x v="1"/>
  </r>
  <r>
    <n v="1060343"/>
    <x v="0"/>
    <n v="13.64"/>
    <n v="13.69"/>
    <n v="103.8"/>
    <x v="3"/>
    <x v="0"/>
    <x v="1"/>
    <x v="1"/>
  </r>
  <r>
    <n v="1060359"/>
    <x v="0"/>
    <n v="15.02"/>
    <n v="17.690000000000001"/>
    <n v="7.95"/>
    <x v="6"/>
    <x v="0"/>
    <x v="1"/>
    <x v="1"/>
  </r>
  <r>
    <n v="1060360"/>
    <x v="0"/>
    <n v="17.02"/>
    <n v="18.579999999999998"/>
    <n v="62.7"/>
    <x v="4"/>
    <x v="0"/>
    <x v="1"/>
    <x v="1"/>
  </r>
  <r>
    <n v="1060369"/>
    <x v="0"/>
    <n v="13.64"/>
    <n v="13.69"/>
    <n v="46.95"/>
    <x v="3"/>
    <x v="0"/>
    <x v="1"/>
    <x v="1"/>
  </r>
  <r>
    <n v="1060390"/>
    <x v="0"/>
    <n v="12.75"/>
    <n v="12.8"/>
    <n v="19.899999999999999"/>
    <x v="3"/>
    <x v="0"/>
    <x v="1"/>
    <x v="1"/>
  </r>
  <r>
    <n v="1060408"/>
    <x v="0"/>
    <n v="41.97"/>
    <n v="48.53"/>
    <n v="283.04000000000002"/>
    <x v="7"/>
    <x v="0"/>
    <x v="1"/>
    <x v="1"/>
  </r>
  <r>
    <n v="1060497"/>
    <x v="0"/>
    <n v="12.75"/>
    <n v="12.8"/>
    <n v="6.9"/>
    <x v="3"/>
    <x v="0"/>
    <x v="1"/>
    <x v="1"/>
  </r>
  <r>
    <n v="1060513"/>
    <x v="0"/>
    <n v="13.64"/>
    <n v="13.69"/>
    <n v="59.95"/>
    <x v="3"/>
    <x v="0"/>
    <x v="1"/>
    <x v="1"/>
  </r>
  <r>
    <n v="1060523"/>
    <x v="0"/>
    <n v="13.64"/>
    <n v="13.69"/>
    <n v="8.9"/>
    <x v="3"/>
    <x v="0"/>
    <x v="1"/>
    <x v="1"/>
  </r>
  <r>
    <n v="1060535"/>
    <x v="0"/>
    <n v="16.579999999999998"/>
    <n v="16.64"/>
    <n v="114.75"/>
    <x v="6"/>
    <x v="0"/>
    <x v="1"/>
    <x v="1"/>
  </r>
  <r>
    <n v="1060539"/>
    <x v="0"/>
    <n v="9.65"/>
    <n v="12.8"/>
    <n v="60.8"/>
    <x v="0"/>
    <x v="0"/>
    <x v="1"/>
    <x v="1"/>
  </r>
  <r>
    <n v="1060561"/>
    <x v="0"/>
    <n v="13.87"/>
    <n v="13.92"/>
    <n v="123.8"/>
    <x v="3"/>
    <x v="0"/>
    <x v="1"/>
    <x v="1"/>
  </r>
  <r>
    <n v="1060564"/>
    <x v="0"/>
    <n v="9.65"/>
    <n v="9.7100000000000009"/>
    <n v="6.95"/>
    <x v="0"/>
    <x v="0"/>
    <x v="1"/>
    <x v="1"/>
  </r>
  <r>
    <n v="1060572"/>
    <x v="0"/>
    <n v="13.64"/>
    <n v="13.69"/>
    <n v="52.9"/>
    <x v="3"/>
    <x v="0"/>
    <x v="1"/>
    <x v="1"/>
  </r>
  <r>
    <n v="1060575"/>
    <x v="0"/>
    <n v="13.64"/>
    <n v="13.69"/>
    <n v="21.85"/>
    <x v="3"/>
    <x v="0"/>
    <x v="1"/>
    <x v="1"/>
  </r>
  <r>
    <n v="1060582"/>
    <x v="0"/>
    <n v="13.64"/>
    <n v="13.69"/>
    <n v="49.9"/>
    <x v="3"/>
    <x v="0"/>
    <x v="1"/>
    <x v="1"/>
  </r>
  <r>
    <n v="1060596"/>
    <x v="0"/>
    <n v="15.02"/>
    <n v="15.07"/>
    <n v="39.75"/>
    <x v="6"/>
    <x v="0"/>
    <x v="1"/>
    <x v="1"/>
  </r>
  <r>
    <n v="1060605"/>
    <x v="0"/>
    <n v="16.34"/>
    <n v="18.27"/>
    <n v="119.8"/>
    <x v="4"/>
    <x v="0"/>
    <x v="1"/>
    <x v="1"/>
  </r>
  <r>
    <n v="1060617"/>
    <x v="0"/>
    <n v="16.649999999999999"/>
    <n v="16.7"/>
    <n v="35.85"/>
    <x v="4"/>
    <x v="0"/>
    <x v="1"/>
    <x v="1"/>
  </r>
  <r>
    <n v="1060620"/>
    <x v="0"/>
    <n v="12.75"/>
    <n v="12.8"/>
    <n v="11.8"/>
    <x v="3"/>
    <x v="0"/>
    <x v="1"/>
    <x v="1"/>
  </r>
  <r>
    <n v="1060621"/>
    <x v="0"/>
    <n v="12.75"/>
    <n v="12.8"/>
    <n v="19.95"/>
    <x v="3"/>
    <x v="0"/>
    <x v="1"/>
    <x v="1"/>
  </r>
  <r>
    <n v="1060646"/>
    <x v="0"/>
    <n v="13.64"/>
    <n v="13.69"/>
    <n v="39.950000000000003"/>
    <x v="3"/>
    <x v="0"/>
    <x v="1"/>
    <x v="1"/>
  </r>
  <r>
    <n v="1060655"/>
    <x v="0"/>
    <n v="13.64"/>
    <n v="13.69"/>
    <n v="17.45"/>
    <x v="3"/>
    <x v="0"/>
    <x v="1"/>
    <x v="1"/>
  </r>
  <r>
    <n v="1060682"/>
    <x v="0"/>
    <n v="12.75"/>
    <n v="12.8"/>
    <n v="89.9"/>
    <x v="3"/>
    <x v="0"/>
    <x v="1"/>
    <x v="1"/>
  </r>
  <r>
    <n v="1060689"/>
    <x v="0"/>
    <n v="12.75"/>
    <n v="12.8"/>
    <n v="6.95"/>
    <x v="3"/>
    <x v="0"/>
    <x v="1"/>
    <x v="1"/>
  </r>
  <r>
    <n v="1060694"/>
    <x v="0"/>
    <n v="12.75"/>
    <n v="12.8"/>
    <n v="30.85"/>
    <x v="3"/>
    <x v="0"/>
    <x v="1"/>
    <x v="1"/>
  </r>
  <r>
    <n v="1060801"/>
    <x v="0"/>
    <n v="12.75"/>
    <n v="12.8"/>
    <n v="6"/>
    <x v="3"/>
    <x v="0"/>
    <x v="1"/>
    <x v="1"/>
  </r>
  <r>
    <n v="1060829"/>
    <x v="0"/>
    <n v="13.64"/>
    <n v="13.69"/>
    <n v="39.950000000000003"/>
    <x v="3"/>
    <x v="0"/>
    <x v="1"/>
    <x v="1"/>
  </r>
  <r>
    <n v="1060885"/>
    <x v="0"/>
    <n v="15.02"/>
    <n v="16.63"/>
    <n v="119.9"/>
    <x v="6"/>
    <x v="0"/>
    <x v="1"/>
    <x v="1"/>
  </r>
  <r>
    <n v="1060890"/>
    <x v="0"/>
    <n v="15.02"/>
    <n v="15.07"/>
    <n v="77.2"/>
    <x v="6"/>
    <x v="0"/>
    <x v="1"/>
    <x v="1"/>
  </r>
  <r>
    <n v="1060897"/>
    <x v="0"/>
    <n v="15.33"/>
    <n v="15.38"/>
    <n v="4.95"/>
    <x v="6"/>
    <x v="0"/>
    <x v="1"/>
    <x v="1"/>
  </r>
  <r>
    <n v="1060917"/>
    <x v="0"/>
    <n v="13.64"/>
    <n v="13.69"/>
    <n v="92.55"/>
    <x v="3"/>
    <x v="0"/>
    <x v="1"/>
    <x v="1"/>
  </r>
  <r>
    <n v="1060921"/>
    <x v="0"/>
    <n v="12.75"/>
    <n v="12.8"/>
    <n v="25"/>
    <x v="3"/>
    <x v="0"/>
    <x v="1"/>
    <x v="1"/>
  </r>
  <r>
    <n v="1060935"/>
    <x v="0"/>
    <n v="16.440000000000001"/>
    <n v="16.489999999999998"/>
    <n v="39.950000000000003"/>
    <x v="4"/>
    <x v="0"/>
    <x v="1"/>
    <x v="1"/>
  </r>
  <r>
    <n v="1060939"/>
    <x v="0"/>
    <n v="12.75"/>
    <n v="12.8"/>
    <n v="24.9"/>
    <x v="3"/>
    <x v="0"/>
    <x v="1"/>
    <x v="1"/>
  </r>
  <r>
    <n v="1060959"/>
    <x v="0"/>
    <n v="13.64"/>
    <n v="13.68"/>
    <n v="104.9"/>
    <x v="3"/>
    <x v="0"/>
    <x v="1"/>
    <x v="1"/>
  </r>
  <r>
    <n v="1061013"/>
    <x v="0"/>
    <n v="12.75"/>
    <n v="12.8"/>
    <n v="44.9"/>
    <x v="3"/>
    <x v="0"/>
    <x v="1"/>
    <x v="1"/>
  </r>
  <r>
    <n v="1061016"/>
    <x v="0"/>
    <n v="16.440000000000001"/>
    <n v="18.329999999999998"/>
    <n v="98.65"/>
    <x v="4"/>
    <x v="0"/>
    <x v="1"/>
    <x v="1"/>
  </r>
  <r>
    <n v="1061022"/>
    <x v="0"/>
    <n v="13.64"/>
    <n v="13.69"/>
    <n v="9.9499999999999993"/>
    <x v="3"/>
    <x v="0"/>
    <x v="1"/>
    <x v="1"/>
  </r>
  <r>
    <n v="1061034"/>
    <x v="0"/>
    <n v="21.84"/>
    <n v="21.88"/>
    <n v="344.71"/>
    <x v="9"/>
    <x v="0"/>
    <x v="1"/>
    <x v="1"/>
  </r>
  <r>
    <n v="1061044"/>
    <x v="0"/>
    <n v="18.02"/>
    <n v="18.07"/>
    <n v="22.9"/>
    <x v="9"/>
    <x v="0"/>
    <x v="1"/>
    <x v="1"/>
  </r>
  <r>
    <n v="1061063"/>
    <x v="0"/>
    <n v="13.64"/>
    <n v="13.69"/>
    <n v="15"/>
    <x v="3"/>
    <x v="0"/>
    <x v="1"/>
    <x v="1"/>
  </r>
  <r>
    <n v="1061074"/>
    <x v="0"/>
    <n v="15.02"/>
    <n v="17.690000000000001"/>
    <n v="144.88"/>
    <x v="6"/>
    <x v="0"/>
    <x v="1"/>
    <x v="1"/>
  </r>
  <r>
    <n v="1061142"/>
    <x v="0"/>
    <n v="13.64"/>
    <n v="13.69"/>
    <n v="67.900000000000006"/>
    <x v="3"/>
    <x v="0"/>
    <x v="1"/>
    <x v="1"/>
  </r>
  <r>
    <n v="1061171"/>
    <x v="0"/>
    <n v="24.35"/>
    <n v="24.4"/>
    <n v="74.900000000000006"/>
    <x v="9"/>
    <x v="0"/>
    <x v="1"/>
    <x v="1"/>
  </r>
  <r>
    <n v="1061184"/>
    <x v="0"/>
    <n v="16.649999999999999"/>
    <n v="16.7"/>
    <n v="68.95"/>
    <x v="4"/>
    <x v="0"/>
    <x v="1"/>
    <x v="1"/>
  </r>
  <r>
    <n v="1061206"/>
    <x v="0"/>
    <n v="16.649999999999999"/>
    <n v="16.7"/>
    <n v="67.900000000000006"/>
    <x v="4"/>
    <x v="0"/>
    <x v="1"/>
    <x v="1"/>
  </r>
  <r>
    <n v="1061215"/>
    <x v="0"/>
    <n v="9.66"/>
    <n v="12.8"/>
    <n v="8.85"/>
    <x v="0"/>
    <x v="0"/>
    <x v="1"/>
    <x v="1"/>
  </r>
  <r>
    <n v="1061217"/>
    <x v="0"/>
    <n v="13.63"/>
    <n v="15.1"/>
    <n v="99.95"/>
    <x v="3"/>
    <x v="0"/>
    <x v="1"/>
    <x v="1"/>
  </r>
  <r>
    <n v="1061223"/>
    <x v="0"/>
    <n v="13.64"/>
    <n v="13.69"/>
    <n v="79.95"/>
    <x v="3"/>
    <x v="0"/>
    <x v="1"/>
    <x v="1"/>
  </r>
  <r>
    <n v="1061225"/>
    <x v="0"/>
    <n v="22.53"/>
    <n v="23.29"/>
    <n v="97.45"/>
    <x v="10"/>
    <x v="0"/>
    <x v="1"/>
    <x v="1"/>
  </r>
  <r>
    <n v="1061252"/>
    <x v="0"/>
    <n v="13.64"/>
    <n v="13.69"/>
    <n v="71.7"/>
    <x v="3"/>
    <x v="0"/>
    <x v="1"/>
    <x v="1"/>
  </r>
  <r>
    <n v="1061264"/>
    <x v="0"/>
    <n v="13.64"/>
    <n v="13.69"/>
    <n v="67.8"/>
    <x v="3"/>
    <x v="0"/>
    <x v="1"/>
    <x v="1"/>
  </r>
  <r>
    <n v="1061287"/>
    <x v="0"/>
    <n v="9.66"/>
    <n v="9.7100000000000009"/>
    <n v="14.9"/>
    <x v="0"/>
    <x v="0"/>
    <x v="1"/>
    <x v="1"/>
  </r>
  <r>
    <n v="1061296"/>
    <x v="0"/>
    <n v="16.34"/>
    <n v="16.77"/>
    <n v="26.9"/>
    <x v="4"/>
    <x v="0"/>
    <x v="1"/>
    <x v="1"/>
  </r>
  <r>
    <n v="1061309"/>
    <x v="0"/>
    <n v="57.53"/>
    <n v="57.58"/>
    <n v="303.89999999999998"/>
    <x v="5"/>
    <x v="0"/>
    <x v="1"/>
    <x v="1"/>
  </r>
  <r>
    <n v="1061323"/>
    <x v="0"/>
    <n v="12.75"/>
    <n v="12.8"/>
    <n v="66.849999999999994"/>
    <x v="3"/>
    <x v="0"/>
    <x v="1"/>
    <x v="1"/>
  </r>
  <r>
    <n v="1061331"/>
    <x v="0"/>
    <n v="12.26"/>
    <n v="16.7"/>
    <n v="23.85"/>
    <x v="7"/>
    <x v="0"/>
    <x v="1"/>
    <x v="1"/>
  </r>
  <r>
    <n v="1061343"/>
    <x v="0"/>
    <n v="13.64"/>
    <n v="13.69"/>
    <n v="14.65"/>
    <x v="3"/>
    <x v="0"/>
    <x v="1"/>
    <x v="1"/>
  </r>
  <r>
    <n v="1061367"/>
    <x v="0"/>
    <n v="12.75"/>
    <n v="12.8"/>
    <n v="9.9499999999999993"/>
    <x v="3"/>
    <x v="0"/>
    <x v="1"/>
    <x v="1"/>
  </r>
  <r>
    <n v="1061387"/>
    <x v="0"/>
    <n v="12.75"/>
    <n v="12.8"/>
    <n v="25.9"/>
    <x v="3"/>
    <x v="0"/>
    <x v="1"/>
    <x v="1"/>
  </r>
  <r>
    <n v="1061390"/>
    <x v="0"/>
    <n v="12.75"/>
    <n v="12.8"/>
    <n v="40.799999999999997"/>
    <x v="3"/>
    <x v="0"/>
    <x v="1"/>
    <x v="1"/>
  </r>
  <r>
    <n v="1061397"/>
    <x v="0"/>
    <n v="15.04"/>
    <n v="17.41"/>
    <n v="28.85"/>
    <x v="6"/>
    <x v="0"/>
    <x v="1"/>
    <x v="1"/>
  </r>
  <r>
    <n v="1061423"/>
    <x v="0"/>
    <n v="12.75"/>
    <n v="12.8"/>
    <n v="44.5"/>
    <x v="3"/>
    <x v="0"/>
    <x v="1"/>
    <x v="1"/>
  </r>
  <r>
    <n v="1061429"/>
    <x v="0"/>
    <n v="9.65"/>
    <n v="0"/>
    <n v="36"/>
    <x v="0"/>
    <x v="0"/>
    <x v="0"/>
    <x v="42"/>
  </r>
  <r>
    <n v="1061434"/>
    <x v="0"/>
    <n v="15.33"/>
    <n v="15.43"/>
    <n v="107.85"/>
    <x v="6"/>
    <x v="0"/>
    <x v="1"/>
    <x v="1"/>
  </r>
  <r>
    <n v="1061446"/>
    <x v="0"/>
    <n v="12.75"/>
    <n v="12.8"/>
    <n v="80"/>
    <x v="3"/>
    <x v="0"/>
    <x v="1"/>
    <x v="1"/>
  </r>
  <r>
    <n v="1061448"/>
    <x v="0"/>
    <n v="10.6"/>
    <n v="10.33"/>
    <n v="182.2"/>
    <x v="0"/>
    <x v="0"/>
    <x v="0"/>
    <x v="64"/>
  </r>
  <r>
    <n v="1061454"/>
    <x v="0"/>
    <n v="9.66"/>
    <n v="9.7100000000000009"/>
    <n v="21.12"/>
    <x v="0"/>
    <x v="0"/>
    <x v="1"/>
    <x v="1"/>
  </r>
  <r>
    <n v="1061458"/>
    <x v="0"/>
    <n v="12.75"/>
    <n v="13.25"/>
    <n v="62.7"/>
    <x v="3"/>
    <x v="0"/>
    <x v="1"/>
    <x v="1"/>
  </r>
  <r>
    <n v="1061462"/>
    <x v="0"/>
    <n v="13.64"/>
    <n v="13.69"/>
    <n v="40.9"/>
    <x v="3"/>
    <x v="0"/>
    <x v="1"/>
    <x v="1"/>
  </r>
  <r>
    <n v="1061464"/>
    <x v="0"/>
    <n v="15.33"/>
    <n v="15.38"/>
    <n v="31.9"/>
    <x v="6"/>
    <x v="0"/>
    <x v="1"/>
    <x v="1"/>
  </r>
  <r>
    <n v="1061467"/>
    <x v="0"/>
    <n v="12.75"/>
    <n v="12.8"/>
    <n v="15.9"/>
    <x v="3"/>
    <x v="0"/>
    <x v="1"/>
    <x v="1"/>
  </r>
  <r>
    <n v="1061469"/>
    <x v="0"/>
    <n v="12.75"/>
    <n v="12.8"/>
    <n v="17.850000000000001"/>
    <x v="3"/>
    <x v="0"/>
    <x v="1"/>
    <x v="1"/>
  </r>
  <r>
    <n v="1061483"/>
    <x v="0"/>
    <n v="9.65"/>
    <n v="9.6999999999999993"/>
    <n v="84.75"/>
    <x v="0"/>
    <x v="0"/>
    <x v="1"/>
    <x v="1"/>
  </r>
  <r>
    <n v="1061504"/>
    <x v="0"/>
    <n v="14.09"/>
    <n v="15.1"/>
    <n v="61.95"/>
    <x v="3"/>
    <x v="0"/>
    <x v="1"/>
    <x v="1"/>
  </r>
  <r>
    <n v="1061513"/>
    <x v="0"/>
    <n v="16.64"/>
    <n v="16.690000000000001"/>
    <n v="29.7"/>
    <x v="4"/>
    <x v="0"/>
    <x v="1"/>
    <x v="1"/>
  </r>
  <r>
    <n v="1061535"/>
    <x v="0"/>
    <n v="12.75"/>
    <n v="12.8"/>
    <n v="134.69999999999999"/>
    <x v="3"/>
    <x v="0"/>
    <x v="1"/>
    <x v="1"/>
  </r>
  <r>
    <n v="1061555"/>
    <x v="0"/>
    <n v="12.26"/>
    <n v="12.31"/>
    <n v="201.75"/>
    <x v="7"/>
    <x v="0"/>
    <x v="1"/>
    <x v="1"/>
  </r>
  <r>
    <n v="1061577"/>
    <x v="0"/>
    <n v="12.75"/>
    <n v="12.8"/>
    <n v="49.6"/>
    <x v="3"/>
    <x v="0"/>
    <x v="1"/>
    <x v="1"/>
  </r>
  <r>
    <n v="1061579"/>
    <x v="0"/>
    <n v="12.75"/>
    <n v="12.8"/>
    <n v="84.9"/>
    <x v="3"/>
    <x v="0"/>
    <x v="1"/>
    <x v="1"/>
  </r>
  <r>
    <n v="1061582"/>
    <x v="0"/>
    <n v="16.649999999999999"/>
    <n v="18.579999999999998"/>
    <n v="298.7"/>
    <x v="4"/>
    <x v="0"/>
    <x v="1"/>
    <x v="1"/>
  </r>
  <r>
    <n v="1061615"/>
    <x v="0"/>
    <n v="13.64"/>
    <n v="13.69"/>
    <n v="74.5"/>
    <x v="3"/>
    <x v="0"/>
    <x v="1"/>
    <x v="1"/>
  </r>
  <r>
    <n v="1061622"/>
    <x v="0"/>
    <n v="12.75"/>
    <n v="12.8"/>
    <n v="65.400000000000006"/>
    <x v="3"/>
    <x v="0"/>
    <x v="1"/>
    <x v="1"/>
  </r>
  <r>
    <n v="1061632"/>
    <x v="0"/>
    <n v="19.96"/>
    <n v="20.010000000000002"/>
    <n v="69.95"/>
    <x v="10"/>
    <x v="0"/>
    <x v="1"/>
    <x v="1"/>
  </r>
  <r>
    <n v="1061647"/>
    <x v="0"/>
    <n v="12.75"/>
    <n v="12.8"/>
    <n v="12.95"/>
    <x v="3"/>
    <x v="0"/>
    <x v="1"/>
    <x v="1"/>
  </r>
  <r>
    <n v="1061674"/>
    <x v="0"/>
    <n v="12.75"/>
    <n v="13.25"/>
    <n v="57.75"/>
    <x v="3"/>
    <x v="0"/>
    <x v="1"/>
    <x v="1"/>
  </r>
  <r>
    <n v="1061677"/>
    <x v="0"/>
    <n v="9.66"/>
    <n v="9.6999999999999993"/>
    <n v="189.95"/>
    <x v="0"/>
    <x v="0"/>
    <x v="1"/>
    <x v="1"/>
  </r>
  <r>
    <n v="1061682"/>
    <x v="0"/>
    <n v="9.65"/>
    <n v="9.6999999999999993"/>
    <n v="17.850000000000001"/>
    <x v="0"/>
    <x v="0"/>
    <x v="1"/>
    <x v="1"/>
  </r>
  <r>
    <n v="1061703"/>
    <x v="0"/>
    <n v="12.75"/>
    <n v="12.8"/>
    <n v="119.85"/>
    <x v="3"/>
    <x v="0"/>
    <x v="1"/>
    <x v="1"/>
  </r>
  <r>
    <n v="1061729"/>
    <x v="0"/>
    <n v="9.65"/>
    <n v="9.6999999999999993"/>
    <n v="39.950000000000003"/>
    <x v="0"/>
    <x v="0"/>
    <x v="1"/>
    <x v="1"/>
  </r>
  <r>
    <n v="1061735"/>
    <x v="0"/>
    <n v="9.65"/>
    <n v="9.6999999999999993"/>
    <n v="2.95"/>
    <x v="0"/>
    <x v="0"/>
    <x v="1"/>
    <x v="1"/>
  </r>
  <r>
    <n v="1061771"/>
    <x v="0"/>
    <n v="12.75"/>
    <n v="12.8"/>
    <n v="19.95"/>
    <x v="3"/>
    <x v="0"/>
    <x v="1"/>
    <x v="1"/>
  </r>
  <r>
    <n v="1061778"/>
    <x v="0"/>
    <n v="9.65"/>
    <n v="9.6999999999999993"/>
    <n v="23.95"/>
    <x v="0"/>
    <x v="0"/>
    <x v="1"/>
    <x v="1"/>
  </r>
  <r>
    <n v="1061780"/>
    <x v="0"/>
    <n v="12.75"/>
    <n v="12.8"/>
    <n v="13.9"/>
    <x v="3"/>
    <x v="0"/>
    <x v="1"/>
    <x v="1"/>
  </r>
  <r>
    <n v="1061789"/>
    <x v="0"/>
    <n v="12.75"/>
    <n v="12.8"/>
    <n v="108.75"/>
    <x v="3"/>
    <x v="0"/>
    <x v="1"/>
    <x v="1"/>
  </r>
  <r>
    <n v="1061810"/>
    <x v="0"/>
    <n v="13.88"/>
    <n v="14.09"/>
    <n v="142.25"/>
    <x v="3"/>
    <x v="0"/>
    <x v="1"/>
    <x v="1"/>
  </r>
  <r>
    <n v="1061829"/>
    <x v="0"/>
    <n v="12.75"/>
    <n v="12.8"/>
    <n v="103.05"/>
    <x v="3"/>
    <x v="0"/>
    <x v="1"/>
    <x v="1"/>
  </r>
  <r>
    <n v="1061854"/>
    <x v="0"/>
    <n v="12.36"/>
    <n v="14.25"/>
    <n v="143.44999999999999"/>
    <x v="7"/>
    <x v="0"/>
    <x v="1"/>
    <x v="1"/>
  </r>
  <r>
    <n v="1061855"/>
    <x v="0"/>
    <n v="12.75"/>
    <n v="12.8"/>
    <n v="55.85"/>
    <x v="3"/>
    <x v="0"/>
    <x v="1"/>
    <x v="1"/>
  </r>
  <r>
    <n v="1061869"/>
    <x v="0"/>
    <n v="12.75"/>
    <n v="12.8"/>
    <n v="99.95"/>
    <x v="3"/>
    <x v="0"/>
    <x v="1"/>
    <x v="1"/>
  </r>
  <r>
    <n v="1061880"/>
    <x v="0"/>
    <n v="12.75"/>
    <n v="12.8"/>
    <n v="19.95"/>
    <x v="3"/>
    <x v="0"/>
    <x v="1"/>
    <x v="1"/>
  </r>
  <r>
    <n v="1061882"/>
    <x v="0"/>
    <n v="12.75"/>
    <n v="13.81"/>
    <n v="29.95"/>
    <x v="3"/>
    <x v="0"/>
    <x v="1"/>
    <x v="1"/>
  </r>
  <r>
    <n v="1061901"/>
    <x v="0"/>
    <n v="12.36"/>
    <n v="12.41"/>
    <n v="89.9"/>
    <x v="7"/>
    <x v="0"/>
    <x v="1"/>
    <x v="1"/>
  </r>
  <r>
    <n v="1061904"/>
    <x v="0"/>
    <n v="23.16"/>
    <n v="23.21"/>
    <n v="7.5"/>
    <x v="9"/>
    <x v="0"/>
    <x v="1"/>
    <x v="1"/>
  </r>
  <r>
    <n v="1061931"/>
    <x v="0"/>
    <n v="12.75"/>
    <n v="12.8"/>
    <n v="38.65"/>
    <x v="3"/>
    <x v="0"/>
    <x v="1"/>
    <x v="1"/>
  </r>
  <r>
    <n v="1061962"/>
    <x v="0"/>
    <n v="12.75"/>
    <n v="12.87"/>
    <n v="34.950000000000003"/>
    <x v="3"/>
    <x v="0"/>
    <x v="1"/>
    <x v="1"/>
  </r>
  <r>
    <n v="1061979"/>
    <x v="0"/>
    <n v="15.33"/>
    <n v="15.38"/>
    <n v="19.95"/>
    <x v="6"/>
    <x v="0"/>
    <x v="1"/>
    <x v="1"/>
  </r>
  <r>
    <n v="1062021"/>
    <x v="0"/>
    <n v="13.64"/>
    <n v="13.69"/>
    <n v="12.85"/>
    <x v="3"/>
    <x v="0"/>
    <x v="1"/>
    <x v="1"/>
  </r>
  <r>
    <n v="1062022"/>
    <x v="0"/>
    <n v="13.64"/>
    <n v="13.69"/>
    <n v="15.95"/>
    <x v="3"/>
    <x v="0"/>
    <x v="1"/>
    <x v="1"/>
  </r>
  <r>
    <n v="1062046"/>
    <x v="0"/>
    <n v="12.75"/>
    <n v="12.8"/>
    <n v="19.95"/>
    <x v="3"/>
    <x v="0"/>
    <x v="1"/>
    <x v="1"/>
  </r>
  <r>
    <n v="1062047"/>
    <x v="0"/>
    <n v="12.75"/>
    <n v="12.8"/>
    <n v="39.950000000000003"/>
    <x v="3"/>
    <x v="0"/>
    <x v="1"/>
    <x v="1"/>
  </r>
  <r>
    <n v="1062052"/>
    <x v="0"/>
    <n v="12.75"/>
    <n v="12.8"/>
    <n v="6.95"/>
    <x v="3"/>
    <x v="0"/>
    <x v="1"/>
    <x v="1"/>
  </r>
  <r>
    <n v="1062054"/>
    <x v="0"/>
    <n v="12.75"/>
    <n v="12.8"/>
    <n v="67.900000000000006"/>
    <x v="3"/>
    <x v="0"/>
    <x v="1"/>
    <x v="1"/>
  </r>
  <r>
    <n v="1062122"/>
    <x v="0"/>
    <n v="12.75"/>
    <n v="12.8"/>
    <n v="79.75"/>
    <x v="3"/>
    <x v="0"/>
    <x v="1"/>
    <x v="1"/>
  </r>
  <r>
    <n v="1062154"/>
    <x v="0"/>
    <n v="13.64"/>
    <n v="13.69"/>
    <n v="18.7"/>
    <x v="3"/>
    <x v="0"/>
    <x v="1"/>
    <x v="1"/>
  </r>
  <r>
    <n v="1062161"/>
    <x v="0"/>
    <n v="13.64"/>
    <n v="13.69"/>
    <n v="79.95"/>
    <x v="3"/>
    <x v="0"/>
    <x v="1"/>
    <x v="1"/>
  </r>
  <r>
    <n v="1062209"/>
    <x v="0"/>
    <n v="13.64"/>
    <n v="13.69"/>
    <n v="62.7"/>
    <x v="3"/>
    <x v="0"/>
    <x v="1"/>
    <x v="1"/>
  </r>
  <r>
    <n v="1062212"/>
    <x v="0"/>
    <n v="12.75"/>
    <n v="12.8"/>
    <n v="34.950000000000003"/>
    <x v="3"/>
    <x v="0"/>
    <x v="1"/>
    <x v="1"/>
  </r>
  <r>
    <n v="1062219"/>
    <x v="0"/>
    <n v="15.32"/>
    <n v="15.96"/>
    <n v="34.9"/>
    <x v="6"/>
    <x v="0"/>
    <x v="1"/>
    <x v="1"/>
  </r>
  <r>
    <n v="1062226"/>
    <x v="0"/>
    <n v="13.64"/>
    <n v="13.68"/>
    <n v="20.7"/>
    <x v="3"/>
    <x v="0"/>
    <x v="1"/>
    <x v="1"/>
  </r>
  <r>
    <n v="1062233"/>
    <x v="0"/>
    <n v="13.64"/>
    <n v="13.69"/>
    <n v="171.84"/>
    <x v="3"/>
    <x v="0"/>
    <x v="1"/>
    <x v="1"/>
  </r>
  <r>
    <n v="1062257"/>
    <x v="0"/>
    <n v="15.02"/>
    <n v="16.329999999999998"/>
    <n v="67.400000000000006"/>
    <x v="6"/>
    <x v="0"/>
    <x v="1"/>
    <x v="1"/>
  </r>
  <r>
    <n v="1062278"/>
    <x v="0"/>
    <n v="12.75"/>
    <n v="12.8"/>
    <n v="39.950000000000003"/>
    <x v="3"/>
    <x v="0"/>
    <x v="1"/>
    <x v="1"/>
  </r>
  <r>
    <n v="1062287"/>
    <x v="0"/>
    <n v="15.33"/>
    <n v="15.38"/>
    <n v="32.4"/>
    <x v="6"/>
    <x v="0"/>
    <x v="1"/>
    <x v="1"/>
  </r>
  <r>
    <n v="1062288"/>
    <x v="0"/>
    <n v="13.64"/>
    <n v="13.84"/>
    <n v="107.7"/>
    <x v="3"/>
    <x v="0"/>
    <x v="1"/>
    <x v="1"/>
  </r>
  <r>
    <n v="1062306"/>
    <x v="0"/>
    <n v="66.98"/>
    <n v="67.02"/>
    <n v="55.2"/>
    <x v="2"/>
    <x v="0"/>
    <x v="1"/>
    <x v="1"/>
  </r>
  <r>
    <n v="1062312"/>
    <x v="0"/>
    <n v="13.64"/>
    <n v="13.69"/>
    <n v="28.4"/>
    <x v="3"/>
    <x v="0"/>
    <x v="1"/>
    <x v="1"/>
  </r>
  <r>
    <n v="1062343"/>
    <x v="0"/>
    <n v="12.75"/>
    <n v="12.8"/>
    <n v="35"/>
    <x v="3"/>
    <x v="0"/>
    <x v="1"/>
    <x v="1"/>
  </r>
  <r>
    <n v="1062347"/>
    <x v="0"/>
    <n v="12.75"/>
    <n v="12.8"/>
    <n v="39.9"/>
    <x v="3"/>
    <x v="0"/>
    <x v="1"/>
    <x v="1"/>
  </r>
  <r>
    <n v="1062352"/>
    <x v="0"/>
    <n v="10.94"/>
    <n v="15.38"/>
    <n v="66.349999999999994"/>
    <x v="8"/>
    <x v="0"/>
    <x v="1"/>
    <x v="1"/>
  </r>
  <r>
    <n v="1062353"/>
    <x v="0"/>
    <n v="12.75"/>
    <n v="12.8"/>
    <n v="85"/>
    <x v="3"/>
    <x v="0"/>
    <x v="1"/>
    <x v="1"/>
  </r>
  <r>
    <n v="1062360"/>
    <x v="0"/>
    <n v="15.02"/>
    <n v="15.07"/>
    <n v="13.9"/>
    <x v="6"/>
    <x v="0"/>
    <x v="1"/>
    <x v="1"/>
  </r>
  <r>
    <n v="1062374"/>
    <x v="0"/>
    <n v="12.26"/>
    <n v="12.31"/>
    <n v="83.7"/>
    <x v="7"/>
    <x v="0"/>
    <x v="1"/>
    <x v="1"/>
  </r>
  <r>
    <n v="1062377"/>
    <x v="0"/>
    <n v="9.65"/>
    <n v="9.6999999999999993"/>
    <n v="99.95"/>
    <x v="0"/>
    <x v="0"/>
    <x v="1"/>
    <x v="1"/>
  </r>
  <r>
    <n v="1062384"/>
    <x v="0"/>
    <n v="12.75"/>
    <n v="12.8"/>
    <n v="14.95"/>
    <x v="3"/>
    <x v="0"/>
    <x v="1"/>
    <x v="1"/>
  </r>
  <r>
    <n v="1062387"/>
    <x v="0"/>
    <n v="13.64"/>
    <n v="13.69"/>
    <n v="30.15"/>
    <x v="3"/>
    <x v="0"/>
    <x v="1"/>
    <x v="1"/>
  </r>
  <r>
    <n v="1062419"/>
    <x v="0"/>
    <n v="30.75"/>
    <n v="28.73"/>
    <n v="334.8"/>
    <x v="9"/>
    <x v="0"/>
    <x v="0"/>
    <x v="65"/>
  </r>
  <r>
    <n v="1062429"/>
    <x v="0"/>
    <n v="12.75"/>
    <n v="12.8"/>
    <n v="64.7"/>
    <x v="3"/>
    <x v="0"/>
    <x v="1"/>
    <x v="1"/>
  </r>
  <r>
    <n v="1062435"/>
    <x v="0"/>
    <n v="12.75"/>
    <n v="12.8"/>
    <n v="16.899999999999999"/>
    <x v="3"/>
    <x v="0"/>
    <x v="1"/>
    <x v="1"/>
  </r>
  <r>
    <n v="1062436"/>
    <x v="0"/>
    <n v="12.26"/>
    <n v="12.31"/>
    <n v="187.8"/>
    <x v="7"/>
    <x v="0"/>
    <x v="1"/>
    <x v="1"/>
  </r>
  <r>
    <n v="1062481"/>
    <x v="0"/>
    <n v="12.26"/>
    <n v="14.19"/>
    <n v="53.7"/>
    <x v="7"/>
    <x v="0"/>
    <x v="1"/>
    <x v="1"/>
  </r>
  <r>
    <n v="1062488"/>
    <x v="0"/>
    <n v="13.64"/>
    <n v="13.69"/>
    <n v="20.95"/>
    <x v="3"/>
    <x v="0"/>
    <x v="1"/>
    <x v="1"/>
  </r>
  <r>
    <n v="1062493"/>
    <x v="0"/>
    <n v="13.64"/>
    <n v="13.69"/>
    <n v="99.95"/>
    <x v="3"/>
    <x v="0"/>
    <x v="1"/>
    <x v="1"/>
  </r>
  <r>
    <n v="1062560"/>
    <x v="0"/>
    <n v="9.65"/>
    <n v="9.6999999999999993"/>
    <n v="79.900000000000006"/>
    <x v="0"/>
    <x v="0"/>
    <x v="1"/>
    <x v="1"/>
  </r>
  <r>
    <n v="1062581"/>
    <x v="0"/>
    <n v="9.65"/>
    <n v="9.6999999999999993"/>
    <n v="7.95"/>
    <x v="0"/>
    <x v="0"/>
    <x v="1"/>
    <x v="1"/>
  </r>
  <r>
    <n v="1062604"/>
    <x v="0"/>
    <n v="9.65"/>
    <n v="13.69"/>
    <n v="47.9"/>
    <x v="0"/>
    <x v="0"/>
    <x v="1"/>
    <x v="1"/>
  </r>
  <r>
    <n v="1062606"/>
    <x v="0"/>
    <n v="12.75"/>
    <n v="14.21"/>
    <n v="99.95"/>
    <x v="3"/>
    <x v="0"/>
    <x v="1"/>
    <x v="1"/>
  </r>
  <r>
    <n v="1062643"/>
    <x v="0"/>
    <n v="13.64"/>
    <n v="13.69"/>
    <n v="24.85"/>
    <x v="3"/>
    <x v="0"/>
    <x v="1"/>
    <x v="1"/>
  </r>
  <r>
    <n v="1062647"/>
    <x v="0"/>
    <n v="9.65"/>
    <n v="9.6999999999999993"/>
    <n v="39.9"/>
    <x v="0"/>
    <x v="0"/>
    <x v="1"/>
    <x v="1"/>
  </r>
  <r>
    <n v="1062648"/>
    <x v="0"/>
    <n v="9.66"/>
    <n v="9.7100000000000009"/>
    <n v="199.95"/>
    <x v="0"/>
    <x v="0"/>
    <x v="1"/>
    <x v="1"/>
  </r>
  <r>
    <n v="1062677"/>
    <x v="0"/>
    <n v="13.64"/>
    <n v="13.69"/>
    <n v="29.3"/>
    <x v="3"/>
    <x v="0"/>
    <x v="1"/>
    <x v="1"/>
  </r>
  <r>
    <n v="1062690"/>
    <x v="0"/>
    <n v="9.66"/>
    <n v="13.69"/>
    <n v="181.6"/>
    <x v="0"/>
    <x v="0"/>
    <x v="1"/>
    <x v="1"/>
  </r>
  <r>
    <n v="1062695"/>
    <x v="0"/>
    <n v="13.64"/>
    <n v="13.69"/>
    <n v="21.4"/>
    <x v="3"/>
    <x v="0"/>
    <x v="1"/>
    <x v="1"/>
  </r>
  <r>
    <n v="1062721"/>
    <x v="0"/>
    <n v="16.440000000000001"/>
    <n v="16.489999999999998"/>
    <n v="14.4"/>
    <x v="4"/>
    <x v="0"/>
    <x v="1"/>
    <x v="1"/>
  </r>
  <r>
    <n v="1062757"/>
    <x v="0"/>
    <n v="12.36"/>
    <n v="14.25"/>
    <n v="206.1"/>
    <x v="7"/>
    <x v="0"/>
    <x v="1"/>
    <x v="1"/>
  </r>
  <r>
    <n v="1062779"/>
    <x v="0"/>
    <n v="12.75"/>
    <n v="12.8"/>
    <n v="46.8"/>
    <x v="3"/>
    <x v="0"/>
    <x v="1"/>
    <x v="1"/>
  </r>
  <r>
    <n v="1062787"/>
    <x v="0"/>
    <n v="12.75"/>
    <n v="12.8"/>
    <n v="113.7"/>
    <x v="3"/>
    <x v="0"/>
    <x v="1"/>
    <x v="1"/>
  </r>
  <r>
    <n v="1062795"/>
    <x v="0"/>
    <n v="12.75"/>
    <n v="12.8"/>
    <n v="79.900000000000006"/>
    <x v="3"/>
    <x v="0"/>
    <x v="1"/>
    <x v="1"/>
  </r>
  <r>
    <n v="1062810"/>
    <x v="0"/>
    <n v="15.02"/>
    <n v="15.12"/>
    <n v="99.95"/>
    <x v="6"/>
    <x v="0"/>
    <x v="1"/>
    <x v="1"/>
  </r>
  <r>
    <n v="1062824"/>
    <x v="0"/>
    <n v="13.64"/>
    <n v="13.68"/>
    <n v="83.6"/>
    <x v="3"/>
    <x v="0"/>
    <x v="1"/>
    <x v="1"/>
  </r>
  <r>
    <n v="1062850"/>
    <x v="0"/>
    <n v="12.75"/>
    <n v="12.8"/>
    <n v="59.9"/>
    <x v="3"/>
    <x v="0"/>
    <x v="1"/>
    <x v="1"/>
  </r>
  <r>
    <n v="1062886"/>
    <x v="0"/>
    <n v="12.75"/>
    <n v="12.8"/>
    <n v="7.8"/>
    <x v="3"/>
    <x v="0"/>
    <x v="1"/>
    <x v="1"/>
  </r>
  <r>
    <n v="1062887"/>
    <x v="0"/>
    <n v="13.64"/>
    <n v="13.69"/>
    <n v="5.9"/>
    <x v="3"/>
    <x v="0"/>
    <x v="1"/>
    <x v="1"/>
  </r>
  <r>
    <n v="1062910"/>
    <x v="0"/>
    <n v="13.64"/>
    <n v="13.69"/>
    <n v="15.05"/>
    <x v="3"/>
    <x v="0"/>
    <x v="1"/>
    <x v="1"/>
  </r>
  <r>
    <n v="1062938"/>
    <x v="0"/>
    <n v="15.33"/>
    <n v="15.38"/>
    <n v="12.95"/>
    <x v="6"/>
    <x v="0"/>
    <x v="1"/>
    <x v="1"/>
  </r>
  <r>
    <n v="1062959"/>
    <x v="0"/>
    <n v="12.75"/>
    <n v="12.8"/>
    <n v="23.8"/>
    <x v="3"/>
    <x v="0"/>
    <x v="1"/>
    <x v="1"/>
  </r>
  <r>
    <n v="1062967"/>
    <x v="0"/>
    <n v="13.64"/>
    <n v="13.69"/>
    <n v="24.95"/>
    <x v="3"/>
    <x v="0"/>
    <x v="1"/>
    <x v="1"/>
  </r>
  <r>
    <n v="1062970"/>
    <x v="0"/>
    <n v="20.309999999999999"/>
    <n v="22.9"/>
    <n v="476"/>
    <x v="10"/>
    <x v="0"/>
    <x v="1"/>
    <x v="1"/>
  </r>
  <r>
    <n v="1062981"/>
    <x v="0"/>
    <n v="12.75"/>
    <n v="12.8"/>
    <n v="38.700000000000003"/>
    <x v="3"/>
    <x v="0"/>
    <x v="1"/>
    <x v="1"/>
  </r>
  <r>
    <n v="1062983"/>
    <x v="0"/>
    <n v="12.75"/>
    <n v="12.8"/>
    <n v="83.9"/>
    <x v="3"/>
    <x v="0"/>
    <x v="1"/>
    <x v="1"/>
  </r>
  <r>
    <n v="1062994"/>
    <x v="0"/>
    <n v="12.75"/>
    <n v="12.8"/>
    <n v="67.8"/>
    <x v="3"/>
    <x v="0"/>
    <x v="1"/>
    <x v="1"/>
  </r>
  <r>
    <n v="1062996"/>
    <x v="0"/>
    <n v="13.64"/>
    <n v="13.69"/>
    <n v="0.75"/>
    <x v="3"/>
    <x v="0"/>
    <x v="1"/>
    <x v="1"/>
  </r>
  <r>
    <n v="1063008"/>
    <x v="0"/>
    <n v="12.75"/>
    <n v="13.2"/>
    <n v="109.9"/>
    <x v="3"/>
    <x v="0"/>
    <x v="1"/>
    <x v="1"/>
  </r>
  <r>
    <n v="1063023"/>
    <x v="0"/>
    <n v="66.98"/>
    <n v="67.02"/>
    <n v="70.2"/>
    <x v="2"/>
    <x v="0"/>
    <x v="1"/>
    <x v="1"/>
  </r>
  <r>
    <n v="1063032"/>
    <x v="0"/>
    <n v="9.66"/>
    <n v="9.7100000000000009"/>
    <n v="65.45"/>
    <x v="0"/>
    <x v="0"/>
    <x v="1"/>
    <x v="1"/>
  </r>
  <r>
    <n v="1063041"/>
    <x v="0"/>
    <n v="9.66"/>
    <n v="9.7100000000000009"/>
    <n v="4.95"/>
    <x v="0"/>
    <x v="0"/>
    <x v="1"/>
    <x v="1"/>
  </r>
  <r>
    <n v="1063048"/>
    <x v="0"/>
    <n v="12.75"/>
    <n v="12.8"/>
    <n v="84.75"/>
    <x v="3"/>
    <x v="0"/>
    <x v="1"/>
    <x v="1"/>
  </r>
  <r>
    <n v="1063056"/>
    <x v="0"/>
    <n v="13.64"/>
    <n v="13.69"/>
    <n v="38.85"/>
    <x v="3"/>
    <x v="0"/>
    <x v="1"/>
    <x v="1"/>
  </r>
  <r>
    <n v="1063071"/>
    <x v="0"/>
    <n v="13.63"/>
    <n v="14.14"/>
    <n v="106.6"/>
    <x v="3"/>
    <x v="0"/>
    <x v="1"/>
    <x v="1"/>
  </r>
  <r>
    <n v="1063094"/>
    <x v="0"/>
    <n v="13.64"/>
    <n v="13.69"/>
    <n v="67.8"/>
    <x v="3"/>
    <x v="0"/>
    <x v="1"/>
    <x v="1"/>
  </r>
  <r>
    <n v="1063112"/>
    <x v="0"/>
    <n v="12.75"/>
    <n v="12.8"/>
    <n v="85"/>
    <x v="3"/>
    <x v="0"/>
    <x v="1"/>
    <x v="1"/>
  </r>
  <r>
    <n v="1063117"/>
    <x v="0"/>
    <n v="9.66"/>
    <n v="9.7100000000000009"/>
    <n v="19.899999999999999"/>
    <x v="0"/>
    <x v="0"/>
    <x v="1"/>
    <x v="1"/>
  </r>
  <r>
    <n v="1063126"/>
    <x v="0"/>
    <n v="13.64"/>
    <n v="13.69"/>
    <n v="19.899999999999999"/>
    <x v="3"/>
    <x v="0"/>
    <x v="1"/>
    <x v="1"/>
  </r>
  <r>
    <n v="1063169"/>
    <x v="0"/>
    <n v="12.75"/>
    <n v="12.8"/>
    <n v="47.95"/>
    <x v="3"/>
    <x v="0"/>
    <x v="1"/>
    <x v="1"/>
  </r>
  <r>
    <n v="1063173"/>
    <x v="0"/>
    <n v="12.75"/>
    <n v="12.8"/>
    <n v="119.6"/>
    <x v="3"/>
    <x v="0"/>
    <x v="1"/>
    <x v="1"/>
  </r>
  <r>
    <n v="1063184"/>
    <x v="0"/>
    <n v="9.66"/>
    <n v="9.7100000000000009"/>
    <n v="26.6"/>
    <x v="0"/>
    <x v="0"/>
    <x v="1"/>
    <x v="1"/>
  </r>
  <r>
    <n v="1063188"/>
    <x v="0"/>
    <n v="13.64"/>
    <n v="13.69"/>
    <n v="149.75"/>
    <x v="3"/>
    <x v="0"/>
    <x v="1"/>
    <x v="1"/>
  </r>
  <r>
    <n v="1063189"/>
    <x v="0"/>
    <n v="16.34"/>
    <n v="16.39"/>
    <n v="28.4"/>
    <x v="4"/>
    <x v="0"/>
    <x v="1"/>
    <x v="1"/>
  </r>
  <r>
    <n v="1063209"/>
    <x v="0"/>
    <n v="13.64"/>
    <n v="13.69"/>
    <n v="19.95"/>
    <x v="3"/>
    <x v="0"/>
    <x v="1"/>
    <x v="1"/>
  </r>
  <r>
    <n v="1063210"/>
    <x v="0"/>
    <n v="12.75"/>
    <n v="12.8"/>
    <n v="194.6"/>
    <x v="3"/>
    <x v="0"/>
    <x v="1"/>
    <x v="1"/>
  </r>
  <r>
    <n v="1063216"/>
    <x v="0"/>
    <n v="15.35"/>
    <n v="17.72"/>
    <n v="18.95"/>
    <x v="6"/>
    <x v="0"/>
    <x v="1"/>
    <x v="1"/>
  </r>
  <r>
    <n v="1063228"/>
    <x v="0"/>
    <n v="12.75"/>
    <n v="12.8"/>
    <n v="7.4"/>
    <x v="3"/>
    <x v="0"/>
    <x v="1"/>
    <x v="1"/>
  </r>
  <r>
    <n v="1063237"/>
    <x v="0"/>
    <n v="12.75"/>
    <n v="12.8"/>
    <n v="28.35"/>
    <x v="3"/>
    <x v="0"/>
    <x v="1"/>
    <x v="1"/>
  </r>
  <r>
    <n v="1063255"/>
    <x v="0"/>
    <n v="16.440000000000001"/>
    <n v="16.489999999999998"/>
    <n v="84.75"/>
    <x v="4"/>
    <x v="0"/>
    <x v="1"/>
    <x v="1"/>
  </r>
  <r>
    <n v="1063261"/>
    <x v="0"/>
    <n v="13.64"/>
    <n v="13.69"/>
    <n v="65.55"/>
    <x v="3"/>
    <x v="0"/>
    <x v="1"/>
    <x v="1"/>
  </r>
  <r>
    <n v="1063267"/>
    <x v="0"/>
    <n v="13.64"/>
    <n v="13.69"/>
    <n v="99.95"/>
    <x v="3"/>
    <x v="0"/>
    <x v="1"/>
    <x v="1"/>
  </r>
  <r>
    <n v="1063269"/>
    <x v="0"/>
    <n v="13.64"/>
    <n v="13.69"/>
    <n v="39.950000000000003"/>
    <x v="3"/>
    <x v="0"/>
    <x v="1"/>
    <x v="1"/>
  </r>
  <r>
    <n v="1063290"/>
    <x v="0"/>
    <n v="13.64"/>
    <n v="13.69"/>
    <n v="49.6"/>
    <x v="3"/>
    <x v="0"/>
    <x v="1"/>
    <x v="1"/>
  </r>
  <r>
    <n v="1063291"/>
    <x v="0"/>
    <n v="13.64"/>
    <n v="13.69"/>
    <n v="43.85"/>
    <x v="3"/>
    <x v="0"/>
    <x v="1"/>
    <x v="1"/>
  </r>
  <r>
    <n v="1063296"/>
    <x v="0"/>
    <n v="15.33"/>
    <n v="15.38"/>
    <n v="2.5"/>
    <x v="6"/>
    <x v="0"/>
    <x v="1"/>
    <x v="1"/>
  </r>
  <r>
    <n v="1063305"/>
    <x v="0"/>
    <n v="12.75"/>
    <n v="12.8"/>
    <n v="107.7"/>
    <x v="3"/>
    <x v="0"/>
    <x v="1"/>
    <x v="1"/>
  </r>
  <r>
    <n v="1063313"/>
    <x v="0"/>
    <n v="15.02"/>
    <n v="15.07"/>
    <n v="67.349999999999994"/>
    <x v="6"/>
    <x v="0"/>
    <x v="1"/>
    <x v="1"/>
  </r>
  <r>
    <n v="1063345"/>
    <x v="0"/>
    <n v="12.75"/>
    <n v="12.8"/>
    <n v="92.85"/>
    <x v="3"/>
    <x v="0"/>
    <x v="1"/>
    <x v="1"/>
  </r>
  <r>
    <n v="1063348"/>
    <x v="0"/>
    <n v="12.75"/>
    <n v="12.8"/>
    <n v="35.950000000000003"/>
    <x v="3"/>
    <x v="0"/>
    <x v="1"/>
    <x v="1"/>
  </r>
  <r>
    <n v="1063349"/>
    <x v="0"/>
    <n v="13.64"/>
    <n v="13.69"/>
    <n v="39.9"/>
    <x v="3"/>
    <x v="0"/>
    <x v="1"/>
    <x v="1"/>
  </r>
  <r>
    <n v="1063364"/>
    <x v="0"/>
    <n v="12.75"/>
    <n v="12.8"/>
    <n v="29.85"/>
    <x v="3"/>
    <x v="0"/>
    <x v="1"/>
    <x v="1"/>
  </r>
  <r>
    <n v="1063365"/>
    <x v="0"/>
    <n v="12.75"/>
    <n v="13.25"/>
    <n v="5.9"/>
    <x v="3"/>
    <x v="0"/>
    <x v="1"/>
    <x v="1"/>
  </r>
  <r>
    <n v="1063410"/>
    <x v="0"/>
    <n v="12.75"/>
    <n v="12.8"/>
    <n v="83.7"/>
    <x v="3"/>
    <x v="0"/>
    <x v="1"/>
    <x v="1"/>
  </r>
  <r>
    <n v="1063415"/>
    <x v="0"/>
    <n v="13.63"/>
    <n v="13.68"/>
    <n v="61.85"/>
    <x v="3"/>
    <x v="0"/>
    <x v="1"/>
    <x v="1"/>
  </r>
  <r>
    <n v="1063461"/>
    <x v="0"/>
    <n v="12.75"/>
    <n v="12.8"/>
    <n v="82.45"/>
    <x v="3"/>
    <x v="0"/>
    <x v="1"/>
    <x v="1"/>
  </r>
  <r>
    <n v="1063491"/>
    <x v="0"/>
    <n v="12.75"/>
    <n v="12.8"/>
    <n v="34.549999999999997"/>
    <x v="3"/>
    <x v="0"/>
    <x v="1"/>
    <x v="1"/>
  </r>
  <r>
    <n v="1063508"/>
    <x v="0"/>
    <n v="12.26"/>
    <n v="12.31"/>
    <n v="79.8"/>
    <x v="7"/>
    <x v="0"/>
    <x v="1"/>
    <x v="1"/>
  </r>
  <r>
    <n v="1063528"/>
    <x v="0"/>
    <n v="12.75"/>
    <n v="12.8"/>
    <n v="7.9"/>
    <x v="3"/>
    <x v="0"/>
    <x v="1"/>
    <x v="1"/>
  </r>
  <r>
    <n v="1063530"/>
    <x v="0"/>
    <n v="16.34"/>
    <n v="16.39"/>
    <n v="58.7"/>
    <x v="4"/>
    <x v="0"/>
    <x v="1"/>
    <x v="1"/>
  </r>
  <r>
    <n v="1063549"/>
    <x v="0"/>
    <n v="13.64"/>
    <n v="13.69"/>
    <n v="25.85"/>
    <x v="3"/>
    <x v="0"/>
    <x v="1"/>
    <x v="1"/>
  </r>
  <r>
    <n v="1063580"/>
    <x v="0"/>
    <n v="16.649999999999999"/>
    <n v="16.7"/>
    <n v="67.5"/>
    <x v="4"/>
    <x v="0"/>
    <x v="1"/>
    <x v="1"/>
  </r>
  <r>
    <n v="1063593"/>
    <x v="0"/>
    <n v="12.75"/>
    <n v="12.8"/>
    <n v="16.399999999999999"/>
    <x v="3"/>
    <x v="0"/>
    <x v="1"/>
    <x v="1"/>
  </r>
  <r>
    <n v="1063646"/>
    <x v="0"/>
    <n v="12.26"/>
    <n v="16.7"/>
    <n v="26.8"/>
    <x v="7"/>
    <x v="0"/>
    <x v="1"/>
    <x v="1"/>
  </r>
  <r>
    <n v="1063715"/>
    <x v="0"/>
    <n v="9.66"/>
    <n v="0"/>
    <n v="89.85"/>
    <x v="0"/>
    <x v="0"/>
    <x v="0"/>
    <x v="66"/>
  </r>
  <r>
    <n v="1063739"/>
    <x v="0"/>
    <n v="16.649999999999999"/>
    <n v="16.7"/>
    <n v="82.45"/>
    <x v="4"/>
    <x v="0"/>
    <x v="1"/>
    <x v="1"/>
  </r>
  <r>
    <n v="1063757"/>
    <x v="0"/>
    <n v="12.75"/>
    <n v="12.8"/>
    <n v="64.8"/>
    <x v="3"/>
    <x v="0"/>
    <x v="1"/>
    <x v="1"/>
  </r>
  <r>
    <n v="1063806"/>
    <x v="0"/>
    <n v="13.64"/>
    <n v="13.69"/>
    <n v="34.950000000000003"/>
    <x v="3"/>
    <x v="0"/>
    <x v="1"/>
    <x v="1"/>
  </r>
  <r>
    <n v="1063807"/>
    <x v="0"/>
    <n v="9.66"/>
    <n v="9.7100000000000009"/>
    <n v="130.9"/>
    <x v="0"/>
    <x v="0"/>
    <x v="1"/>
    <x v="1"/>
  </r>
  <r>
    <n v="1063825"/>
    <x v="0"/>
    <n v="13.64"/>
    <n v="13.69"/>
    <n v="119.85"/>
    <x v="3"/>
    <x v="0"/>
    <x v="1"/>
    <x v="1"/>
  </r>
  <r>
    <n v="1063828"/>
    <x v="0"/>
    <n v="12.75"/>
    <n v="12.8"/>
    <n v="70.849999999999994"/>
    <x v="3"/>
    <x v="0"/>
    <x v="1"/>
    <x v="1"/>
  </r>
  <r>
    <n v="1063840"/>
    <x v="0"/>
    <n v="21.39"/>
    <n v="21.44"/>
    <n v="35"/>
    <x v="9"/>
    <x v="0"/>
    <x v="1"/>
    <x v="1"/>
  </r>
  <r>
    <n v="1063852"/>
    <x v="0"/>
    <n v="10.94"/>
    <n v="10.99"/>
    <n v="34.5"/>
    <x v="8"/>
    <x v="0"/>
    <x v="1"/>
    <x v="1"/>
  </r>
  <r>
    <n v="1063857"/>
    <x v="0"/>
    <n v="13.64"/>
    <n v="13.69"/>
    <n v="68.650000000000006"/>
    <x v="3"/>
    <x v="0"/>
    <x v="1"/>
    <x v="1"/>
  </r>
  <r>
    <n v="1063863"/>
    <x v="0"/>
    <n v="17.579999999999998"/>
    <n v="17.63"/>
    <n v="40.950000000000003"/>
    <x v="9"/>
    <x v="0"/>
    <x v="1"/>
    <x v="1"/>
  </r>
  <r>
    <n v="1063864"/>
    <x v="0"/>
    <n v="12.26"/>
    <n v="12.31"/>
    <n v="29.9"/>
    <x v="7"/>
    <x v="0"/>
    <x v="1"/>
    <x v="1"/>
  </r>
  <r>
    <n v="1063876"/>
    <x v="0"/>
    <n v="10.94"/>
    <n v="10.99"/>
    <n v="49.7"/>
    <x v="8"/>
    <x v="0"/>
    <x v="1"/>
    <x v="1"/>
  </r>
  <r>
    <n v="1063878"/>
    <x v="0"/>
    <n v="12.75"/>
    <n v="12.8"/>
    <n v="14.95"/>
    <x v="3"/>
    <x v="0"/>
    <x v="1"/>
    <x v="1"/>
  </r>
  <r>
    <n v="1063879"/>
    <x v="0"/>
    <n v="16.34"/>
    <n v="16.39"/>
    <n v="19.95"/>
    <x v="4"/>
    <x v="0"/>
    <x v="1"/>
    <x v="1"/>
  </r>
  <r>
    <n v="1063892"/>
    <x v="0"/>
    <n v="13.64"/>
    <n v="13.69"/>
    <n v="66.7"/>
    <x v="3"/>
    <x v="0"/>
    <x v="1"/>
    <x v="1"/>
  </r>
  <r>
    <n v="1063899"/>
    <x v="0"/>
    <n v="13.64"/>
    <n v="13.69"/>
    <n v="56.85"/>
    <x v="3"/>
    <x v="0"/>
    <x v="1"/>
    <x v="1"/>
  </r>
  <r>
    <n v="1063920"/>
    <x v="0"/>
    <n v="13.64"/>
    <n v="13.69"/>
    <n v="34.950000000000003"/>
    <x v="3"/>
    <x v="0"/>
    <x v="1"/>
    <x v="1"/>
  </r>
  <r>
    <n v="1063928"/>
    <x v="0"/>
    <n v="12.75"/>
    <n v="12.8"/>
    <n v="47.9"/>
    <x v="3"/>
    <x v="0"/>
    <x v="1"/>
    <x v="1"/>
  </r>
  <r>
    <n v="1063941"/>
    <x v="0"/>
    <n v="9.66"/>
    <n v="9.7100000000000009"/>
    <n v="4.95"/>
    <x v="0"/>
    <x v="0"/>
    <x v="1"/>
    <x v="1"/>
  </r>
  <r>
    <n v="1063946"/>
    <x v="0"/>
    <n v="13.64"/>
    <n v="13.69"/>
    <n v="31.8"/>
    <x v="3"/>
    <x v="0"/>
    <x v="1"/>
    <x v="1"/>
  </r>
  <r>
    <n v="1063959"/>
    <x v="0"/>
    <n v="9.65"/>
    <n v="13.25"/>
    <n v="75.7"/>
    <x v="0"/>
    <x v="0"/>
    <x v="1"/>
    <x v="1"/>
  </r>
  <r>
    <n v="1063980"/>
    <x v="0"/>
    <n v="13.64"/>
    <n v="13.69"/>
    <n v="95.05"/>
    <x v="3"/>
    <x v="0"/>
    <x v="1"/>
    <x v="1"/>
  </r>
  <r>
    <n v="1063996"/>
    <x v="0"/>
    <n v="13.64"/>
    <n v="13.69"/>
    <n v="70.3"/>
    <x v="3"/>
    <x v="0"/>
    <x v="1"/>
    <x v="1"/>
  </r>
  <r>
    <n v="1063997"/>
    <x v="0"/>
    <n v="13.64"/>
    <n v="13.68"/>
    <n v="29.9"/>
    <x v="3"/>
    <x v="0"/>
    <x v="1"/>
    <x v="1"/>
  </r>
  <r>
    <n v="1064000"/>
    <x v="0"/>
    <n v="10.94"/>
    <n v="13.39"/>
    <n v="447.4"/>
    <x v="8"/>
    <x v="0"/>
    <x v="1"/>
    <x v="1"/>
  </r>
  <r>
    <n v="1064007"/>
    <x v="0"/>
    <n v="10.210000000000001"/>
    <n v="10.26"/>
    <n v="67"/>
    <x v="0"/>
    <x v="0"/>
    <x v="1"/>
    <x v="1"/>
  </r>
  <r>
    <n v="1064015"/>
    <x v="0"/>
    <n v="12.26"/>
    <n v="12.31"/>
    <n v="22.9"/>
    <x v="7"/>
    <x v="0"/>
    <x v="1"/>
    <x v="1"/>
  </r>
  <r>
    <n v="1064026"/>
    <x v="0"/>
    <n v="13.64"/>
    <n v="13.69"/>
    <n v="109.75"/>
    <x v="3"/>
    <x v="0"/>
    <x v="1"/>
    <x v="1"/>
  </r>
  <r>
    <n v="1064037"/>
    <x v="0"/>
    <n v="15.33"/>
    <n v="15.38"/>
    <n v="13.9"/>
    <x v="6"/>
    <x v="0"/>
    <x v="1"/>
    <x v="1"/>
  </r>
  <r>
    <n v="1064051"/>
    <x v="0"/>
    <n v="18.02"/>
    <n v="18.07"/>
    <n v="6.95"/>
    <x v="9"/>
    <x v="0"/>
    <x v="1"/>
    <x v="1"/>
  </r>
  <r>
    <n v="1064062"/>
    <x v="0"/>
    <n v="15.33"/>
    <n v="15.38"/>
    <n v="29.95"/>
    <x v="6"/>
    <x v="0"/>
    <x v="1"/>
    <x v="1"/>
  </r>
  <r>
    <n v="1064070"/>
    <x v="0"/>
    <n v="12.75"/>
    <n v="12.8"/>
    <n v="18.8"/>
    <x v="3"/>
    <x v="0"/>
    <x v="1"/>
    <x v="1"/>
  </r>
  <r>
    <n v="1064086"/>
    <x v="0"/>
    <n v="12.75"/>
    <n v="12.84"/>
    <n v="59.35"/>
    <x v="3"/>
    <x v="0"/>
    <x v="1"/>
    <x v="1"/>
  </r>
  <r>
    <n v="1064092"/>
    <x v="0"/>
    <n v="15.02"/>
    <n v="15.07"/>
    <n v="62.15"/>
    <x v="6"/>
    <x v="0"/>
    <x v="1"/>
    <x v="1"/>
  </r>
  <r>
    <n v="1064112"/>
    <x v="0"/>
    <n v="9.65"/>
    <n v="9.6999999999999993"/>
    <n v="70.8"/>
    <x v="0"/>
    <x v="0"/>
    <x v="1"/>
    <x v="1"/>
  </r>
  <r>
    <n v="1064144"/>
    <x v="0"/>
    <n v="9.65"/>
    <n v="13.69"/>
    <n v="7.5"/>
    <x v="0"/>
    <x v="0"/>
    <x v="1"/>
    <x v="1"/>
  </r>
  <r>
    <n v="1064164"/>
    <x v="0"/>
    <n v="12.75"/>
    <n v="12.8"/>
    <n v="57.4"/>
    <x v="3"/>
    <x v="0"/>
    <x v="1"/>
    <x v="1"/>
  </r>
  <r>
    <n v="1064179"/>
    <x v="0"/>
    <n v="12.75"/>
    <n v="12.8"/>
    <n v="66.849999999999994"/>
    <x v="3"/>
    <x v="0"/>
    <x v="1"/>
    <x v="1"/>
  </r>
  <r>
    <n v="1064212"/>
    <x v="0"/>
    <n v="9.66"/>
    <n v="9.7100000000000009"/>
    <n v="44.95"/>
    <x v="0"/>
    <x v="0"/>
    <x v="1"/>
    <x v="1"/>
  </r>
  <r>
    <n v="1064214"/>
    <x v="0"/>
    <n v="12.75"/>
    <n v="12.8"/>
    <n v="54.7"/>
    <x v="3"/>
    <x v="0"/>
    <x v="1"/>
    <x v="1"/>
  </r>
  <r>
    <n v="1064223"/>
    <x v="0"/>
    <n v="15.32"/>
    <n v="15.38"/>
    <n v="122.45"/>
    <x v="6"/>
    <x v="0"/>
    <x v="1"/>
    <x v="1"/>
  </r>
  <r>
    <n v="1064229"/>
    <x v="0"/>
    <n v="12.75"/>
    <n v="12.8"/>
    <n v="73.349999999999994"/>
    <x v="3"/>
    <x v="0"/>
    <x v="1"/>
    <x v="1"/>
  </r>
  <r>
    <n v="1064234"/>
    <x v="0"/>
    <n v="12.75"/>
    <n v="12.8"/>
    <n v="47.9"/>
    <x v="3"/>
    <x v="0"/>
    <x v="1"/>
    <x v="1"/>
  </r>
  <r>
    <n v="1064235"/>
    <x v="0"/>
    <n v="18.79"/>
    <n v="20.78"/>
    <n v="99.95"/>
    <x v="9"/>
    <x v="0"/>
    <x v="1"/>
    <x v="1"/>
  </r>
  <r>
    <n v="1064273"/>
    <x v="0"/>
    <n v="13.64"/>
    <n v="13.69"/>
    <n v="49.95"/>
    <x v="3"/>
    <x v="0"/>
    <x v="1"/>
    <x v="1"/>
  </r>
  <r>
    <n v="1064288"/>
    <x v="0"/>
    <n v="13.64"/>
    <n v="13.69"/>
    <n v="47.55"/>
    <x v="3"/>
    <x v="0"/>
    <x v="1"/>
    <x v="1"/>
  </r>
  <r>
    <n v="1064308"/>
    <x v="0"/>
    <n v="16.34"/>
    <n v="16.39"/>
    <n v="65.25"/>
    <x v="4"/>
    <x v="0"/>
    <x v="1"/>
    <x v="1"/>
  </r>
  <r>
    <n v="1064310"/>
    <x v="0"/>
    <n v="13.63"/>
    <n v="15.1"/>
    <n v="99.95"/>
    <x v="3"/>
    <x v="0"/>
    <x v="1"/>
    <x v="1"/>
  </r>
  <r>
    <n v="1064344"/>
    <x v="0"/>
    <n v="13.64"/>
    <n v="13.69"/>
    <n v="47.9"/>
    <x v="3"/>
    <x v="0"/>
    <x v="1"/>
    <x v="1"/>
  </r>
  <r>
    <n v="1064382"/>
    <x v="0"/>
    <n v="12.75"/>
    <n v="12.8"/>
    <n v="17.899999999999999"/>
    <x v="3"/>
    <x v="0"/>
    <x v="1"/>
    <x v="1"/>
  </r>
  <r>
    <n v="1064408"/>
    <x v="0"/>
    <n v="13.64"/>
    <n v="13.69"/>
    <n v="5.7"/>
    <x v="3"/>
    <x v="0"/>
    <x v="1"/>
    <x v="1"/>
  </r>
  <r>
    <n v="1064410"/>
    <x v="0"/>
    <n v="13.64"/>
    <n v="13.69"/>
    <n v="58.8"/>
    <x v="3"/>
    <x v="0"/>
    <x v="1"/>
    <x v="1"/>
  </r>
  <r>
    <n v="1064414"/>
    <x v="0"/>
    <n v="12.75"/>
    <n v="12.8"/>
    <n v="42.75"/>
    <x v="3"/>
    <x v="0"/>
    <x v="1"/>
    <x v="1"/>
  </r>
  <r>
    <n v="1064416"/>
    <x v="0"/>
    <n v="13.64"/>
    <n v="13.69"/>
    <n v="14.95"/>
    <x v="3"/>
    <x v="0"/>
    <x v="1"/>
    <x v="1"/>
  </r>
  <r>
    <n v="1064423"/>
    <x v="0"/>
    <n v="12.75"/>
    <n v="13.25"/>
    <n v="103.4"/>
    <x v="3"/>
    <x v="0"/>
    <x v="1"/>
    <x v="1"/>
  </r>
  <r>
    <n v="1064470"/>
    <x v="0"/>
    <n v="15.02"/>
    <n v="15.07"/>
    <n v="57.3"/>
    <x v="6"/>
    <x v="0"/>
    <x v="1"/>
    <x v="1"/>
  </r>
  <r>
    <n v="1064471"/>
    <x v="0"/>
    <n v="13.64"/>
    <n v="13.69"/>
    <n v="30.65"/>
    <x v="3"/>
    <x v="0"/>
    <x v="1"/>
    <x v="1"/>
  </r>
  <r>
    <n v="1064491"/>
    <x v="0"/>
    <n v="13.64"/>
    <n v="13.69"/>
    <n v="27"/>
    <x v="3"/>
    <x v="0"/>
    <x v="1"/>
    <x v="1"/>
  </r>
  <r>
    <n v="1064527"/>
    <x v="0"/>
    <n v="25.62"/>
    <n v="25.66"/>
    <n v="238.8"/>
    <x v="4"/>
    <x v="0"/>
    <x v="1"/>
    <x v="1"/>
  </r>
  <r>
    <n v="1064529"/>
    <x v="0"/>
    <n v="13.64"/>
    <n v="13.69"/>
    <n v="41.8"/>
    <x v="3"/>
    <x v="0"/>
    <x v="1"/>
    <x v="1"/>
  </r>
  <r>
    <n v="1064558"/>
    <x v="0"/>
    <n v="13.64"/>
    <n v="13.69"/>
    <n v="39.9"/>
    <x v="3"/>
    <x v="0"/>
    <x v="1"/>
    <x v="1"/>
  </r>
  <r>
    <n v="1064579"/>
    <x v="0"/>
    <n v="12.75"/>
    <n v="13.25"/>
    <n v="82.45"/>
    <x v="3"/>
    <x v="0"/>
    <x v="1"/>
    <x v="1"/>
  </r>
  <r>
    <n v="1064685"/>
    <x v="0"/>
    <n v="12.75"/>
    <n v="13.2"/>
    <n v="87.95"/>
    <x v="3"/>
    <x v="0"/>
    <x v="1"/>
    <x v="1"/>
  </r>
  <r>
    <n v="1064692"/>
    <x v="0"/>
    <n v="12.75"/>
    <n v="12.8"/>
    <n v="147.9"/>
    <x v="3"/>
    <x v="0"/>
    <x v="1"/>
    <x v="1"/>
  </r>
  <r>
    <n v="1064707"/>
    <x v="0"/>
    <n v="19.079999999999998"/>
    <n v="19.13"/>
    <n v="45.75"/>
    <x v="10"/>
    <x v="0"/>
    <x v="1"/>
    <x v="1"/>
  </r>
  <r>
    <n v="1064767"/>
    <x v="0"/>
    <n v="12.75"/>
    <n v="12.8"/>
    <n v="71.3"/>
    <x v="3"/>
    <x v="0"/>
    <x v="1"/>
    <x v="1"/>
  </r>
  <r>
    <n v="1064800"/>
    <x v="0"/>
    <n v="12.75"/>
    <n v="12.8"/>
    <n v="99.95"/>
    <x v="3"/>
    <x v="0"/>
    <x v="1"/>
    <x v="1"/>
  </r>
  <r>
    <n v="1064817"/>
    <x v="0"/>
    <n v="9.66"/>
    <n v="9.7100000000000009"/>
    <n v="50.91"/>
    <x v="0"/>
    <x v="0"/>
    <x v="1"/>
    <x v="1"/>
  </r>
  <r>
    <n v="1064820"/>
    <x v="0"/>
    <n v="12.75"/>
    <n v="12.8"/>
    <n v="127.8"/>
    <x v="3"/>
    <x v="0"/>
    <x v="1"/>
    <x v="1"/>
  </r>
  <r>
    <n v="995884"/>
    <x v="0"/>
    <n v="9.65"/>
    <n v="0"/>
    <n v="226.9"/>
    <x v="0"/>
    <x v="1"/>
    <x v="2"/>
    <x v="1"/>
  </r>
  <r>
    <n v="1020145"/>
    <x v="0"/>
    <n v="13.04"/>
    <n v="0"/>
    <n v="4200"/>
    <x v="0"/>
    <x v="1"/>
    <x v="2"/>
    <x v="1"/>
  </r>
  <r>
    <n v="1020764"/>
    <x v="0"/>
    <n v="27.44"/>
    <n v="0"/>
    <n v="6512.99"/>
    <x v="0"/>
    <x v="1"/>
    <x v="2"/>
    <x v="1"/>
  </r>
  <r>
    <n v="1023263"/>
    <x v="0"/>
    <n v="12.65"/>
    <n v="0"/>
    <n v="1480.5"/>
    <x v="0"/>
    <x v="1"/>
    <x v="2"/>
    <x v="1"/>
  </r>
  <r>
    <n v="1026867"/>
    <x v="0"/>
    <n v="12.51"/>
    <n v="0"/>
    <n v="1830"/>
    <x v="0"/>
    <x v="1"/>
    <x v="2"/>
    <x v="1"/>
  </r>
  <r>
    <n v="1029215"/>
    <x v="0"/>
    <n v="9.6999999999999993"/>
    <n v="0"/>
    <n v="470.21"/>
    <x v="0"/>
    <x v="1"/>
    <x v="2"/>
    <x v="1"/>
  </r>
  <r>
    <n v="1029545"/>
    <x v="0"/>
    <n v="12.55"/>
    <n v="0"/>
    <n v="798.7"/>
    <x v="0"/>
    <x v="1"/>
    <x v="2"/>
    <x v="1"/>
  </r>
  <r>
    <n v="1029561"/>
    <x v="0"/>
    <n v="12.55"/>
    <n v="0"/>
    <n v="1880.5"/>
    <x v="0"/>
    <x v="1"/>
    <x v="2"/>
    <x v="1"/>
  </r>
  <r>
    <n v="1030326"/>
    <x v="0"/>
    <n v="9.66"/>
    <n v="0"/>
    <n v="269.85000000000002"/>
    <x v="0"/>
    <x v="1"/>
    <x v="2"/>
    <x v="1"/>
  </r>
  <r>
    <n v="1031178"/>
    <x v="0"/>
    <n v="14.09"/>
    <n v="0"/>
    <n v="233.45"/>
    <x v="3"/>
    <x v="1"/>
    <x v="2"/>
    <x v="1"/>
  </r>
  <r>
    <n v="1031631"/>
    <x v="0"/>
    <n v="16.73"/>
    <n v="0"/>
    <n v="3266.95"/>
    <x v="0"/>
    <x v="1"/>
    <x v="2"/>
    <x v="1"/>
  </r>
  <r>
    <n v="1031715"/>
    <x v="0"/>
    <n v="12.69"/>
    <n v="0"/>
    <n v="563.29999999999995"/>
    <x v="0"/>
    <x v="1"/>
    <x v="2"/>
    <x v="1"/>
  </r>
  <r>
    <n v="1031969"/>
    <x v="0"/>
    <n v="15.66"/>
    <n v="0"/>
    <n v="547.25"/>
    <x v="3"/>
    <x v="1"/>
    <x v="2"/>
    <x v="1"/>
  </r>
  <r>
    <n v="1032374"/>
    <x v="0"/>
    <n v="9.65"/>
    <n v="0"/>
    <n v="218"/>
    <x v="0"/>
    <x v="1"/>
    <x v="2"/>
    <x v="1"/>
  </r>
  <r>
    <n v="1032648"/>
    <x v="0"/>
    <n v="9.66"/>
    <n v="0"/>
    <n v="260.55"/>
    <x v="0"/>
    <x v="1"/>
    <x v="2"/>
    <x v="1"/>
  </r>
  <r>
    <n v="1032714"/>
    <x v="0"/>
    <n v="13.7"/>
    <n v="0"/>
    <n v="204.55"/>
    <x v="3"/>
    <x v="1"/>
    <x v="2"/>
    <x v="1"/>
  </r>
  <r>
    <n v="1033114"/>
    <x v="0"/>
    <n v="9.6999999999999993"/>
    <n v="0"/>
    <n v="251.7"/>
    <x v="0"/>
    <x v="1"/>
    <x v="2"/>
    <x v="1"/>
  </r>
  <r>
    <n v="1033179"/>
    <x v="0"/>
    <n v="28.7"/>
    <n v="0"/>
    <n v="985.7"/>
    <x v="3"/>
    <x v="1"/>
    <x v="2"/>
    <x v="1"/>
  </r>
  <r>
    <n v="1033257"/>
    <x v="0"/>
    <n v="13.7"/>
    <n v="0"/>
    <n v="203.65"/>
    <x v="3"/>
    <x v="1"/>
    <x v="2"/>
    <x v="1"/>
  </r>
  <r>
    <n v="1033330"/>
    <x v="0"/>
    <n v="12.81"/>
    <n v="0"/>
    <n v="209.7"/>
    <x v="3"/>
    <x v="1"/>
    <x v="2"/>
    <x v="1"/>
  </r>
  <r>
    <n v="1033338"/>
    <x v="0"/>
    <n v="12.55"/>
    <n v="0"/>
    <n v="1384.45"/>
    <x v="0"/>
    <x v="1"/>
    <x v="2"/>
    <x v="1"/>
  </r>
  <r>
    <n v="1033497"/>
    <x v="0"/>
    <n v="10.23"/>
    <n v="0"/>
    <n v="302.8"/>
    <x v="0"/>
    <x v="1"/>
    <x v="2"/>
    <x v="1"/>
  </r>
  <r>
    <n v="1033551"/>
    <x v="0"/>
    <n v="16.55"/>
    <n v="0"/>
    <n v="646.08000000000004"/>
    <x v="3"/>
    <x v="1"/>
    <x v="2"/>
    <x v="1"/>
  </r>
  <r>
    <n v="1033599"/>
    <x v="0"/>
    <n v="9.6999999999999993"/>
    <n v="0"/>
    <n v="291.35000000000002"/>
    <x v="0"/>
    <x v="1"/>
    <x v="2"/>
    <x v="1"/>
  </r>
  <r>
    <n v="1033861"/>
    <x v="0"/>
    <n v="9.6999999999999993"/>
    <n v="0"/>
    <n v="277.33999999999997"/>
    <x v="0"/>
    <x v="1"/>
    <x v="2"/>
    <x v="1"/>
  </r>
  <r>
    <n v="1034087"/>
    <x v="0"/>
    <n v="12.55"/>
    <n v="0"/>
    <n v="592.86"/>
    <x v="0"/>
    <x v="1"/>
    <x v="2"/>
    <x v="1"/>
  </r>
  <r>
    <n v="1034103"/>
    <x v="0"/>
    <n v="13.1"/>
    <n v="0"/>
    <n v="837"/>
    <x v="0"/>
    <x v="1"/>
    <x v="2"/>
    <x v="1"/>
  </r>
  <r>
    <n v="1034539"/>
    <x v="0"/>
    <n v="9.6999999999999993"/>
    <n v="0"/>
    <n v="259.5"/>
    <x v="0"/>
    <x v="1"/>
    <x v="2"/>
    <x v="1"/>
  </r>
  <r>
    <n v="1034723"/>
    <x v="0"/>
    <n v="12.56"/>
    <n v="0"/>
    <n v="807.35"/>
    <x v="0"/>
    <x v="1"/>
    <x v="2"/>
    <x v="1"/>
  </r>
  <r>
    <n v="1035067"/>
    <x v="0"/>
    <n v="12.56"/>
    <n v="0"/>
    <n v="849.84"/>
    <x v="0"/>
    <x v="1"/>
    <x v="2"/>
    <x v="1"/>
  </r>
  <r>
    <n v="1035580"/>
    <x v="0"/>
    <n v="12.56"/>
    <n v="0"/>
    <n v="598.5"/>
    <x v="0"/>
    <x v="1"/>
    <x v="2"/>
    <x v="1"/>
  </r>
  <r>
    <n v="1035615"/>
    <x v="0"/>
    <n v="12.55"/>
    <n v="0"/>
    <n v="790"/>
    <x v="0"/>
    <x v="1"/>
    <x v="2"/>
    <x v="1"/>
  </r>
  <r>
    <n v="1035620"/>
    <x v="0"/>
    <n v="9.6999999999999993"/>
    <n v="0"/>
    <n v="252"/>
    <x v="0"/>
    <x v="1"/>
    <x v="2"/>
    <x v="1"/>
  </r>
  <r>
    <n v="1035689"/>
    <x v="0"/>
    <n v="12.55"/>
    <n v="0"/>
    <n v="614.26"/>
    <x v="0"/>
    <x v="1"/>
    <x v="2"/>
    <x v="1"/>
  </r>
  <r>
    <n v="1035723"/>
    <x v="0"/>
    <n v="12.55"/>
    <n v="0"/>
    <n v="2388"/>
    <x v="0"/>
    <x v="1"/>
    <x v="2"/>
    <x v="1"/>
  </r>
  <r>
    <n v="1035894"/>
    <x v="0"/>
    <n v="12.81"/>
    <n v="0"/>
    <n v="216.3"/>
    <x v="3"/>
    <x v="1"/>
    <x v="2"/>
    <x v="1"/>
  </r>
  <r>
    <n v="1036004"/>
    <x v="0"/>
    <n v="12.81"/>
    <n v="0"/>
    <n v="204.44"/>
    <x v="3"/>
    <x v="1"/>
    <x v="2"/>
    <x v="1"/>
  </r>
  <r>
    <n v="1036074"/>
    <x v="0"/>
    <n v="12.81"/>
    <n v="0"/>
    <n v="216.6"/>
    <x v="3"/>
    <x v="1"/>
    <x v="2"/>
    <x v="1"/>
  </r>
  <r>
    <n v="1036437"/>
    <x v="0"/>
    <n v="10.07"/>
    <n v="0"/>
    <n v="337.75"/>
    <x v="0"/>
    <x v="1"/>
    <x v="2"/>
    <x v="1"/>
  </r>
  <r>
    <n v="1036790"/>
    <x v="0"/>
    <n v="12.51"/>
    <n v="0"/>
    <n v="568.45000000000005"/>
    <x v="0"/>
    <x v="1"/>
    <x v="2"/>
    <x v="1"/>
  </r>
  <r>
    <n v="1036835"/>
    <x v="0"/>
    <n v="9.66"/>
    <n v="0"/>
    <n v="225.6"/>
    <x v="0"/>
    <x v="1"/>
    <x v="2"/>
    <x v="1"/>
  </r>
  <r>
    <n v="1036889"/>
    <x v="0"/>
    <n v="13.7"/>
    <n v="0"/>
    <n v="229.8"/>
    <x v="3"/>
    <x v="1"/>
    <x v="2"/>
    <x v="1"/>
  </r>
  <r>
    <n v="1037138"/>
    <x v="0"/>
    <n v="12.75"/>
    <n v="0"/>
    <n v="201.9"/>
    <x v="3"/>
    <x v="1"/>
    <x v="2"/>
    <x v="1"/>
  </r>
  <r>
    <n v="1037512"/>
    <x v="0"/>
    <n v="12.75"/>
    <n v="0"/>
    <n v="201"/>
    <x v="3"/>
    <x v="1"/>
    <x v="2"/>
    <x v="1"/>
  </r>
  <r>
    <n v="1037668"/>
    <x v="0"/>
    <n v="12.96"/>
    <n v="0"/>
    <n v="206.1"/>
    <x v="3"/>
    <x v="1"/>
    <x v="2"/>
    <x v="1"/>
  </r>
  <r>
    <n v="1037687"/>
    <x v="0"/>
    <n v="9.65"/>
    <n v="0"/>
    <n v="205.85"/>
    <x v="0"/>
    <x v="1"/>
    <x v="2"/>
    <x v="1"/>
  </r>
  <r>
    <n v="1038146"/>
    <x v="0"/>
    <n v="13.64"/>
    <n v="0"/>
    <n v="229.8"/>
    <x v="3"/>
    <x v="1"/>
    <x v="2"/>
    <x v="1"/>
  </r>
  <r>
    <n v="1038380"/>
    <x v="0"/>
    <n v="14.6"/>
    <n v="0"/>
    <n v="320.3"/>
    <x v="3"/>
    <x v="1"/>
    <x v="2"/>
    <x v="1"/>
  </r>
  <r>
    <n v="1038647"/>
    <x v="0"/>
    <n v="16.489999999999998"/>
    <n v="0"/>
    <n v="584.6"/>
    <x v="3"/>
    <x v="1"/>
    <x v="2"/>
    <x v="1"/>
  </r>
  <r>
    <n v="1039223"/>
    <x v="0"/>
    <n v="15.5"/>
    <n v="0"/>
    <n v="811.39"/>
    <x v="0"/>
    <x v="1"/>
    <x v="2"/>
    <x v="1"/>
  </r>
  <r>
    <n v="1039324"/>
    <x v="0"/>
    <n v="12.75"/>
    <n v="0"/>
    <n v="215.5"/>
    <x v="3"/>
    <x v="1"/>
    <x v="2"/>
    <x v="1"/>
  </r>
  <r>
    <n v="1039524"/>
    <x v="0"/>
    <n v="9.66"/>
    <n v="0"/>
    <n v="258.39"/>
    <x v="0"/>
    <x v="1"/>
    <x v="2"/>
    <x v="1"/>
  </r>
  <r>
    <n v="1039551"/>
    <x v="0"/>
    <n v="13.64"/>
    <n v="0"/>
    <n v="234.5"/>
    <x v="3"/>
    <x v="1"/>
    <x v="2"/>
    <x v="1"/>
  </r>
  <r>
    <n v="1039579"/>
    <x v="0"/>
    <n v="10.58"/>
    <n v="0"/>
    <n v="487.7"/>
    <x v="0"/>
    <x v="1"/>
    <x v="2"/>
    <x v="1"/>
  </r>
  <r>
    <n v="1039613"/>
    <x v="0"/>
    <n v="10.85"/>
    <n v="0"/>
    <n v="255.02"/>
    <x v="0"/>
    <x v="1"/>
    <x v="2"/>
    <x v="1"/>
  </r>
  <r>
    <n v="1039819"/>
    <x v="0"/>
    <n v="13.63"/>
    <n v="0"/>
    <n v="206.25"/>
    <x v="3"/>
    <x v="1"/>
    <x v="2"/>
    <x v="1"/>
  </r>
  <r>
    <n v="1040273"/>
    <x v="0"/>
    <n v="12.51"/>
    <n v="0"/>
    <n v="910.9"/>
    <x v="0"/>
    <x v="1"/>
    <x v="2"/>
    <x v="1"/>
  </r>
  <r>
    <n v="1040286"/>
    <x v="0"/>
    <n v="13.63"/>
    <n v="0"/>
    <n v="449.95"/>
    <x v="3"/>
    <x v="1"/>
    <x v="2"/>
    <x v="1"/>
  </r>
  <r>
    <n v="1040450"/>
    <x v="0"/>
    <n v="9.65"/>
    <n v="0"/>
    <n v="326.10000000000002"/>
    <x v="0"/>
    <x v="1"/>
    <x v="2"/>
    <x v="1"/>
  </r>
  <r>
    <n v="1040647"/>
    <x v="0"/>
    <n v="14.65"/>
    <n v="0"/>
    <n v="322.7"/>
    <x v="3"/>
    <x v="1"/>
    <x v="2"/>
    <x v="1"/>
  </r>
  <r>
    <n v="1040893"/>
    <x v="0"/>
    <n v="13.64"/>
    <n v="0"/>
    <n v="209.7"/>
    <x v="3"/>
    <x v="1"/>
    <x v="2"/>
    <x v="1"/>
  </r>
  <r>
    <n v="1040938"/>
    <x v="0"/>
    <n v="13.63"/>
    <n v="0"/>
    <n v="229.85"/>
    <x v="3"/>
    <x v="1"/>
    <x v="2"/>
    <x v="1"/>
  </r>
  <r>
    <n v="1041104"/>
    <x v="0"/>
    <n v="13.64"/>
    <n v="0"/>
    <n v="217.65"/>
    <x v="3"/>
    <x v="1"/>
    <x v="2"/>
    <x v="1"/>
  </r>
  <r>
    <n v="1041154"/>
    <x v="0"/>
    <n v="13.64"/>
    <n v="0"/>
    <n v="333.4"/>
    <x v="3"/>
    <x v="1"/>
    <x v="2"/>
    <x v="1"/>
  </r>
  <r>
    <n v="1041443"/>
    <x v="0"/>
    <n v="13.64"/>
    <n v="0"/>
    <n v="202.85"/>
    <x v="3"/>
    <x v="1"/>
    <x v="2"/>
    <x v="1"/>
  </r>
  <r>
    <n v="1041520"/>
    <x v="0"/>
    <n v="10.25"/>
    <n v="0"/>
    <n v="467.2"/>
    <x v="0"/>
    <x v="1"/>
    <x v="2"/>
    <x v="1"/>
  </r>
  <r>
    <n v="1041578"/>
    <x v="0"/>
    <n v="13.87"/>
    <n v="0"/>
    <n v="325"/>
    <x v="3"/>
    <x v="1"/>
    <x v="2"/>
    <x v="1"/>
  </r>
  <r>
    <n v="1041582"/>
    <x v="0"/>
    <n v="9.65"/>
    <n v="0"/>
    <n v="233.65"/>
    <x v="0"/>
    <x v="1"/>
    <x v="2"/>
    <x v="1"/>
  </r>
  <r>
    <n v="1041631"/>
    <x v="0"/>
    <n v="13.42"/>
    <n v="0"/>
    <n v="517.64"/>
    <x v="0"/>
    <x v="1"/>
    <x v="2"/>
    <x v="1"/>
  </r>
  <r>
    <n v="1041827"/>
    <x v="0"/>
    <n v="10.85"/>
    <n v="0"/>
    <n v="256.82"/>
    <x v="0"/>
    <x v="1"/>
    <x v="2"/>
    <x v="1"/>
  </r>
  <r>
    <n v="1042092"/>
    <x v="0"/>
    <n v="9.66"/>
    <n v="0"/>
    <n v="403"/>
    <x v="0"/>
    <x v="1"/>
    <x v="2"/>
    <x v="1"/>
  </r>
  <r>
    <n v="1042228"/>
    <x v="0"/>
    <n v="53.82"/>
    <n v="0"/>
    <n v="5072.75"/>
    <x v="0"/>
    <x v="1"/>
    <x v="2"/>
    <x v="1"/>
  </r>
  <r>
    <n v="1042260"/>
    <x v="0"/>
    <n v="13.1"/>
    <n v="0"/>
    <n v="1663.65"/>
    <x v="0"/>
    <x v="1"/>
    <x v="2"/>
    <x v="1"/>
  </r>
  <r>
    <n v="1042314"/>
    <x v="0"/>
    <n v="12.75"/>
    <n v="0"/>
    <n v="382.6"/>
    <x v="3"/>
    <x v="1"/>
    <x v="2"/>
    <x v="1"/>
  </r>
  <r>
    <n v="1042328"/>
    <x v="0"/>
    <n v="12.75"/>
    <n v="0"/>
    <n v="200.25"/>
    <x v="3"/>
    <x v="1"/>
    <x v="2"/>
    <x v="1"/>
  </r>
  <r>
    <n v="1042492"/>
    <x v="0"/>
    <n v="13.63"/>
    <n v="0"/>
    <n v="209.85"/>
    <x v="3"/>
    <x v="1"/>
    <x v="2"/>
    <x v="1"/>
  </r>
  <r>
    <n v="1042718"/>
    <x v="0"/>
    <n v="12.5"/>
    <n v="0"/>
    <n v="1486.4"/>
    <x v="0"/>
    <x v="1"/>
    <x v="2"/>
    <x v="1"/>
  </r>
  <r>
    <n v="1043490"/>
    <x v="0"/>
    <n v="12.75"/>
    <n v="0"/>
    <n v="207.25"/>
    <x v="3"/>
    <x v="1"/>
    <x v="2"/>
    <x v="1"/>
  </r>
  <r>
    <n v="1043497"/>
    <x v="0"/>
    <n v="15.6"/>
    <n v="0"/>
    <n v="641.82000000000005"/>
    <x v="3"/>
    <x v="1"/>
    <x v="2"/>
    <x v="1"/>
  </r>
  <r>
    <n v="1043699"/>
    <x v="0"/>
    <n v="9.65"/>
    <n v="0"/>
    <n v="300"/>
    <x v="0"/>
    <x v="1"/>
    <x v="2"/>
    <x v="1"/>
  </r>
  <r>
    <n v="1043708"/>
    <x v="0"/>
    <n v="9.65"/>
    <n v="0"/>
    <n v="201.9"/>
    <x v="0"/>
    <x v="1"/>
    <x v="2"/>
    <x v="1"/>
  </r>
  <r>
    <n v="1043885"/>
    <x v="0"/>
    <n v="12.75"/>
    <n v="0"/>
    <n v="200.5"/>
    <x v="3"/>
    <x v="1"/>
    <x v="2"/>
    <x v="1"/>
  </r>
  <r>
    <n v="1043919"/>
    <x v="0"/>
    <n v="12.5"/>
    <n v="0"/>
    <n v="592.86"/>
    <x v="0"/>
    <x v="1"/>
    <x v="2"/>
    <x v="1"/>
  </r>
  <r>
    <n v="1044028"/>
    <x v="0"/>
    <n v="12.54"/>
    <n v="0"/>
    <n v="1402.44"/>
    <x v="0"/>
    <x v="1"/>
    <x v="2"/>
    <x v="1"/>
  </r>
  <r>
    <n v="1044041"/>
    <x v="0"/>
    <n v="13.79"/>
    <n v="0"/>
    <n v="210.15"/>
    <x v="3"/>
    <x v="1"/>
    <x v="2"/>
    <x v="1"/>
  </r>
  <r>
    <n v="1044170"/>
    <x v="0"/>
    <n v="9.66"/>
    <n v="0"/>
    <n v="228.85"/>
    <x v="0"/>
    <x v="1"/>
    <x v="2"/>
    <x v="1"/>
  </r>
  <r>
    <n v="1044357"/>
    <x v="0"/>
    <n v="9.65"/>
    <n v="0"/>
    <n v="300.35000000000002"/>
    <x v="0"/>
    <x v="1"/>
    <x v="2"/>
    <x v="1"/>
  </r>
  <r>
    <n v="1044525"/>
    <x v="0"/>
    <n v="13.85"/>
    <n v="0"/>
    <n v="225.7"/>
    <x v="3"/>
    <x v="1"/>
    <x v="2"/>
    <x v="1"/>
  </r>
  <r>
    <n v="1044648"/>
    <x v="0"/>
    <n v="9.66"/>
    <n v="0"/>
    <n v="370"/>
    <x v="0"/>
    <x v="1"/>
    <x v="2"/>
    <x v="1"/>
  </r>
  <r>
    <n v="1044885"/>
    <x v="0"/>
    <n v="12.75"/>
    <n v="0"/>
    <n v="257.75"/>
    <x v="3"/>
    <x v="1"/>
    <x v="2"/>
    <x v="1"/>
  </r>
  <r>
    <n v="1044994"/>
    <x v="0"/>
    <n v="22.93"/>
    <n v="0"/>
    <n v="492.56"/>
    <x v="0"/>
    <x v="1"/>
    <x v="2"/>
    <x v="1"/>
  </r>
  <r>
    <n v="1045011"/>
    <x v="0"/>
    <n v="12.75"/>
    <n v="0"/>
    <n v="201.4"/>
    <x v="3"/>
    <x v="1"/>
    <x v="2"/>
    <x v="1"/>
  </r>
  <r>
    <n v="1045677"/>
    <x v="0"/>
    <n v="13.2"/>
    <n v="0"/>
    <n v="254.25"/>
    <x v="3"/>
    <x v="1"/>
    <x v="2"/>
    <x v="1"/>
  </r>
  <r>
    <n v="1045937"/>
    <x v="0"/>
    <n v="13.2"/>
    <n v="0"/>
    <n v="211.5"/>
    <x v="3"/>
    <x v="1"/>
    <x v="2"/>
    <x v="1"/>
  </r>
  <r>
    <n v="1045973"/>
    <x v="0"/>
    <n v="13.64"/>
    <n v="0"/>
    <n v="210.3"/>
    <x v="3"/>
    <x v="1"/>
    <x v="2"/>
    <x v="1"/>
  </r>
  <r>
    <n v="1046044"/>
    <x v="0"/>
    <n v="9.65"/>
    <n v="0"/>
    <n v="293.39999999999998"/>
    <x v="0"/>
    <x v="1"/>
    <x v="2"/>
    <x v="1"/>
  </r>
  <r>
    <n v="1046112"/>
    <x v="0"/>
    <n v="16.489999999999998"/>
    <n v="0"/>
    <n v="538.35"/>
    <x v="3"/>
    <x v="1"/>
    <x v="2"/>
    <x v="1"/>
  </r>
  <r>
    <n v="1046257"/>
    <x v="0"/>
    <n v="13.64"/>
    <n v="0"/>
    <n v="264.3"/>
    <x v="3"/>
    <x v="1"/>
    <x v="2"/>
    <x v="1"/>
  </r>
  <r>
    <n v="1046265"/>
    <x v="0"/>
    <n v="12.75"/>
    <n v="0"/>
    <n v="200.15"/>
    <x v="3"/>
    <x v="1"/>
    <x v="2"/>
    <x v="1"/>
  </r>
  <r>
    <n v="1046381"/>
    <x v="0"/>
    <n v="9.66"/>
    <n v="0"/>
    <n v="260.33999999999997"/>
    <x v="0"/>
    <x v="1"/>
    <x v="2"/>
    <x v="1"/>
  </r>
  <r>
    <n v="1046631"/>
    <x v="0"/>
    <n v="12.65"/>
    <n v="0"/>
    <n v="540"/>
    <x v="0"/>
    <x v="1"/>
    <x v="2"/>
    <x v="1"/>
  </r>
  <r>
    <n v="1046879"/>
    <x v="0"/>
    <n v="13.63"/>
    <n v="0"/>
    <n v="214.75"/>
    <x v="3"/>
    <x v="1"/>
    <x v="2"/>
    <x v="1"/>
  </r>
  <r>
    <n v="1047008"/>
    <x v="0"/>
    <n v="12.75"/>
    <n v="0"/>
    <n v="303.55"/>
    <x v="3"/>
    <x v="1"/>
    <x v="2"/>
    <x v="1"/>
  </r>
  <r>
    <n v="1047066"/>
    <x v="0"/>
    <n v="13.64"/>
    <n v="0"/>
    <n v="208.15"/>
    <x v="3"/>
    <x v="1"/>
    <x v="2"/>
    <x v="1"/>
  </r>
  <r>
    <n v="1047260"/>
    <x v="0"/>
    <n v="9.66"/>
    <n v="0"/>
    <n v="337.95"/>
    <x v="0"/>
    <x v="1"/>
    <x v="2"/>
    <x v="1"/>
  </r>
  <r>
    <n v="1047281"/>
    <x v="0"/>
    <n v="9.66"/>
    <n v="0"/>
    <n v="298.75"/>
    <x v="0"/>
    <x v="1"/>
    <x v="2"/>
    <x v="1"/>
  </r>
  <r>
    <n v="1047363"/>
    <x v="0"/>
    <n v="12.54"/>
    <n v="0"/>
    <n v="3196"/>
    <x v="0"/>
    <x v="1"/>
    <x v="2"/>
    <x v="1"/>
  </r>
  <r>
    <n v="1047396"/>
    <x v="0"/>
    <n v="9.66"/>
    <n v="0"/>
    <n v="398.7"/>
    <x v="0"/>
    <x v="1"/>
    <x v="2"/>
    <x v="1"/>
  </r>
  <r>
    <n v="1047573"/>
    <x v="0"/>
    <n v="9.65"/>
    <n v="0"/>
    <n v="331.9"/>
    <x v="0"/>
    <x v="1"/>
    <x v="2"/>
    <x v="1"/>
  </r>
  <r>
    <n v="1048421"/>
    <x v="0"/>
    <n v="13.64"/>
    <n v="0"/>
    <n v="214.8"/>
    <x v="3"/>
    <x v="1"/>
    <x v="2"/>
    <x v="1"/>
  </r>
  <r>
    <n v="1048544"/>
    <x v="0"/>
    <n v="12.75"/>
    <n v="0"/>
    <n v="200.55"/>
    <x v="3"/>
    <x v="1"/>
    <x v="2"/>
    <x v="1"/>
  </r>
  <r>
    <n v="1048626"/>
    <x v="0"/>
    <n v="9.65"/>
    <n v="0"/>
    <n v="340.8"/>
    <x v="0"/>
    <x v="1"/>
    <x v="2"/>
    <x v="1"/>
  </r>
  <r>
    <n v="1048717"/>
    <x v="0"/>
    <n v="10.19"/>
    <n v="0"/>
    <n v="433.6"/>
    <x v="0"/>
    <x v="1"/>
    <x v="2"/>
    <x v="1"/>
  </r>
  <r>
    <n v="1049002"/>
    <x v="0"/>
    <n v="10.210000000000001"/>
    <n v="0"/>
    <n v="202.88"/>
    <x v="0"/>
    <x v="1"/>
    <x v="2"/>
    <x v="1"/>
  </r>
  <r>
    <n v="1049199"/>
    <x v="0"/>
    <n v="12.51"/>
    <n v="0"/>
    <n v="525.82000000000005"/>
    <x v="0"/>
    <x v="1"/>
    <x v="2"/>
    <x v="1"/>
  </r>
  <r>
    <n v="1049282"/>
    <x v="0"/>
    <n v="9.66"/>
    <n v="0"/>
    <n v="207.09"/>
    <x v="0"/>
    <x v="1"/>
    <x v="2"/>
    <x v="1"/>
  </r>
  <r>
    <n v="1049753"/>
    <x v="0"/>
    <n v="13.64"/>
    <n v="0"/>
    <n v="333.45"/>
    <x v="3"/>
    <x v="1"/>
    <x v="2"/>
    <x v="1"/>
  </r>
  <r>
    <n v="1049857"/>
    <x v="0"/>
    <n v="12.75"/>
    <n v="0"/>
    <n v="205.1"/>
    <x v="3"/>
    <x v="1"/>
    <x v="2"/>
    <x v="1"/>
  </r>
  <r>
    <n v="1050122"/>
    <x v="0"/>
    <n v="12.5"/>
    <n v="0"/>
    <n v="1553.38"/>
    <x v="0"/>
    <x v="1"/>
    <x v="2"/>
    <x v="1"/>
  </r>
  <r>
    <n v="1050188"/>
    <x v="0"/>
    <n v="9.66"/>
    <n v="0"/>
    <n v="210.8"/>
    <x v="0"/>
    <x v="1"/>
    <x v="2"/>
    <x v="1"/>
  </r>
  <r>
    <n v="1050189"/>
    <x v="0"/>
    <n v="9.66"/>
    <n v="0"/>
    <n v="362.55"/>
    <x v="0"/>
    <x v="1"/>
    <x v="2"/>
    <x v="1"/>
  </r>
  <r>
    <n v="1050249"/>
    <x v="0"/>
    <n v="11.31"/>
    <n v="0"/>
    <n v="480"/>
    <x v="0"/>
    <x v="1"/>
    <x v="2"/>
    <x v="1"/>
  </r>
  <r>
    <n v="1050274"/>
    <x v="0"/>
    <n v="12.75"/>
    <n v="0"/>
    <n v="210.65"/>
    <x v="3"/>
    <x v="1"/>
    <x v="2"/>
    <x v="1"/>
  </r>
  <r>
    <n v="1050433"/>
    <x v="0"/>
    <n v="9.65"/>
    <n v="0"/>
    <n v="395.56"/>
    <x v="0"/>
    <x v="1"/>
    <x v="2"/>
    <x v="1"/>
  </r>
  <r>
    <n v="1050456"/>
    <x v="0"/>
    <n v="12.75"/>
    <n v="0"/>
    <n v="256.35000000000002"/>
    <x v="3"/>
    <x v="1"/>
    <x v="2"/>
    <x v="1"/>
  </r>
  <r>
    <n v="1050464"/>
    <x v="0"/>
    <n v="13.1"/>
    <n v="0"/>
    <n v="1951.93"/>
    <x v="0"/>
    <x v="1"/>
    <x v="2"/>
    <x v="1"/>
  </r>
  <r>
    <n v="1050482"/>
    <x v="0"/>
    <n v="9.66"/>
    <n v="0"/>
    <n v="205.5"/>
    <x v="0"/>
    <x v="1"/>
    <x v="2"/>
    <x v="1"/>
  </r>
  <r>
    <n v="1050707"/>
    <x v="0"/>
    <n v="12.75"/>
    <n v="0"/>
    <n v="264.69"/>
    <x v="3"/>
    <x v="1"/>
    <x v="2"/>
    <x v="1"/>
  </r>
  <r>
    <n v="1050847"/>
    <x v="0"/>
    <n v="12.75"/>
    <n v="0"/>
    <n v="210.3"/>
    <x v="3"/>
    <x v="1"/>
    <x v="2"/>
    <x v="1"/>
  </r>
  <r>
    <n v="1050896"/>
    <x v="0"/>
    <n v="12.79"/>
    <n v="0"/>
    <n v="236.4"/>
    <x v="3"/>
    <x v="1"/>
    <x v="2"/>
    <x v="1"/>
  </r>
  <r>
    <n v="1051136"/>
    <x v="0"/>
    <n v="13.63"/>
    <n v="0"/>
    <n v="265.92"/>
    <x v="3"/>
    <x v="1"/>
    <x v="2"/>
    <x v="1"/>
  </r>
  <r>
    <n v="1051144"/>
    <x v="0"/>
    <n v="12.75"/>
    <n v="0"/>
    <n v="206.1"/>
    <x v="3"/>
    <x v="1"/>
    <x v="2"/>
    <x v="1"/>
  </r>
  <r>
    <n v="1051251"/>
    <x v="0"/>
    <n v="18.829999999999998"/>
    <n v="0"/>
    <n v="2994.6"/>
    <x v="0"/>
    <x v="1"/>
    <x v="2"/>
    <x v="1"/>
  </r>
  <r>
    <n v="1051269"/>
    <x v="0"/>
    <n v="22.28"/>
    <n v="0"/>
    <n v="673"/>
    <x v="3"/>
    <x v="1"/>
    <x v="2"/>
    <x v="1"/>
  </r>
  <r>
    <n v="1051732"/>
    <x v="0"/>
    <n v="12.51"/>
    <n v="0"/>
    <n v="1990"/>
    <x v="0"/>
    <x v="1"/>
    <x v="2"/>
    <x v="1"/>
  </r>
  <r>
    <n v="1051772"/>
    <x v="0"/>
    <n v="11.44"/>
    <n v="0"/>
    <n v="225"/>
    <x v="0"/>
    <x v="1"/>
    <x v="2"/>
    <x v="1"/>
  </r>
  <r>
    <n v="1051806"/>
    <x v="0"/>
    <n v="9.65"/>
    <n v="0"/>
    <n v="338.9"/>
    <x v="0"/>
    <x v="1"/>
    <x v="2"/>
    <x v="1"/>
  </r>
  <r>
    <n v="1051816"/>
    <x v="0"/>
    <n v="13.64"/>
    <n v="0"/>
    <n v="225.75"/>
    <x v="3"/>
    <x v="1"/>
    <x v="2"/>
    <x v="1"/>
  </r>
  <r>
    <n v="1051908"/>
    <x v="0"/>
    <n v="12.75"/>
    <n v="0"/>
    <n v="204.59"/>
    <x v="3"/>
    <x v="1"/>
    <x v="2"/>
    <x v="1"/>
  </r>
  <r>
    <n v="1052286"/>
    <x v="0"/>
    <n v="13.64"/>
    <n v="0"/>
    <n v="201.8"/>
    <x v="3"/>
    <x v="1"/>
    <x v="2"/>
    <x v="1"/>
  </r>
  <r>
    <n v="1052606"/>
    <x v="0"/>
    <n v="13.64"/>
    <n v="0"/>
    <n v="200.2"/>
    <x v="3"/>
    <x v="1"/>
    <x v="2"/>
    <x v="1"/>
  </r>
  <r>
    <n v="1052645"/>
    <x v="0"/>
    <n v="14.59"/>
    <n v="0"/>
    <n v="449"/>
    <x v="3"/>
    <x v="1"/>
    <x v="2"/>
    <x v="1"/>
  </r>
  <r>
    <n v="1053009"/>
    <x v="0"/>
    <n v="9.66"/>
    <n v="0"/>
    <n v="326.85000000000002"/>
    <x v="0"/>
    <x v="1"/>
    <x v="2"/>
    <x v="1"/>
  </r>
  <r>
    <n v="1053467"/>
    <x v="0"/>
    <n v="9.66"/>
    <n v="0"/>
    <n v="403.05"/>
    <x v="0"/>
    <x v="1"/>
    <x v="2"/>
    <x v="1"/>
  </r>
  <r>
    <n v="1053529"/>
    <x v="0"/>
    <n v="9.65"/>
    <n v="0"/>
    <n v="316"/>
    <x v="0"/>
    <x v="1"/>
    <x v="2"/>
    <x v="1"/>
  </r>
  <r>
    <n v="1053601"/>
    <x v="0"/>
    <n v="9.66"/>
    <n v="0"/>
    <n v="250.97"/>
    <x v="0"/>
    <x v="1"/>
    <x v="2"/>
    <x v="1"/>
  </r>
  <r>
    <n v="1053765"/>
    <x v="0"/>
    <n v="9.65"/>
    <n v="0"/>
    <n v="251.55"/>
    <x v="0"/>
    <x v="1"/>
    <x v="2"/>
    <x v="1"/>
  </r>
  <r>
    <n v="1053825"/>
    <x v="0"/>
    <n v="12.75"/>
    <n v="0"/>
    <n v="203.15"/>
    <x v="3"/>
    <x v="1"/>
    <x v="2"/>
    <x v="1"/>
  </r>
  <r>
    <n v="1053895"/>
    <x v="0"/>
    <n v="13.88"/>
    <n v="0"/>
    <n v="599"/>
    <x v="0"/>
    <x v="1"/>
    <x v="2"/>
    <x v="1"/>
  </r>
  <r>
    <n v="1053902"/>
    <x v="0"/>
    <n v="12.51"/>
    <n v="0"/>
    <n v="924.82"/>
    <x v="0"/>
    <x v="1"/>
    <x v="2"/>
    <x v="1"/>
  </r>
  <r>
    <n v="1054089"/>
    <x v="0"/>
    <n v="12.79"/>
    <n v="0"/>
    <n v="204.75"/>
    <x v="3"/>
    <x v="1"/>
    <x v="2"/>
    <x v="1"/>
  </r>
  <r>
    <n v="1054616"/>
    <x v="0"/>
    <n v="13.64"/>
    <n v="0"/>
    <n v="200.95"/>
    <x v="3"/>
    <x v="1"/>
    <x v="2"/>
    <x v="1"/>
  </r>
  <r>
    <n v="1054752"/>
    <x v="0"/>
    <n v="18.82"/>
    <n v="0"/>
    <n v="534.15"/>
    <x v="0"/>
    <x v="1"/>
    <x v="2"/>
    <x v="1"/>
  </r>
  <r>
    <n v="1054775"/>
    <x v="0"/>
    <n v="9.66"/>
    <n v="0"/>
    <n v="203.53"/>
    <x v="0"/>
    <x v="1"/>
    <x v="2"/>
    <x v="1"/>
  </r>
  <r>
    <n v="1054896"/>
    <x v="0"/>
    <n v="12.75"/>
    <n v="0"/>
    <n v="219.65"/>
    <x v="3"/>
    <x v="1"/>
    <x v="2"/>
    <x v="1"/>
  </r>
  <r>
    <n v="1055014"/>
    <x v="0"/>
    <n v="12.75"/>
    <n v="0"/>
    <n v="200.4"/>
    <x v="3"/>
    <x v="1"/>
    <x v="2"/>
    <x v="1"/>
  </r>
  <r>
    <n v="1055029"/>
    <x v="0"/>
    <n v="13.2"/>
    <n v="0"/>
    <n v="223.65"/>
    <x v="3"/>
    <x v="1"/>
    <x v="2"/>
    <x v="1"/>
  </r>
  <r>
    <n v="1055177"/>
    <x v="0"/>
    <n v="9.66"/>
    <n v="0"/>
    <n v="394.4"/>
    <x v="0"/>
    <x v="1"/>
    <x v="2"/>
    <x v="1"/>
  </r>
  <r>
    <n v="1055225"/>
    <x v="0"/>
    <n v="12.51"/>
    <n v="0"/>
    <n v="517.35"/>
    <x v="0"/>
    <x v="1"/>
    <x v="2"/>
    <x v="1"/>
  </r>
  <r>
    <n v="1055507"/>
    <x v="0"/>
    <n v="13.64"/>
    <n v="0"/>
    <n v="201.15"/>
    <x v="3"/>
    <x v="1"/>
    <x v="2"/>
    <x v="1"/>
  </r>
  <r>
    <n v="1055568"/>
    <x v="0"/>
    <n v="12.51"/>
    <n v="0"/>
    <n v="960"/>
    <x v="0"/>
    <x v="1"/>
    <x v="2"/>
    <x v="1"/>
  </r>
  <r>
    <n v="1055884"/>
    <x v="0"/>
    <n v="9.65"/>
    <n v="0"/>
    <n v="474.1"/>
    <x v="0"/>
    <x v="1"/>
    <x v="2"/>
    <x v="1"/>
  </r>
  <r>
    <n v="1055901"/>
    <x v="0"/>
    <n v="12.75"/>
    <n v="0"/>
    <n v="219.4"/>
    <x v="3"/>
    <x v="1"/>
    <x v="2"/>
    <x v="1"/>
  </r>
  <r>
    <n v="1055960"/>
    <x v="0"/>
    <n v="9.66"/>
    <n v="0"/>
    <n v="255.1"/>
    <x v="0"/>
    <x v="1"/>
    <x v="2"/>
    <x v="1"/>
  </r>
  <r>
    <n v="1056472"/>
    <x v="0"/>
    <n v="9.65"/>
    <n v="0"/>
    <n v="260.79000000000002"/>
    <x v="0"/>
    <x v="1"/>
    <x v="2"/>
    <x v="1"/>
  </r>
  <r>
    <n v="1056810"/>
    <x v="0"/>
    <n v="12.75"/>
    <n v="0"/>
    <n v="224"/>
    <x v="3"/>
    <x v="1"/>
    <x v="2"/>
    <x v="1"/>
  </r>
  <r>
    <n v="1056855"/>
    <x v="0"/>
    <n v="12.75"/>
    <n v="0"/>
    <n v="200.55"/>
    <x v="3"/>
    <x v="1"/>
    <x v="2"/>
    <x v="1"/>
  </r>
  <r>
    <n v="1057068"/>
    <x v="0"/>
    <n v="12.75"/>
    <n v="0"/>
    <n v="219.65"/>
    <x v="3"/>
    <x v="1"/>
    <x v="2"/>
    <x v="1"/>
  </r>
  <r>
    <n v="1057084"/>
    <x v="0"/>
    <n v="12.75"/>
    <n v="0"/>
    <n v="216.85"/>
    <x v="3"/>
    <x v="1"/>
    <x v="2"/>
    <x v="1"/>
  </r>
  <r>
    <n v="1057135"/>
    <x v="0"/>
    <n v="14.09"/>
    <n v="0"/>
    <n v="331.35"/>
    <x v="3"/>
    <x v="1"/>
    <x v="2"/>
    <x v="1"/>
  </r>
  <r>
    <n v="1057264"/>
    <x v="0"/>
    <n v="12.75"/>
    <n v="0"/>
    <n v="242.05"/>
    <x v="3"/>
    <x v="1"/>
    <x v="2"/>
    <x v="1"/>
  </r>
  <r>
    <n v="1057531"/>
    <x v="0"/>
    <n v="14.84"/>
    <n v="0"/>
    <n v="609.15"/>
    <x v="0"/>
    <x v="1"/>
    <x v="2"/>
    <x v="1"/>
  </r>
  <r>
    <n v="1057749"/>
    <x v="0"/>
    <n v="16.98"/>
    <n v="0"/>
    <n v="1882.45"/>
    <x v="0"/>
    <x v="1"/>
    <x v="2"/>
    <x v="1"/>
  </r>
  <r>
    <n v="1058008"/>
    <x v="0"/>
    <n v="13.2"/>
    <n v="0"/>
    <n v="217.45"/>
    <x v="3"/>
    <x v="1"/>
    <x v="2"/>
    <x v="1"/>
  </r>
  <r>
    <n v="1058375"/>
    <x v="0"/>
    <n v="26.93"/>
    <n v="0"/>
    <n v="853.9"/>
    <x v="0"/>
    <x v="1"/>
    <x v="2"/>
    <x v="1"/>
  </r>
  <r>
    <n v="1058405"/>
    <x v="0"/>
    <n v="9.65"/>
    <n v="0"/>
    <n v="283.54000000000002"/>
    <x v="0"/>
    <x v="1"/>
    <x v="2"/>
    <x v="1"/>
  </r>
  <r>
    <n v="1058418"/>
    <x v="0"/>
    <n v="13.22"/>
    <n v="0"/>
    <n v="212.85"/>
    <x v="3"/>
    <x v="1"/>
    <x v="2"/>
    <x v="1"/>
  </r>
  <r>
    <n v="1058640"/>
    <x v="0"/>
    <n v="12.75"/>
    <n v="0"/>
    <n v="225"/>
    <x v="3"/>
    <x v="1"/>
    <x v="2"/>
    <x v="1"/>
  </r>
  <r>
    <n v="1059059"/>
    <x v="0"/>
    <n v="9.65"/>
    <n v="0"/>
    <n v="249.6"/>
    <x v="0"/>
    <x v="1"/>
    <x v="2"/>
    <x v="1"/>
  </r>
  <r>
    <n v="1059172"/>
    <x v="0"/>
    <n v="12.51"/>
    <n v="0"/>
    <n v="713.9"/>
    <x v="0"/>
    <x v="1"/>
    <x v="2"/>
    <x v="1"/>
  </r>
  <r>
    <n v="1059330"/>
    <x v="0"/>
    <n v="13.64"/>
    <n v="0"/>
    <n v="279.60000000000002"/>
    <x v="3"/>
    <x v="1"/>
    <x v="2"/>
    <x v="1"/>
  </r>
  <r>
    <n v="1059436"/>
    <x v="0"/>
    <n v="16.059999999999999"/>
    <n v="0"/>
    <n v="852.7"/>
    <x v="0"/>
    <x v="1"/>
    <x v="2"/>
    <x v="1"/>
  </r>
  <r>
    <n v="1059464"/>
    <x v="0"/>
    <n v="12.51"/>
    <n v="0"/>
    <n v="515.95000000000005"/>
    <x v="0"/>
    <x v="1"/>
    <x v="2"/>
    <x v="1"/>
  </r>
  <r>
    <n v="1059560"/>
    <x v="0"/>
    <n v="14.93"/>
    <n v="0"/>
    <n v="201.62"/>
    <x v="3"/>
    <x v="1"/>
    <x v="2"/>
    <x v="1"/>
  </r>
  <r>
    <n v="1059766"/>
    <x v="0"/>
    <n v="14.09"/>
    <n v="0"/>
    <n v="203.15"/>
    <x v="3"/>
    <x v="1"/>
    <x v="2"/>
    <x v="1"/>
  </r>
  <r>
    <n v="1060074"/>
    <x v="0"/>
    <n v="13.64"/>
    <n v="0"/>
    <n v="203.15"/>
    <x v="3"/>
    <x v="1"/>
    <x v="2"/>
    <x v="1"/>
  </r>
  <r>
    <n v="1060363"/>
    <x v="0"/>
    <n v="12.75"/>
    <n v="0"/>
    <n v="218.95"/>
    <x v="3"/>
    <x v="1"/>
    <x v="2"/>
    <x v="1"/>
  </r>
  <r>
    <n v="1061068"/>
    <x v="0"/>
    <n v="12.75"/>
    <n v="0"/>
    <n v="205.5"/>
    <x v="3"/>
    <x v="1"/>
    <x v="2"/>
    <x v="1"/>
  </r>
  <r>
    <n v="1061170"/>
    <x v="0"/>
    <n v="12.75"/>
    <n v="0"/>
    <n v="498.05"/>
    <x v="3"/>
    <x v="1"/>
    <x v="2"/>
    <x v="1"/>
  </r>
  <r>
    <n v="1061411"/>
    <x v="0"/>
    <n v="9.65"/>
    <n v="0"/>
    <n v="264.3"/>
    <x v="0"/>
    <x v="1"/>
    <x v="2"/>
    <x v="1"/>
  </r>
  <r>
    <n v="1061442"/>
    <x v="0"/>
    <n v="9.65"/>
    <n v="0"/>
    <n v="270.60000000000002"/>
    <x v="0"/>
    <x v="1"/>
    <x v="2"/>
    <x v="1"/>
  </r>
  <r>
    <n v="1061519"/>
    <x v="0"/>
    <n v="12.75"/>
    <n v="0"/>
    <n v="255.4"/>
    <x v="3"/>
    <x v="1"/>
    <x v="2"/>
    <x v="1"/>
  </r>
  <r>
    <n v="1061520"/>
    <x v="0"/>
    <n v="14.09"/>
    <n v="0"/>
    <n v="205.75"/>
    <x v="3"/>
    <x v="1"/>
    <x v="2"/>
    <x v="1"/>
  </r>
  <r>
    <n v="1062049"/>
    <x v="0"/>
    <n v="14.16"/>
    <n v="0"/>
    <n v="3017.5"/>
    <x v="0"/>
    <x v="1"/>
    <x v="2"/>
    <x v="1"/>
  </r>
  <r>
    <n v="1062398"/>
    <x v="0"/>
    <n v="9.65"/>
    <n v="0"/>
    <n v="300.05"/>
    <x v="0"/>
    <x v="1"/>
    <x v="2"/>
    <x v="1"/>
  </r>
  <r>
    <n v="1062412"/>
    <x v="0"/>
    <n v="16.11"/>
    <n v="0"/>
    <n v="689.77"/>
    <x v="3"/>
    <x v="1"/>
    <x v="2"/>
    <x v="1"/>
  </r>
  <r>
    <n v="1062544"/>
    <x v="0"/>
    <n v="9.66"/>
    <n v="0"/>
    <n v="499.75"/>
    <x v="0"/>
    <x v="1"/>
    <x v="2"/>
    <x v="1"/>
  </r>
  <r>
    <n v="1062552"/>
    <x v="0"/>
    <n v="13.2"/>
    <n v="0"/>
    <n v="224.9"/>
    <x v="3"/>
    <x v="1"/>
    <x v="2"/>
    <x v="1"/>
  </r>
  <r>
    <n v="1062592"/>
    <x v="0"/>
    <n v="12.75"/>
    <n v="0"/>
    <n v="231.6"/>
    <x v="3"/>
    <x v="1"/>
    <x v="2"/>
    <x v="1"/>
  </r>
  <r>
    <n v="1063222"/>
    <x v="0"/>
    <n v="13.64"/>
    <n v="0"/>
    <n v="215.2"/>
    <x v="3"/>
    <x v="1"/>
    <x v="2"/>
    <x v="1"/>
  </r>
  <r>
    <n v="1063512"/>
    <x v="0"/>
    <n v="13.64"/>
    <n v="0"/>
    <n v="219.95"/>
    <x v="3"/>
    <x v="1"/>
    <x v="2"/>
    <x v="1"/>
  </r>
  <r>
    <n v="1063581"/>
    <x v="0"/>
    <n v="13.87"/>
    <n v="0"/>
    <n v="539.79999999999995"/>
    <x v="0"/>
    <x v="1"/>
    <x v="2"/>
    <x v="1"/>
  </r>
  <r>
    <n v="1063588"/>
    <x v="0"/>
    <n v="12.75"/>
    <n v="0"/>
    <n v="222.95"/>
    <x v="3"/>
    <x v="1"/>
    <x v="2"/>
    <x v="1"/>
  </r>
  <r>
    <n v="1063687"/>
    <x v="0"/>
    <n v="9.66"/>
    <n v="0"/>
    <n v="499.75"/>
    <x v="0"/>
    <x v="1"/>
    <x v="2"/>
    <x v="1"/>
  </r>
  <r>
    <n v="1064002"/>
    <x v="0"/>
    <n v="12.51"/>
    <n v="0"/>
    <n v="1560"/>
    <x v="0"/>
    <x v="1"/>
    <x v="2"/>
    <x v="1"/>
  </r>
  <r>
    <n v="1064300"/>
    <x v="0"/>
    <n v="13.64"/>
    <n v="0"/>
    <n v="498.35"/>
    <x v="3"/>
    <x v="1"/>
    <x v="2"/>
    <x v="1"/>
  </r>
  <r>
    <n v="1064372"/>
    <x v="0"/>
    <n v="12.75"/>
    <n v="0"/>
    <n v="242.85"/>
    <x v="3"/>
    <x v="1"/>
    <x v="2"/>
    <x v="1"/>
  </r>
  <r>
    <n v="1064430"/>
    <x v="0"/>
    <n v="9.66"/>
    <n v="0"/>
    <n v="220.3"/>
    <x v="0"/>
    <x v="1"/>
    <x v="2"/>
    <x v="1"/>
  </r>
  <r>
    <n v="1064522"/>
    <x v="0"/>
    <n v="16.100000000000001"/>
    <n v="0"/>
    <n v="616.54999999999995"/>
    <x v="3"/>
    <x v="1"/>
    <x v="2"/>
    <x v="1"/>
  </r>
  <r>
    <n v="1064655"/>
    <x v="0"/>
    <n v="12.75"/>
    <n v="0"/>
    <n v="207.85"/>
    <x v="3"/>
    <x v="1"/>
    <x v="2"/>
    <x v="1"/>
  </r>
  <r>
    <n v="1064745"/>
    <x v="0"/>
    <n v="13.64"/>
    <n v="0"/>
    <n v="204.95"/>
    <x v="3"/>
    <x v="1"/>
    <x v="2"/>
    <x v="1"/>
  </r>
  <r>
    <n v="1064795"/>
    <x v="0"/>
    <n v="9.65"/>
    <n v="0"/>
    <n v="408.75"/>
    <x v="0"/>
    <x v="1"/>
    <x v="2"/>
    <x v="1"/>
  </r>
  <r>
    <n v="1064816"/>
    <x v="0"/>
    <n v="9.65"/>
    <n v="0"/>
    <n v="211.8"/>
    <x v="0"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6" dataPosition="0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outline="1" outlineData="1" multipleFieldFilters="0" rowHeaderCaption="UPS OVERCHARGED">
  <location ref="A26:I56" firstHeaderRow="1" firstDataRow="3" firstDataCol="1"/>
  <pivotFields count="9">
    <pivotField showAll="0"/>
    <pivotField axis="axisCol" showAll="0">
      <items count="3">
        <item x="1"/>
        <item x="0"/>
        <item t="default"/>
      </items>
    </pivotField>
    <pivotField dataField="1" showAll="0"/>
    <pivotField dataField="1" showAll="0"/>
    <pivotField showAll="0"/>
    <pivotField axis="axisRow" dataField="1" showAll="0">
      <items count="13">
        <item x="7"/>
        <item x="4"/>
        <item x="8"/>
        <item x="6"/>
        <item x="0"/>
        <item x="3"/>
        <item x="1"/>
        <item x="10"/>
        <item x="9"/>
        <item x="2"/>
        <item x="11"/>
        <item x="5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dataField="1" showAll="0" defaultSubtotal="0">
      <items count="67">
        <item x="1"/>
        <item x="44"/>
        <item x="46"/>
        <item x="45"/>
        <item x="53"/>
        <item x="39"/>
        <item x="47"/>
        <item x="43"/>
        <item x="60"/>
        <item x="64"/>
        <item x="30"/>
        <item x="3"/>
        <item x="10"/>
        <item x="26"/>
        <item x="59"/>
        <item x="34"/>
        <item x="24"/>
        <item x="16"/>
        <item x="38"/>
        <item x="52"/>
        <item x="49"/>
        <item x="15"/>
        <item x="63"/>
        <item x="13"/>
        <item x="51"/>
        <item x="65"/>
        <item x="25"/>
        <item x="37"/>
        <item x="48"/>
        <item x="23"/>
        <item x="32"/>
        <item x="55"/>
        <item x="56"/>
        <item x="22"/>
        <item x="27"/>
        <item x="35"/>
        <item x="8"/>
        <item x="20"/>
        <item x="6"/>
        <item x="31"/>
        <item x="62"/>
        <item x="5"/>
        <item x="33"/>
        <item x="36"/>
        <item x="40"/>
        <item x="58"/>
        <item x="54"/>
        <item x="4"/>
        <item x="2"/>
        <item x="7"/>
        <item x="42"/>
        <item x="66"/>
        <item x="9"/>
        <item x="0"/>
        <item x="19"/>
        <item x="41"/>
        <item x="14"/>
        <item x="61"/>
        <item x="17"/>
        <item x="11"/>
        <item x="18"/>
        <item x="29"/>
        <item x="50"/>
        <item x="57"/>
        <item x="12"/>
        <item x="28"/>
        <item x="21"/>
      </items>
    </pivotField>
  </pivotFields>
  <rowFields count="2">
    <field x="7"/>
    <field x="5"/>
  </rowFields>
  <rowItems count="28">
    <i>
      <x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1"/>
    </i>
    <i t="grand">
      <x/>
    </i>
  </rowItems>
  <colFields count="2">
    <field x="-2"/>
    <field x="1"/>
  </colFields>
  <colItems count="8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</colItems>
  <dataFields count="4">
    <dataField name="Count of charge_description" fld="5" subtotal="count" baseField="0" baseItem="0"/>
    <dataField name="Sum of ada ship charge" fld="3" baseField="0" baseItem="0"/>
    <dataField name="Sum of ups ship charge" fld="2" baseField="0" baseItem="0"/>
    <dataField name="Sum of ups overcharge amount" fld="8" baseField="0" baseItem="0"/>
  </dataFields>
  <formats count="3">
    <format dxfId="5">
      <pivotArea outline="0" collapsedLevelsAreSubtotals="1" fieldPosition="0">
        <references count="2">
          <reference field="4294967294" count="2" selected="0">
            <x v="1"/>
            <x v="2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">
      <pivotArea outline="0" collapsedLevelsAreSubtotals="1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3">
      <pivotArea outline="0" collapsedLevelsAreSubtotals="1" fieldPosition="0">
        <references count="2">
          <reference field="4294967294" count="1" selected="0">
            <x v="3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6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outline="1" outlineData="1" multipleFieldFilters="0" rowHeaderCaption="FREE SHIPPING STATS">
  <location ref="A3:K22" firstHeaderRow="1" firstDataRow="3" firstDataCol="1"/>
  <pivotFields count="9">
    <pivotField showAll="0"/>
    <pivotField axis="axisCol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axis="axisRow" showAll="0">
      <items count="13">
        <item x="7"/>
        <item x="4"/>
        <item x="8"/>
        <item x="6"/>
        <item x="0"/>
        <item x="3"/>
        <item x="1"/>
        <item x="10"/>
        <item x="9"/>
        <item x="2"/>
        <item x="11"/>
        <item x="5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 defaultSubtotal="0"/>
  </pivotFields>
  <rowFields count="2">
    <field x="6"/>
    <field x="5"/>
  </rowFields>
  <rowItems count="17">
    <i>
      <x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2">
    <field x="-2"/>
    <field x="1"/>
  </colFields>
  <colItems count="10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</colItems>
  <dataFields count="5">
    <dataField name="Count of is_free_shipping?" fld="6" subtotal="count" baseField="0" baseItem="0" numFmtId="164"/>
    <dataField name="Sum of order subtotal" fld="4" baseField="0" baseItem="0"/>
    <dataField name="Average of order subtotal2" fld="4" subtotal="average" baseField="0" baseItem="0"/>
    <dataField name="Sum of ada ship charge" fld="3" baseField="0" baseItem="0"/>
    <dataField name="Sum of ups ship charge" fld="2" baseField="0" baseItem="0"/>
  </dataFields>
  <formats count="4">
    <format dxfId="9">
      <pivotArea outline="0" collapsedLevelsAreSubtotals="1" fieldPosition="0"/>
    </format>
    <format dxfId="8">
      <pivotArea outline="0" collapsedLevelsAreSubtotals="1" fieldPosition="0">
        <references count="2">
          <reference field="4294967294" count="1" selected="0">
            <x v="1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">
      <pivotArea outline="0" collapsedLevelsAreSubtotals="1" fieldPosition="0">
        <references count="2">
          <reference field="4294967294" count="2" selected="0">
            <x v="3"/>
            <x v="4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6">
      <pivotArea outline="0" collapsedLevelsAreSubtotals="1" fieldPosition="0">
        <references count="2">
          <reference field="4294967294" count="1" selected="0">
            <x v="2"/>
          </reference>
          <reference field="1" count="0" selected="0"/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3:I4910" totalsRowShown="0">
  <autoFilter ref="A3:I4910"/>
  <tableColumns count="9">
    <tableColumn id="1" name="orders_id"/>
    <tableColumn id="2" name="month"/>
    <tableColumn id="3" name="ups ship charge"/>
    <tableColumn id="4" name="ada ship charge"/>
    <tableColumn id="5" name="order subtotal"/>
    <tableColumn id="6" name="charge_description"/>
    <tableColumn id="7" name="is_free_shipping?" dataDxfId="2">
      <calculatedColumnFormula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calculatedColumnFormula>
    </tableColumn>
    <tableColumn id="8" name="is_ups_overcharge" dataDxfId="1">
      <calculatedColumnFormula>IF(Table1[[#This Row],[is_free_shipping?]]="free shipping","free shipping",IF(Table1[[#This Row],[ada ship charge]]&lt;Table1[[#This Row],[ups ship charge]],"ups overcharged","ups did not overcharge"))</calculatedColumnFormula>
    </tableColumn>
    <tableColumn id="9" name="ups overcharge amount" dataDxfId="0">
      <calculatedColumnFormula>IF(Table1[[#This Row],[is_ups_overcharge]]="ups overcharged",Table1[[#This Row],[ups ship charge]]-Table1[[#This Row],[ada ship charge]],0)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workbookViewId="0">
      <selection activeCell="A2" sqref="A2"/>
    </sheetView>
  </sheetViews>
  <sheetFormatPr baseColWidth="10" defaultRowHeight="16" x14ac:dyDescent="0.2"/>
  <cols>
    <col min="1" max="1" width="28.1640625" customWidth="1"/>
    <col min="2" max="2" width="24.1640625" customWidth="1"/>
    <col min="3" max="3" width="6.83203125" bestFit="1" customWidth="1"/>
    <col min="4" max="4" width="20" customWidth="1"/>
    <col min="5" max="5" width="11.5" customWidth="1"/>
    <col min="6" max="6" width="19.83203125" customWidth="1"/>
    <col min="7" max="7" width="11.5" customWidth="1"/>
    <col min="8" max="8" width="26.5" bestFit="1" customWidth="1"/>
    <col min="9" max="9" width="8.83203125" customWidth="1"/>
    <col min="10" max="10" width="19.83203125" bestFit="1" customWidth="1"/>
    <col min="11" max="11" width="11.5" customWidth="1"/>
  </cols>
  <sheetData>
    <row r="1" spans="1:11" ht="24" x14ac:dyDescent="0.3">
      <c r="A1" s="7" t="s">
        <v>38</v>
      </c>
    </row>
    <row r="3" spans="1:11" x14ac:dyDescent="0.2">
      <c r="B3" s="2" t="s">
        <v>22</v>
      </c>
    </row>
    <row r="4" spans="1:11" x14ac:dyDescent="0.2">
      <c r="B4" t="s">
        <v>29</v>
      </c>
      <c r="D4" t="s">
        <v>30</v>
      </c>
      <c r="F4" t="s">
        <v>32</v>
      </c>
      <c r="H4" t="s">
        <v>28</v>
      </c>
      <c r="J4" t="s">
        <v>31</v>
      </c>
    </row>
    <row r="5" spans="1:11" x14ac:dyDescent="0.2">
      <c r="A5" s="2" t="s">
        <v>33</v>
      </c>
      <c r="B5" t="s">
        <v>20</v>
      </c>
      <c r="C5" t="s">
        <v>21</v>
      </c>
      <c r="D5" t="s">
        <v>20</v>
      </c>
      <c r="E5" t="s">
        <v>21</v>
      </c>
      <c r="F5" t="s">
        <v>20</v>
      </c>
      <c r="G5" t="s">
        <v>21</v>
      </c>
      <c r="H5" t="s">
        <v>20</v>
      </c>
      <c r="I5" t="s">
        <v>21</v>
      </c>
      <c r="J5" t="s">
        <v>20</v>
      </c>
      <c r="K5" t="s">
        <v>21</v>
      </c>
    </row>
    <row r="6" spans="1:11" x14ac:dyDescent="0.2">
      <c r="A6" s="3" t="s">
        <v>24</v>
      </c>
      <c r="B6" s="5">
        <v>218</v>
      </c>
      <c r="C6" s="5">
        <v>213</v>
      </c>
      <c r="D6" s="6">
        <v>101410.88000000006</v>
      </c>
      <c r="E6" s="6">
        <v>117252.24999999997</v>
      </c>
      <c r="F6" s="6">
        <v>465.18752293578012</v>
      </c>
      <c r="G6" s="6">
        <v>550.48004694835663</v>
      </c>
      <c r="H6" s="6">
        <v>0</v>
      </c>
      <c r="I6" s="6">
        <v>0</v>
      </c>
      <c r="J6" s="6">
        <v>2784.2299999999955</v>
      </c>
      <c r="K6" s="6">
        <v>2732.2100000000005</v>
      </c>
    </row>
    <row r="7" spans="1:11" x14ac:dyDescent="0.2">
      <c r="A7" s="4" t="s">
        <v>6</v>
      </c>
      <c r="B7" s="5">
        <v>106</v>
      </c>
      <c r="C7" s="5">
        <v>112</v>
      </c>
      <c r="D7" s="6">
        <v>71657.039999999994</v>
      </c>
      <c r="E7" s="6">
        <v>89353.519999999975</v>
      </c>
      <c r="F7" s="6">
        <v>676.00981132075469</v>
      </c>
      <c r="G7" s="6">
        <v>797.79928571428547</v>
      </c>
      <c r="H7" s="6">
        <v>0</v>
      </c>
      <c r="I7" s="6">
        <v>0</v>
      </c>
      <c r="J7" s="6">
        <v>1270.1300000000003</v>
      </c>
      <c r="K7" s="6">
        <v>1347.8800000000006</v>
      </c>
    </row>
    <row r="8" spans="1:11" x14ac:dyDescent="0.2">
      <c r="A8" s="4" t="s">
        <v>9</v>
      </c>
      <c r="B8" s="5">
        <v>112</v>
      </c>
      <c r="C8" s="5">
        <v>101</v>
      </c>
      <c r="D8" s="6">
        <v>29753.839999999989</v>
      </c>
      <c r="E8" s="6">
        <v>27898.730000000003</v>
      </c>
      <c r="F8" s="6">
        <v>265.6592857142856</v>
      </c>
      <c r="G8" s="6">
        <v>276.2250495049505</v>
      </c>
      <c r="H8" s="6">
        <v>0</v>
      </c>
      <c r="I8" s="6">
        <v>0</v>
      </c>
      <c r="J8" s="6">
        <v>1514.0999999999992</v>
      </c>
      <c r="K8" s="6">
        <v>1384.3300000000004</v>
      </c>
    </row>
    <row r="9" spans="1:11" x14ac:dyDescent="0.2">
      <c r="A9" s="3" t="s">
        <v>25</v>
      </c>
      <c r="B9" s="5">
        <v>2080</v>
      </c>
      <c r="C9" s="5">
        <v>2396</v>
      </c>
      <c r="D9" s="6">
        <v>139673.89999999877</v>
      </c>
      <c r="E9" s="6">
        <v>148714.59999999849</v>
      </c>
      <c r="F9" s="6">
        <v>67.150913461537868</v>
      </c>
      <c r="G9" s="6">
        <v>62.067863105174666</v>
      </c>
      <c r="H9" s="6">
        <v>31901.210000000297</v>
      </c>
      <c r="I9" s="6">
        <v>36257.46999999915</v>
      </c>
      <c r="J9" s="6">
        <v>31492.340000000659</v>
      </c>
      <c r="K9" s="6">
        <v>35514.939999999719</v>
      </c>
    </row>
    <row r="10" spans="1:11" x14ac:dyDescent="0.2">
      <c r="A10" s="4" t="s">
        <v>13</v>
      </c>
      <c r="B10" s="5">
        <v>62</v>
      </c>
      <c r="C10" s="5">
        <v>69</v>
      </c>
      <c r="D10" s="6">
        <v>4612.07</v>
      </c>
      <c r="E10" s="6">
        <v>5949.7099999999982</v>
      </c>
      <c r="F10" s="6">
        <v>74.388225806451615</v>
      </c>
      <c r="G10" s="6">
        <v>86.227681159420257</v>
      </c>
      <c r="H10" s="6">
        <v>903.15999999999963</v>
      </c>
      <c r="I10" s="6">
        <v>993.349999999999</v>
      </c>
      <c r="J10" s="6">
        <v>830.92000000000053</v>
      </c>
      <c r="K10" s="6">
        <v>915.49999999999966</v>
      </c>
    </row>
    <row r="11" spans="1:11" x14ac:dyDescent="0.2">
      <c r="A11" s="4" t="s">
        <v>10</v>
      </c>
      <c r="B11" s="5">
        <v>195</v>
      </c>
      <c r="C11" s="5">
        <v>224</v>
      </c>
      <c r="D11" s="6">
        <v>15206.230000000005</v>
      </c>
      <c r="E11" s="6">
        <v>14104.040000000006</v>
      </c>
      <c r="F11" s="6">
        <v>77.980666666666693</v>
      </c>
      <c r="G11" s="6">
        <v>62.964464285714314</v>
      </c>
      <c r="H11" s="6">
        <v>3391.0000000000095</v>
      </c>
      <c r="I11" s="6">
        <v>3838.7499999999905</v>
      </c>
      <c r="J11" s="6">
        <v>3333.1000000000008</v>
      </c>
      <c r="K11" s="6">
        <v>3776.3600000000097</v>
      </c>
    </row>
    <row r="12" spans="1:11" x14ac:dyDescent="0.2">
      <c r="A12" s="4" t="s">
        <v>14</v>
      </c>
      <c r="B12" s="5">
        <v>30</v>
      </c>
      <c r="C12" s="5">
        <v>41</v>
      </c>
      <c r="D12" s="6">
        <v>1987.7500000000007</v>
      </c>
      <c r="E12" s="6">
        <v>3414.8499999999995</v>
      </c>
      <c r="F12" s="6">
        <v>66.258333333333354</v>
      </c>
      <c r="G12" s="6">
        <v>83.289024390243895</v>
      </c>
      <c r="H12" s="6">
        <v>369.82999999999993</v>
      </c>
      <c r="I12" s="6">
        <v>489.93000000000012</v>
      </c>
      <c r="J12" s="6">
        <v>344.42999999999995</v>
      </c>
      <c r="K12" s="6">
        <v>462.70999999999992</v>
      </c>
    </row>
    <row r="13" spans="1:11" x14ac:dyDescent="0.2">
      <c r="A13" s="4" t="s">
        <v>12</v>
      </c>
      <c r="B13" s="5">
        <v>174</v>
      </c>
      <c r="C13" s="5">
        <v>159</v>
      </c>
      <c r="D13" s="6">
        <v>11861.039999999992</v>
      </c>
      <c r="E13" s="6">
        <v>9995.369999999999</v>
      </c>
      <c r="F13" s="6">
        <v>68.166896551724093</v>
      </c>
      <c r="G13" s="6">
        <v>62.863962264150935</v>
      </c>
      <c r="H13" s="6">
        <v>2780.0599999999977</v>
      </c>
      <c r="I13" s="6">
        <v>2514.1300000000024</v>
      </c>
      <c r="J13" s="6">
        <v>2739.180000000008</v>
      </c>
      <c r="K13" s="6">
        <v>2463.0799999999963</v>
      </c>
    </row>
    <row r="14" spans="1:11" x14ac:dyDescent="0.2">
      <c r="A14" s="4" t="s">
        <v>6</v>
      </c>
      <c r="B14" s="5">
        <v>288</v>
      </c>
      <c r="C14" s="5">
        <v>331</v>
      </c>
      <c r="D14" s="6">
        <v>16565.760000000009</v>
      </c>
      <c r="E14" s="6">
        <v>18112.430000000029</v>
      </c>
      <c r="F14" s="6">
        <v>57.520000000000032</v>
      </c>
      <c r="G14" s="6">
        <v>54.72033232628408</v>
      </c>
      <c r="H14" s="6">
        <v>2895.9500000000021</v>
      </c>
      <c r="I14" s="6">
        <v>3353.7799999999975</v>
      </c>
      <c r="J14" s="6">
        <v>2835.6499999999955</v>
      </c>
      <c r="K14" s="6">
        <v>3217.6400000000071</v>
      </c>
    </row>
    <row r="15" spans="1:11" x14ac:dyDescent="0.2">
      <c r="A15" s="4" t="s">
        <v>9</v>
      </c>
      <c r="B15" s="5">
        <v>1160</v>
      </c>
      <c r="C15" s="5">
        <v>1404</v>
      </c>
      <c r="D15" s="6">
        <v>62651.279999999817</v>
      </c>
      <c r="E15" s="6">
        <v>71427.599999999758</v>
      </c>
      <c r="F15" s="6">
        <v>54.009724137930874</v>
      </c>
      <c r="G15" s="6">
        <v>50.874358974358799</v>
      </c>
      <c r="H15" s="6">
        <v>15435.430000000137</v>
      </c>
      <c r="I15" s="6">
        <v>18649.939999999737</v>
      </c>
      <c r="J15" s="6">
        <v>15411.17</v>
      </c>
      <c r="K15" s="6">
        <v>18504.619999999843</v>
      </c>
    </row>
    <row r="16" spans="1:11" x14ac:dyDescent="0.2">
      <c r="A16" s="4" t="s">
        <v>7</v>
      </c>
      <c r="B16" s="5">
        <v>1</v>
      </c>
      <c r="C16" s="5"/>
      <c r="D16" s="6">
        <v>17.7</v>
      </c>
      <c r="E16" s="6"/>
      <c r="F16" s="6">
        <v>17.7</v>
      </c>
      <c r="G16" s="6"/>
      <c r="H16" s="6">
        <v>12.89</v>
      </c>
      <c r="I16" s="6"/>
      <c r="J16" s="6">
        <v>7.29</v>
      </c>
      <c r="K16" s="6"/>
    </row>
    <row r="17" spans="1:11" x14ac:dyDescent="0.2">
      <c r="A17" s="4" t="s">
        <v>16</v>
      </c>
      <c r="B17" s="5">
        <v>47</v>
      </c>
      <c r="C17" s="5">
        <v>36</v>
      </c>
      <c r="D17" s="6">
        <v>5725.7299999999987</v>
      </c>
      <c r="E17" s="6">
        <v>6094.6499999999987</v>
      </c>
      <c r="F17" s="6">
        <v>121.82404255319146</v>
      </c>
      <c r="G17" s="6">
        <v>169.29583333333329</v>
      </c>
      <c r="H17" s="6">
        <v>937.46999999999991</v>
      </c>
      <c r="I17" s="6">
        <v>789.8399999999998</v>
      </c>
      <c r="J17" s="6">
        <v>879.08000000000027</v>
      </c>
      <c r="K17" s="6">
        <v>701.04000000000008</v>
      </c>
    </row>
    <row r="18" spans="1:11" x14ac:dyDescent="0.2">
      <c r="A18" s="4" t="s">
        <v>15</v>
      </c>
      <c r="B18" s="5">
        <v>75</v>
      </c>
      <c r="C18" s="5">
        <v>77</v>
      </c>
      <c r="D18" s="6">
        <v>8360.909999999998</v>
      </c>
      <c r="E18" s="6">
        <v>7680.7399999999971</v>
      </c>
      <c r="F18" s="6">
        <v>111.47879999999998</v>
      </c>
      <c r="G18" s="6">
        <v>99.749870129870089</v>
      </c>
      <c r="H18" s="6">
        <v>1710.9200000000008</v>
      </c>
      <c r="I18" s="6">
        <v>1807.5200000000004</v>
      </c>
      <c r="J18" s="6">
        <v>1690.0900000000008</v>
      </c>
      <c r="K18" s="6">
        <v>1749.3700000000001</v>
      </c>
    </row>
    <row r="19" spans="1:11" x14ac:dyDescent="0.2">
      <c r="A19" s="4" t="s">
        <v>8</v>
      </c>
      <c r="B19" s="5">
        <v>31</v>
      </c>
      <c r="C19" s="5">
        <v>40</v>
      </c>
      <c r="D19" s="6">
        <v>8582.74</v>
      </c>
      <c r="E19" s="6">
        <v>8880.2900000000009</v>
      </c>
      <c r="F19" s="6">
        <v>276.8625806451613</v>
      </c>
      <c r="G19" s="6">
        <v>222.00725000000003</v>
      </c>
      <c r="H19" s="6">
        <v>2280.0100000000002</v>
      </c>
      <c r="I19" s="6">
        <v>2673.4900000000002</v>
      </c>
      <c r="J19" s="6">
        <v>2252.4500000000003</v>
      </c>
      <c r="K19" s="6">
        <v>2617.4100000000003</v>
      </c>
    </row>
    <row r="20" spans="1:11" x14ac:dyDescent="0.2">
      <c r="A20" s="4" t="s">
        <v>17</v>
      </c>
      <c r="B20" s="5">
        <v>1</v>
      </c>
      <c r="C20" s="5"/>
      <c r="D20" s="6">
        <v>39.950000000000003</v>
      </c>
      <c r="E20" s="6"/>
      <c r="F20" s="6">
        <v>39.950000000000003</v>
      </c>
      <c r="G20" s="6"/>
      <c r="H20" s="6">
        <v>65.400000000000006</v>
      </c>
      <c r="I20" s="6"/>
      <c r="J20" s="6">
        <v>65.349999999999994</v>
      </c>
      <c r="K20" s="6"/>
    </row>
    <row r="21" spans="1:11" x14ac:dyDescent="0.2">
      <c r="A21" s="4" t="s">
        <v>11</v>
      </c>
      <c r="B21" s="5">
        <v>16</v>
      </c>
      <c r="C21" s="5">
        <v>15</v>
      </c>
      <c r="D21" s="6">
        <v>4062.7400000000007</v>
      </c>
      <c r="E21" s="6">
        <v>3054.92</v>
      </c>
      <c r="F21" s="6">
        <v>253.92125000000004</v>
      </c>
      <c r="G21" s="6">
        <v>203.66133333333335</v>
      </c>
      <c r="H21" s="6">
        <v>1119.0899999999999</v>
      </c>
      <c r="I21" s="6">
        <v>1146.7399999999998</v>
      </c>
      <c r="J21" s="6">
        <v>1103.6300000000001</v>
      </c>
      <c r="K21" s="6">
        <v>1107.21</v>
      </c>
    </row>
    <row r="22" spans="1:11" x14ac:dyDescent="0.2">
      <c r="A22" s="3" t="s">
        <v>23</v>
      </c>
      <c r="B22" s="5">
        <v>2298</v>
      </c>
      <c r="C22" s="5">
        <v>2609</v>
      </c>
      <c r="D22" s="6">
        <v>241084.78000000241</v>
      </c>
      <c r="E22" s="6">
        <v>265966.85000000434</v>
      </c>
      <c r="F22" s="6">
        <v>104.91069625761637</v>
      </c>
      <c r="G22" s="6">
        <v>101.94206592564367</v>
      </c>
      <c r="H22" s="6">
        <v>31901.210000000297</v>
      </c>
      <c r="I22" s="6">
        <v>36257.46999999915</v>
      </c>
      <c r="J22" s="6">
        <v>34276.570000000946</v>
      </c>
      <c r="K22" s="6">
        <v>38247.149999999761</v>
      </c>
    </row>
    <row r="26" spans="1:11" x14ac:dyDescent="0.2">
      <c r="B26" s="2" t="s">
        <v>22</v>
      </c>
    </row>
    <row r="27" spans="1:11" x14ac:dyDescent="0.2">
      <c r="B27" t="s">
        <v>34</v>
      </c>
      <c r="D27" t="s">
        <v>28</v>
      </c>
      <c r="F27" t="s">
        <v>31</v>
      </c>
      <c r="H27" t="s">
        <v>36</v>
      </c>
    </row>
    <row r="28" spans="1:11" x14ac:dyDescent="0.2">
      <c r="A28" s="2" t="s">
        <v>37</v>
      </c>
      <c r="B28" t="s">
        <v>20</v>
      </c>
      <c r="C28" t="s">
        <v>21</v>
      </c>
      <c r="D28" t="s">
        <v>20</v>
      </c>
      <c r="E28" t="s">
        <v>21</v>
      </c>
      <c r="F28" t="s">
        <v>20</v>
      </c>
      <c r="G28" t="s">
        <v>21</v>
      </c>
      <c r="H28" t="s">
        <v>20</v>
      </c>
      <c r="I28" t="s">
        <v>21</v>
      </c>
    </row>
    <row r="29" spans="1:11" x14ac:dyDescent="0.2">
      <c r="A29" s="3" t="s">
        <v>24</v>
      </c>
      <c r="B29" s="5">
        <v>218</v>
      </c>
      <c r="C29" s="5">
        <v>213</v>
      </c>
      <c r="D29" s="6">
        <v>0</v>
      </c>
      <c r="E29" s="6">
        <v>0</v>
      </c>
      <c r="F29" s="6">
        <v>2784.2299999999955</v>
      </c>
      <c r="G29" s="6">
        <v>2732.2100000000005</v>
      </c>
      <c r="H29" s="6">
        <v>0</v>
      </c>
      <c r="I29" s="6">
        <v>0</v>
      </c>
    </row>
    <row r="30" spans="1:11" x14ac:dyDescent="0.2">
      <c r="A30" s="4" t="s">
        <v>6</v>
      </c>
      <c r="B30" s="5">
        <v>106</v>
      </c>
      <c r="C30" s="5">
        <v>112</v>
      </c>
      <c r="D30" s="6">
        <v>0</v>
      </c>
      <c r="E30" s="6">
        <v>0</v>
      </c>
      <c r="F30" s="6">
        <v>1270.1300000000003</v>
      </c>
      <c r="G30" s="6">
        <v>1347.8800000000006</v>
      </c>
      <c r="H30" s="6">
        <v>0</v>
      </c>
      <c r="I30" s="6">
        <v>0</v>
      </c>
    </row>
    <row r="31" spans="1:11" x14ac:dyDescent="0.2">
      <c r="A31" s="4" t="s">
        <v>9</v>
      </c>
      <c r="B31" s="5">
        <v>112</v>
      </c>
      <c r="C31" s="5">
        <v>101</v>
      </c>
      <c r="D31" s="6">
        <v>0</v>
      </c>
      <c r="E31" s="6">
        <v>0</v>
      </c>
      <c r="F31" s="6">
        <v>1514.0999999999992</v>
      </c>
      <c r="G31" s="6">
        <v>1384.3300000000004</v>
      </c>
      <c r="H31" s="6">
        <v>0</v>
      </c>
      <c r="I31" s="6">
        <v>0</v>
      </c>
    </row>
    <row r="32" spans="1:11" x14ac:dyDescent="0.2">
      <c r="A32" s="3" t="s">
        <v>26</v>
      </c>
      <c r="B32" s="5">
        <v>2023</v>
      </c>
      <c r="C32" s="5">
        <v>2360</v>
      </c>
      <c r="D32" s="6">
        <v>30963.1000000003</v>
      </c>
      <c r="E32" s="6">
        <v>35523.349999999176</v>
      </c>
      <c r="F32" s="6">
        <v>30116.220000000601</v>
      </c>
      <c r="G32" s="6">
        <v>34573.89999999971</v>
      </c>
      <c r="H32" s="6">
        <v>0</v>
      </c>
      <c r="I32" s="6">
        <v>0</v>
      </c>
    </row>
    <row r="33" spans="1:9" x14ac:dyDescent="0.2">
      <c r="A33" s="4" t="s">
        <v>13</v>
      </c>
      <c r="B33" s="5">
        <v>61</v>
      </c>
      <c r="C33" s="5">
        <v>69</v>
      </c>
      <c r="D33" s="6">
        <v>888.86999999999966</v>
      </c>
      <c r="E33" s="6">
        <v>993.349999999999</v>
      </c>
      <c r="F33" s="6">
        <v>813.28000000000043</v>
      </c>
      <c r="G33" s="6">
        <v>915.49999999999966</v>
      </c>
      <c r="H33" s="6">
        <v>0</v>
      </c>
      <c r="I33" s="6">
        <v>0</v>
      </c>
    </row>
    <row r="34" spans="1:9" x14ac:dyDescent="0.2">
      <c r="A34" s="4" t="s">
        <v>10</v>
      </c>
      <c r="B34" s="5">
        <v>191</v>
      </c>
      <c r="C34" s="5">
        <v>220</v>
      </c>
      <c r="D34" s="6">
        <v>3329.9800000000091</v>
      </c>
      <c r="E34" s="6">
        <v>3770.6199999999913</v>
      </c>
      <c r="F34" s="6">
        <v>3259.1000000000004</v>
      </c>
      <c r="G34" s="6">
        <v>3692.4400000000091</v>
      </c>
      <c r="H34" s="6">
        <v>0</v>
      </c>
      <c r="I34" s="6">
        <v>0</v>
      </c>
    </row>
    <row r="35" spans="1:9" x14ac:dyDescent="0.2">
      <c r="A35" s="4" t="s">
        <v>14</v>
      </c>
      <c r="B35" s="5">
        <v>30</v>
      </c>
      <c r="C35" s="5">
        <v>40</v>
      </c>
      <c r="D35" s="6">
        <v>369.82999999999993</v>
      </c>
      <c r="E35" s="6">
        <v>478.93000000000012</v>
      </c>
      <c r="F35" s="6">
        <v>344.42999999999995</v>
      </c>
      <c r="G35" s="6">
        <v>450.76999999999992</v>
      </c>
      <c r="H35" s="6">
        <v>0</v>
      </c>
      <c r="I35" s="6">
        <v>0</v>
      </c>
    </row>
    <row r="36" spans="1:9" x14ac:dyDescent="0.2">
      <c r="A36" s="4" t="s">
        <v>12</v>
      </c>
      <c r="B36" s="5">
        <v>170</v>
      </c>
      <c r="C36" s="5">
        <v>157</v>
      </c>
      <c r="D36" s="6">
        <v>2716.1699999999969</v>
      </c>
      <c r="E36" s="6">
        <v>2480.5400000000022</v>
      </c>
      <c r="F36" s="6">
        <v>2650.2700000000073</v>
      </c>
      <c r="G36" s="6">
        <v>2421.4899999999966</v>
      </c>
      <c r="H36" s="6">
        <v>0</v>
      </c>
      <c r="I36" s="6">
        <v>0</v>
      </c>
    </row>
    <row r="37" spans="1:9" x14ac:dyDescent="0.2">
      <c r="A37" s="4" t="s">
        <v>6</v>
      </c>
      <c r="B37" s="5">
        <v>270</v>
      </c>
      <c r="C37" s="5">
        <v>318</v>
      </c>
      <c r="D37" s="6">
        <v>2849.320000000002</v>
      </c>
      <c r="E37" s="6">
        <v>3324.0499999999979</v>
      </c>
      <c r="F37" s="6">
        <v>2619.7699999999986</v>
      </c>
      <c r="G37" s="6">
        <v>3078.1100000000074</v>
      </c>
      <c r="H37" s="6">
        <v>0</v>
      </c>
      <c r="I37" s="6">
        <v>0</v>
      </c>
    </row>
    <row r="38" spans="1:9" x14ac:dyDescent="0.2">
      <c r="A38" s="4" t="s">
        <v>9</v>
      </c>
      <c r="B38" s="5">
        <v>1146</v>
      </c>
      <c r="C38" s="5">
        <v>1398</v>
      </c>
      <c r="D38" s="6">
        <v>15255.480000000134</v>
      </c>
      <c r="E38" s="6">
        <v>18576.719999999747</v>
      </c>
      <c r="F38" s="6">
        <v>15140.479999999994</v>
      </c>
      <c r="G38" s="6">
        <v>18411.719999999845</v>
      </c>
      <c r="H38" s="6">
        <v>0</v>
      </c>
      <c r="I38" s="6">
        <v>0</v>
      </c>
    </row>
    <row r="39" spans="1:9" x14ac:dyDescent="0.2">
      <c r="A39" s="4" t="s">
        <v>7</v>
      </c>
      <c r="B39" s="5">
        <v>1</v>
      </c>
      <c r="C39" s="5"/>
      <c r="D39" s="6">
        <v>12.89</v>
      </c>
      <c r="E39" s="6"/>
      <c r="F39" s="6">
        <v>7.29</v>
      </c>
      <c r="G39" s="6"/>
      <c r="H39" s="6">
        <v>0</v>
      </c>
      <c r="I39" s="6"/>
    </row>
    <row r="40" spans="1:9" x14ac:dyDescent="0.2">
      <c r="A40" s="4" t="s">
        <v>16</v>
      </c>
      <c r="B40" s="5">
        <v>44</v>
      </c>
      <c r="C40" s="5">
        <v>35</v>
      </c>
      <c r="D40" s="6">
        <v>879.28999999999985</v>
      </c>
      <c r="E40" s="6">
        <v>775.26999999999987</v>
      </c>
      <c r="F40" s="6">
        <v>816.86000000000024</v>
      </c>
      <c r="G40" s="6">
        <v>683.34</v>
      </c>
      <c r="H40" s="6">
        <v>0</v>
      </c>
      <c r="I40" s="6">
        <v>0</v>
      </c>
    </row>
    <row r="41" spans="1:9" x14ac:dyDescent="0.2">
      <c r="A41" s="4" t="s">
        <v>15</v>
      </c>
      <c r="B41" s="5">
        <v>68</v>
      </c>
      <c r="C41" s="5">
        <v>73</v>
      </c>
      <c r="D41" s="6">
        <v>1534.8200000000006</v>
      </c>
      <c r="E41" s="6">
        <v>1661.95</v>
      </c>
      <c r="F41" s="6">
        <v>1496.9000000000005</v>
      </c>
      <c r="G41" s="6">
        <v>1600.2299999999998</v>
      </c>
      <c r="H41" s="6">
        <v>0</v>
      </c>
      <c r="I41" s="6">
        <v>0</v>
      </c>
    </row>
    <row r="42" spans="1:9" x14ac:dyDescent="0.2">
      <c r="A42" s="4" t="s">
        <v>8</v>
      </c>
      <c r="B42" s="5">
        <v>26</v>
      </c>
      <c r="C42" s="5">
        <v>36</v>
      </c>
      <c r="D42" s="6">
        <v>1985.97</v>
      </c>
      <c r="E42" s="6">
        <v>2396.9700000000003</v>
      </c>
      <c r="F42" s="6">
        <v>1873.7200000000003</v>
      </c>
      <c r="G42" s="6">
        <v>2301.34</v>
      </c>
      <c r="H42" s="6">
        <v>0</v>
      </c>
      <c r="I42" s="6">
        <v>0</v>
      </c>
    </row>
    <row r="43" spans="1:9" x14ac:dyDescent="0.2">
      <c r="A43" s="4" t="s">
        <v>17</v>
      </c>
      <c r="B43" s="5">
        <v>1</v>
      </c>
      <c r="C43" s="5"/>
      <c r="D43" s="6">
        <v>65.400000000000006</v>
      </c>
      <c r="E43" s="6"/>
      <c r="F43" s="6">
        <v>65.349999999999994</v>
      </c>
      <c r="G43" s="6"/>
      <c r="H43" s="6">
        <v>0</v>
      </c>
      <c r="I43" s="6"/>
    </row>
    <row r="44" spans="1:9" x14ac:dyDescent="0.2">
      <c r="A44" s="4" t="s">
        <v>11</v>
      </c>
      <c r="B44" s="5">
        <v>15</v>
      </c>
      <c r="C44" s="5">
        <v>14</v>
      </c>
      <c r="D44" s="6">
        <v>1075.08</v>
      </c>
      <c r="E44" s="6">
        <v>1064.9499999999998</v>
      </c>
      <c r="F44" s="6">
        <v>1028.77</v>
      </c>
      <c r="G44" s="6">
        <v>1018.96</v>
      </c>
      <c r="H44" s="6">
        <v>0</v>
      </c>
      <c r="I44" s="6">
        <v>0</v>
      </c>
    </row>
    <row r="45" spans="1:9" x14ac:dyDescent="0.2">
      <c r="A45" s="3" t="s">
        <v>27</v>
      </c>
      <c r="B45" s="5">
        <v>57</v>
      </c>
      <c r="C45" s="5">
        <v>36</v>
      </c>
      <c r="D45" s="6">
        <v>938.11000000000013</v>
      </c>
      <c r="E45" s="6">
        <v>734.12000000000012</v>
      </c>
      <c r="F45" s="6">
        <v>1376.12</v>
      </c>
      <c r="G45" s="6">
        <v>941.04</v>
      </c>
      <c r="H45" s="6">
        <v>438.0100000000001</v>
      </c>
      <c r="I45" s="6">
        <v>206.92000000000002</v>
      </c>
    </row>
    <row r="46" spans="1:9" x14ac:dyDescent="0.2">
      <c r="A46" s="4" t="s">
        <v>13</v>
      </c>
      <c r="B46" s="5">
        <v>1</v>
      </c>
      <c r="C46" s="5"/>
      <c r="D46" s="6">
        <v>14.29</v>
      </c>
      <c r="E46" s="6"/>
      <c r="F46" s="6">
        <v>17.64</v>
      </c>
      <c r="G46" s="6"/>
      <c r="H46" s="6">
        <v>3.3500000000000014</v>
      </c>
      <c r="I46" s="6"/>
    </row>
    <row r="47" spans="1:9" x14ac:dyDescent="0.2">
      <c r="A47" s="4" t="s">
        <v>10</v>
      </c>
      <c r="B47" s="5">
        <v>4</v>
      </c>
      <c r="C47" s="5">
        <v>4</v>
      </c>
      <c r="D47" s="6">
        <v>61.019999999999996</v>
      </c>
      <c r="E47" s="6">
        <v>68.13</v>
      </c>
      <c r="F47" s="6">
        <v>74</v>
      </c>
      <c r="G47" s="6">
        <v>83.92</v>
      </c>
      <c r="H47" s="6">
        <v>12.98</v>
      </c>
      <c r="I47" s="6">
        <v>15.79</v>
      </c>
    </row>
    <row r="48" spans="1:9" x14ac:dyDescent="0.2">
      <c r="A48" s="4" t="s">
        <v>14</v>
      </c>
      <c r="B48" s="5"/>
      <c r="C48" s="5">
        <v>1</v>
      </c>
      <c r="D48" s="6"/>
      <c r="E48" s="6">
        <v>11</v>
      </c>
      <c r="F48" s="6"/>
      <c r="G48" s="6">
        <v>11.94</v>
      </c>
      <c r="H48" s="6"/>
      <c r="I48" s="6">
        <v>0.9399999999999995</v>
      </c>
    </row>
    <row r="49" spans="1:9" x14ac:dyDescent="0.2">
      <c r="A49" s="4" t="s">
        <v>12</v>
      </c>
      <c r="B49" s="5">
        <v>4</v>
      </c>
      <c r="C49" s="5">
        <v>2</v>
      </c>
      <c r="D49" s="6">
        <v>63.89</v>
      </c>
      <c r="E49" s="6">
        <v>33.590000000000003</v>
      </c>
      <c r="F49" s="6">
        <v>88.910000000000011</v>
      </c>
      <c r="G49" s="6">
        <v>41.59</v>
      </c>
      <c r="H49" s="6">
        <v>25.020000000000003</v>
      </c>
      <c r="I49" s="6">
        <v>8</v>
      </c>
    </row>
    <row r="50" spans="1:9" x14ac:dyDescent="0.2">
      <c r="A50" s="4" t="s">
        <v>6</v>
      </c>
      <c r="B50" s="5">
        <v>18</v>
      </c>
      <c r="C50" s="5">
        <v>13</v>
      </c>
      <c r="D50" s="6">
        <v>46.63</v>
      </c>
      <c r="E50" s="6">
        <v>29.729999999999997</v>
      </c>
      <c r="F50" s="6">
        <v>215.88000000000005</v>
      </c>
      <c r="G50" s="6">
        <v>139.53</v>
      </c>
      <c r="H50" s="6">
        <v>169.25</v>
      </c>
      <c r="I50" s="6">
        <v>109.8</v>
      </c>
    </row>
    <row r="51" spans="1:9" x14ac:dyDescent="0.2">
      <c r="A51" s="4" t="s">
        <v>9</v>
      </c>
      <c r="B51" s="5">
        <v>14</v>
      </c>
      <c r="C51" s="5">
        <v>6</v>
      </c>
      <c r="D51" s="6">
        <v>179.95</v>
      </c>
      <c r="E51" s="6">
        <v>73.22</v>
      </c>
      <c r="F51" s="6">
        <v>270.69</v>
      </c>
      <c r="G51" s="6">
        <v>92.899999999999991</v>
      </c>
      <c r="H51" s="6">
        <v>90.740000000000009</v>
      </c>
      <c r="I51" s="6">
        <v>19.68</v>
      </c>
    </row>
    <row r="52" spans="1:9" x14ac:dyDescent="0.2">
      <c r="A52" s="4" t="s">
        <v>16</v>
      </c>
      <c r="B52" s="5">
        <v>3</v>
      </c>
      <c r="C52" s="5">
        <v>1</v>
      </c>
      <c r="D52" s="6">
        <v>58.18</v>
      </c>
      <c r="E52" s="6">
        <v>14.57</v>
      </c>
      <c r="F52" s="6">
        <v>62.22</v>
      </c>
      <c r="G52" s="6">
        <v>17.7</v>
      </c>
      <c r="H52" s="6">
        <v>4.0399999999999991</v>
      </c>
      <c r="I52" s="6">
        <v>3.129999999999999</v>
      </c>
    </row>
    <row r="53" spans="1:9" x14ac:dyDescent="0.2">
      <c r="A53" s="4" t="s">
        <v>15</v>
      </c>
      <c r="B53" s="5">
        <v>7</v>
      </c>
      <c r="C53" s="5">
        <v>4</v>
      </c>
      <c r="D53" s="6">
        <v>176.1</v>
      </c>
      <c r="E53" s="6">
        <v>145.57</v>
      </c>
      <c r="F53" s="6">
        <v>193.19</v>
      </c>
      <c r="G53" s="6">
        <v>149.14000000000001</v>
      </c>
      <c r="H53" s="6">
        <v>17.090000000000003</v>
      </c>
      <c r="I53" s="6">
        <v>3.5700000000000038</v>
      </c>
    </row>
    <row r="54" spans="1:9" x14ac:dyDescent="0.2">
      <c r="A54" s="4" t="s">
        <v>8</v>
      </c>
      <c r="B54" s="5">
        <v>5</v>
      </c>
      <c r="C54" s="5">
        <v>4</v>
      </c>
      <c r="D54" s="6">
        <v>294.03999999999996</v>
      </c>
      <c r="E54" s="6">
        <v>276.52</v>
      </c>
      <c r="F54" s="6">
        <v>378.72999999999996</v>
      </c>
      <c r="G54" s="6">
        <v>316.07</v>
      </c>
      <c r="H54" s="6">
        <v>84.69</v>
      </c>
      <c r="I54" s="6">
        <v>39.550000000000004</v>
      </c>
    </row>
    <row r="55" spans="1:9" x14ac:dyDescent="0.2">
      <c r="A55" s="4" t="s">
        <v>11</v>
      </c>
      <c r="B55" s="5">
        <v>1</v>
      </c>
      <c r="C55" s="5">
        <v>1</v>
      </c>
      <c r="D55" s="6">
        <v>44.01</v>
      </c>
      <c r="E55" s="6">
        <v>81.790000000000006</v>
      </c>
      <c r="F55" s="6">
        <v>74.86</v>
      </c>
      <c r="G55" s="6">
        <v>88.25</v>
      </c>
      <c r="H55" s="6">
        <v>30.85</v>
      </c>
      <c r="I55" s="6">
        <v>6.4599999999999937</v>
      </c>
    </row>
    <row r="56" spans="1:9" x14ac:dyDescent="0.2">
      <c r="A56" s="3" t="s">
        <v>23</v>
      </c>
      <c r="B56" s="5">
        <v>2298</v>
      </c>
      <c r="C56" s="5">
        <v>2609</v>
      </c>
      <c r="D56" s="6">
        <v>31901.210000000305</v>
      </c>
      <c r="E56" s="6">
        <v>36257.469999999172</v>
      </c>
      <c r="F56" s="6">
        <v>34276.570000000873</v>
      </c>
      <c r="G56" s="6">
        <v>38247.149999999747</v>
      </c>
      <c r="H56" s="6">
        <v>438.0100000000001</v>
      </c>
      <c r="I56" s="6">
        <v>206.92000000000002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10"/>
  <sheetViews>
    <sheetView workbookViewId="0">
      <selection activeCell="A2" sqref="A2"/>
    </sheetView>
  </sheetViews>
  <sheetFormatPr baseColWidth="10" defaultRowHeight="16" x14ac:dyDescent="0.2"/>
  <cols>
    <col min="1" max="1" width="11.5" customWidth="1"/>
    <col min="3" max="4" width="16.33203125" customWidth="1"/>
    <col min="5" max="5" width="15.33203125" customWidth="1"/>
    <col min="6" max="6" width="19.1640625" customWidth="1"/>
    <col min="7" max="7" width="18.33203125" bestFit="1" customWidth="1"/>
    <col min="8" max="8" width="19.33203125" bestFit="1" customWidth="1"/>
    <col min="9" max="9" width="23.5" bestFit="1" customWidth="1"/>
  </cols>
  <sheetData>
    <row r="1" spans="1:12" ht="26" x14ac:dyDescent="0.3">
      <c r="A1" s="8" t="s">
        <v>38</v>
      </c>
    </row>
    <row r="3" spans="1:1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18</v>
      </c>
      <c r="H3" t="s">
        <v>19</v>
      </c>
      <c r="I3" t="s">
        <v>35</v>
      </c>
      <c r="L3" s="1" t="s">
        <v>6</v>
      </c>
    </row>
    <row r="4" spans="1:12" x14ac:dyDescent="0.2">
      <c r="A4">
        <v>1027953</v>
      </c>
      <c r="B4" t="s">
        <v>21</v>
      </c>
      <c r="C4">
        <v>9.7100000000000009</v>
      </c>
      <c r="D4">
        <v>0</v>
      </c>
      <c r="E4">
        <v>50.37</v>
      </c>
      <c r="F4" t="s">
        <v>6</v>
      </c>
      <c r="G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4">
        <f>IF(Table1[[#This Row],[is_ups_overcharge]]="ups overcharged",Table1[[#This Row],[ups ship charge]]-Table1[[#This Row],[ada ship charge]],0)</f>
        <v>9.7100000000000009</v>
      </c>
      <c r="L4" s="1" t="s">
        <v>9</v>
      </c>
    </row>
    <row r="5" spans="1:12" x14ac:dyDescent="0.2">
      <c r="A5">
        <v>997822</v>
      </c>
      <c r="B5" t="s">
        <v>20</v>
      </c>
      <c r="C5">
        <v>7.29</v>
      </c>
      <c r="D5">
        <v>12.89</v>
      </c>
      <c r="E5">
        <v>17.7</v>
      </c>
      <c r="F5" t="s">
        <v>7</v>
      </c>
      <c r="G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">
        <f>IF(Table1[[#This Row],[is_ups_overcharge]]="ups overcharged",Table1[[#This Row],[ups ship charge]]-Table1[[#This Row],[ada ship charge]],0)</f>
        <v>0</v>
      </c>
    </row>
    <row r="6" spans="1:12" x14ac:dyDescent="0.2">
      <c r="A6">
        <v>998763</v>
      </c>
      <c r="B6" t="s">
        <v>20</v>
      </c>
      <c r="C6">
        <v>12.55</v>
      </c>
      <c r="D6">
        <v>0</v>
      </c>
      <c r="E6">
        <v>519.44000000000005</v>
      </c>
      <c r="F6" t="s">
        <v>6</v>
      </c>
      <c r="G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6">
        <f>IF(Table1[[#This Row],[is_ups_overcharge]]="ups overcharged",Table1[[#This Row],[ups ship charge]]-Table1[[#This Row],[ada ship charge]],0)</f>
        <v>0</v>
      </c>
    </row>
    <row r="7" spans="1:12" x14ac:dyDescent="0.2">
      <c r="A7">
        <v>998834</v>
      </c>
      <c r="B7" t="s">
        <v>20</v>
      </c>
      <c r="C7">
        <v>9.6999999999999993</v>
      </c>
      <c r="D7">
        <v>0</v>
      </c>
      <c r="E7">
        <v>344.35</v>
      </c>
      <c r="F7" t="s">
        <v>6</v>
      </c>
      <c r="G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7">
        <f>IF(Table1[[#This Row],[is_ups_overcharge]]="ups overcharged",Table1[[#This Row],[ups ship charge]]-Table1[[#This Row],[ada ship charge]],0)</f>
        <v>0</v>
      </c>
    </row>
    <row r="8" spans="1:12" x14ac:dyDescent="0.2">
      <c r="A8">
        <v>999845</v>
      </c>
      <c r="B8" t="s">
        <v>20</v>
      </c>
      <c r="C8">
        <v>226.6</v>
      </c>
      <c r="D8">
        <v>266.95999999999998</v>
      </c>
      <c r="E8">
        <v>1250.2</v>
      </c>
      <c r="F8" t="s">
        <v>8</v>
      </c>
      <c r="G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">
        <f>IF(Table1[[#This Row],[is_ups_overcharge]]="ups overcharged",Table1[[#This Row],[ups ship charge]]-Table1[[#This Row],[ada ship charge]],0)</f>
        <v>0</v>
      </c>
    </row>
    <row r="9" spans="1:12" x14ac:dyDescent="0.2">
      <c r="A9">
        <v>1002126</v>
      </c>
      <c r="B9" t="s">
        <v>20</v>
      </c>
      <c r="C9">
        <v>12.81</v>
      </c>
      <c r="D9">
        <v>12.89</v>
      </c>
      <c r="E9">
        <v>33.65</v>
      </c>
      <c r="F9" t="s">
        <v>9</v>
      </c>
      <c r="G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">
        <f>IF(Table1[[#This Row],[is_ups_overcharge]]="ups overcharged",Table1[[#This Row],[ups ship charge]]-Table1[[#This Row],[ada ship charge]],0)</f>
        <v>0</v>
      </c>
    </row>
    <row r="10" spans="1:12" x14ac:dyDescent="0.2">
      <c r="A10">
        <v>1002146</v>
      </c>
      <c r="B10" t="s">
        <v>20</v>
      </c>
      <c r="C10">
        <v>12.81</v>
      </c>
      <c r="D10">
        <v>0</v>
      </c>
      <c r="E10">
        <v>245.95</v>
      </c>
      <c r="F10" t="s">
        <v>9</v>
      </c>
      <c r="G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">
        <f>IF(Table1[[#This Row],[is_ups_overcharge]]="ups overcharged",Table1[[#This Row],[ups ship charge]]-Table1[[#This Row],[ada ship charge]],0)</f>
        <v>0</v>
      </c>
    </row>
    <row r="11" spans="1:12" x14ac:dyDescent="0.2">
      <c r="A11">
        <v>1002289</v>
      </c>
      <c r="B11" t="s">
        <v>20</v>
      </c>
      <c r="C11">
        <v>13.7</v>
      </c>
      <c r="D11">
        <v>13.78</v>
      </c>
      <c r="E11">
        <v>95.55</v>
      </c>
      <c r="F11" t="s">
        <v>9</v>
      </c>
      <c r="G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">
        <f>IF(Table1[[#This Row],[is_ups_overcharge]]="ups overcharged",Table1[[#This Row],[ups ship charge]]-Table1[[#This Row],[ada ship charge]],0)</f>
        <v>0</v>
      </c>
    </row>
    <row r="12" spans="1:12" x14ac:dyDescent="0.2">
      <c r="A12">
        <v>1002309</v>
      </c>
      <c r="B12" t="s">
        <v>20</v>
      </c>
      <c r="C12">
        <v>16.989999999999998</v>
      </c>
      <c r="D12">
        <v>9.7799999999999994</v>
      </c>
      <c r="E12">
        <v>49.9</v>
      </c>
      <c r="F12" t="s">
        <v>6</v>
      </c>
      <c r="G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2">
        <f>IF(Table1[[#This Row],[is_ups_overcharge]]="ups overcharged",Table1[[#This Row],[ups ship charge]]-Table1[[#This Row],[ada ship charge]],0)</f>
        <v>7.2099999999999991</v>
      </c>
    </row>
    <row r="13" spans="1:12" x14ac:dyDescent="0.2">
      <c r="A13">
        <v>1002375</v>
      </c>
      <c r="B13" t="s">
        <v>20</v>
      </c>
      <c r="C13">
        <v>12.81</v>
      </c>
      <c r="D13">
        <v>12.89</v>
      </c>
      <c r="E13">
        <v>115.55</v>
      </c>
      <c r="F13" t="s">
        <v>9</v>
      </c>
      <c r="G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">
        <f>IF(Table1[[#This Row],[is_ups_overcharge]]="ups overcharged",Table1[[#This Row],[ups ship charge]]-Table1[[#This Row],[ada ship charge]],0)</f>
        <v>0</v>
      </c>
    </row>
    <row r="14" spans="1:12" x14ac:dyDescent="0.2">
      <c r="A14">
        <v>1002382</v>
      </c>
      <c r="B14" t="s">
        <v>20</v>
      </c>
      <c r="C14">
        <v>9.7100000000000009</v>
      </c>
      <c r="D14">
        <v>9.7799999999999994</v>
      </c>
      <c r="E14">
        <v>39.75</v>
      </c>
      <c r="F14" t="s">
        <v>6</v>
      </c>
      <c r="G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">
        <f>IF(Table1[[#This Row],[is_ups_overcharge]]="ups overcharged",Table1[[#This Row],[ups ship charge]]-Table1[[#This Row],[ada ship charge]],0)</f>
        <v>0</v>
      </c>
    </row>
    <row r="15" spans="1:12" x14ac:dyDescent="0.2">
      <c r="A15">
        <v>1002394</v>
      </c>
      <c r="B15" t="s">
        <v>20</v>
      </c>
      <c r="C15">
        <v>12.81</v>
      </c>
      <c r="D15">
        <v>0</v>
      </c>
      <c r="E15">
        <v>206.5</v>
      </c>
      <c r="F15" t="s">
        <v>9</v>
      </c>
      <c r="G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5">
        <f>IF(Table1[[#This Row],[is_ups_overcharge]]="ups overcharged",Table1[[#This Row],[ups ship charge]]-Table1[[#This Row],[ada ship charge]],0)</f>
        <v>0</v>
      </c>
    </row>
    <row r="16" spans="1:12" x14ac:dyDescent="0.2">
      <c r="A16">
        <v>1002454</v>
      </c>
      <c r="B16" t="s">
        <v>20</v>
      </c>
      <c r="C16">
        <v>13.7</v>
      </c>
      <c r="D16">
        <v>13.79</v>
      </c>
      <c r="E16">
        <v>26.8</v>
      </c>
      <c r="F16" t="s">
        <v>9</v>
      </c>
      <c r="G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">
        <f>IF(Table1[[#This Row],[is_ups_overcharge]]="ups overcharged",Table1[[#This Row],[ups ship charge]]-Table1[[#This Row],[ada ship charge]],0)</f>
        <v>0</v>
      </c>
    </row>
    <row r="17" spans="1:9" x14ac:dyDescent="0.2">
      <c r="A17">
        <v>1002502</v>
      </c>
      <c r="B17" t="s">
        <v>20</v>
      </c>
      <c r="C17">
        <v>9.6999999999999993</v>
      </c>
      <c r="D17">
        <v>9.7799999999999994</v>
      </c>
      <c r="E17">
        <v>39.950000000000003</v>
      </c>
      <c r="F17" t="s">
        <v>6</v>
      </c>
      <c r="G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">
        <f>IF(Table1[[#This Row],[is_ups_overcharge]]="ups overcharged",Table1[[#This Row],[ups ship charge]]-Table1[[#This Row],[ada ship charge]],0)</f>
        <v>0</v>
      </c>
    </row>
    <row r="18" spans="1:9" x14ac:dyDescent="0.2">
      <c r="A18">
        <v>1002510</v>
      </c>
      <c r="B18" t="s">
        <v>20</v>
      </c>
      <c r="C18">
        <v>9.6999999999999993</v>
      </c>
      <c r="D18">
        <v>0</v>
      </c>
      <c r="E18">
        <v>494</v>
      </c>
      <c r="F18" t="s">
        <v>6</v>
      </c>
      <c r="G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">
        <f>IF(Table1[[#This Row],[is_ups_overcharge]]="ups overcharged",Table1[[#This Row],[ups ship charge]]-Table1[[#This Row],[ada ship charge]],0)</f>
        <v>0</v>
      </c>
    </row>
    <row r="19" spans="1:9" x14ac:dyDescent="0.2">
      <c r="A19">
        <v>1002518</v>
      </c>
      <c r="B19" t="s">
        <v>20</v>
      </c>
      <c r="C19">
        <v>9.6999999999999993</v>
      </c>
      <c r="D19">
        <v>9.7799999999999994</v>
      </c>
      <c r="E19">
        <v>74.900000000000006</v>
      </c>
      <c r="F19" t="s">
        <v>6</v>
      </c>
      <c r="G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">
        <f>IF(Table1[[#This Row],[is_ups_overcharge]]="ups overcharged",Table1[[#This Row],[ups ship charge]]-Table1[[#This Row],[ada ship charge]],0)</f>
        <v>0</v>
      </c>
    </row>
    <row r="20" spans="1:9" x14ac:dyDescent="0.2">
      <c r="A20">
        <v>1002530</v>
      </c>
      <c r="B20" t="s">
        <v>20</v>
      </c>
      <c r="C20">
        <v>12.81</v>
      </c>
      <c r="D20">
        <v>12.89</v>
      </c>
      <c r="E20">
        <v>60.2</v>
      </c>
      <c r="F20" t="s">
        <v>9</v>
      </c>
      <c r="G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">
        <f>IF(Table1[[#This Row],[is_ups_overcharge]]="ups overcharged",Table1[[#This Row],[ups ship charge]]-Table1[[#This Row],[ada ship charge]],0)</f>
        <v>0</v>
      </c>
    </row>
    <row r="21" spans="1:9" x14ac:dyDescent="0.2">
      <c r="A21">
        <v>1002626</v>
      </c>
      <c r="B21" t="s">
        <v>20</v>
      </c>
      <c r="C21">
        <v>13.7</v>
      </c>
      <c r="D21">
        <v>13.79</v>
      </c>
      <c r="E21">
        <v>51.5</v>
      </c>
      <c r="F21" t="s">
        <v>9</v>
      </c>
      <c r="G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">
        <f>IF(Table1[[#This Row],[is_ups_overcharge]]="ups overcharged",Table1[[#This Row],[ups ship charge]]-Table1[[#This Row],[ada ship charge]],0)</f>
        <v>0</v>
      </c>
    </row>
    <row r="22" spans="1:9" x14ac:dyDescent="0.2">
      <c r="A22">
        <v>1002642</v>
      </c>
      <c r="B22" t="s">
        <v>20</v>
      </c>
      <c r="C22">
        <v>10.3</v>
      </c>
      <c r="D22">
        <v>0</v>
      </c>
      <c r="E22">
        <v>356.7</v>
      </c>
      <c r="F22" t="s">
        <v>6</v>
      </c>
      <c r="G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2">
        <f>IF(Table1[[#This Row],[is_ups_overcharge]]="ups overcharged",Table1[[#This Row],[ups ship charge]]-Table1[[#This Row],[ada ship charge]],0)</f>
        <v>0</v>
      </c>
    </row>
    <row r="23" spans="1:9" x14ac:dyDescent="0.2">
      <c r="A23">
        <v>1002647</v>
      </c>
      <c r="B23" t="s">
        <v>20</v>
      </c>
      <c r="C23">
        <v>9.6999999999999993</v>
      </c>
      <c r="D23">
        <v>9.7799999999999994</v>
      </c>
      <c r="E23">
        <v>2.85</v>
      </c>
      <c r="F23" t="s">
        <v>6</v>
      </c>
      <c r="G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">
        <f>IF(Table1[[#This Row],[is_ups_overcharge]]="ups overcharged",Table1[[#This Row],[ups ship charge]]-Table1[[#This Row],[ada ship charge]],0)</f>
        <v>0</v>
      </c>
    </row>
    <row r="24" spans="1:9" x14ac:dyDescent="0.2">
      <c r="A24">
        <v>1002700</v>
      </c>
      <c r="B24" t="s">
        <v>20</v>
      </c>
      <c r="C24">
        <v>16.46</v>
      </c>
      <c r="D24">
        <v>16.71</v>
      </c>
      <c r="E24">
        <v>98.25</v>
      </c>
      <c r="F24" t="s">
        <v>10</v>
      </c>
      <c r="G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">
        <f>IF(Table1[[#This Row],[is_ups_overcharge]]="ups overcharged",Table1[[#This Row],[ups ship charge]]-Table1[[#This Row],[ada ship charge]],0)</f>
        <v>0</v>
      </c>
    </row>
    <row r="25" spans="1:9" x14ac:dyDescent="0.2">
      <c r="A25">
        <v>1002728</v>
      </c>
      <c r="B25" t="s">
        <v>20</v>
      </c>
      <c r="C25">
        <v>13.7</v>
      </c>
      <c r="D25">
        <v>13.79</v>
      </c>
      <c r="E25">
        <v>39.799999999999997</v>
      </c>
      <c r="F25" t="s">
        <v>9</v>
      </c>
      <c r="G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">
        <f>IF(Table1[[#This Row],[is_ups_overcharge]]="ups overcharged",Table1[[#This Row],[ups ship charge]]-Table1[[#This Row],[ada ship charge]],0)</f>
        <v>0</v>
      </c>
    </row>
    <row r="26" spans="1:9" x14ac:dyDescent="0.2">
      <c r="A26">
        <v>1002790</v>
      </c>
      <c r="B26" t="s">
        <v>20</v>
      </c>
      <c r="C26">
        <v>13.7</v>
      </c>
      <c r="D26">
        <v>13.79</v>
      </c>
      <c r="E26">
        <v>39.950000000000003</v>
      </c>
      <c r="F26" t="s">
        <v>9</v>
      </c>
      <c r="G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">
        <f>IF(Table1[[#This Row],[is_ups_overcharge]]="ups overcharged",Table1[[#This Row],[ups ship charge]]-Table1[[#This Row],[ada ship charge]],0)</f>
        <v>0</v>
      </c>
    </row>
    <row r="27" spans="1:9" x14ac:dyDescent="0.2">
      <c r="A27">
        <v>1002792</v>
      </c>
      <c r="B27" t="s">
        <v>20</v>
      </c>
      <c r="C27">
        <v>9.6999999999999993</v>
      </c>
      <c r="D27">
        <v>9.7799999999999994</v>
      </c>
      <c r="E27">
        <v>101.8</v>
      </c>
      <c r="F27" t="s">
        <v>6</v>
      </c>
      <c r="G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">
        <f>IF(Table1[[#This Row],[is_ups_overcharge]]="ups overcharged",Table1[[#This Row],[ups ship charge]]-Table1[[#This Row],[ada ship charge]],0)</f>
        <v>0</v>
      </c>
    </row>
    <row r="28" spans="1:9" x14ac:dyDescent="0.2">
      <c r="A28">
        <v>1002793</v>
      </c>
      <c r="B28" t="s">
        <v>20</v>
      </c>
      <c r="C28">
        <v>12.81</v>
      </c>
      <c r="D28">
        <v>12.89</v>
      </c>
      <c r="E28">
        <v>65.349999999999994</v>
      </c>
      <c r="F28" t="s">
        <v>9</v>
      </c>
      <c r="G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">
        <f>IF(Table1[[#This Row],[is_ups_overcharge]]="ups overcharged",Table1[[#This Row],[ups ship charge]]-Table1[[#This Row],[ada ship charge]],0)</f>
        <v>0</v>
      </c>
    </row>
    <row r="29" spans="1:9" x14ac:dyDescent="0.2">
      <c r="A29">
        <v>1002801</v>
      </c>
      <c r="B29" t="s">
        <v>20</v>
      </c>
      <c r="C29">
        <v>13.86</v>
      </c>
      <c r="D29">
        <v>0</v>
      </c>
      <c r="E29">
        <v>214.75</v>
      </c>
      <c r="F29" t="s">
        <v>9</v>
      </c>
      <c r="G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9">
        <f>IF(Table1[[#This Row],[is_ups_overcharge]]="ups overcharged",Table1[[#This Row],[ups ship charge]]-Table1[[#This Row],[ada ship charge]],0)</f>
        <v>0</v>
      </c>
    </row>
    <row r="30" spans="1:9" x14ac:dyDescent="0.2">
      <c r="A30">
        <v>1002807</v>
      </c>
      <c r="B30" t="s">
        <v>20</v>
      </c>
      <c r="C30">
        <v>12.81</v>
      </c>
      <c r="D30">
        <v>12.89</v>
      </c>
      <c r="E30">
        <v>15.75</v>
      </c>
      <c r="F30" t="s">
        <v>9</v>
      </c>
      <c r="G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">
        <f>IF(Table1[[#This Row],[is_ups_overcharge]]="ups overcharged",Table1[[#This Row],[ups ship charge]]-Table1[[#This Row],[ada ship charge]],0)</f>
        <v>0</v>
      </c>
    </row>
    <row r="31" spans="1:9" x14ac:dyDescent="0.2">
      <c r="A31">
        <v>1002812</v>
      </c>
      <c r="B31" t="s">
        <v>20</v>
      </c>
      <c r="C31">
        <v>16.38</v>
      </c>
      <c r="D31">
        <v>0</v>
      </c>
      <c r="E31">
        <v>659.3</v>
      </c>
      <c r="F31" t="s">
        <v>6</v>
      </c>
      <c r="G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3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31">
        <f>IF(Table1[[#This Row],[is_ups_overcharge]]="ups overcharged",Table1[[#This Row],[ups ship charge]]-Table1[[#This Row],[ada ship charge]],0)</f>
        <v>0</v>
      </c>
    </row>
    <row r="32" spans="1:9" x14ac:dyDescent="0.2">
      <c r="A32">
        <v>1002916</v>
      </c>
      <c r="B32" t="s">
        <v>20</v>
      </c>
      <c r="C32">
        <v>67.459999999999994</v>
      </c>
      <c r="D32">
        <v>76.72</v>
      </c>
      <c r="E32">
        <v>114.95</v>
      </c>
      <c r="F32" t="s">
        <v>8</v>
      </c>
      <c r="G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">
        <f>IF(Table1[[#This Row],[is_ups_overcharge]]="ups overcharged",Table1[[#This Row],[ups ship charge]]-Table1[[#This Row],[ada ship charge]],0)</f>
        <v>0</v>
      </c>
    </row>
    <row r="33" spans="1:9" x14ac:dyDescent="0.2">
      <c r="A33">
        <v>1003005</v>
      </c>
      <c r="B33" t="s">
        <v>20</v>
      </c>
      <c r="C33">
        <v>13.7</v>
      </c>
      <c r="D33">
        <v>13.75</v>
      </c>
      <c r="E33">
        <v>56.85</v>
      </c>
      <c r="F33" t="s">
        <v>9</v>
      </c>
      <c r="G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">
        <f>IF(Table1[[#This Row],[is_ups_overcharge]]="ups overcharged",Table1[[#This Row],[ups ship charge]]-Table1[[#This Row],[ada ship charge]],0)</f>
        <v>0</v>
      </c>
    </row>
    <row r="34" spans="1:9" x14ac:dyDescent="0.2">
      <c r="A34">
        <v>1003008</v>
      </c>
      <c r="B34" t="s">
        <v>20</v>
      </c>
      <c r="C34">
        <v>12.81</v>
      </c>
      <c r="D34">
        <v>12.86</v>
      </c>
      <c r="E34">
        <v>26.9</v>
      </c>
      <c r="F34" t="s">
        <v>9</v>
      </c>
      <c r="G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">
        <f>IF(Table1[[#This Row],[is_ups_overcharge]]="ups overcharged",Table1[[#This Row],[ups ship charge]]-Table1[[#This Row],[ada ship charge]],0)</f>
        <v>0</v>
      </c>
    </row>
    <row r="35" spans="1:9" x14ac:dyDescent="0.2">
      <c r="A35">
        <v>1003009</v>
      </c>
      <c r="B35" t="s">
        <v>20</v>
      </c>
      <c r="C35">
        <v>13.7</v>
      </c>
      <c r="D35">
        <v>0</v>
      </c>
      <c r="E35">
        <v>228.21</v>
      </c>
      <c r="F35" t="s">
        <v>9</v>
      </c>
      <c r="G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3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35">
        <f>IF(Table1[[#This Row],[is_ups_overcharge]]="ups overcharged",Table1[[#This Row],[ups ship charge]]-Table1[[#This Row],[ada ship charge]],0)</f>
        <v>0</v>
      </c>
    </row>
    <row r="36" spans="1:9" x14ac:dyDescent="0.2">
      <c r="A36">
        <v>1003013</v>
      </c>
      <c r="B36" t="s">
        <v>20</v>
      </c>
      <c r="C36">
        <v>13.71</v>
      </c>
      <c r="D36">
        <v>13.83</v>
      </c>
      <c r="E36">
        <v>109.49</v>
      </c>
      <c r="F36" t="s">
        <v>9</v>
      </c>
      <c r="G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">
        <f>IF(Table1[[#This Row],[is_ups_overcharge]]="ups overcharged",Table1[[#This Row],[ups ship charge]]-Table1[[#This Row],[ada ship charge]],0)</f>
        <v>0</v>
      </c>
    </row>
    <row r="37" spans="1:9" x14ac:dyDescent="0.2">
      <c r="A37">
        <v>1003023</v>
      </c>
      <c r="B37" t="s">
        <v>20</v>
      </c>
      <c r="C37">
        <v>12.81</v>
      </c>
      <c r="D37">
        <v>12.86</v>
      </c>
      <c r="E37">
        <v>93.45</v>
      </c>
      <c r="F37" t="s">
        <v>9</v>
      </c>
      <c r="G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">
        <f>IF(Table1[[#This Row],[is_ups_overcharge]]="ups overcharged",Table1[[#This Row],[ups ship charge]]-Table1[[#This Row],[ada ship charge]],0)</f>
        <v>0</v>
      </c>
    </row>
    <row r="38" spans="1:9" x14ac:dyDescent="0.2">
      <c r="A38">
        <v>1003026</v>
      </c>
      <c r="B38" t="s">
        <v>20</v>
      </c>
      <c r="C38">
        <v>12.81</v>
      </c>
      <c r="D38">
        <v>13.09</v>
      </c>
      <c r="E38">
        <v>114.95</v>
      </c>
      <c r="F38" t="s">
        <v>9</v>
      </c>
      <c r="G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">
        <f>IF(Table1[[#This Row],[is_ups_overcharge]]="ups overcharged",Table1[[#This Row],[ups ship charge]]-Table1[[#This Row],[ada ship charge]],0)</f>
        <v>0</v>
      </c>
    </row>
    <row r="39" spans="1:9" x14ac:dyDescent="0.2">
      <c r="A39">
        <v>1003040</v>
      </c>
      <c r="B39" t="s">
        <v>20</v>
      </c>
      <c r="C39">
        <v>57.52</v>
      </c>
      <c r="D39">
        <v>60.39</v>
      </c>
      <c r="E39">
        <v>84.45</v>
      </c>
      <c r="F39" t="s">
        <v>11</v>
      </c>
      <c r="G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">
        <f>IF(Table1[[#This Row],[is_ups_overcharge]]="ups overcharged",Table1[[#This Row],[ups ship charge]]-Table1[[#This Row],[ada ship charge]],0)</f>
        <v>0</v>
      </c>
    </row>
    <row r="40" spans="1:9" x14ac:dyDescent="0.2">
      <c r="A40">
        <v>1003042</v>
      </c>
      <c r="B40" t="s">
        <v>20</v>
      </c>
      <c r="C40">
        <v>14.23</v>
      </c>
      <c r="D40">
        <v>13.82</v>
      </c>
      <c r="E40">
        <v>99.9</v>
      </c>
      <c r="F40" t="s">
        <v>9</v>
      </c>
      <c r="G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40">
        <f>IF(Table1[[#This Row],[is_ups_overcharge]]="ups overcharged",Table1[[#This Row],[ups ship charge]]-Table1[[#This Row],[ada ship charge]],0)</f>
        <v>0.41000000000000014</v>
      </c>
    </row>
    <row r="41" spans="1:9" x14ac:dyDescent="0.2">
      <c r="A41">
        <v>1003043</v>
      </c>
      <c r="B41" t="s">
        <v>20</v>
      </c>
      <c r="C41">
        <v>15.13</v>
      </c>
      <c r="D41">
        <v>15.18</v>
      </c>
      <c r="E41">
        <v>157.69999999999999</v>
      </c>
      <c r="F41" t="s">
        <v>12</v>
      </c>
      <c r="G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">
        <f>IF(Table1[[#This Row],[is_ups_overcharge]]="ups overcharged",Table1[[#This Row],[ups ship charge]]-Table1[[#This Row],[ada ship charge]],0)</f>
        <v>0</v>
      </c>
    </row>
    <row r="42" spans="1:9" x14ac:dyDescent="0.2">
      <c r="A42">
        <v>1003046</v>
      </c>
      <c r="B42" t="s">
        <v>20</v>
      </c>
      <c r="C42">
        <v>13.7</v>
      </c>
      <c r="D42">
        <v>13.75</v>
      </c>
      <c r="E42">
        <v>59.75</v>
      </c>
      <c r="F42" t="s">
        <v>9</v>
      </c>
      <c r="G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">
        <f>IF(Table1[[#This Row],[is_ups_overcharge]]="ups overcharged",Table1[[#This Row],[ups ship charge]]-Table1[[#This Row],[ada ship charge]],0)</f>
        <v>0</v>
      </c>
    </row>
    <row r="43" spans="1:9" x14ac:dyDescent="0.2">
      <c r="A43">
        <v>1003060</v>
      </c>
      <c r="B43" t="s">
        <v>20</v>
      </c>
      <c r="C43">
        <v>13.7</v>
      </c>
      <c r="D43">
        <v>13.75</v>
      </c>
      <c r="E43">
        <v>24.95</v>
      </c>
      <c r="F43" t="s">
        <v>9</v>
      </c>
      <c r="G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">
        <f>IF(Table1[[#This Row],[is_ups_overcharge]]="ups overcharged",Table1[[#This Row],[ups ship charge]]-Table1[[#This Row],[ada ship charge]],0)</f>
        <v>0</v>
      </c>
    </row>
    <row r="44" spans="1:9" x14ac:dyDescent="0.2">
      <c r="A44">
        <v>1003066</v>
      </c>
      <c r="B44" t="s">
        <v>20</v>
      </c>
      <c r="C44">
        <v>13.7</v>
      </c>
      <c r="D44">
        <v>13.75</v>
      </c>
      <c r="E44">
        <v>34.9</v>
      </c>
      <c r="F44" t="s">
        <v>9</v>
      </c>
      <c r="G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">
        <f>IF(Table1[[#This Row],[is_ups_overcharge]]="ups overcharged",Table1[[#This Row],[ups ship charge]]-Table1[[#This Row],[ada ship charge]],0)</f>
        <v>0</v>
      </c>
    </row>
    <row r="45" spans="1:9" x14ac:dyDescent="0.2">
      <c r="A45">
        <v>1003078</v>
      </c>
      <c r="B45" t="s">
        <v>20</v>
      </c>
      <c r="C45">
        <v>13.71</v>
      </c>
      <c r="D45">
        <v>14.2</v>
      </c>
      <c r="E45">
        <v>67.8</v>
      </c>
      <c r="F45" t="s">
        <v>9</v>
      </c>
      <c r="G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">
        <f>IF(Table1[[#This Row],[is_ups_overcharge]]="ups overcharged",Table1[[#This Row],[ups ship charge]]-Table1[[#This Row],[ada ship charge]],0)</f>
        <v>0</v>
      </c>
    </row>
    <row r="46" spans="1:9" x14ac:dyDescent="0.2">
      <c r="A46">
        <v>1003080</v>
      </c>
      <c r="B46" t="s">
        <v>20</v>
      </c>
      <c r="C46">
        <v>89.75</v>
      </c>
      <c r="D46">
        <v>83.08</v>
      </c>
      <c r="E46">
        <v>237.9</v>
      </c>
      <c r="F46" t="s">
        <v>8</v>
      </c>
      <c r="G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46">
        <f>IF(Table1[[#This Row],[is_ups_overcharge]]="ups overcharged",Table1[[#This Row],[ups ship charge]]-Table1[[#This Row],[ada ship charge]],0)</f>
        <v>6.6700000000000017</v>
      </c>
    </row>
    <row r="47" spans="1:9" x14ac:dyDescent="0.2">
      <c r="A47">
        <v>1003096</v>
      </c>
      <c r="B47" t="s">
        <v>20</v>
      </c>
      <c r="C47">
        <v>15.13</v>
      </c>
      <c r="D47">
        <v>15.18</v>
      </c>
      <c r="E47">
        <v>15.85</v>
      </c>
      <c r="F47" t="s">
        <v>12</v>
      </c>
      <c r="G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7">
        <f>IF(Table1[[#This Row],[is_ups_overcharge]]="ups overcharged",Table1[[#This Row],[ups ship charge]]-Table1[[#This Row],[ada ship charge]],0)</f>
        <v>0</v>
      </c>
    </row>
    <row r="48" spans="1:9" x14ac:dyDescent="0.2">
      <c r="A48">
        <v>1003097</v>
      </c>
      <c r="B48" t="s">
        <v>20</v>
      </c>
      <c r="C48">
        <v>16.46</v>
      </c>
      <c r="D48">
        <v>16.97</v>
      </c>
      <c r="E48">
        <v>496.95</v>
      </c>
      <c r="F48" t="s">
        <v>10</v>
      </c>
      <c r="G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8">
        <f>IF(Table1[[#This Row],[is_ups_overcharge]]="ups overcharged",Table1[[#This Row],[ups ship charge]]-Table1[[#This Row],[ada ship charge]],0)</f>
        <v>0</v>
      </c>
    </row>
    <row r="49" spans="1:9" x14ac:dyDescent="0.2">
      <c r="A49">
        <v>1003125</v>
      </c>
      <c r="B49" t="s">
        <v>20</v>
      </c>
      <c r="C49">
        <v>12.35</v>
      </c>
      <c r="D49">
        <v>12.4</v>
      </c>
      <c r="E49">
        <v>8.85</v>
      </c>
      <c r="F49" t="s">
        <v>13</v>
      </c>
      <c r="G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9">
        <f>IF(Table1[[#This Row],[is_ups_overcharge]]="ups overcharged",Table1[[#This Row],[ups ship charge]]-Table1[[#This Row],[ada ship charge]],0)</f>
        <v>0</v>
      </c>
    </row>
    <row r="50" spans="1:9" x14ac:dyDescent="0.2">
      <c r="A50">
        <v>1003129</v>
      </c>
      <c r="B50" t="s">
        <v>20</v>
      </c>
      <c r="C50">
        <v>12.81</v>
      </c>
      <c r="D50">
        <v>12.86</v>
      </c>
      <c r="E50">
        <v>17.899999999999999</v>
      </c>
      <c r="F50" t="s">
        <v>9</v>
      </c>
      <c r="G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0">
        <f>IF(Table1[[#This Row],[is_ups_overcharge]]="ups overcharged",Table1[[#This Row],[ups ship charge]]-Table1[[#This Row],[ada ship charge]],0)</f>
        <v>0</v>
      </c>
    </row>
    <row r="51" spans="1:9" x14ac:dyDescent="0.2">
      <c r="A51">
        <v>1003147</v>
      </c>
      <c r="B51" t="s">
        <v>20</v>
      </c>
      <c r="C51">
        <v>13.7</v>
      </c>
      <c r="D51">
        <v>13.76</v>
      </c>
      <c r="E51">
        <v>63.55</v>
      </c>
      <c r="F51" t="s">
        <v>9</v>
      </c>
      <c r="G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1">
        <f>IF(Table1[[#This Row],[is_ups_overcharge]]="ups overcharged",Table1[[#This Row],[ups ship charge]]-Table1[[#This Row],[ada ship charge]],0)</f>
        <v>0</v>
      </c>
    </row>
    <row r="52" spans="1:9" x14ac:dyDescent="0.2">
      <c r="A52">
        <v>1003165</v>
      </c>
      <c r="B52" t="s">
        <v>20</v>
      </c>
      <c r="C52">
        <v>13.7</v>
      </c>
      <c r="D52">
        <v>13.75</v>
      </c>
      <c r="E52">
        <v>37.85</v>
      </c>
      <c r="F52" t="s">
        <v>9</v>
      </c>
      <c r="G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2">
        <f>IF(Table1[[#This Row],[is_ups_overcharge]]="ups overcharged",Table1[[#This Row],[ups ship charge]]-Table1[[#This Row],[ada ship charge]],0)</f>
        <v>0</v>
      </c>
    </row>
    <row r="53" spans="1:9" x14ac:dyDescent="0.2">
      <c r="A53">
        <v>1003166</v>
      </c>
      <c r="B53" t="s">
        <v>20</v>
      </c>
      <c r="C53">
        <v>12.81</v>
      </c>
      <c r="D53">
        <v>12.86</v>
      </c>
      <c r="E53">
        <v>159.85</v>
      </c>
      <c r="F53" t="s">
        <v>9</v>
      </c>
      <c r="G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3">
        <f>IF(Table1[[#This Row],[is_ups_overcharge]]="ups overcharged",Table1[[#This Row],[ups ship charge]]-Table1[[#This Row],[ada ship charge]],0)</f>
        <v>0</v>
      </c>
    </row>
    <row r="54" spans="1:9" x14ac:dyDescent="0.2">
      <c r="A54">
        <v>1003169</v>
      </c>
      <c r="B54" t="s">
        <v>20</v>
      </c>
      <c r="C54">
        <v>9.6999999999999993</v>
      </c>
      <c r="D54">
        <v>9.76</v>
      </c>
      <c r="E54">
        <v>20.3</v>
      </c>
      <c r="F54" t="s">
        <v>6</v>
      </c>
      <c r="G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4">
        <f>IF(Table1[[#This Row],[is_ups_overcharge]]="ups overcharged",Table1[[#This Row],[ups ship charge]]-Table1[[#This Row],[ada ship charge]],0)</f>
        <v>0</v>
      </c>
    </row>
    <row r="55" spans="1:9" x14ac:dyDescent="0.2">
      <c r="A55">
        <v>1003181</v>
      </c>
      <c r="B55" t="s">
        <v>20</v>
      </c>
      <c r="C55">
        <v>12.81</v>
      </c>
      <c r="D55">
        <v>12.86</v>
      </c>
      <c r="E55">
        <v>78.75</v>
      </c>
      <c r="F55" t="s">
        <v>9</v>
      </c>
      <c r="G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5">
        <f>IF(Table1[[#This Row],[is_ups_overcharge]]="ups overcharged",Table1[[#This Row],[ups ship charge]]-Table1[[#This Row],[ada ship charge]],0)</f>
        <v>0</v>
      </c>
    </row>
    <row r="56" spans="1:9" x14ac:dyDescent="0.2">
      <c r="A56">
        <v>1003190</v>
      </c>
      <c r="B56" t="s">
        <v>20</v>
      </c>
      <c r="C56">
        <v>13.7</v>
      </c>
      <c r="D56">
        <v>13.75</v>
      </c>
      <c r="E56">
        <v>13.85</v>
      </c>
      <c r="F56" t="s">
        <v>9</v>
      </c>
      <c r="G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6">
        <f>IF(Table1[[#This Row],[is_ups_overcharge]]="ups overcharged",Table1[[#This Row],[ups ship charge]]-Table1[[#This Row],[ada ship charge]],0)</f>
        <v>0</v>
      </c>
    </row>
    <row r="57" spans="1:9" x14ac:dyDescent="0.2">
      <c r="A57">
        <v>1003191</v>
      </c>
      <c r="B57" t="s">
        <v>20</v>
      </c>
      <c r="C57">
        <v>15.13</v>
      </c>
      <c r="D57">
        <v>15.18</v>
      </c>
      <c r="E57">
        <v>52.9</v>
      </c>
      <c r="F57" t="s">
        <v>12</v>
      </c>
      <c r="G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7">
        <f>IF(Table1[[#This Row],[is_ups_overcharge]]="ups overcharged",Table1[[#This Row],[ups ship charge]]-Table1[[#This Row],[ada ship charge]],0)</f>
        <v>0</v>
      </c>
    </row>
    <row r="58" spans="1:9" x14ac:dyDescent="0.2">
      <c r="A58">
        <v>1003194</v>
      </c>
      <c r="B58" t="s">
        <v>20</v>
      </c>
      <c r="C58">
        <v>12.81</v>
      </c>
      <c r="D58">
        <v>0</v>
      </c>
      <c r="E58">
        <v>259.35000000000002</v>
      </c>
      <c r="F58" t="s">
        <v>9</v>
      </c>
      <c r="G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8">
        <f>IF(Table1[[#This Row],[is_ups_overcharge]]="ups overcharged",Table1[[#This Row],[ups ship charge]]-Table1[[#This Row],[ada ship charge]],0)</f>
        <v>0</v>
      </c>
    </row>
    <row r="59" spans="1:9" x14ac:dyDescent="0.2">
      <c r="A59">
        <v>1003205</v>
      </c>
      <c r="B59" t="s">
        <v>20</v>
      </c>
      <c r="C59">
        <v>13.26</v>
      </c>
      <c r="D59">
        <v>13.88</v>
      </c>
      <c r="E59">
        <v>120.3</v>
      </c>
      <c r="F59" t="s">
        <v>9</v>
      </c>
      <c r="G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9">
        <f>IF(Table1[[#This Row],[is_ups_overcharge]]="ups overcharged",Table1[[#This Row],[ups ship charge]]-Table1[[#This Row],[ada ship charge]],0)</f>
        <v>0</v>
      </c>
    </row>
    <row r="60" spans="1:9" x14ac:dyDescent="0.2">
      <c r="A60">
        <v>1003211</v>
      </c>
      <c r="B60" t="s">
        <v>20</v>
      </c>
      <c r="C60">
        <v>13.7</v>
      </c>
      <c r="D60">
        <v>13.75</v>
      </c>
      <c r="E60">
        <v>45.7</v>
      </c>
      <c r="F60" t="s">
        <v>9</v>
      </c>
      <c r="G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0">
        <f>IF(Table1[[#This Row],[is_ups_overcharge]]="ups overcharged",Table1[[#This Row],[ups ship charge]]-Table1[[#This Row],[ada ship charge]],0)</f>
        <v>0</v>
      </c>
    </row>
    <row r="61" spans="1:9" x14ac:dyDescent="0.2">
      <c r="A61">
        <v>1003216</v>
      </c>
      <c r="B61" t="s">
        <v>20</v>
      </c>
      <c r="C61">
        <v>12.81</v>
      </c>
      <c r="D61">
        <v>12.86</v>
      </c>
      <c r="E61">
        <v>84.9</v>
      </c>
      <c r="F61" t="s">
        <v>9</v>
      </c>
      <c r="G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1">
        <f>IF(Table1[[#This Row],[is_ups_overcharge]]="ups overcharged",Table1[[#This Row],[ups ship charge]]-Table1[[#This Row],[ada ship charge]],0)</f>
        <v>0</v>
      </c>
    </row>
    <row r="62" spans="1:9" x14ac:dyDescent="0.2">
      <c r="A62">
        <v>1003218</v>
      </c>
      <c r="B62" t="s">
        <v>20</v>
      </c>
      <c r="C62">
        <v>13.7</v>
      </c>
      <c r="D62">
        <v>13.75</v>
      </c>
      <c r="E62">
        <v>114.95</v>
      </c>
      <c r="F62" t="s">
        <v>9</v>
      </c>
      <c r="G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2">
        <f>IF(Table1[[#This Row],[is_ups_overcharge]]="ups overcharged",Table1[[#This Row],[ups ship charge]]-Table1[[#This Row],[ada ship charge]],0)</f>
        <v>0</v>
      </c>
    </row>
    <row r="63" spans="1:9" x14ac:dyDescent="0.2">
      <c r="A63">
        <v>1003220</v>
      </c>
      <c r="B63" t="s">
        <v>20</v>
      </c>
      <c r="C63">
        <v>11.02</v>
      </c>
      <c r="D63">
        <v>11.07</v>
      </c>
      <c r="E63">
        <v>9.9499999999999993</v>
      </c>
      <c r="F63" t="s">
        <v>14</v>
      </c>
      <c r="G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3">
        <f>IF(Table1[[#This Row],[is_ups_overcharge]]="ups overcharged",Table1[[#This Row],[ups ship charge]]-Table1[[#This Row],[ada ship charge]],0)</f>
        <v>0</v>
      </c>
    </row>
    <row r="64" spans="1:9" x14ac:dyDescent="0.2">
      <c r="A64">
        <v>1003248</v>
      </c>
      <c r="B64" t="s">
        <v>20</v>
      </c>
      <c r="C64">
        <v>12.81</v>
      </c>
      <c r="D64">
        <v>12.86</v>
      </c>
      <c r="E64">
        <v>13.8</v>
      </c>
      <c r="F64" t="s">
        <v>9</v>
      </c>
      <c r="G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4">
        <f>IF(Table1[[#This Row],[is_ups_overcharge]]="ups overcharged",Table1[[#This Row],[ups ship charge]]-Table1[[#This Row],[ada ship charge]],0)</f>
        <v>0</v>
      </c>
    </row>
    <row r="65" spans="1:9" x14ac:dyDescent="0.2">
      <c r="A65">
        <v>1003261</v>
      </c>
      <c r="B65" t="s">
        <v>20</v>
      </c>
      <c r="C65">
        <v>12.81</v>
      </c>
      <c r="D65">
        <v>12.86</v>
      </c>
      <c r="E65">
        <v>38.799999999999997</v>
      </c>
      <c r="F65" t="s">
        <v>9</v>
      </c>
      <c r="G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5">
        <f>IF(Table1[[#This Row],[is_ups_overcharge]]="ups overcharged",Table1[[#This Row],[ups ship charge]]-Table1[[#This Row],[ada ship charge]],0)</f>
        <v>0</v>
      </c>
    </row>
    <row r="66" spans="1:9" x14ac:dyDescent="0.2">
      <c r="A66">
        <v>1003275</v>
      </c>
      <c r="B66" t="s">
        <v>20</v>
      </c>
      <c r="C66">
        <v>12.81</v>
      </c>
      <c r="D66">
        <v>12.86</v>
      </c>
      <c r="E66">
        <v>48.75</v>
      </c>
      <c r="F66" t="s">
        <v>9</v>
      </c>
      <c r="G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6">
        <f>IF(Table1[[#This Row],[is_ups_overcharge]]="ups overcharged",Table1[[#This Row],[ups ship charge]]-Table1[[#This Row],[ada ship charge]],0)</f>
        <v>0</v>
      </c>
    </row>
    <row r="67" spans="1:9" x14ac:dyDescent="0.2">
      <c r="A67">
        <v>1003278</v>
      </c>
      <c r="B67" t="s">
        <v>20</v>
      </c>
      <c r="C67">
        <v>12.81</v>
      </c>
      <c r="D67">
        <v>12.86</v>
      </c>
      <c r="E67">
        <v>78</v>
      </c>
      <c r="F67" t="s">
        <v>9</v>
      </c>
      <c r="G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7">
        <f>IF(Table1[[#This Row],[is_ups_overcharge]]="ups overcharged",Table1[[#This Row],[ups ship charge]]-Table1[[#This Row],[ada ship charge]],0)</f>
        <v>0</v>
      </c>
    </row>
    <row r="68" spans="1:9" x14ac:dyDescent="0.2">
      <c r="A68">
        <v>1003286</v>
      </c>
      <c r="B68" t="s">
        <v>20</v>
      </c>
      <c r="C68">
        <v>15.44</v>
      </c>
      <c r="D68">
        <v>15.49</v>
      </c>
      <c r="E68">
        <v>24.9</v>
      </c>
      <c r="F68" t="s">
        <v>12</v>
      </c>
      <c r="G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8">
        <f>IF(Table1[[#This Row],[is_ups_overcharge]]="ups overcharged",Table1[[#This Row],[ups ship charge]]-Table1[[#This Row],[ada ship charge]],0)</f>
        <v>0</v>
      </c>
    </row>
    <row r="69" spans="1:9" x14ac:dyDescent="0.2">
      <c r="A69">
        <v>1003287</v>
      </c>
      <c r="B69" t="s">
        <v>20</v>
      </c>
      <c r="C69">
        <v>16.46</v>
      </c>
      <c r="D69">
        <v>16.510000000000002</v>
      </c>
      <c r="E69">
        <v>29.9</v>
      </c>
      <c r="F69" t="s">
        <v>10</v>
      </c>
      <c r="G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9">
        <f>IF(Table1[[#This Row],[is_ups_overcharge]]="ups overcharged",Table1[[#This Row],[ups ship charge]]-Table1[[#This Row],[ada ship charge]],0)</f>
        <v>0</v>
      </c>
    </row>
    <row r="70" spans="1:9" x14ac:dyDescent="0.2">
      <c r="A70">
        <v>1003289</v>
      </c>
      <c r="B70" t="s">
        <v>20</v>
      </c>
      <c r="C70">
        <v>13.7</v>
      </c>
      <c r="D70">
        <v>13.75</v>
      </c>
      <c r="E70">
        <v>3.9</v>
      </c>
      <c r="F70" t="s">
        <v>9</v>
      </c>
      <c r="G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0">
        <f>IF(Table1[[#This Row],[is_ups_overcharge]]="ups overcharged",Table1[[#This Row],[ups ship charge]]-Table1[[#This Row],[ada ship charge]],0)</f>
        <v>0</v>
      </c>
    </row>
    <row r="71" spans="1:9" x14ac:dyDescent="0.2">
      <c r="A71">
        <v>1003296</v>
      </c>
      <c r="B71" t="s">
        <v>20</v>
      </c>
      <c r="C71">
        <v>31.34</v>
      </c>
      <c r="D71">
        <v>0</v>
      </c>
      <c r="E71">
        <v>1280</v>
      </c>
      <c r="F71" t="s">
        <v>6</v>
      </c>
      <c r="G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7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71">
        <f>IF(Table1[[#This Row],[is_ups_overcharge]]="ups overcharged",Table1[[#This Row],[ups ship charge]]-Table1[[#This Row],[ada ship charge]],0)</f>
        <v>0</v>
      </c>
    </row>
    <row r="72" spans="1:9" x14ac:dyDescent="0.2">
      <c r="A72">
        <v>1003306</v>
      </c>
      <c r="B72" t="s">
        <v>20</v>
      </c>
      <c r="C72">
        <v>12.81</v>
      </c>
      <c r="D72">
        <v>12.86</v>
      </c>
      <c r="E72">
        <v>45</v>
      </c>
      <c r="F72" t="s">
        <v>9</v>
      </c>
      <c r="G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2">
        <f>IF(Table1[[#This Row],[is_ups_overcharge]]="ups overcharged",Table1[[#This Row],[ups ship charge]]-Table1[[#This Row],[ada ship charge]],0)</f>
        <v>0</v>
      </c>
    </row>
    <row r="73" spans="1:9" x14ac:dyDescent="0.2">
      <c r="A73">
        <v>1003313</v>
      </c>
      <c r="B73" t="s">
        <v>20</v>
      </c>
      <c r="C73">
        <v>13.7</v>
      </c>
      <c r="D73">
        <v>13.99</v>
      </c>
      <c r="E73">
        <v>75</v>
      </c>
      <c r="F73" t="s">
        <v>9</v>
      </c>
      <c r="G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3">
        <f>IF(Table1[[#This Row],[is_ups_overcharge]]="ups overcharged",Table1[[#This Row],[ups ship charge]]-Table1[[#This Row],[ada ship charge]],0)</f>
        <v>0</v>
      </c>
    </row>
    <row r="74" spans="1:9" x14ac:dyDescent="0.2">
      <c r="A74">
        <v>1003315</v>
      </c>
      <c r="B74" t="s">
        <v>20</v>
      </c>
      <c r="C74">
        <v>15.13</v>
      </c>
      <c r="D74">
        <v>15.18</v>
      </c>
      <c r="E74">
        <v>29.9</v>
      </c>
      <c r="F74" t="s">
        <v>12</v>
      </c>
      <c r="G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4">
        <f>IF(Table1[[#This Row],[is_ups_overcharge]]="ups overcharged",Table1[[#This Row],[ups ship charge]]-Table1[[#This Row],[ada ship charge]],0)</f>
        <v>0</v>
      </c>
    </row>
    <row r="75" spans="1:9" x14ac:dyDescent="0.2">
      <c r="A75">
        <v>1003335</v>
      </c>
      <c r="B75" t="s">
        <v>20</v>
      </c>
      <c r="C75">
        <v>12.81</v>
      </c>
      <c r="D75">
        <v>12.86</v>
      </c>
      <c r="E75">
        <v>5</v>
      </c>
      <c r="F75" t="s">
        <v>9</v>
      </c>
      <c r="G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5">
        <f>IF(Table1[[#This Row],[is_ups_overcharge]]="ups overcharged",Table1[[#This Row],[ups ship charge]]-Table1[[#This Row],[ada ship charge]],0)</f>
        <v>0</v>
      </c>
    </row>
    <row r="76" spans="1:9" x14ac:dyDescent="0.2">
      <c r="A76">
        <v>1003360</v>
      </c>
      <c r="B76" t="s">
        <v>20</v>
      </c>
      <c r="C76">
        <v>12.81</v>
      </c>
      <c r="D76">
        <v>12.86</v>
      </c>
      <c r="E76">
        <v>47.75</v>
      </c>
      <c r="F76" t="s">
        <v>9</v>
      </c>
      <c r="G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6">
        <f>IF(Table1[[#This Row],[is_ups_overcharge]]="ups overcharged",Table1[[#This Row],[ups ship charge]]-Table1[[#This Row],[ada ship charge]],0)</f>
        <v>0</v>
      </c>
    </row>
    <row r="77" spans="1:9" x14ac:dyDescent="0.2">
      <c r="A77">
        <v>1003361</v>
      </c>
      <c r="B77" t="s">
        <v>20</v>
      </c>
      <c r="C77">
        <v>13.7</v>
      </c>
      <c r="D77">
        <v>13.75</v>
      </c>
      <c r="E77">
        <v>47.9</v>
      </c>
      <c r="F77" t="s">
        <v>9</v>
      </c>
      <c r="G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7">
        <f>IF(Table1[[#This Row],[is_ups_overcharge]]="ups overcharged",Table1[[#This Row],[ups ship charge]]-Table1[[#This Row],[ada ship charge]],0)</f>
        <v>0</v>
      </c>
    </row>
    <row r="78" spans="1:9" x14ac:dyDescent="0.2">
      <c r="A78">
        <v>1003371</v>
      </c>
      <c r="B78" t="s">
        <v>20</v>
      </c>
      <c r="C78">
        <v>13.7</v>
      </c>
      <c r="D78">
        <v>13.75</v>
      </c>
      <c r="E78">
        <v>17.899999999999999</v>
      </c>
      <c r="F78" t="s">
        <v>9</v>
      </c>
      <c r="G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8">
        <f>IF(Table1[[#This Row],[is_ups_overcharge]]="ups overcharged",Table1[[#This Row],[ups ship charge]]-Table1[[#This Row],[ada ship charge]],0)</f>
        <v>0</v>
      </c>
    </row>
    <row r="79" spans="1:9" x14ac:dyDescent="0.2">
      <c r="A79">
        <v>1003374</v>
      </c>
      <c r="B79" t="s">
        <v>20</v>
      </c>
      <c r="C79">
        <v>13.7</v>
      </c>
      <c r="D79">
        <v>13.75</v>
      </c>
      <c r="E79">
        <v>52.6</v>
      </c>
      <c r="F79" t="s">
        <v>9</v>
      </c>
      <c r="G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9">
        <f>IF(Table1[[#This Row],[is_ups_overcharge]]="ups overcharged",Table1[[#This Row],[ups ship charge]]-Table1[[#This Row],[ada ship charge]],0)</f>
        <v>0</v>
      </c>
    </row>
    <row r="80" spans="1:9" x14ac:dyDescent="0.2">
      <c r="A80">
        <v>1003377</v>
      </c>
      <c r="B80" t="s">
        <v>20</v>
      </c>
      <c r="C80">
        <v>12.81</v>
      </c>
      <c r="D80">
        <v>12.86</v>
      </c>
      <c r="E80">
        <v>24.1</v>
      </c>
      <c r="F80" t="s">
        <v>9</v>
      </c>
      <c r="G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0">
        <f>IF(Table1[[#This Row],[is_ups_overcharge]]="ups overcharged",Table1[[#This Row],[ups ship charge]]-Table1[[#This Row],[ada ship charge]],0)</f>
        <v>0</v>
      </c>
    </row>
    <row r="81" spans="1:9" x14ac:dyDescent="0.2">
      <c r="A81">
        <v>1003384</v>
      </c>
      <c r="B81" t="s">
        <v>20</v>
      </c>
      <c r="C81">
        <v>12.81</v>
      </c>
      <c r="D81">
        <v>12.86</v>
      </c>
      <c r="E81">
        <v>39.799999999999997</v>
      </c>
      <c r="F81" t="s">
        <v>9</v>
      </c>
      <c r="G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1">
        <f>IF(Table1[[#This Row],[is_ups_overcharge]]="ups overcharged",Table1[[#This Row],[ups ship charge]]-Table1[[#This Row],[ada ship charge]],0)</f>
        <v>0</v>
      </c>
    </row>
    <row r="82" spans="1:9" x14ac:dyDescent="0.2">
      <c r="A82">
        <v>1003391</v>
      </c>
      <c r="B82" t="s">
        <v>20</v>
      </c>
      <c r="C82">
        <v>12.81</v>
      </c>
      <c r="D82">
        <v>13.31</v>
      </c>
      <c r="E82">
        <v>38.25</v>
      </c>
      <c r="F82" t="s">
        <v>9</v>
      </c>
      <c r="G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2">
        <f>IF(Table1[[#This Row],[is_ups_overcharge]]="ups overcharged",Table1[[#This Row],[ups ship charge]]-Table1[[#This Row],[ada ship charge]],0)</f>
        <v>0</v>
      </c>
    </row>
    <row r="83" spans="1:9" x14ac:dyDescent="0.2">
      <c r="A83">
        <v>1003394</v>
      </c>
      <c r="B83" t="s">
        <v>20</v>
      </c>
      <c r="C83">
        <v>13.7</v>
      </c>
      <c r="D83">
        <v>14.56</v>
      </c>
      <c r="E83">
        <v>108.85</v>
      </c>
      <c r="F83" t="s">
        <v>9</v>
      </c>
      <c r="G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3">
        <f>IF(Table1[[#This Row],[is_ups_overcharge]]="ups overcharged",Table1[[#This Row],[ups ship charge]]-Table1[[#This Row],[ada ship charge]],0)</f>
        <v>0</v>
      </c>
    </row>
    <row r="84" spans="1:9" x14ac:dyDescent="0.2">
      <c r="A84">
        <v>1003404</v>
      </c>
      <c r="B84" t="s">
        <v>20</v>
      </c>
      <c r="C84">
        <v>13.7</v>
      </c>
      <c r="D84">
        <v>13.75</v>
      </c>
      <c r="E84">
        <v>17.899999999999999</v>
      </c>
      <c r="F84" t="s">
        <v>9</v>
      </c>
      <c r="G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4">
        <f>IF(Table1[[#This Row],[is_ups_overcharge]]="ups overcharged",Table1[[#This Row],[ups ship charge]]-Table1[[#This Row],[ada ship charge]],0)</f>
        <v>0</v>
      </c>
    </row>
    <row r="85" spans="1:9" x14ac:dyDescent="0.2">
      <c r="A85">
        <v>1003422</v>
      </c>
      <c r="B85" t="s">
        <v>20</v>
      </c>
      <c r="C85">
        <v>13.7</v>
      </c>
      <c r="D85">
        <v>9.75</v>
      </c>
      <c r="E85">
        <v>21.4</v>
      </c>
      <c r="F85" t="s">
        <v>9</v>
      </c>
      <c r="G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5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85">
        <f>IF(Table1[[#This Row],[is_ups_overcharge]]="ups overcharged",Table1[[#This Row],[ups ship charge]]-Table1[[#This Row],[ada ship charge]],0)</f>
        <v>3.9499999999999993</v>
      </c>
    </row>
    <row r="86" spans="1:9" x14ac:dyDescent="0.2">
      <c r="A86">
        <v>1003428</v>
      </c>
      <c r="B86" t="s">
        <v>20</v>
      </c>
      <c r="C86">
        <v>13.7</v>
      </c>
      <c r="D86">
        <v>13.75</v>
      </c>
      <c r="E86">
        <v>4.5</v>
      </c>
      <c r="F86" t="s">
        <v>9</v>
      </c>
      <c r="G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6">
        <f>IF(Table1[[#This Row],[is_ups_overcharge]]="ups overcharged",Table1[[#This Row],[ups ship charge]]-Table1[[#This Row],[ada ship charge]],0)</f>
        <v>0</v>
      </c>
    </row>
    <row r="87" spans="1:9" x14ac:dyDescent="0.2">
      <c r="A87">
        <v>1003438</v>
      </c>
      <c r="B87" t="s">
        <v>20</v>
      </c>
      <c r="C87">
        <v>16.87</v>
      </c>
      <c r="D87">
        <v>20.5</v>
      </c>
      <c r="E87">
        <v>45.85</v>
      </c>
      <c r="F87" t="s">
        <v>10</v>
      </c>
      <c r="G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7">
        <f>IF(Table1[[#This Row],[is_ups_overcharge]]="ups overcharged",Table1[[#This Row],[ups ship charge]]-Table1[[#This Row],[ada ship charge]],0)</f>
        <v>0</v>
      </c>
    </row>
    <row r="88" spans="1:9" x14ac:dyDescent="0.2">
      <c r="A88">
        <v>1003471</v>
      </c>
      <c r="B88" t="s">
        <v>20</v>
      </c>
      <c r="C88">
        <v>13.7</v>
      </c>
      <c r="D88">
        <v>13.79</v>
      </c>
      <c r="E88">
        <v>108.7</v>
      </c>
      <c r="F88" t="s">
        <v>9</v>
      </c>
      <c r="G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8">
        <f>IF(Table1[[#This Row],[is_ups_overcharge]]="ups overcharged",Table1[[#This Row],[ups ship charge]]-Table1[[#This Row],[ada ship charge]],0)</f>
        <v>0</v>
      </c>
    </row>
    <row r="89" spans="1:9" x14ac:dyDescent="0.2">
      <c r="A89">
        <v>1003498</v>
      </c>
      <c r="B89" t="s">
        <v>20</v>
      </c>
      <c r="C89">
        <v>11.02</v>
      </c>
      <c r="D89">
        <v>11.21</v>
      </c>
      <c r="E89">
        <v>88.3</v>
      </c>
      <c r="F89" t="s">
        <v>14</v>
      </c>
      <c r="G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9">
        <f>IF(Table1[[#This Row],[is_ups_overcharge]]="ups overcharged",Table1[[#This Row],[ups ship charge]]-Table1[[#This Row],[ada ship charge]],0)</f>
        <v>0</v>
      </c>
    </row>
    <row r="90" spans="1:9" x14ac:dyDescent="0.2">
      <c r="A90">
        <v>1003528</v>
      </c>
      <c r="B90" t="s">
        <v>20</v>
      </c>
      <c r="C90">
        <v>12.81</v>
      </c>
      <c r="D90">
        <v>0</v>
      </c>
      <c r="E90">
        <v>231.75</v>
      </c>
      <c r="F90" t="s">
        <v>9</v>
      </c>
      <c r="G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9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90">
        <f>IF(Table1[[#This Row],[is_ups_overcharge]]="ups overcharged",Table1[[#This Row],[ups ship charge]]-Table1[[#This Row],[ada ship charge]],0)</f>
        <v>0</v>
      </c>
    </row>
    <row r="91" spans="1:9" x14ac:dyDescent="0.2">
      <c r="A91">
        <v>1003535</v>
      </c>
      <c r="B91" t="s">
        <v>20</v>
      </c>
      <c r="C91">
        <v>12.81</v>
      </c>
      <c r="D91">
        <v>12.89</v>
      </c>
      <c r="E91">
        <v>12.9</v>
      </c>
      <c r="F91" t="s">
        <v>9</v>
      </c>
      <c r="G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1">
        <f>IF(Table1[[#This Row],[is_ups_overcharge]]="ups overcharged",Table1[[#This Row],[ups ship charge]]-Table1[[#This Row],[ada ship charge]],0)</f>
        <v>0</v>
      </c>
    </row>
    <row r="92" spans="1:9" x14ac:dyDescent="0.2">
      <c r="A92">
        <v>1003579</v>
      </c>
      <c r="B92" t="s">
        <v>20</v>
      </c>
      <c r="C92">
        <v>13.7</v>
      </c>
      <c r="D92">
        <v>13.79</v>
      </c>
      <c r="E92">
        <v>19.95</v>
      </c>
      <c r="F92" t="s">
        <v>9</v>
      </c>
      <c r="G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2">
        <f>IF(Table1[[#This Row],[is_ups_overcharge]]="ups overcharged",Table1[[#This Row],[ups ship charge]]-Table1[[#This Row],[ada ship charge]],0)</f>
        <v>0</v>
      </c>
    </row>
    <row r="93" spans="1:9" x14ac:dyDescent="0.2">
      <c r="A93">
        <v>1003580</v>
      </c>
      <c r="B93" t="s">
        <v>20</v>
      </c>
      <c r="C93">
        <v>66.67</v>
      </c>
      <c r="D93">
        <v>67.53</v>
      </c>
      <c r="E93">
        <v>23.85</v>
      </c>
      <c r="F93" t="s">
        <v>8</v>
      </c>
      <c r="G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3">
        <f>IF(Table1[[#This Row],[is_ups_overcharge]]="ups overcharged",Table1[[#This Row],[ups ship charge]]-Table1[[#This Row],[ada ship charge]],0)</f>
        <v>0</v>
      </c>
    </row>
    <row r="94" spans="1:9" x14ac:dyDescent="0.2">
      <c r="A94">
        <v>1003582</v>
      </c>
      <c r="B94" t="s">
        <v>20</v>
      </c>
      <c r="C94">
        <v>12.81</v>
      </c>
      <c r="D94">
        <v>12.89</v>
      </c>
      <c r="E94">
        <v>4.95</v>
      </c>
      <c r="F94" t="s">
        <v>9</v>
      </c>
      <c r="G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4">
        <f>IF(Table1[[#This Row],[is_ups_overcharge]]="ups overcharged",Table1[[#This Row],[ups ship charge]]-Table1[[#This Row],[ada ship charge]],0)</f>
        <v>0</v>
      </c>
    </row>
    <row r="95" spans="1:9" x14ac:dyDescent="0.2">
      <c r="A95">
        <v>1003583</v>
      </c>
      <c r="B95" t="s">
        <v>20</v>
      </c>
      <c r="C95">
        <v>12.81</v>
      </c>
      <c r="D95">
        <v>0</v>
      </c>
      <c r="E95">
        <v>202.5</v>
      </c>
      <c r="F95" t="s">
        <v>9</v>
      </c>
      <c r="G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9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95">
        <f>IF(Table1[[#This Row],[is_ups_overcharge]]="ups overcharged",Table1[[#This Row],[ups ship charge]]-Table1[[#This Row],[ada ship charge]],0)</f>
        <v>0</v>
      </c>
    </row>
    <row r="96" spans="1:9" x14ac:dyDescent="0.2">
      <c r="A96">
        <v>1003592</v>
      </c>
      <c r="B96" t="s">
        <v>20</v>
      </c>
      <c r="C96">
        <v>12.81</v>
      </c>
      <c r="D96">
        <v>12.89</v>
      </c>
      <c r="E96">
        <v>35.4</v>
      </c>
      <c r="F96" t="s">
        <v>9</v>
      </c>
      <c r="G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6">
        <f>IF(Table1[[#This Row],[is_ups_overcharge]]="ups overcharged",Table1[[#This Row],[ups ship charge]]-Table1[[#This Row],[ada ship charge]],0)</f>
        <v>0</v>
      </c>
    </row>
    <row r="97" spans="1:9" x14ac:dyDescent="0.2">
      <c r="A97">
        <v>1003596</v>
      </c>
      <c r="B97" t="s">
        <v>20</v>
      </c>
      <c r="C97">
        <v>12.81</v>
      </c>
      <c r="D97">
        <v>12.89</v>
      </c>
      <c r="E97">
        <v>64.5</v>
      </c>
      <c r="F97" t="s">
        <v>9</v>
      </c>
      <c r="G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7">
        <f>IF(Table1[[#This Row],[is_ups_overcharge]]="ups overcharged",Table1[[#This Row],[ups ship charge]]-Table1[[#This Row],[ada ship charge]],0)</f>
        <v>0</v>
      </c>
    </row>
    <row r="98" spans="1:9" x14ac:dyDescent="0.2">
      <c r="A98">
        <v>1003621</v>
      </c>
      <c r="B98" t="s">
        <v>20</v>
      </c>
      <c r="C98">
        <v>13.7</v>
      </c>
      <c r="D98">
        <v>14.3</v>
      </c>
      <c r="E98">
        <v>74.3</v>
      </c>
      <c r="F98" t="s">
        <v>9</v>
      </c>
      <c r="G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8">
        <f>IF(Table1[[#This Row],[is_ups_overcharge]]="ups overcharged",Table1[[#This Row],[ups ship charge]]-Table1[[#This Row],[ada ship charge]],0)</f>
        <v>0</v>
      </c>
    </row>
    <row r="99" spans="1:9" x14ac:dyDescent="0.2">
      <c r="A99">
        <v>1003633</v>
      </c>
      <c r="B99" t="s">
        <v>20</v>
      </c>
      <c r="C99">
        <v>13.7</v>
      </c>
      <c r="D99">
        <v>13.78</v>
      </c>
      <c r="E99">
        <v>47.45</v>
      </c>
      <c r="F99" t="s">
        <v>9</v>
      </c>
      <c r="G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9">
        <f>IF(Table1[[#This Row],[is_ups_overcharge]]="ups overcharged",Table1[[#This Row],[ups ship charge]]-Table1[[#This Row],[ada ship charge]],0)</f>
        <v>0</v>
      </c>
    </row>
    <row r="100" spans="1:9" x14ac:dyDescent="0.2">
      <c r="A100">
        <v>1003646</v>
      </c>
      <c r="B100" t="s">
        <v>20</v>
      </c>
      <c r="C100">
        <v>12.81</v>
      </c>
      <c r="D100">
        <v>12.89</v>
      </c>
      <c r="E100">
        <v>21.8</v>
      </c>
      <c r="F100" t="s">
        <v>9</v>
      </c>
      <c r="G1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0">
        <f>IF(Table1[[#This Row],[is_ups_overcharge]]="ups overcharged",Table1[[#This Row],[ups ship charge]]-Table1[[#This Row],[ada ship charge]],0)</f>
        <v>0</v>
      </c>
    </row>
    <row r="101" spans="1:9" x14ac:dyDescent="0.2">
      <c r="A101">
        <v>1003664</v>
      </c>
      <c r="B101" t="s">
        <v>20</v>
      </c>
      <c r="C101">
        <v>12.81</v>
      </c>
      <c r="D101">
        <v>12.89</v>
      </c>
      <c r="E101">
        <v>88.5</v>
      </c>
      <c r="F101" t="s">
        <v>9</v>
      </c>
      <c r="G1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1">
        <f>IF(Table1[[#This Row],[is_ups_overcharge]]="ups overcharged",Table1[[#This Row],[ups ship charge]]-Table1[[#This Row],[ada ship charge]],0)</f>
        <v>0</v>
      </c>
    </row>
    <row r="102" spans="1:9" x14ac:dyDescent="0.2">
      <c r="A102">
        <v>1003666</v>
      </c>
      <c r="B102" t="s">
        <v>20</v>
      </c>
      <c r="C102">
        <v>12.81</v>
      </c>
      <c r="D102">
        <v>12.89</v>
      </c>
      <c r="E102">
        <v>6.95</v>
      </c>
      <c r="F102" t="s">
        <v>9</v>
      </c>
      <c r="G1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2">
        <f>IF(Table1[[#This Row],[is_ups_overcharge]]="ups overcharged",Table1[[#This Row],[ups ship charge]]-Table1[[#This Row],[ada ship charge]],0)</f>
        <v>0</v>
      </c>
    </row>
    <row r="103" spans="1:9" x14ac:dyDescent="0.2">
      <c r="A103">
        <v>1003699</v>
      </c>
      <c r="B103" t="s">
        <v>20</v>
      </c>
      <c r="C103">
        <v>9.6999999999999993</v>
      </c>
      <c r="D103">
        <v>9.7799999999999994</v>
      </c>
      <c r="E103">
        <v>79.900000000000006</v>
      </c>
      <c r="F103" t="s">
        <v>6</v>
      </c>
      <c r="G1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3">
        <f>IF(Table1[[#This Row],[is_ups_overcharge]]="ups overcharged",Table1[[#This Row],[ups ship charge]]-Table1[[#This Row],[ada ship charge]],0)</f>
        <v>0</v>
      </c>
    </row>
    <row r="104" spans="1:9" x14ac:dyDescent="0.2">
      <c r="A104">
        <v>1003702</v>
      </c>
      <c r="B104" t="s">
        <v>20</v>
      </c>
      <c r="C104">
        <v>12.81</v>
      </c>
      <c r="D104">
        <v>12.89</v>
      </c>
      <c r="E104">
        <v>11.7</v>
      </c>
      <c r="F104" t="s">
        <v>9</v>
      </c>
      <c r="G1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4">
        <f>IF(Table1[[#This Row],[is_ups_overcharge]]="ups overcharged",Table1[[#This Row],[ups ship charge]]-Table1[[#This Row],[ada ship charge]],0)</f>
        <v>0</v>
      </c>
    </row>
    <row r="105" spans="1:9" x14ac:dyDescent="0.2">
      <c r="A105">
        <v>1003727</v>
      </c>
      <c r="B105" t="s">
        <v>20</v>
      </c>
      <c r="C105">
        <v>16.77</v>
      </c>
      <c r="D105">
        <v>17.02</v>
      </c>
      <c r="E105">
        <v>52.35</v>
      </c>
      <c r="F105" t="s">
        <v>10</v>
      </c>
      <c r="G1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5">
        <f>IF(Table1[[#This Row],[is_ups_overcharge]]="ups overcharged",Table1[[#This Row],[ups ship charge]]-Table1[[#This Row],[ada ship charge]],0)</f>
        <v>0</v>
      </c>
    </row>
    <row r="106" spans="1:9" x14ac:dyDescent="0.2">
      <c r="A106">
        <v>1003743</v>
      </c>
      <c r="B106" t="s">
        <v>20</v>
      </c>
      <c r="C106">
        <v>13.7</v>
      </c>
      <c r="D106">
        <v>13.79</v>
      </c>
      <c r="E106">
        <v>47.6</v>
      </c>
      <c r="F106" t="s">
        <v>9</v>
      </c>
      <c r="G1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6">
        <f>IF(Table1[[#This Row],[is_ups_overcharge]]="ups overcharged",Table1[[#This Row],[ups ship charge]]-Table1[[#This Row],[ada ship charge]],0)</f>
        <v>0</v>
      </c>
    </row>
    <row r="107" spans="1:9" x14ac:dyDescent="0.2">
      <c r="A107">
        <v>1003755</v>
      </c>
      <c r="B107" t="s">
        <v>20</v>
      </c>
      <c r="C107">
        <v>26.87</v>
      </c>
      <c r="D107">
        <v>27.25</v>
      </c>
      <c r="E107">
        <v>19.95</v>
      </c>
      <c r="F107" t="s">
        <v>15</v>
      </c>
      <c r="G1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7">
        <f>IF(Table1[[#This Row],[is_ups_overcharge]]="ups overcharged",Table1[[#This Row],[ups ship charge]]-Table1[[#This Row],[ada ship charge]],0)</f>
        <v>0</v>
      </c>
    </row>
    <row r="108" spans="1:9" x14ac:dyDescent="0.2">
      <c r="A108">
        <v>1003759</v>
      </c>
      <c r="B108" t="s">
        <v>20</v>
      </c>
      <c r="C108">
        <v>13.71</v>
      </c>
      <c r="D108">
        <v>14.24</v>
      </c>
      <c r="E108">
        <v>40.35</v>
      </c>
      <c r="F108" t="s">
        <v>9</v>
      </c>
      <c r="G1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8">
        <f>IF(Table1[[#This Row],[is_ups_overcharge]]="ups overcharged",Table1[[#This Row],[ups ship charge]]-Table1[[#This Row],[ada ship charge]],0)</f>
        <v>0</v>
      </c>
    </row>
    <row r="109" spans="1:9" x14ac:dyDescent="0.2">
      <c r="A109">
        <v>1003761</v>
      </c>
      <c r="B109" t="s">
        <v>20</v>
      </c>
      <c r="C109">
        <v>15.44</v>
      </c>
      <c r="D109">
        <v>15.68</v>
      </c>
      <c r="E109">
        <v>111.65</v>
      </c>
      <c r="F109" t="s">
        <v>12</v>
      </c>
      <c r="G1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9">
        <f>IF(Table1[[#This Row],[is_ups_overcharge]]="ups overcharged",Table1[[#This Row],[ups ship charge]]-Table1[[#This Row],[ada ship charge]],0)</f>
        <v>0</v>
      </c>
    </row>
    <row r="110" spans="1:9" x14ac:dyDescent="0.2">
      <c r="A110">
        <v>1003764</v>
      </c>
      <c r="B110" t="s">
        <v>20</v>
      </c>
      <c r="C110">
        <v>13.7</v>
      </c>
      <c r="D110">
        <v>13.79</v>
      </c>
      <c r="E110">
        <v>38.75</v>
      </c>
      <c r="F110" t="s">
        <v>9</v>
      </c>
      <c r="G1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0">
        <f>IF(Table1[[#This Row],[is_ups_overcharge]]="ups overcharged",Table1[[#This Row],[ups ship charge]]-Table1[[#This Row],[ada ship charge]],0)</f>
        <v>0</v>
      </c>
    </row>
    <row r="111" spans="1:9" x14ac:dyDescent="0.2">
      <c r="A111">
        <v>1003785</v>
      </c>
      <c r="B111" t="s">
        <v>20</v>
      </c>
      <c r="C111">
        <v>15.44</v>
      </c>
      <c r="D111">
        <v>15.67</v>
      </c>
      <c r="E111">
        <v>32.65</v>
      </c>
      <c r="F111" t="s">
        <v>12</v>
      </c>
      <c r="G1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1">
        <f>IF(Table1[[#This Row],[is_ups_overcharge]]="ups overcharged",Table1[[#This Row],[ups ship charge]]-Table1[[#This Row],[ada ship charge]],0)</f>
        <v>0</v>
      </c>
    </row>
    <row r="112" spans="1:9" x14ac:dyDescent="0.2">
      <c r="A112">
        <v>1003792</v>
      </c>
      <c r="B112" t="s">
        <v>20</v>
      </c>
      <c r="C112">
        <v>16.559999999999999</v>
      </c>
      <c r="D112">
        <v>12.65</v>
      </c>
      <c r="E112">
        <v>11.95</v>
      </c>
      <c r="F112" t="s">
        <v>10</v>
      </c>
      <c r="G1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2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12">
        <f>IF(Table1[[#This Row],[is_ups_overcharge]]="ups overcharged",Table1[[#This Row],[ups ship charge]]-Table1[[#This Row],[ada ship charge]],0)</f>
        <v>3.9099999999999984</v>
      </c>
    </row>
    <row r="113" spans="1:9" x14ac:dyDescent="0.2">
      <c r="A113">
        <v>1003846</v>
      </c>
      <c r="B113" t="s">
        <v>20</v>
      </c>
      <c r="C113">
        <v>12.81</v>
      </c>
      <c r="D113">
        <v>12.89</v>
      </c>
      <c r="E113">
        <v>39.9</v>
      </c>
      <c r="F113" t="s">
        <v>9</v>
      </c>
      <c r="G1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3">
        <f>IF(Table1[[#This Row],[is_ups_overcharge]]="ups overcharged",Table1[[#This Row],[ups ship charge]]-Table1[[#This Row],[ada ship charge]],0)</f>
        <v>0</v>
      </c>
    </row>
    <row r="114" spans="1:9" x14ac:dyDescent="0.2">
      <c r="A114">
        <v>1003872</v>
      </c>
      <c r="B114" t="s">
        <v>20</v>
      </c>
      <c r="C114">
        <v>12.81</v>
      </c>
      <c r="D114">
        <v>12.89</v>
      </c>
      <c r="E114">
        <v>29.95</v>
      </c>
      <c r="F114" t="s">
        <v>9</v>
      </c>
      <c r="G1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4">
        <f>IF(Table1[[#This Row],[is_ups_overcharge]]="ups overcharged",Table1[[#This Row],[ups ship charge]]-Table1[[#This Row],[ada ship charge]],0)</f>
        <v>0</v>
      </c>
    </row>
    <row r="115" spans="1:9" x14ac:dyDescent="0.2">
      <c r="A115">
        <v>1003877</v>
      </c>
      <c r="B115" t="s">
        <v>20</v>
      </c>
      <c r="C115">
        <v>12.81</v>
      </c>
      <c r="D115">
        <v>12.89</v>
      </c>
      <c r="E115">
        <v>47.95</v>
      </c>
      <c r="F115" t="s">
        <v>9</v>
      </c>
      <c r="G1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5">
        <f>IF(Table1[[#This Row],[is_ups_overcharge]]="ups overcharged",Table1[[#This Row],[ups ship charge]]-Table1[[#This Row],[ada ship charge]],0)</f>
        <v>0</v>
      </c>
    </row>
    <row r="116" spans="1:9" x14ac:dyDescent="0.2">
      <c r="A116">
        <v>1003878</v>
      </c>
      <c r="B116" t="s">
        <v>20</v>
      </c>
      <c r="C116">
        <v>12.81</v>
      </c>
      <c r="D116">
        <v>12.89</v>
      </c>
      <c r="E116">
        <v>133.9</v>
      </c>
      <c r="F116" t="s">
        <v>9</v>
      </c>
      <c r="G1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6">
        <f>IF(Table1[[#This Row],[is_ups_overcharge]]="ups overcharged",Table1[[#This Row],[ups ship charge]]-Table1[[#This Row],[ada ship charge]],0)</f>
        <v>0</v>
      </c>
    </row>
    <row r="117" spans="1:9" x14ac:dyDescent="0.2">
      <c r="A117">
        <v>1003888</v>
      </c>
      <c r="B117" t="s">
        <v>20</v>
      </c>
      <c r="C117">
        <v>12.81</v>
      </c>
      <c r="D117">
        <v>12.89</v>
      </c>
      <c r="E117">
        <v>46.75</v>
      </c>
      <c r="F117" t="s">
        <v>9</v>
      </c>
      <c r="G1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7">
        <f>IF(Table1[[#This Row],[is_ups_overcharge]]="ups overcharged",Table1[[#This Row],[ups ship charge]]-Table1[[#This Row],[ada ship charge]],0)</f>
        <v>0</v>
      </c>
    </row>
    <row r="118" spans="1:9" x14ac:dyDescent="0.2">
      <c r="A118">
        <v>1003892</v>
      </c>
      <c r="B118" t="s">
        <v>20</v>
      </c>
      <c r="C118">
        <v>9.6999999999999993</v>
      </c>
      <c r="D118">
        <v>0</v>
      </c>
      <c r="E118">
        <v>210.4</v>
      </c>
      <c r="F118" t="s">
        <v>6</v>
      </c>
      <c r="G1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1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18">
        <f>IF(Table1[[#This Row],[is_ups_overcharge]]="ups overcharged",Table1[[#This Row],[ups ship charge]]-Table1[[#This Row],[ada ship charge]],0)</f>
        <v>0</v>
      </c>
    </row>
    <row r="119" spans="1:9" x14ac:dyDescent="0.2">
      <c r="A119">
        <v>1003893</v>
      </c>
      <c r="B119" t="s">
        <v>20</v>
      </c>
      <c r="C119">
        <v>13.7</v>
      </c>
      <c r="D119">
        <v>13.78</v>
      </c>
      <c r="E119">
        <v>9.9499999999999993</v>
      </c>
      <c r="F119" t="s">
        <v>9</v>
      </c>
      <c r="G1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9">
        <f>IF(Table1[[#This Row],[is_ups_overcharge]]="ups overcharged",Table1[[#This Row],[ups ship charge]]-Table1[[#This Row],[ada ship charge]],0)</f>
        <v>0</v>
      </c>
    </row>
    <row r="120" spans="1:9" x14ac:dyDescent="0.2">
      <c r="A120">
        <v>1003923</v>
      </c>
      <c r="B120" t="s">
        <v>20</v>
      </c>
      <c r="C120">
        <v>12.81</v>
      </c>
      <c r="D120">
        <v>12.89</v>
      </c>
      <c r="E120">
        <v>30.1</v>
      </c>
      <c r="F120" t="s">
        <v>9</v>
      </c>
      <c r="G1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0">
        <f>IF(Table1[[#This Row],[is_ups_overcharge]]="ups overcharged",Table1[[#This Row],[ups ship charge]]-Table1[[#This Row],[ada ship charge]],0)</f>
        <v>0</v>
      </c>
    </row>
    <row r="121" spans="1:9" x14ac:dyDescent="0.2">
      <c r="A121">
        <v>1003940</v>
      </c>
      <c r="B121" t="s">
        <v>20</v>
      </c>
      <c r="C121">
        <v>22.41</v>
      </c>
      <c r="D121">
        <v>24.92</v>
      </c>
      <c r="E121">
        <v>152.9</v>
      </c>
      <c r="F121" t="s">
        <v>16</v>
      </c>
      <c r="G1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1">
        <f>IF(Table1[[#This Row],[is_ups_overcharge]]="ups overcharged",Table1[[#This Row],[ups ship charge]]-Table1[[#This Row],[ada ship charge]],0)</f>
        <v>0</v>
      </c>
    </row>
    <row r="122" spans="1:9" x14ac:dyDescent="0.2">
      <c r="A122">
        <v>1003942</v>
      </c>
      <c r="B122" t="s">
        <v>20</v>
      </c>
      <c r="C122">
        <v>13.7</v>
      </c>
      <c r="D122">
        <v>13.78</v>
      </c>
      <c r="E122">
        <v>96.35</v>
      </c>
      <c r="F122" t="s">
        <v>9</v>
      </c>
      <c r="G1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2">
        <f>IF(Table1[[#This Row],[is_ups_overcharge]]="ups overcharged",Table1[[#This Row],[ups ship charge]]-Table1[[#This Row],[ada ship charge]],0)</f>
        <v>0</v>
      </c>
    </row>
    <row r="123" spans="1:9" x14ac:dyDescent="0.2">
      <c r="A123">
        <v>1003961</v>
      </c>
      <c r="B123" t="s">
        <v>20</v>
      </c>
      <c r="C123">
        <v>12.81</v>
      </c>
      <c r="D123">
        <v>0</v>
      </c>
      <c r="E123">
        <v>239.2</v>
      </c>
      <c r="F123" t="s">
        <v>9</v>
      </c>
      <c r="G1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3">
        <f>IF(Table1[[#This Row],[is_ups_overcharge]]="ups overcharged",Table1[[#This Row],[ups ship charge]]-Table1[[#This Row],[ada ship charge]],0)</f>
        <v>0</v>
      </c>
    </row>
    <row r="124" spans="1:9" x14ac:dyDescent="0.2">
      <c r="A124">
        <v>1003964</v>
      </c>
      <c r="B124" t="s">
        <v>20</v>
      </c>
      <c r="C124">
        <v>9.6999999999999993</v>
      </c>
      <c r="D124">
        <v>9.7799999999999994</v>
      </c>
      <c r="E124">
        <v>39.950000000000003</v>
      </c>
      <c r="F124" t="s">
        <v>6</v>
      </c>
      <c r="G1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4">
        <f>IF(Table1[[#This Row],[is_ups_overcharge]]="ups overcharged",Table1[[#This Row],[ups ship charge]]-Table1[[#This Row],[ada ship charge]],0)</f>
        <v>0</v>
      </c>
    </row>
    <row r="125" spans="1:9" x14ac:dyDescent="0.2">
      <c r="A125">
        <v>1003970</v>
      </c>
      <c r="B125" t="s">
        <v>20</v>
      </c>
      <c r="C125">
        <v>23.33</v>
      </c>
      <c r="D125">
        <v>23.66</v>
      </c>
      <c r="E125">
        <v>48.85</v>
      </c>
      <c r="F125" t="s">
        <v>15</v>
      </c>
      <c r="G1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5">
        <f>IF(Table1[[#This Row],[is_ups_overcharge]]="ups overcharged",Table1[[#This Row],[ups ship charge]]-Table1[[#This Row],[ada ship charge]],0)</f>
        <v>0</v>
      </c>
    </row>
    <row r="126" spans="1:9" x14ac:dyDescent="0.2">
      <c r="A126">
        <v>1003993</v>
      </c>
      <c r="B126" t="s">
        <v>20</v>
      </c>
      <c r="C126">
        <v>15.44</v>
      </c>
      <c r="D126">
        <v>15.68</v>
      </c>
      <c r="E126">
        <v>108.25</v>
      </c>
      <c r="F126" t="s">
        <v>12</v>
      </c>
      <c r="G1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6">
        <f>IF(Table1[[#This Row],[is_ups_overcharge]]="ups overcharged",Table1[[#This Row],[ups ship charge]]-Table1[[#This Row],[ada ship charge]],0)</f>
        <v>0</v>
      </c>
    </row>
    <row r="127" spans="1:9" x14ac:dyDescent="0.2">
      <c r="A127">
        <v>1004007</v>
      </c>
      <c r="B127" t="s">
        <v>20</v>
      </c>
      <c r="C127">
        <v>13.71</v>
      </c>
      <c r="D127">
        <v>13.78</v>
      </c>
      <c r="E127">
        <v>50.7</v>
      </c>
      <c r="F127" t="s">
        <v>9</v>
      </c>
      <c r="G1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7">
        <f>IF(Table1[[#This Row],[is_ups_overcharge]]="ups overcharged",Table1[[#This Row],[ups ship charge]]-Table1[[#This Row],[ada ship charge]],0)</f>
        <v>0</v>
      </c>
    </row>
    <row r="128" spans="1:9" x14ac:dyDescent="0.2">
      <c r="A128">
        <v>1004015</v>
      </c>
      <c r="B128" t="s">
        <v>20</v>
      </c>
      <c r="C128">
        <v>13.7</v>
      </c>
      <c r="D128">
        <v>13.78</v>
      </c>
      <c r="E128">
        <v>34.65</v>
      </c>
      <c r="F128" t="s">
        <v>9</v>
      </c>
      <c r="G1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8">
        <f>IF(Table1[[#This Row],[is_ups_overcharge]]="ups overcharged",Table1[[#This Row],[ups ship charge]]-Table1[[#This Row],[ada ship charge]],0)</f>
        <v>0</v>
      </c>
    </row>
    <row r="129" spans="1:9" x14ac:dyDescent="0.2">
      <c r="A129">
        <v>1004025</v>
      </c>
      <c r="B129" t="s">
        <v>20</v>
      </c>
      <c r="C129">
        <v>16.87</v>
      </c>
      <c r="D129">
        <v>17.13</v>
      </c>
      <c r="E129">
        <v>102.95</v>
      </c>
      <c r="F129" t="s">
        <v>10</v>
      </c>
      <c r="G1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9">
        <f>IF(Table1[[#This Row],[is_ups_overcharge]]="ups overcharged",Table1[[#This Row],[ups ship charge]]-Table1[[#This Row],[ada ship charge]],0)</f>
        <v>0</v>
      </c>
    </row>
    <row r="130" spans="1:9" x14ac:dyDescent="0.2">
      <c r="A130">
        <v>1004028</v>
      </c>
      <c r="B130" t="s">
        <v>20</v>
      </c>
      <c r="C130">
        <v>13.7</v>
      </c>
      <c r="D130">
        <v>0</v>
      </c>
      <c r="E130">
        <v>232.9</v>
      </c>
      <c r="F130" t="s">
        <v>9</v>
      </c>
      <c r="G1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3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30">
        <f>IF(Table1[[#This Row],[is_ups_overcharge]]="ups overcharged",Table1[[#This Row],[ups ship charge]]-Table1[[#This Row],[ada ship charge]],0)</f>
        <v>0</v>
      </c>
    </row>
    <row r="131" spans="1:9" x14ac:dyDescent="0.2">
      <c r="A131">
        <v>1004030</v>
      </c>
      <c r="B131" t="s">
        <v>20</v>
      </c>
      <c r="C131">
        <v>14.94</v>
      </c>
      <c r="D131">
        <v>0</v>
      </c>
      <c r="E131">
        <v>339.85</v>
      </c>
      <c r="F131" t="s">
        <v>9</v>
      </c>
      <c r="G1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3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31">
        <f>IF(Table1[[#This Row],[is_ups_overcharge]]="ups overcharged",Table1[[#This Row],[ups ship charge]]-Table1[[#This Row],[ada ship charge]],0)</f>
        <v>0</v>
      </c>
    </row>
    <row r="132" spans="1:9" x14ac:dyDescent="0.2">
      <c r="A132">
        <v>1004037</v>
      </c>
      <c r="B132" t="s">
        <v>20</v>
      </c>
      <c r="C132">
        <v>13.7</v>
      </c>
      <c r="D132">
        <v>13.79</v>
      </c>
      <c r="E132">
        <v>44.6</v>
      </c>
      <c r="F132" t="s">
        <v>9</v>
      </c>
      <c r="G1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2">
        <f>IF(Table1[[#This Row],[is_ups_overcharge]]="ups overcharged",Table1[[#This Row],[ups ship charge]]-Table1[[#This Row],[ada ship charge]],0)</f>
        <v>0</v>
      </c>
    </row>
    <row r="133" spans="1:9" x14ac:dyDescent="0.2">
      <c r="A133">
        <v>1004066</v>
      </c>
      <c r="B133" t="s">
        <v>20</v>
      </c>
      <c r="C133">
        <v>15.13</v>
      </c>
      <c r="D133">
        <v>15.36</v>
      </c>
      <c r="E133">
        <v>47.65</v>
      </c>
      <c r="F133" t="s">
        <v>12</v>
      </c>
      <c r="G1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3">
        <f>IF(Table1[[#This Row],[is_ups_overcharge]]="ups overcharged",Table1[[#This Row],[ups ship charge]]-Table1[[#This Row],[ada ship charge]],0)</f>
        <v>0</v>
      </c>
    </row>
    <row r="134" spans="1:9" x14ac:dyDescent="0.2">
      <c r="A134">
        <v>1004072</v>
      </c>
      <c r="B134" t="s">
        <v>20</v>
      </c>
      <c r="C134">
        <v>13.7</v>
      </c>
      <c r="D134">
        <v>13.78</v>
      </c>
      <c r="E134">
        <v>117.6</v>
      </c>
      <c r="F134" t="s">
        <v>9</v>
      </c>
      <c r="G1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4">
        <f>IF(Table1[[#This Row],[is_ups_overcharge]]="ups overcharged",Table1[[#This Row],[ups ship charge]]-Table1[[#This Row],[ada ship charge]],0)</f>
        <v>0</v>
      </c>
    </row>
    <row r="135" spans="1:9" x14ac:dyDescent="0.2">
      <c r="A135">
        <v>1004082</v>
      </c>
      <c r="B135" t="s">
        <v>20</v>
      </c>
      <c r="C135">
        <v>16.559999999999999</v>
      </c>
      <c r="D135">
        <v>16.82</v>
      </c>
      <c r="E135">
        <v>3.9</v>
      </c>
      <c r="F135" t="s">
        <v>10</v>
      </c>
      <c r="G1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5">
        <f>IF(Table1[[#This Row],[is_ups_overcharge]]="ups overcharged",Table1[[#This Row],[ups ship charge]]-Table1[[#This Row],[ada ship charge]],0)</f>
        <v>0</v>
      </c>
    </row>
    <row r="136" spans="1:9" x14ac:dyDescent="0.2">
      <c r="A136">
        <v>1004113</v>
      </c>
      <c r="B136" t="s">
        <v>20</v>
      </c>
      <c r="C136">
        <v>18.16</v>
      </c>
      <c r="D136">
        <v>18.63</v>
      </c>
      <c r="E136">
        <v>64.05</v>
      </c>
      <c r="F136" t="s">
        <v>14</v>
      </c>
      <c r="G1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6">
        <f>IF(Table1[[#This Row],[is_ups_overcharge]]="ups overcharged",Table1[[#This Row],[ups ship charge]]-Table1[[#This Row],[ada ship charge]],0)</f>
        <v>0</v>
      </c>
    </row>
    <row r="137" spans="1:9" x14ac:dyDescent="0.2">
      <c r="A137">
        <v>1004137</v>
      </c>
      <c r="B137" t="s">
        <v>20</v>
      </c>
      <c r="C137">
        <v>12.81</v>
      </c>
      <c r="D137">
        <v>14.28</v>
      </c>
      <c r="E137">
        <v>99.95</v>
      </c>
      <c r="F137" t="s">
        <v>9</v>
      </c>
      <c r="G1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7">
        <f>IF(Table1[[#This Row],[is_ups_overcharge]]="ups overcharged",Table1[[#This Row],[ups ship charge]]-Table1[[#This Row],[ada ship charge]],0)</f>
        <v>0</v>
      </c>
    </row>
    <row r="138" spans="1:9" x14ac:dyDescent="0.2">
      <c r="A138">
        <v>1004165</v>
      </c>
      <c r="B138" t="s">
        <v>20</v>
      </c>
      <c r="C138">
        <v>12.81</v>
      </c>
      <c r="D138">
        <v>12.86</v>
      </c>
      <c r="E138">
        <v>18</v>
      </c>
      <c r="F138" t="s">
        <v>9</v>
      </c>
      <c r="G1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8">
        <f>IF(Table1[[#This Row],[is_ups_overcharge]]="ups overcharged",Table1[[#This Row],[ups ship charge]]-Table1[[#This Row],[ada ship charge]],0)</f>
        <v>0</v>
      </c>
    </row>
    <row r="139" spans="1:9" x14ac:dyDescent="0.2">
      <c r="A139">
        <v>1004180</v>
      </c>
      <c r="B139" t="s">
        <v>20</v>
      </c>
      <c r="C139">
        <v>13.7</v>
      </c>
      <c r="D139">
        <v>13.75</v>
      </c>
      <c r="E139">
        <v>41.85</v>
      </c>
      <c r="F139" t="s">
        <v>9</v>
      </c>
      <c r="G1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9">
        <f>IF(Table1[[#This Row],[is_ups_overcharge]]="ups overcharged",Table1[[#This Row],[ups ship charge]]-Table1[[#This Row],[ada ship charge]],0)</f>
        <v>0</v>
      </c>
    </row>
    <row r="140" spans="1:9" x14ac:dyDescent="0.2">
      <c r="A140">
        <v>1004186</v>
      </c>
      <c r="B140" t="s">
        <v>20</v>
      </c>
      <c r="C140">
        <v>15.44</v>
      </c>
      <c r="D140">
        <v>16.5</v>
      </c>
      <c r="E140">
        <v>29.5</v>
      </c>
      <c r="F140" t="s">
        <v>12</v>
      </c>
      <c r="G1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0">
        <f>IF(Table1[[#This Row],[is_ups_overcharge]]="ups overcharged",Table1[[#This Row],[ups ship charge]]-Table1[[#This Row],[ada ship charge]],0)</f>
        <v>0</v>
      </c>
    </row>
    <row r="141" spans="1:9" x14ac:dyDescent="0.2">
      <c r="A141">
        <v>1004189</v>
      </c>
      <c r="B141" t="s">
        <v>20</v>
      </c>
      <c r="C141">
        <v>12.81</v>
      </c>
      <c r="D141">
        <v>12.86</v>
      </c>
      <c r="E141">
        <v>52.45</v>
      </c>
      <c r="F141" t="s">
        <v>9</v>
      </c>
      <c r="G1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1">
        <f>IF(Table1[[#This Row],[is_ups_overcharge]]="ups overcharged",Table1[[#This Row],[ups ship charge]]-Table1[[#This Row],[ada ship charge]],0)</f>
        <v>0</v>
      </c>
    </row>
    <row r="142" spans="1:9" x14ac:dyDescent="0.2">
      <c r="A142">
        <v>1004257</v>
      </c>
      <c r="B142" t="s">
        <v>20</v>
      </c>
      <c r="C142">
        <v>12.81</v>
      </c>
      <c r="D142">
        <v>12.86</v>
      </c>
      <c r="E142">
        <v>24.95</v>
      </c>
      <c r="F142" t="s">
        <v>9</v>
      </c>
      <c r="G1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2">
        <f>IF(Table1[[#This Row],[is_ups_overcharge]]="ups overcharged",Table1[[#This Row],[ups ship charge]]-Table1[[#This Row],[ada ship charge]],0)</f>
        <v>0</v>
      </c>
    </row>
    <row r="143" spans="1:9" x14ac:dyDescent="0.2">
      <c r="A143">
        <v>1004260</v>
      </c>
      <c r="B143" t="s">
        <v>20</v>
      </c>
      <c r="C143">
        <v>12.81</v>
      </c>
      <c r="D143">
        <v>12.86</v>
      </c>
      <c r="E143">
        <v>74.900000000000006</v>
      </c>
      <c r="F143" t="s">
        <v>9</v>
      </c>
      <c r="G1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3">
        <f>IF(Table1[[#This Row],[is_ups_overcharge]]="ups overcharged",Table1[[#This Row],[ups ship charge]]-Table1[[#This Row],[ada ship charge]],0)</f>
        <v>0</v>
      </c>
    </row>
    <row r="144" spans="1:9" x14ac:dyDescent="0.2">
      <c r="A144">
        <v>1004261</v>
      </c>
      <c r="B144" t="s">
        <v>20</v>
      </c>
      <c r="C144">
        <v>15.13</v>
      </c>
      <c r="D144">
        <v>15.18</v>
      </c>
      <c r="E144">
        <v>164.95</v>
      </c>
      <c r="F144" t="s">
        <v>12</v>
      </c>
      <c r="G1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4">
        <f>IF(Table1[[#This Row],[is_ups_overcharge]]="ups overcharged",Table1[[#This Row],[ups ship charge]]-Table1[[#This Row],[ada ship charge]],0)</f>
        <v>0</v>
      </c>
    </row>
    <row r="145" spans="1:9" x14ac:dyDescent="0.2">
      <c r="A145">
        <v>1004273</v>
      </c>
      <c r="B145" t="s">
        <v>20</v>
      </c>
      <c r="C145">
        <v>12.81</v>
      </c>
      <c r="D145">
        <v>12.86</v>
      </c>
      <c r="E145">
        <v>10.5</v>
      </c>
      <c r="F145" t="s">
        <v>9</v>
      </c>
      <c r="G1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5">
        <f>IF(Table1[[#This Row],[is_ups_overcharge]]="ups overcharged",Table1[[#This Row],[ups ship charge]]-Table1[[#This Row],[ada ship charge]],0)</f>
        <v>0</v>
      </c>
    </row>
    <row r="146" spans="1:9" x14ac:dyDescent="0.2">
      <c r="A146">
        <v>1004277</v>
      </c>
      <c r="B146" t="s">
        <v>20</v>
      </c>
      <c r="C146">
        <v>86.23</v>
      </c>
      <c r="D146">
        <v>86.28</v>
      </c>
      <c r="E146">
        <v>944.95</v>
      </c>
      <c r="F146" t="s">
        <v>11</v>
      </c>
      <c r="G1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6">
        <f>IF(Table1[[#This Row],[is_ups_overcharge]]="ups overcharged",Table1[[#This Row],[ups ship charge]]-Table1[[#This Row],[ada ship charge]],0)</f>
        <v>0</v>
      </c>
    </row>
    <row r="147" spans="1:9" x14ac:dyDescent="0.2">
      <c r="A147">
        <v>1004314</v>
      </c>
      <c r="B147" t="s">
        <v>20</v>
      </c>
      <c r="C147">
        <v>16.77</v>
      </c>
      <c r="D147">
        <v>16.82</v>
      </c>
      <c r="E147">
        <v>23.85</v>
      </c>
      <c r="F147" t="s">
        <v>10</v>
      </c>
      <c r="G1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7">
        <f>IF(Table1[[#This Row],[is_ups_overcharge]]="ups overcharged",Table1[[#This Row],[ups ship charge]]-Table1[[#This Row],[ada ship charge]],0)</f>
        <v>0</v>
      </c>
    </row>
    <row r="148" spans="1:9" x14ac:dyDescent="0.2">
      <c r="A148">
        <v>1004332</v>
      </c>
      <c r="B148" t="s">
        <v>20</v>
      </c>
      <c r="C148">
        <v>12.81</v>
      </c>
      <c r="D148">
        <v>12.86</v>
      </c>
      <c r="E148">
        <v>21.9</v>
      </c>
      <c r="F148" t="s">
        <v>9</v>
      </c>
      <c r="G1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8">
        <f>IF(Table1[[#This Row],[is_ups_overcharge]]="ups overcharged",Table1[[#This Row],[ups ship charge]]-Table1[[#This Row],[ada ship charge]],0)</f>
        <v>0</v>
      </c>
    </row>
    <row r="149" spans="1:9" x14ac:dyDescent="0.2">
      <c r="A149">
        <v>1004333</v>
      </c>
      <c r="B149" t="s">
        <v>20</v>
      </c>
      <c r="C149">
        <v>12.35</v>
      </c>
      <c r="D149">
        <v>12.4</v>
      </c>
      <c r="E149">
        <v>52.55</v>
      </c>
      <c r="F149" t="s">
        <v>13</v>
      </c>
      <c r="G1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9">
        <f>IF(Table1[[#This Row],[is_ups_overcharge]]="ups overcharged",Table1[[#This Row],[ups ship charge]]-Table1[[#This Row],[ada ship charge]],0)</f>
        <v>0</v>
      </c>
    </row>
    <row r="150" spans="1:9" x14ac:dyDescent="0.2">
      <c r="A150">
        <v>1004355</v>
      </c>
      <c r="B150" t="s">
        <v>20</v>
      </c>
      <c r="C150">
        <v>11.02</v>
      </c>
      <c r="D150">
        <v>11.07</v>
      </c>
      <c r="E150">
        <v>59.8</v>
      </c>
      <c r="F150" t="s">
        <v>14</v>
      </c>
      <c r="G1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0">
        <f>IF(Table1[[#This Row],[is_ups_overcharge]]="ups overcharged",Table1[[#This Row],[ups ship charge]]-Table1[[#This Row],[ada ship charge]],0)</f>
        <v>0</v>
      </c>
    </row>
    <row r="151" spans="1:9" x14ac:dyDescent="0.2">
      <c r="A151">
        <v>1004359</v>
      </c>
      <c r="B151" t="s">
        <v>20</v>
      </c>
      <c r="C151">
        <v>9.6999999999999993</v>
      </c>
      <c r="D151">
        <v>12.86</v>
      </c>
      <c r="E151">
        <v>143.35</v>
      </c>
      <c r="F151" t="s">
        <v>6</v>
      </c>
      <c r="G1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1">
        <f>IF(Table1[[#This Row],[is_ups_overcharge]]="ups overcharged",Table1[[#This Row],[ups ship charge]]-Table1[[#This Row],[ada ship charge]],0)</f>
        <v>0</v>
      </c>
    </row>
    <row r="152" spans="1:9" x14ac:dyDescent="0.2">
      <c r="A152">
        <v>1004379</v>
      </c>
      <c r="B152" t="s">
        <v>20</v>
      </c>
      <c r="C152">
        <v>13.6</v>
      </c>
      <c r="D152">
        <v>13.65</v>
      </c>
      <c r="E152">
        <v>24.65</v>
      </c>
      <c r="F152" t="s">
        <v>16</v>
      </c>
      <c r="G1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2">
        <f>IF(Table1[[#This Row],[is_ups_overcharge]]="ups overcharged",Table1[[#This Row],[ups ship charge]]-Table1[[#This Row],[ada ship charge]],0)</f>
        <v>0</v>
      </c>
    </row>
    <row r="153" spans="1:9" x14ac:dyDescent="0.2">
      <c r="A153">
        <v>1004386</v>
      </c>
      <c r="B153" t="s">
        <v>20</v>
      </c>
      <c r="C153">
        <v>16.77</v>
      </c>
      <c r="D153">
        <v>16.82</v>
      </c>
      <c r="E153">
        <v>3.9</v>
      </c>
      <c r="F153" t="s">
        <v>10</v>
      </c>
      <c r="G1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3">
        <f>IF(Table1[[#This Row],[is_ups_overcharge]]="ups overcharged",Table1[[#This Row],[ups ship charge]]-Table1[[#This Row],[ada ship charge]],0)</f>
        <v>0</v>
      </c>
    </row>
    <row r="154" spans="1:9" x14ac:dyDescent="0.2">
      <c r="A154">
        <v>1004398</v>
      </c>
      <c r="B154" t="s">
        <v>20</v>
      </c>
      <c r="C154">
        <v>13.7</v>
      </c>
      <c r="D154">
        <v>13.76</v>
      </c>
      <c r="E154">
        <v>74.7</v>
      </c>
      <c r="F154" t="s">
        <v>9</v>
      </c>
      <c r="G1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4">
        <f>IF(Table1[[#This Row],[is_ups_overcharge]]="ups overcharged",Table1[[#This Row],[ups ship charge]]-Table1[[#This Row],[ada ship charge]],0)</f>
        <v>0</v>
      </c>
    </row>
    <row r="155" spans="1:9" x14ac:dyDescent="0.2">
      <c r="A155">
        <v>1004424</v>
      </c>
      <c r="B155" t="s">
        <v>20</v>
      </c>
      <c r="C155">
        <v>9.6999999999999993</v>
      </c>
      <c r="D155">
        <v>9.75</v>
      </c>
      <c r="E155">
        <v>21.8</v>
      </c>
      <c r="F155" t="s">
        <v>6</v>
      </c>
      <c r="G1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5">
        <f>IF(Table1[[#This Row],[is_ups_overcharge]]="ups overcharged",Table1[[#This Row],[ups ship charge]]-Table1[[#This Row],[ada ship charge]],0)</f>
        <v>0</v>
      </c>
    </row>
    <row r="156" spans="1:9" x14ac:dyDescent="0.2">
      <c r="A156">
        <v>1004441</v>
      </c>
      <c r="B156" t="s">
        <v>20</v>
      </c>
      <c r="C156">
        <v>11.03</v>
      </c>
      <c r="D156">
        <v>11.08</v>
      </c>
      <c r="E156">
        <v>45.85</v>
      </c>
      <c r="F156" t="s">
        <v>14</v>
      </c>
      <c r="G1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6">
        <f>IF(Table1[[#This Row],[is_ups_overcharge]]="ups overcharged",Table1[[#This Row],[ups ship charge]]-Table1[[#This Row],[ada ship charge]],0)</f>
        <v>0</v>
      </c>
    </row>
    <row r="157" spans="1:9" x14ac:dyDescent="0.2">
      <c r="A157">
        <v>1004478</v>
      </c>
      <c r="B157" t="s">
        <v>20</v>
      </c>
      <c r="C157">
        <v>71.73</v>
      </c>
      <c r="D157">
        <v>75.53</v>
      </c>
      <c r="E157">
        <v>233.45</v>
      </c>
      <c r="F157" t="s">
        <v>11</v>
      </c>
      <c r="G1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7">
        <f>IF(Table1[[#This Row],[is_ups_overcharge]]="ups overcharged",Table1[[#This Row],[ups ship charge]]-Table1[[#This Row],[ada ship charge]],0)</f>
        <v>0</v>
      </c>
    </row>
    <row r="158" spans="1:9" x14ac:dyDescent="0.2">
      <c r="A158">
        <v>1004487</v>
      </c>
      <c r="B158" t="s">
        <v>20</v>
      </c>
      <c r="C158">
        <v>14.04</v>
      </c>
      <c r="D158">
        <v>14.09</v>
      </c>
      <c r="E158">
        <v>49</v>
      </c>
      <c r="F158" t="s">
        <v>16</v>
      </c>
      <c r="G1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8">
        <f>IF(Table1[[#This Row],[is_ups_overcharge]]="ups overcharged",Table1[[#This Row],[ups ship charge]]-Table1[[#This Row],[ada ship charge]],0)</f>
        <v>0</v>
      </c>
    </row>
    <row r="159" spans="1:9" x14ac:dyDescent="0.2">
      <c r="A159">
        <v>1004490</v>
      </c>
      <c r="B159" t="s">
        <v>20</v>
      </c>
      <c r="C159">
        <v>15.44</v>
      </c>
      <c r="D159">
        <v>15.49</v>
      </c>
      <c r="E159">
        <v>29.8</v>
      </c>
      <c r="F159" t="s">
        <v>12</v>
      </c>
      <c r="G1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9">
        <f>IF(Table1[[#This Row],[is_ups_overcharge]]="ups overcharged",Table1[[#This Row],[ups ship charge]]-Table1[[#This Row],[ada ship charge]],0)</f>
        <v>0</v>
      </c>
    </row>
    <row r="160" spans="1:9" x14ac:dyDescent="0.2">
      <c r="A160">
        <v>1004492</v>
      </c>
      <c r="B160" t="s">
        <v>20</v>
      </c>
      <c r="C160">
        <v>13.73</v>
      </c>
      <c r="D160">
        <v>18.2</v>
      </c>
      <c r="E160">
        <v>169.9</v>
      </c>
      <c r="F160" t="s">
        <v>13</v>
      </c>
      <c r="G1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0">
        <f>IF(Table1[[#This Row],[is_ups_overcharge]]="ups overcharged",Table1[[#This Row],[ups ship charge]]-Table1[[#This Row],[ada ship charge]],0)</f>
        <v>0</v>
      </c>
    </row>
    <row r="161" spans="1:9" x14ac:dyDescent="0.2">
      <c r="A161">
        <v>1004493</v>
      </c>
      <c r="B161" t="s">
        <v>20</v>
      </c>
      <c r="C161">
        <v>12.81</v>
      </c>
      <c r="D161">
        <v>12.86</v>
      </c>
      <c r="E161">
        <v>9.9499999999999993</v>
      </c>
      <c r="F161" t="s">
        <v>9</v>
      </c>
      <c r="G1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1">
        <f>IF(Table1[[#This Row],[is_ups_overcharge]]="ups overcharged",Table1[[#This Row],[ups ship charge]]-Table1[[#This Row],[ada ship charge]],0)</f>
        <v>0</v>
      </c>
    </row>
    <row r="162" spans="1:9" x14ac:dyDescent="0.2">
      <c r="A162">
        <v>1004508</v>
      </c>
      <c r="B162" t="s">
        <v>20</v>
      </c>
      <c r="C162">
        <v>12.81</v>
      </c>
      <c r="D162">
        <v>12.86</v>
      </c>
      <c r="E162">
        <v>9.8000000000000007</v>
      </c>
      <c r="F162" t="s">
        <v>9</v>
      </c>
      <c r="G1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2">
        <f>IF(Table1[[#This Row],[is_ups_overcharge]]="ups overcharged",Table1[[#This Row],[ups ship charge]]-Table1[[#This Row],[ada ship charge]],0)</f>
        <v>0</v>
      </c>
    </row>
    <row r="163" spans="1:9" x14ac:dyDescent="0.2">
      <c r="A163">
        <v>1004521</v>
      </c>
      <c r="B163" t="s">
        <v>20</v>
      </c>
      <c r="C163">
        <v>12.81</v>
      </c>
      <c r="D163">
        <v>12.86</v>
      </c>
      <c r="E163">
        <v>36.450000000000003</v>
      </c>
      <c r="F163" t="s">
        <v>9</v>
      </c>
      <c r="G1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3">
        <f>IF(Table1[[#This Row],[is_ups_overcharge]]="ups overcharged",Table1[[#This Row],[ups ship charge]]-Table1[[#This Row],[ada ship charge]],0)</f>
        <v>0</v>
      </c>
    </row>
    <row r="164" spans="1:9" x14ac:dyDescent="0.2">
      <c r="A164">
        <v>1004528</v>
      </c>
      <c r="B164" t="s">
        <v>20</v>
      </c>
      <c r="C164">
        <v>13.7</v>
      </c>
      <c r="D164">
        <v>13.75</v>
      </c>
      <c r="E164">
        <v>39.950000000000003</v>
      </c>
      <c r="F164" t="s">
        <v>9</v>
      </c>
      <c r="G1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4">
        <f>IF(Table1[[#This Row],[is_ups_overcharge]]="ups overcharged",Table1[[#This Row],[ups ship charge]]-Table1[[#This Row],[ada ship charge]],0)</f>
        <v>0</v>
      </c>
    </row>
    <row r="165" spans="1:9" x14ac:dyDescent="0.2">
      <c r="A165">
        <v>1004547</v>
      </c>
      <c r="B165" t="s">
        <v>20</v>
      </c>
      <c r="C165">
        <v>9.6999999999999993</v>
      </c>
      <c r="D165">
        <v>9.75</v>
      </c>
      <c r="E165">
        <v>38.85</v>
      </c>
      <c r="F165" t="s">
        <v>6</v>
      </c>
      <c r="G1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5">
        <f>IF(Table1[[#This Row],[is_ups_overcharge]]="ups overcharged",Table1[[#This Row],[ups ship charge]]-Table1[[#This Row],[ada ship charge]],0)</f>
        <v>0</v>
      </c>
    </row>
    <row r="166" spans="1:9" x14ac:dyDescent="0.2">
      <c r="A166">
        <v>1004558</v>
      </c>
      <c r="B166" t="s">
        <v>20</v>
      </c>
      <c r="C166">
        <v>12.81</v>
      </c>
      <c r="D166">
        <v>12.86</v>
      </c>
      <c r="E166">
        <v>6.95</v>
      </c>
      <c r="F166" t="s">
        <v>9</v>
      </c>
      <c r="G1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6">
        <f>IF(Table1[[#This Row],[is_ups_overcharge]]="ups overcharged",Table1[[#This Row],[ups ship charge]]-Table1[[#This Row],[ada ship charge]],0)</f>
        <v>0</v>
      </c>
    </row>
    <row r="167" spans="1:9" x14ac:dyDescent="0.2">
      <c r="A167">
        <v>1004596</v>
      </c>
      <c r="B167" t="s">
        <v>20</v>
      </c>
      <c r="C167">
        <v>12.81</v>
      </c>
      <c r="D167">
        <v>12.86</v>
      </c>
      <c r="E167">
        <v>14.95</v>
      </c>
      <c r="F167" t="s">
        <v>9</v>
      </c>
      <c r="G1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7">
        <f>IF(Table1[[#This Row],[is_ups_overcharge]]="ups overcharged",Table1[[#This Row],[ups ship charge]]-Table1[[#This Row],[ada ship charge]],0)</f>
        <v>0</v>
      </c>
    </row>
    <row r="168" spans="1:9" x14ac:dyDescent="0.2">
      <c r="A168">
        <v>1004627</v>
      </c>
      <c r="B168" t="s">
        <v>20</v>
      </c>
      <c r="C168">
        <v>12.81</v>
      </c>
      <c r="D168">
        <v>12.86</v>
      </c>
      <c r="E168">
        <v>77.75</v>
      </c>
      <c r="F168" t="s">
        <v>9</v>
      </c>
      <c r="G1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8">
        <f>IF(Table1[[#This Row],[is_ups_overcharge]]="ups overcharged",Table1[[#This Row],[ups ship charge]]-Table1[[#This Row],[ada ship charge]],0)</f>
        <v>0</v>
      </c>
    </row>
    <row r="169" spans="1:9" x14ac:dyDescent="0.2">
      <c r="A169">
        <v>1004632</v>
      </c>
      <c r="B169" t="s">
        <v>20</v>
      </c>
      <c r="C169">
        <v>12.81</v>
      </c>
      <c r="D169">
        <v>12.86</v>
      </c>
      <c r="E169">
        <v>17.5</v>
      </c>
      <c r="F169" t="s">
        <v>9</v>
      </c>
      <c r="G1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9">
        <f>IF(Table1[[#This Row],[is_ups_overcharge]]="ups overcharged",Table1[[#This Row],[ups ship charge]]-Table1[[#This Row],[ada ship charge]],0)</f>
        <v>0</v>
      </c>
    </row>
    <row r="170" spans="1:9" x14ac:dyDescent="0.2">
      <c r="A170">
        <v>1004634</v>
      </c>
      <c r="B170" t="s">
        <v>20</v>
      </c>
      <c r="C170">
        <v>9.6999999999999993</v>
      </c>
      <c r="D170">
        <v>9.75</v>
      </c>
      <c r="E170">
        <v>49.9</v>
      </c>
      <c r="F170" t="s">
        <v>6</v>
      </c>
      <c r="G1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0">
        <f>IF(Table1[[#This Row],[is_ups_overcharge]]="ups overcharged",Table1[[#This Row],[ups ship charge]]-Table1[[#This Row],[ada ship charge]],0)</f>
        <v>0</v>
      </c>
    </row>
    <row r="171" spans="1:9" x14ac:dyDescent="0.2">
      <c r="A171">
        <v>1004642</v>
      </c>
      <c r="B171" t="s">
        <v>20</v>
      </c>
      <c r="C171">
        <v>13.7</v>
      </c>
      <c r="D171">
        <v>13.75</v>
      </c>
      <c r="E171">
        <v>7.5</v>
      </c>
      <c r="F171" t="s">
        <v>9</v>
      </c>
      <c r="G1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1">
        <f>IF(Table1[[#This Row],[is_ups_overcharge]]="ups overcharged",Table1[[#This Row],[ups ship charge]]-Table1[[#This Row],[ada ship charge]],0)</f>
        <v>0</v>
      </c>
    </row>
    <row r="172" spans="1:9" x14ac:dyDescent="0.2">
      <c r="A172">
        <v>1004672</v>
      </c>
      <c r="B172" t="s">
        <v>20</v>
      </c>
      <c r="C172">
        <v>13.73</v>
      </c>
      <c r="D172">
        <v>13.78</v>
      </c>
      <c r="E172">
        <v>94.95</v>
      </c>
      <c r="F172" t="s">
        <v>13</v>
      </c>
      <c r="G1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2">
        <f>IF(Table1[[#This Row],[is_ups_overcharge]]="ups overcharged",Table1[[#This Row],[ups ship charge]]-Table1[[#This Row],[ada ship charge]],0)</f>
        <v>0</v>
      </c>
    </row>
    <row r="173" spans="1:9" x14ac:dyDescent="0.2">
      <c r="A173">
        <v>1004690</v>
      </c>
      <c r="B173" t="s">
        <v>20</v>
      </c>
      <c r="C173">
        <v>13.7</v>
      </c>
      <c r="D173">
        <v>13.79</v>
      </c>
      <c r="E173">
        <v>29.9</v>
      </c>
      <c r="F173" t="s">
        <v>9</v>
      </c>
      <c r="G1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3">
        <f>IF(Table1[[#This Row],[is_ups_overcharge]]="ups overcharged",Table1[[#This Row],[ups ship charge]]-Table1[[#This Row],[ada ship charge]],0)</f>
        <v>0</v>
      </c>
    </row>
    <row r="174" spans="1:9" x14ac:dyDescent="0.2">
      <c r="A174">
        <v>1004692</v>
      </c>
      <c r="B174" t="s">
        <v>20</v>
      </c>
      <c r="C174">
        <v>24.78</v>
      </c>
      <c r="D174">
        <v>29.84</v>
      </c>
      <c r="E174">
        <v>64.08</v>
      </c>
      <c r="F174" t="s">
        <v>16</v>
      </c>
      <c r="G1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4">
        <f>IF(Table1[[#This Row],[is_ups_overcharge]]="ups overcharged",Table1[[#This Row],[ups ship charge]]-Table1[[#This Row],[ada ship charge]],0)</f>
        <v>0</v>
      </c>
    </row>
    <row r="175" spans="1:9" x14ac:dyDescent="0.2">
      <c r="A175">
        <v>1004712</v>
      </c>
      <c r="B175" t="s">
        <v>20</v>
      </c>
      <c r="C175">
        <v>9.6999999999999993</v>
      </c>
      <c r="D175">
        <v>12.86</v>
      </c>
      <c r="E175">
        <v>12.5</v>
      </c>
      <c r="F175" t="s">
        <v>6</v>
      </c>
      <c r="G1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5">
        <f>IF(Table1[[#This Row],[is_ups_overcharge]]="ups overcharged",Table1[[#This Row],[ups ship charge]]-Table1[[#This Row],[ada ship charge]],0)</f>
        <v>0</v>
      </c>
    </row>
    <row r="176" spans="1:9" x14ac:dyDescent="0.2">
      <c r="A176">
        <v>1004713</v>
      </c>
      <c r="B176" t="s">
        <v>20</v>
      </c>
      <c r="C176">
        <v>13.7</v>
      </c>
      <c r="D176">
        <v>13.75</v>
      </c>
      <c r="E176">
        <v>22.9</v>
      </c>
      <c r="F176" t="s">
        <v>9</v>
      </c>
      <c r="G1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6">
        <f>IF(Table1[[#This Row],[is_ups_overcharge]]="ups overcharged",Table1[[#This Row],[ups ship charge]]-Table1[[#This Row],[ada ship charge]],0)</f>
        <v>0</v>
      </c>
    </row>
    <row r="177" spans="1:9" x14ac:dyDescent="0.2">
      <c r="A177">
        <v>1004716</v>
      </c>
      <c r="B177" t="s">
        <v>20</v>
      </c>
      <c r="C177">
        <v>15.13</v>
      </c>
      <c r="D177">
        <v>16.07</v>
      </c>
      <c r="E177">
        <v>114.89</v>
      </c>
      <c r="F177" t="s">
        <v>12</v>
      </c>
      <c r="G1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7">
        <f>IF(Table1[[#This Row],[is_ups_overcharge]]="ups overcharged",Table1[[#This Row],[ups ship charge]]-Table1[[#This Row],[ada ship charge]],0)</f>
        <v>0</v>
      </c>
    </row>
    <row r="178" spans="1:9" x14ac:dyDescent="0.2">
      <c r="A178">
        <v>1004726</v>
      </c>
      <c r="B178" t="s">
        <v>20</v>
      </c>
      <c r="C178">
        <v>15.44</v>
      </c>
      <c r="D178">
        <v>15.49</v>
      </c>
      <c r="E178">
        <v>131.1</v>
      </c>
      <c r="F178" t="s">
        <v>12</v>
      </c>
      <c r="G1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8">
        <f>IF(Table1[[#This Row],[is_ups_overcharge]]="ups overcharged",Table1[[#This Row],[ups ship charge]]-Table1[[#This Row],[ada ship charge]],0)</f>
        <v>0</v>
      </c>
    </row>
    <row r="179" spans="1:9" x14ac:dyDescent="0.2">
      <c r="A179">
        <v>1004736</v>
      </c>
      <c r="B179" t="s">
        <v>20</v>
      </c>
      <c r="C179">
        <v>12.81</v>
      </c>
      <c r="D179">
        <v>12.86</v>
      </c>
      <c r="E179">
        <v>24.8</v>
      </c>
      <c r="F179" t="s">
        <v>9</v>
      </c>
      <c r="G1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9">
        <f>IF(Table1[[#This Row],[is_ups_overcharge]]="ups overcharged",Table1[[#This Row],[ups ship charge]]-Table1[[#This Row],[ada ship charge]],0)</f>
        <v>0</v>
      </c>
    </row>
    <row r="180" spans="1:9" x14ac:dyDescent="0.2">
      <c r="A180">
        <v>1004744</v>
      </c>
      <c r="B180" t="s">
        <v>20</v>
      </c>
      <c r="C180">
        <v>16.77</v>
      </c>
      <c r="D180">
        <v>16.82</v>
      </c>
      <c r="E180">
        <v>45</v>
      </c>
      <c r="F180" t="s">
        <v>10</v>
      </c>
      <c r="G1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0">
        <f>IF(Table1[[#This Row],[is_ups_overcharge]]="ups overcharged",Table1[[#This Row],[ups ship charge]]-Table1[[#This Row],[ada ship charge]],0)</f>
        <v>0</v>
      </c>
    </row>
    <row r="181" spans="1:9" x14ac:dyDescent="0.2">
      <c r="A181">
        <v>1004754</v>
      </c>
      <c r="B181" t="s">
        <v>20</v>
      </c>
      <c r="C181">
        <v>9.6999999999999993</v>
      </c>
      <c r="D181">
        <v>9.75</v>
      </c>
      <c r="E181">
        <v>59.7</v>
      </c>
      <c r="F181" t="s">
        <v>6</v>
      </c>
      <c r="G1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1">
        <f>IF(Table1[[#This Row],[is_ups_overcharge]]="ups overcharged",Table1[[#This Row],[ups ship charge]]-Table1[[#This Row],[ada ship charge]],0)</f>
        <v>0</v>
      </c>
    </row>
    <row r="182" spans="1:9" x14ac:dyDescent="0.2">
      <c r="A182">
        <v>1004799</v>
      </c>
      <c r="B182" t="s">
        <v>20</v>
      </c>
      <c r="C182">
        <v>13.7</v>
      </c>
      <c r="D182">
        <v>13.75</v>
      </c>
      <c r="E182">
        <v>7.5</v>
      </c>
      <c r="F182" t="s">
        <v>9</v>
      </c>
      <c r="G1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2">
        <f>IF(Table1[[#This Row],[is_ups_overcharge]]="ups overcharged",Table1[[#This Row],[ups ship charge]]-Table1[[#This Row],[ada ship charge]],0)</f>
        <v>0</v>
      </c>
    </row>
    <row r="183" spans="1:9" x14ac:dyDescent="0.2">
      <c r="A183">
        <v>1004802</v>
      </c>
      <c r="B183" t="s">
        <v>20</v>
      </c>
      <c r="C183">
        <v>13.7</v>
      </c>
      <c r="D183">
        <v>13.75</v>
      </c>
      <c r="E183">
        <v>47.45</v>
      </c>
      <c r="F183" t="s">
        <v>9</v>
      </c>
      <c r="G1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3">
        <f>IF(Table1[[#This Row],[is_ups_overcharge]]="ups overcharged",Table1[[#This Row],[ups ship charge]]-Table1[[#This Row],[ada ship charge]],0)</f>
        <v>0</v>
      </c>
    </row>
    <row r="184" spans="1:9" x14ac:dyDescent="0.2">
      <c r="A184">
        <v>1004813</v>
      </c>
      <c r="B184" t="s">
        <v>20</v>
      </c>
      <c r="C184">
        <v>22.7</v>
      </c>
      <c r="D184">
        <v>13.76</v>
      </c>
      <c r="E184">
        <v>13.65</v>
      </c>
      <c r="F184" t="s">
        <v>6</v>
      </c>
      <c r="G1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84">
        <f>IF(Table1[[#This Row],[is_ups_overcharge]]="ups overcharged",Table1[[#This Row],[ups ship charge]]-Table1[[#This Row],[ada ship charge]],0)</f>
        <v>8.94</v>
      </c>
    </row>
    <row r="185" spans="1:9" x14ac:dyDescent="0.2">
      <c r="A185">
        <v>1004832</v>
      </c>
      <c r="B185" t="s">
        <v>20</v>
      </c>
      <c r="C185">
        <v>13.7</v>
      </c>
      <c r="D185">
        <v>13.75</v>
      </c>
      <c r="E185">
        <v>43.55</v>
      </c>
      <c r="F185" t="s">
        <v>9</v>
      </c>
      <c r="G1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5">
        <f>IF(Table1[[#This Row],[is_ups_overcharge]]="ups overcharged",Table1[[#This Row],[ups ship charge]]-Table1[[#This Row],[ada ship charge]],0)</f>
        <v>0</v>
      </c>
    </row>
    <row r="186" spans="1:9" x14ac:dyDescent="0.2">
      <c r="A186">
        <v>1004835</v>
      </c>
      <c r="B186" t="s">
        <v>20</v>
      </c>
      <c r="C186">
        <v>12.81</v>
      </c>
      <c r="D186">
        <v>0</v>
      </c>
      <c r="E186">
        <v>453.7</v>
      </c>
      <c r="F186" t="s">
        <v>9</v>
      </c>
      <c r="G1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6">
        <f>IF(Table1[[#This Row],[is_ups_overcharge]]="ups overcharged",Table1[[#This Row],[ups ship charge]]-Table1[[#This Row],[ada ship charge]],0)</f>
        <v>0</v>
      </c>
    </row>
    <row r="187" spans="1:9" x14ac:dyDescent="0.2">
      <c r="A187">
        <v>1004838</v>
      </c>
      <c r="B187" t="s">
        <v>20</v>
      </c>
      <c r="C187">
        <v>12.35</v>
      </c>
      <c r="D187">
        <v>12.4</v>
      </c>
      <c r="E187">
        <v>4.95</v>
      </c>
      <c r="F187" t="s">
        <v>13</v>
      </c>
      <c r="G1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7">
        <f>IF(Table1[[#This Row],[is_ups_overcharge]]="ups overcharged",Table1[[#This Row],[ups ship charge]]-Table1[[#This Row],[ada ship charge]],0)</f>
        <v>0</v>
      </c>
    </row>
    <row r="188" spans="1:9" x14ac:dyDescent="0.2">
      <c r="A188">
        <v>1004843</v>
      </c>
      <c r="B188" t="s">
        <v>20</v>
      </c>
      <c r="C188">
        <v>26.79</v>
      </c>
      <c r="D188">
        <v>26.84</v>
      </c>
      <c r="E188">
        <v>29.95</v>
      </c>
      <c r="F188" t="s">
        <v>10</v>
      </c>
      <c r="G1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8">
        <f>IF(Table1[[#This Row],[is_ups_overcharge]]="ups overcharged",Table1[[#This Row],[ups ship charge]]-Table1[[#This Row],[ada ship charge]],0)</f>
        <v>0</v>
      </c>
    </row>
    <row r="189" spans="1:9" x14ac:dyDescent="0.2">
      <c r="A189">
        <v>1004898</v>
      </c>
      <c r="B189" t="s">
        <v>20</v>
      </c>
      <c r="C189">
        <v>13.71</v>
      </c>
      <c r="D189">
        <v>13.75</v>
      </c>
      <c r="E189">
        <v>44.85</v>
      </c>
      <c r="F189" t="s">
        <v>9</v>
      </c>
      <c r="G1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9">
        <f>IF(Table1[[#This Row],[is_ups_overcharge]]="ups overcharged",Table1[[#This Row],[ups ship charge]]-Table1[[#This Row],[ada ship charge]],0)</f>
        <v>0</v>
      </c>
    </row>
    <row r="190" spans="1:9" x14ac:dyDescent="0.2">
      <c r="A190">
        <v>1004939</v>
      </c>
      <c r="B190" t="s">
        <v>20</v>
      </c>
      <c r="C190">
        <v>12.81</v>
      </c>
      <c r="D190">
        <v>12.86</v>
      </c>
      <c r="E190">
        <v>52.35</v>
      </c>
      <c r="F190" t="s">
        <v>9</v>
      </c>
      <c r="G1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0">
        <f>IF(Table1[[#This Row],[is_ups_overcharge]]="ups overcharged",Table1[[#This Row],[ups ship charge]]-Table1[[#This Row],[ada ship charge]],0)</f>
        <v>0</v>
      </c>
    </row>
    <row r="191" spans="1:9" x14ac:dyDescent="0.2">
      <c r="A191">
        <v>1004943</v>
      </c>
      <c r="B191" t="s">
        <v>20</v>
      </c>
      <c r="C191">
        <v>18.68</v>
      </c>
      <c r="D191">
        <v>0</v>
      </c>
      <c r="E191">
        <v>730.72</v>
      </c>
      <c r="F191" t="s">
        <v>9</v>
      </c>
      <c r="G1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9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91">
        <f>IF(Table1[[#This Row],[is_ups_overcharge]]="ups overcharged",Table1[[#This Row],[ups ship charge]]-Table1[[#This Row],[ada ship charge]],0)</f>
        <v>0</v>
      </c>
    </row>
    <row r="192" spans="1:9" x14ac:dyDescent="0.2">
      <c r="A192">
        <v>1004972</v>
      </c>
      <c r="B192" t="s">
        <v>20</v>
      </c>
      <c r="C192">
        <v>12.45</v>
      </c>
      <c r="D192">
        <v>16.61</v>
      </c>
      <c r="E192">
        <v>9.9</v>
      </c>
      <c r="F192" t="s">
        <v>13</v>
      </c>
      <c r="G1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2">
        <f>IF(Table1[[#This Row],[is_ups_overcharge]]="ups overcharged",Table1[[#This Row],[ups ship charge]]-Table1[[#This Row],[ada ship charge]],0)</f>
        <v>0</v>
      </c>
    </row>
    <row r="193" spans="1:9" x14ac:dyDescent="0.2">
      <c r="A193">
        <v>1004976</v>
      </c>
      <c r="B193" t="s">
        <v>20</v>
      </c>
      <c r="C193">
        <v>12.73</v>
      </c>
      <c r="D193">
        <v>14.29</v>
      </c>
      <c r="E193">
        <v>173.85</v>
      </c>
      <c r="F193" t="s">
        <v>13</v>
      </c>
      <c r="G1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3">
        <f>IF(Table1[[#This Row],[is_ups_overcharge]]="ups overcharged",Table1[[#This Row],[ups ship charge]]-Table1[[#This Row],[ada ship charge]],0)</f>
        <v>0</v>
      </c>
    </row>
    <row r="194" spans="1:9" x14ac:dyDescent="0.2">
      <c r="A194">
        <v>1004977</v>
      </c>
      <c r="B194" t="s">
        <v>20</v>
      </c>
      <c r="C194">
        <v>16.77</v>
      </c>
      <c r="D194">
        <v>16.82</v>
      </c>
      <c r="E194">
        <v>93.7</v>
      </c>
      <c r="F194" t="s">
        <v>10</v>
      </c>
      <c r="G1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4">
        <f>IF(Table1[[#This Row],[is_ups_overcharge]]="ups overcharged",Table1[[#This Row],[ups ship charge]]-Table1[[#This Row],[ada ship charge]],0)</f>
        <v>0</v>
      </c>
    </row>
    <row r="195" spans="1:9" x14ac:dyDescent="0.2">
      <c r="A195">
        <v>1004982</v>
      </c>
      <c r="B195" t="s">
        <v>20</v>
      </c>
      <c r="C195">
        <v>16.38</v>
      </c>
      <c r="D195">
        <v>0</v>
      </c>
      <c r="E195">
        <v>724</v>
      </c>
      <c r="F195" t="s">
        <v>6</v>
      </c>
      <c r="G1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9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95">
        <f>IF(Table1[[#This Row],[is_ups_overcharge]]="ups overcharged",Table1[[#This Row],[ups ship charge]]-Table1[[#This Row],[ada ship charge]],0)</f>
        <v>0</v>
      </c>
    </row>
    <row r="196" spans="1:9" x14ac:dyDescent="0.2">
      <c r="A196">
        <v>1004985</v>
      </c>
      <c r="B196" t="s">
        <v>20</v>
      </c>
      <c r="C196">
        <v>9.6999999999999993</v>
      </c>
      <c r="D196">
        <v>9.75</v>
      </c>
      <c r="E196">
        <v>19.899999999999999</v>
      </c>
      <c r="F196" t="s">
        <v>6</v>
      </c>
      <c r="G1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6">
        <f>IF(Table1[[#This Row],[is_ups_overcharge]]="ups overcharged",Table1[[#This Row],[ups ship charge]]-Table1[[#This Row],[ada ship charge]],0)</f>
        <v>0</v>
      </c>
    </row>
    <row r="197" spans="1:9" x14ac:dyDescent="0.2">
      <c r="A197">
        <v>1004997</v>
      </c>
      <c r="B197" t="s">
        <v>20</v>
      </c>
      <c r="C197">
        <v>9.7100000000000009</v>
      </c>
      <c r="D197">
        <v>0</v>
      </c>
      <c r="E197">
        <v>199.75</v>
      </c>
      <c r="F197" t="s">
        <v>6</v>
      </c>
      <c r="G1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7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97">
        <f>IF(Table1[[#This Row],[is_ups_overcharge]]="ups overcharged",Table1[[#This Row],[ups ship charge]]-Table1[[#This Row],[ada ship charge]],0)</f>
        <v>9.7100000000000009</v>
      </c>
    </row>
    <row r="198" spans="1:9" x14ac:dyDescent="0.2">
      <c r="A198">
        <v>1005018</v>
      </c>
      <c r="B198" t="s">
        <v>20</v>
      </c>
      <c r="C198">
        <v>15.13</v>
      </c>
      <c r="D198">
        <v>15.77</v>
      </c>
      <c r="E198">
        <v>101.25</v>
      </c>
      <c r="F198" t="s">
        <v>12</v>
      </c>
      <c r="G1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8">
        <f>IF(Table1[[#This Row],[is_ups_overcharge]]="ups overcharged",Table1[[#This Row],[ups ship charge]]-Table1[[#This Row],[ada ship charge]],0)</f>
        <v>0</v>
      </c>
    </row>
    <row r="199" spans="1:9" x14ac:dyDescent="0.2">
      <c r="A199">
        <v>1005085</v>
      </c>
      <c r="B199" t="s">
        <v>20</v>
      </c>
      <c r="C199">
        <v>12.35</v>
      </c>
      <c r="D199">
        <v>12.4</v>
      </c>
      <c r="E199">
        <v>48.2</v>
      </c>
      <c r="F199" t="s">
        <v>13</v>
      </c>
      <c r="G1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9">
        <f>IF(Table1[[#This Row],[is_ups_overcharge]]="ups overcharged",Table1[[#This Row],[ups ship charge]]-Table1[[#This Row],[ada ship charge]],0)</f>
        <v>0</v>
      </c>
    </row>
    <row r="200" spans="1:9" x14ac:dyDescent="0.2">
      <c r="A200">
        <v>1005093</v>
      </c>
      <c r="B200" t="s">
        <v>20</v>
      </c>
      <c r="C200">
        <v>10.65</v>
      </c>
      <c r="D200">
        <v>0</v>
      </c>
      <c r="E200">
        <v>208.95</v>
      </c>
      <c r="F200" t="s">
        <v>6</v>
      </c>
      <c r="G2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0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00">
        <f>IF(Table1[[#This Row],[is_ups_overcharge]]="ups overcharged",Table1[[#This Row],[ups ship charge]]-Table1[[#This Row],[ada ship charge]],0)</f>
        <v>0</v>
      </c>
    </row>
    <row r="201" spans="1:9" x14ac:dyDescent="0.2">
      <c r="A201">
        <v>1005094</v>
      </c>
      <c r="B201" t="s">
        <v>20</v>
      </c>
      <c r="C201">
        <v>15.44</v>
      </c>
      <c r="D201">
        <v>15.5</v>
      </c>
      <c r="E201">
        <v>35.9</v>
      </c>
      <c r="F201" t="s">
        <v>12</v>
      </c>
      <c r="G2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1">
        <f>IF(Table1[[#This Row],[is_ups_overcharge]]="ups overcharged",Table1[[#This Row],[ups ship charge]]-Table1[[#This Row],[ada ship charge]],0)</f>
        <v>0</v>
      </c>
    </row>
    <row r="202" spans="1:9" x14ac:dyDescent="0.2">
      <c r="A202">
        <v>1005102</v>
      </c>
      <c r="B202" t="s">
        <v>20</v>
      </c>
      <c r="C202">
        <v>12.81</v>
      </c>
      <c r="D202">
        <v>12.86</v>
      </c>
      <c r="E202">
        <v>6.5</v>
      </c>
      <c r="F202" t="s">
        <v>9</v>
      </c>
      <c r="G2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2">
        <f>IF(Table1[[#This Row],[is_ups_overcharge]]="ups overcharged",Table1[[#This Row],[ups ship charge]]-Table1[[#This Row],[ada ship charge]],0)</f>
        <v>0</v>
      </c>
    </row>
    <row r="203" spans="1:9" x14ac:dyDescent="0.2">
      <c r="A203">
        <v>1005117</v>
      </c>
      <c r="B203" t="s">
        <v>20</v>
      </c>
      <c r="C203">
        <v>26.56</v>
      </c>
      <c r="D203">
        <v>26.61</v>
      </c>
      <c r="E203">
        <v>38.65</v>
      </c>
      <c r="F203" t="s">
        <v>15</v>
      </c>
      <c r="G2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3">
        <f>IF(Table1[[#This Row],[is_ups_overcharge]]="ups overcharged",Table1[[#This Row],[ups ship charge]]-Table1[[#This Row],[ada ship charge]],0)</f>
        <v>0</v>
      </c>
    </row>
    <row r="204" spans="1:9" x14ac:dyDescent="0.2">
      <c r="A204">
        <v>1005127</v>
      </c>
      <c r="B204" t="s">
        <v>20</v>
      </c>
      <c r="C204">
        <v>15.44</v>
      </c>
      <c r="D204">
        <v>15.49</v>
      </c>
      <c r="E204">
        <v>54.55</v>
      </c>
      <c r="F204" t="s">
        <v>12</v>
      </c>
      <c r="G2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4">
        <f>IF(Table1[[#This Row],[is_ups_overcharge]]="ups overcharged",Table1[[#This Row],[ups ship charge]]-Table1[[#This Row],[ada ship charge]],0)</f>
        <v>0</v>
      </c>
    </row>
    <row r="205" spans="1:9" x14ac:dyDescent="0.2">
      <c r="A205">
        <v>1005142</v>
      </c>
      <c r="B205" t="s">
        <v>20</v>
      </c>
      <c r="C205">
        <v>12.81</v>
      </c>
      <c r="D205">
        <v>12.86</v>
      </c>
      <c r="E205">
        <v>24.45</v>
      </c>
      <c r="F205" t="s">
        <v>9</v>
      </c>
      <c r="G2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5">
        <f>IF(Table1[[#This Row],[is_ups_overcharge]]="ups overcharged",Table1[[#This Row],[ups ship charge]]-Table1[[#This Row],[ada ship charge]],0)</f>
        <v>0</v>
      </c>
    </row>
    <row r="206" spans="1:9" x14ac:dyDescent="0.2">
      <c r="A206">
        <v>1005154</v>
      </c>
      <c r="B206" t="s">
        <v>20</v>
      </c>
      <c r="C206">
        <v>12.81</v>
      </c>
      <c r="D206">
        <v>12.86</v>
      </c>
      <c r="E206">
        <v>84.5</v>
      </c>
      <c r="F206" t="s">
        <v>9</v>
      </c>
      <c r="G2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6">
        <f>IF(Table1[[#This Row],[is_ups_overcharge]]="ups overcharged",Table1[[#This Row],[ups ship charge]]-Table1[[#This Row],[ada ship charge]],0)</f>
        <v>0</v>
      </c>
    </row>
    <row r="207" spans="1:9" x14ac:dyDescent="0.2">
      <c r="A207">
        <v>1005156</v>
      </c>
      <c r="B207" t="s">
        <v>20</v>
      </c>
      <c r="C207">
        <v>13.7</v>
      </c>
      <c r="D207">
        <v>13.75</v>
      </c>
      <c r="E207">
        <v>17.600000000000001</v>
      </c>
      <c r="F207" t="s">
        <v>9</v>
      </c>
      <c r="G2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7">
        <f>IF(Table1[[#This Row],[is_ups_overcharge]]="ups overcharged",Table1[[#This Row],[ups ship charge]]-Table1[[#This Row],[ada ship charge]],0)</f>
        <v>0</v>
      </c>
    </row>
    <row r="208" spans="1:9" x14ac:dyDescent="0.2">
      <c r="A208">
        <v>1005157</v>
      </c>
      <c r="B208" t="s">
        <v>20</v>
      </c>
      <c r="C208">
        <v>22.41</v>
      </c>
      <c r="D208">
        <v>22.46</v>
      </c>
      <c r="E208">
        <v>119.8</v>
      </c>
      <c r="F208" t="s">
        <v>16</v>
      </c>
      <c r="G2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8">
        <f>IF(Table1[[#This Row],[is_ups_overcharge]]="ups overcharged",Table1[[#This Row],[ups ship charge]]-Table1[[#This Row],[ada ship charge]],0)</f>
        <v>0</v>
      </c>
    </row>
    <row r="209" spans="1:9" x14ac:dyDescent="0.2">
      <c r="A209">
        <v>1005165</v>
      </c>
      <c r="B209" t="s">
        <v>20</v>
      </c>
      <c r="C209">
        <v>9.6999999999999993</v>
      </c>
      <c r="D209">
        <v>9.7899999999999991</v>
      </c>
      <c r="E209">
        <v>78.95</v>
      </c>
      <c r="F209" t="s">
        <v>6</v>
      </c>
      <c r="G2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9">
        <f>IF(Table1[[#This Row],[is_ups_overcharge]]="ups overcharged",Table1[[#This Row],[ups ship charge]]-Table1[[#This Row],[ada ship charge]],0)</f>
        <v>0</v>
      </c>
    </row>
    <row r="210" spans="1:9" x14ac:dyDescent="0.2">
      <c r="A210">
        <v>1005177</v>
      </c>
      <c r="B210" t="s">
        <v>20</v>
      </c>
      <c r="C210">
        <v>22.41</v>
      </c>
      <c r="D210">
        <v>22.46</v>
      </c>
      <c r="E210">
        <v>46.75</v>
      </c>
      <c r="F210" t="s">
        <v>16</v>
      </c>
      <c r="G2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0">
        <f>IF(Table1[[#This Row],[is_ups_overcharge]]="ups overcharged",Table1[[#This Row],[ups ship charge]]-Table1[[#This Row],[ada ship charge]],0)</f>
        <v>0</v>
      </c>
    </row>
    <row r="211" spans="1:9" x14ac:dyDescent="0.2">
      <c r="A211">
        <v>1005187</v>
      </c>
      <c r="B211" t="s">
        <v>20</v>
      </c>
      <c r="C211">
        <v>9.6999999999999993</v>
      </c>
      <c r="D211">
        <v>9.75</v>
      </c>
      <c r="E211">
        <v>9.9499999999999993</v>
      </c>
      <c r="F211" t="s">
        <v>6</v>
      </c>
      <c r="G2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1">
        <f>IF(Table1[[#This Row],[is_ups_overcharge]]="ups overcharged",Table1[[#This Row],[ups ship charge]]-Table1[[#This Row],[ada ship charge]],0)</f>
        <v>0</v>
      </c>
    </row>
    <row r="212" spans="1:9" x14ac:dyDescent="0.2">
      <c r="A212">
        <v>1005192</v>
      </c>
      <c r="B212" t="s">
        <v>20</v>
      </c>
      <c r="C212">
        <v>12.81</v>
      </c>
      <c r="D212">
        <v>0</v>
      </c>
      <c r="E212">
        <v>298.55</v>
      </c>
      <c r="F212" t="s">
        <v>9</v>
      </c>
      <c r="G2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1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12">
        <f>IF(Table1[[#This Row],[is_ups_overcharge]]="ups overcharged",Table1[[#This Row],[ups ship charge]]-Table1[[#This Row],[ada ship charge]],0)</f>
        <v>0</v>
      </c>
    </row>
    <row r="213" spans="1:9" x14ac:dyDescent="0.2">
      <c r="A213">
        <v>1005199</v>
      </c>
      <c r="B213" t="s">
        <v>20</v>
      </c>
      <c r="C213">
        <v>15.14</v>
      </c>
      <c r="D213">
        <v>16.190000000000001</v>
      </c>
      <c r="E213">
        <v>98</v>
      </c>
      <c r="F213" t="s">
        <v>12</v>
      </c>
      <c r="G2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3">
        <f>IF(Table1[[#This Row],[is_ups_overcharge]]="ups overcharged",Table1[[#This Row],[ups ship charge]]-Table1[[#This Row],[ada ship charge]],0)</f>
        <v>0</v>
      </c>
    </row>
    <row r="214" spans="1:9" x14ac:dyDescent="0.2">
      <c r="A214">
        <v>1005226</v>
      </c>
      <c r="B214" t="s">
        <v>20</v>
      </c>
      <c r="C214">
        <v>12.81</v>
      </c>
      <c r="D214">
        <v>12.86</v>
      </c>
      <c r="E214">
        <v>41.6</v>
      </c>
      <c r="F214" t="s">
        <v>9</v>
      </c>
      <c r="G2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4">
        <f>IF(Table1[[#This Row],[is_ups_overcharge]]="ups overcharged",Table1[[#This Row],[ups ship charge]]-Table1[[#This Row],[ada ship charge]],0)</f>
        <v>0</v>
      </c>
    </row>
    <row r="215" spans="1:9" x14ac:dyDescent="0.2">
      <c r="A215">
        <v>1005230</v>
      </c>
      <c r="B215" t="s">
        <v>20</v>
      </c>
      <c r="C215">
        <v>12.81</v>
      </c>
      <c r="D215">
        <v>12.86</v>
      </c>
      <c r="E215">
        <v>53.65</v>
      </c>
      <c r="F215" t="s">
        <v>9</v>
      </c>
      <c r="G2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5">
        <f>IF(Table1[[#This Row],[is_ups_overcharge]]="ups overcharged",Table1[[#This Row],[ups ship charge]]-Table1[[#This Row],[ada ship charge]],0)</f>
        <v>0</v>
      </c>
    </row>
    <row r="216" spans="1:9" x14ac:dyDescent="0.2">
      <c r="A216">
        <v>1005243</v>
      </c>
      <c r="B216" t="s">
        <v>20</v>
      </c>
      <c r="C216">
        <v>16.989999999999998</v>
      </c>
      <c r="D216">
        <v>13.31</v>
      </c>
      <c r="E216">
        <v>85</v>
      </c>
      <c r="F216" t="s">
        <v>6</v>
      </c>
      <c r="G2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6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16">
        <f>IF(Table1[[#This Row],[is_ups_overcharge]]="ups overcharged",Table1[[#This Row],[ups ship charge]]-Table1[[#This Row],[ada ship charge]],0)</f>
        <v>3.6799999999999979</v>
      </c>
    </row>
    <row r="217" spans="1:9" x14ac:dyDescent="0.2">
      <c r="A217">
        <v>1005260</v>
      </c>
      <c r="B217" t="s">
        <v>20</v>
      </c>
      <c r="C217">
        <v>13.73</v>
      </c>
      <c r="D217">
        <v>15.55</v>
      </c>
      <c r="E217">
        <v>142.44999999999999</v>
      </c>
      <c r="F217" t="s">
        <v>13</v>
      </c>
      <c r="G2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7">
        <f>IF(Table1[[#This Row],[is_ups_overcharge]]="ups overcharged",Table1[[#This Row],[ups ship charge]]-Table1[[#This Row],[ada ship charge]],0)</f>
        <v>0</v>
      </c>
    </row>
    <row r="218" spans="1:9" x14ac:dyDescent="0.2">
      <c r="A218">
        <v>1005268</v>
      </c>
      <c r="B218" t="s">
        <v>20</v>
      </c>
      <c r="C218">
        <v>13.7</v>
      </c>
      <c r="D218">
        <v>13.75</v>
      </c>
      <c r="E218">
        <v>48.8</v>
      </c>
      <c r="F218" t="s">
        <v>9</v>
      </c>
      <c r="G2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8">
        <f>IF(Table1[[#This Row],[is_ups_overcharge]]="ups overcharged",Table1[[#This Row],[ups ship charge]]-Table1[[#This Row],[ada ship charge]],0)</f>
        <v>0</v>
      </c>
    </row>
    <row r="219" spans="1:9" x14ac:dyDescent="0.2">
      <c r="A219">
        <v>1005306</v>
      </c>
      <c r="B219" t="s">
        <v>20</v>
      </c>
      <c r="C219">
        <v>13.7</v>
      </c>
      <c r="D219">
        <v>15.17</v>
      </c>
      <c r="E219">
        <v>75</v>
      </c>
      <c r="F219" t="s">
        <v>9</v>
      </c>
      <c r="G2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9">
        <f>IF(Table1[[#This Row],[is_ups_overcharge]]="ups overcharged",Table1[[#This Row],[ups ship charge]]-Table1[[#This Row],[ada ship charge]],0)</f>
        <v>0</v>
      </c>
    </row>
    <row r="220" spans="1:9" x14ac:dyDescent="0.2">
      <c r="A220">
        <v>1005366</v>
      </c>
      <c r="B220" t="s">
        <v>20</v>
      </c>
      <c r="C220">
        <v>9.7100000000000009</v>
      </c>
      <c r="D220">
        <v>0</v>
      </c>
      <c r="E220">
        <v>424.65</v>
      </c>
      <c r="F220" t="s">
        <v>6</v>
      </c>
      <c r="G2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2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20">
        <f>IF(Table1[[#This Row],[is_ups_overcharge]]="ups overcharged",Table1[[#This Row],[ups ship charge]]-Table1[[#This Row],[ada ship charge]],0)</f>
        <v>0</v>
      </c>
    </row>
    <row r="221" spans="1:9" x14ac:dyDescent="0.2">
      <c r="A221">
        <v>1005402</v>
      </c>
      <c r="B221" t="s">
        <v>20</v>
      </c>
      <c r="C221">
        <v>15.44</v>
      </c>
      <c r="D221">
        <v>15.49</v>
      </c>
      <c r="E221">
        <v>126.75</v>
      </c>
      <c r="F221" t="s">
        <v>12</v>
      </c>
      <c r="G2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1">
        <f>IF(Table1[[#This Row],[is_ups_overcharge]]="ups overcharged",Table1[[#This Row],[ups ship charge]]-Table1[[#This Row],[ada ship charge]],0)</f>
        <v>0</v>
      </c>
    </row>
    <row r="222" spans="1:9" x14ac:dyDescent="0.2">
      <c r="A222">
        <v>1005413</v>
      </c>
      <c r="B222" t="s">
        <v>20</v>
      </c>
      <c r="C222">
        <v>11.02</v>
      </c>
      <c r="D222">
        <v>11.07</v>
      </c>
      <c r="E222">
        <v>6.95</v>
      </c>
      <c r="F222" t="s">
        <v>14</v>
      </c>
      <c r="G2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2">
        <f>IF(Table1[[#This Row],[is_ups_overcharge]]="ups overcharged",Table1[[#This Row],[ups ship charge]]-Table1[[#This Row],[ada ship charge]],0)</f>
        <v>0</v>
      </c>
    </row>
    <row r="223" spans="1:9" x14ac:dyDescent="0.2">
      <c r="A223">
        <v>1005438</v>
      </c>
      <c r="B223" t="s">
        <v>20</v>
      </c>
      <c r="C223">
        <v>12.81</v>
      </c>
      <c r="D223">
        <v>12.86</v>
      </c>
      <c r="E223">
        <v>69.7</v>
      </c>
      <c r="F223" t="s">
        <v>9</v>
      </c>
      <c r="G2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3">
        <f>IF(Table1[[#This Row],[is_ups_overcharge]]="ups overcharged",Table1[[#This Row],[ups ship charge]]-Table1[[#This Row],[ada ship charge]],0)</f>
        <v>0</v>
      </c>
    </row>
    <row r="224" spans="1:9" x14ac:dyDescent="0.2">
      <c r="A224">
        <v>1005453</v>
      </c>
      <c r="B224" t="s">
        <v>20</v>
      </c>
      <c r="C224">
        <v>12.81</v>
      </c>
      <c r="D224">
        <v>12.86</v>
      </c>
      <c r="E224">
        <v>91.7</v>
      </c>
      <c r="F224" t="s">
        <v>9</v>
      </c>
      <c r="G2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4">
        <f>IF(Table1[[#This Row],[is_ups_overcharge]]="ups overcharged",Table1[[#This Row],[ups ship charge]]-Table1[[#This Row],[ada ship charge]],0)</f>
        <v>0</v>
      </c>
    </row>
    <row r="225" spans="1:9" x14ac:dyDescent="0.2">
      <c r="A225">
        <v>1005454</v>
      </c>
      <c r="B225" t="s">
        <v>20</v>
      </c>
      <c r="C225">
        <v>15.66</v>
      </c>
      <c r="D225">
        <v>0</v>
      </c>
      <c r="E225">
        <v>578.1</v>
      </c>
      <c r="F225" t="s">
        <v>9</v>
      </c>
      <c r="G2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2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25">
        <f>IF(Table1[[#This Row],[is_ups_overcharge]]="ups overcharged",Table1[[#This Row],[ups ship charge]]-Table1[[#This Row],[ada ship charge]],0)</f>
        <v>0</v>
      </c>
    </row>
    <row r="226" spans="1:9" x14ac:dyDescent="0.2">
      <c r="A226">
        <v>1005476</v>
      </c>
      <c r="B226" t="s">
        <v>20</v>
      </c>
      <c r="C226">
        <v>12.81</v>
      </c>
      <c r="D226">
        <v>12.86</v>
      </c>
      <c r="E226">
        <v>26.2</v>
      </c>
      <c r="F226" t="s">
        <v>9</v>
      </c>
      <c r="G2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6">
        <f>IF(Table1[[#This Row],[is_ups_overcharge]]="ups overcharged",Table1[[#This Row],[ups ship charge]]-Table1[[#This Row],[ada ship charge]],0)</f>
        <v>0</v>
      </c>
    </row>
    <row r="227" spans="1:9" x14ac:dyDescent="0.2">
      <c r="A227">
        <v>1005480</v>
      </c>
      <c r="B227" t="s">
        <v>20</v>
      </c>
      <c r="C227">
        <v>9.7100000000000009</v>
      </c>
      <c r="D227">
        <v>13.75</v>
      </c>
      <c r="E227">
        <v>39</v>
      </c>
      <c r="F227" t="s">
        <v>6</v>
      </c>
      <c r="G2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7">
        <f>IF(Table1[[#This Row],[is_ups_overcharge]]="ups overcharged",Table1[[#This Row],[ups ship charge]]-Table1[[#This Row],[ada ship charge]],0)</f>
        <v>0</v>
      </c>
    </row>
    <row r="228" spans="1:9" x14ac:dyDescent="0.2">
      <c r="A228">
        <v>1005484</v>
      </c>
      <c r="B228" t="s">
        <v>20</v>
      </c>
      <c r="C228">
        <v>12.81</v>
      </c>
      <c r="D228">
        <v>12.86</v>
      </c>
      <c r="E228">
        <v>98.4</v>
      </c>
      <c r="F228" t="s">
        <v>9</v>
      </c>
      <c r="G2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8">
        <f>IF(Table1[[#This Row],[is_ups_overcharge]]="ups overcharged",Table1[[#This Row],[ups ship charge]]-Table1[[#This Row],[ada ship charge]],0)</f>
        <v>0</v>
      </c>
    </row>
    <row r="229" spans="1:9" x14ac:dyDescent="0.2">
      <c r="A229">
        <v>1005488</v>
      </c>
      <c r="B229" t="s">
        <v>20</v>
      </c>
      <c r="C229">
        <v>9.6999999999999993</v>
      </c>
      <c r="D229">
        <v>9.76</v>
      </c>
      <c r="E229">
        <v>53.6</v>
      </c>
      <c r="F229" t="s">
        <v>6</v>
      </c>
      <c r="G2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9">
        <f>IF(Table1[[#This Row],[is_ups_overcharge]]="ups overcharged",Table1[[#This Row],[ups ship charge]]-Table1[[#This Row],[ada ship charge]],0)</f>
        <v>0</v>
      </c>
    </row>
    <row r="230" spans="1:9" x14ac:dyDescent="0.2">
      <c r="A230">
        <v>1005490</v>
      </c>
      <c r="B230" t="s">
        <v>20</v>
      </c>
      <c r="C230">
        <v>13.7</v>
      </c>
      <c r="D230">
        <v>13.75</v>
      </c>
      <c r="E230">
        <v>125.9</v>
      </c>
      <c r="F230" t="s">
        <v>9</v>
      </c>
      <c r="G2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0">
        <f>IF(Table1[[#This Row],[is_ups_overcharge]]="ups overcharged",Table1[[#This Row],[ups ship charge]]-Table1[[#This Row],[ada ship charge]],0)</f>
        <v>0</v>
      </c>
    </row>
    <row r="231" spans="1:9" x14ac:dyDescent="0.2">
      <c r="A231">
        <v>1005492</v>
      </c>
      <c r="B231" t="s">
        <v>20</v>
      </c>
      <c r="C231">
        <v>12.81</v>
      </c>
      <c r="D231">
        <v>12.86</v>
      </c>
      <c r="E231">
        <v>79.900000000000006</v>
      </c>
      <c r="F231" t="s">
        <v>9</v>
      </c>
      <c r="G2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1">
        <f>IF(Table1[[#This Row],[is_ups_overcharge]]="ups overcharged",Table1[[#This Row],[ups ship charge]]-Table1[[#This Row],[ada ship charge]],0)</f>
        <v>0</v>
      </c>
    </row>
    <row r="232" spans="1:9" x14ac:dyDescent="0.2">
      <c r="A232">
        <v>1005532</v>
      </c>
      <c r="B232" t="s">
        <v>20</v>
      </c>
      <c r="C232">
        <v>18.010000000000002</v>
      </c>
      <c r="D232">
        <v>18.059999999999999</v>
      </c>
      <c r="E232">
        <v>3</v>
      </c>
      <c r="F232" t="s">
        <v>15</v>
      </c>
      <c r="G2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2">
        <f>IF(Table1[[#This Row],[is_ups_overcharge]]="ups overcharged",Table1[[#This Row],[ups ship charge]]-Table1[[#This Row],[ada ship charge]],0)</f>
        <v>0</v>
      </c>
    </row>
    <row r="233" spans="1:9" x14ac:dyDescent="0.2">
      <c r="A233">
        <v>1005551</v>
      </c>
      <c r="B233" t="s">
        <v>20</v>
      </c>
      <c r="C233">
        <v>12.73</v>
      </c>
      <c r="D233">
        <v>16.12</v>
      </c>
      <c r="E233">
        <v>149.44999999999999</v>
      </c>
      <c r="F233" t="s">
        <v>13</v>
      </c>
      <c r="G2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3">
        <f>IF(Table1[[#This Row],[is_ups_overcharge]]="ups overcharged",Table1[[#This Row],[ups ship charge]]-Table1[[#This Row],[ada ship charge]],0)</f>
        <v>0</v>
      </c>
    </row>
    <row r="234" spans="1:9" x14ac:dyDescent="0.2">
      <c r="A234">
        <v>1005558</v>
      </c>
      <c r="B234" t="s">
        <v>20</v>
      </c>
      <c r="C234">
        <v>12.81</v>
      </c>
      <c r="D234">
        <v>12.86</v>
      </c>
      <c r="E234">
        <v>183.95</v>
      </c>
      <c r="F234" t="s">
        <v>9</v>
      </c>
      <c r="G2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4">
        <f>IF(Table1[[#This Row],[is_ups_overcharge]]="ups overcharged",Table1[[#This Row],[ups ship charge]]-Table1[[#This Row],[ada ship charge]],0)</f>
        <v>0</v>
      </c>
    </row>
    <row r="235" spans="1:9" x14ac:dyDescent="0.2">
      <c r="A235">
        <v>1005572</v>
      </c>
      <c r="B235" t="s">
        <v>20</v>
      </c>
      <c r="C235">
        <v>12.81</v>
      </c>
      <c r="D235">
        <v>12.86</v>
      </c>
      <c r="E235">
        <v>34.950000000000003</v>
      </c>
      <c r="F235" t="s">
        <v>9</v>
      </c>
      <c r="G2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5">
        <f>IF(Table1[[#This Row],[is_ups_overcharge]]="ups overcharged",Table1[[#This Row],[ups ship charge]]-Table1[[#This Row],[ada ship charge]],0)</f>
        <v>0</v>
      </c>
    </row>
    <row r="236" spans="1:9" x14ac:dyDescent="0.2">
      <c r="A236">
        <v>1005598</v>
      </c>
      <c r="B236" t="s">
        <v>20</v>
      </c>
      <c r="C236">
        <v>13.7</v>
      </c>
      <c r="D236">
        <v>13.76</v>
      </c>
      <c r="E236">
        <v>95.75</v>
      </c>
      <c r="F236" t="s">
        <v>9</v>
      </c>
      <c r="G2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6">
        <f>IF(Table1[[#This Row],[is_ups_overcharge]]="ups overcharged",Table1[[#This Row],[ups ship charge]]-Table1[[#This Row],[ada ship charge]],0)</f>
        <v>0</v>
      </c>
    </row>
    <row r="237" spans="1:9" x14ac:dyDescent="0.2">
      <c r="A237">
        <v>1005602</v>
      </c>
      <c r="B237" t="s">
        <v>20</v>
      </c>
      <c r="C237">
        <v>12.81</v>
      </c>
      <c r="D237">
        <v>12.86</v>
      </c>
      <c r="E237">
        <v>182.4</v>
      </c>
      <c r="F237" t="s">
        <v>9</v>
      </c>
      <c r="G2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7">
        <f>IF(Table1[[#This Row],[is_ups_overcharge]]="ups overcharged",Table1[[#This Row],[ups ship charge]]-Table1[[#This Row],[ada ship charge]],0)</f>
        <v>0</v>
      </c>
    </row>
    <row r="238" spans="1:9" x14ac:dyDescent="0.2">
      <c r="A238">
        <v>1005605</v>
      </c>
      <c r="B238" t="s">
        <v>20</v>
      </c>
      <c r="C238">
        <v>13.7</v>
      </c>
      <c r="D238">
        <v>13.75</v>
      </c>
      <c r="E238">
        <v>34.75</v>
      </c>
      <c r="F238" t="s">
        <v>9</v>
      </c>
      <c r="G2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8">
        <f>IF(Table1[[#This Row],[is_ups_overcharge]]="ups overcharged",Table1[[#This Row],[ups ship charge]]-Table1[[#This Row],[ada ship charge]],0)</f>
        <v>0</v>
      </c>
    </row>
    <row r="239" spans="1:9" x14ac:dyDescent="0.2">
      <c r="A239">
        <v>1005616</v>
      </c>
      <c r="B239" t="s">
        <v>20</v>
      </c>
      <c r="C239">
        <v>9.6999999999999993</v>
      </c>
      <c r="D239">
        <v>9.75</v>
      </c>
      <c r="E239">
        <v>137.80000000000001</v>
      </c>
      <c r="F239" t="s">
        <v>6</v>
      </c>
      <c r="G2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9">
        <f>IF(Table1[[#This Row],[is_ups_overcharge]]="ups overcharged",Table1[[#This Row],[ups ship charge]]-Table1[[#This Row],[ada ship charge]],0)</f>
        <v>0</v>
      </c>
    </row>
    <row r="240" spans="1:9" x14ac:dyDescent="0.2">
      <c r="A240">
        <v>1005620</v>
      </c>
      <c r="B240" t="s">
        <v>20</v>
      </c>
      <c r="C240">
        <v>9.6999999999999993</v>
      </c>
      <c r="D240">
        <v>12.86</v>
      </c>
      <c r="E240">
        <v>29.95</v>
      </c>
      <c r="F240" t="s">
        <v>6</v>
      </c>
      <c r="G2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0">
        <f>IF(Table1[[#This Row],[is_ups_overcharge]]="ups overcharged",Table1[[#This Row],[ups ship charge]]-Table1[[#This Row],[ada ship charge]],0)</f>
        <v>0</v>
      </c>
    </row>
    <row r="241" spans="1:9" x14ac:dyDescent="0.2">
      <c r="A241">
        <v>1005639</v>
      </c>
      <c r="B241" t="s">
        <v>20</v>
      </c>
      <c r="C241">
        <v>13.7</v>
      </c>
      <c r="D241">
        <v>13.75</v>
      </c>
      <c r="E241">
        <v>29.95</v>
      </c>
      <c r="F241" t="s">
        <v>9</v>
      </c>
      <c r="G2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1">
        <f>IF(Table1[[#This Row],[is_ups_overcharge]]="ups overcharged",Table1[[#This Row],[ups ship charge]]-Table1[[#This Row],[ada ship charge]],0)</f>
        <v>0</v>
      </c>
    </row>
    <row r="242" spans="1:9" x14ac:dyDescent="0.2">
      <c r="A242">
        <v>1005648</v>
      </c>
      <c r="B242" t="s">
        <v>20</v>
      </c>
      <c r="C242">
        <v>18.72</v>
      </c>
      <c r="D242">
        <v>20.5</v>
      </c>
      <c r="E242">
        <v>123</v>
      </c>
      <c r="F242" t="s">
        <v>10</v>
      </c>
      <c r="G2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2">
        <f>IF(Table1[[#This Row],[is_ups_overcharge]]="ups overcharged",Table1[[#This Row],[ups ship charge]]-Table1[[#This Row],[ada ship charge]],0)</f>
        <v>0</v>
      </c>
    </row>
    <row r="243" spans="1:9" x14ac:dyDescent="0.2">
      <c r="A243">
        <v>1005655</v>
      </c>
      <c r="B243" t="s">
        <v>20</v>
      </c>
      <c r="C243">
        <v>9.6999999999999993</v>
      </c>
      <c r="D243">
        <v>9.75</v>
      </c>
      <c r="E243">
        <v>23.7</v>
      </c>
      <c r="F243" t="s">
        <v>6</v>
      </c>
      <c r="G2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3">
        <f>IF(Table1[[#This Row],[is_ups_overcharge]]="ups overcharged",Table1[[#This Row],[ups ship charge]]-Table1[[#This Row],[ada ship charge]],0)</f>
        <v>0</v>
      </c>
    </row>
    <row r="244" spans="1:9" x14ac:dyDescent="0.2">
      <c r="A244">
        <v>1005717</v>
      </c>
      <c r="B244" t="s">
        <v>20</v>
      </c>
      <c r="C244">
        <v>9.6999999999999993</v>
      </c>
      <c r="D244">
        <v>0</v>
      </c>
      <c r="E244">
        <v>498.9</v>
      </c>
      <c r="F244" t="s">
        <v>6</v>
      </c>
      <c r="G2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4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44">
        <f>IF(Table1[[#This Row],[is_ups_overcharge]]="ups overcharged",Table1[[#This Row],[ups ship charge]]-Table1[[#This Row],[ada ship charge]],0)</f>
        <v>0</v>
      </c>
    </row>
    <row r="245" spans="1:9" x14ac:dyDescent="0.2">
      <c r="A245">
        <v>1005718</v>
      </c>
      <c r="B245" t="s">
        <v>20</v>
      </c>
      <c r="C245">
        <v>16.77</v>
      </c>
      <c r="D245">
        <v>16.82</v>
      </c>
      <c r="E245">
        <v>189.5</v>
      </c>
      <c r="F245" t="s">
        <v>10</v>
      </c>
      <c r="G2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5">
        <f>IF(Table1[[#This Row],[is_ups_overcharge]]="ups overcharged",Table1[[#This Row],[ups ship charge]]-Table1[[#This Row],[ada ship charge]],0)</f>
        <v>0</v>
      </c>
    </row>
    <row r="246" spans="1:9" x14ac:dyDescent="0.2">
      <c r="A246">
        <v>1005730</v>
      </c>
      <c r="B246" t="s">
        <v>20</v>
      </c>
      <c r="C246">
        <v>16.46</v>
      </c>
      <c r="D246">
        <v>16.510000000000002</v>
      </c>
      <c r="E246">
        <v>99.68</v>
      </c>
      <c r="F246" t="s">
        <v>10</v>
      </c>
      <c r="G2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6">
        <f>IF(Table1[[#This Row],[is_ups_overcharge]]="ups overcharged",Table1[[#This Row],[ups ship charge]]-Table1[[#This Row],[ada ship charge]],0)</f>
        <v>0</v>
      </c>
    </row>
    <row r="247" spans="1:9" x14ac:dyDescent="0.2">
      <c r="A247">
        <v>1005741</v>
      </c>
      <c r="B247" t="s">
        <v>20</v>
      </c>
      <c r="C247">
        <v>12.55</v>
      </c>
      <c r="D247">
        <v>0</v>
      </c>
      <c r="E247">
        <v>926.56</v>
      </c>
      <c r="F247" t="s">
        <v>6</v>
      </c>
      <c r="G2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4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47">
        <f>IF(Table1[[#This Row],[is_ups_overcharge]]="ups overcharged",Table1[[#This Row],[ups ship charge]]-Table1[[#This Row],[ada ship charge]],0)</f>
        <v>0</v>
      </c>
    </row>
    <row r="248" spans="1:9" x14ac:dyDescent="0.2">
      <c r="A248">
        <v>1005742</v>
      </c>
      <c r="B248" t="s">
        <v>20</v>
      </c>
      <c r="C248">
        <v>12.81</v>
      </c>
      <c r="D248">
        <v>12.86</v>
      </c>
      <c r="E248">
        <v>114.95</v>
      </c>
      <c r="F248" t="s">
        <v>9</v>
      </c>
      <c r="G2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8">
        <f>IF(Table1[[#This Row],[is_ups_overcharge]]="ups overcharged",Table1[[#This Row],[ups ship charge]]-Table1[[#This Row],[ada ship charge]],0)</f>
        <v>0</v>
      </c>
    </row>
    <row r="249" spans="1:9" x14ac:dyDescent="0.2">
      <c r="A249">
        <v>1005746</v>
      </c>
      <c r="B249" t="s">
        <v>20</v>
      </c>
      <c r="C249">
        <v>9.6999999999999993</v>
      </c>
      <c r="D249">
        <v>9.75</v>
      </c>
      <c r="E249">
        <v>119.95</v>
      </c>
      <c r="F249" t="s">
        <v>6</v>
      </c>
      <c r="G2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9">
        <f>IF(Table1[[#This Row],[is_ups_overcharge]]="ups overcharged",Table1[[#This Row],[ups ship charge]]-Table1[[#This Row],[ada ship charge]],0)</f>
        <v>0</v>
      </c>
    </row>
    <row r="250" spans="1:9" x14ac:dyDescent="0.2">
      <c r="A250">
        <v>1005747</v>
      </c>
      <c r="B250" t="s">
        <v>20</v>
      </c>
      <c r="C250">
        <v>16.46</v>
      </c>
      <c r="D250">
        <v>16.510000000000002</v>
      </c>
      <c r="E250">
        <v>203.4</v>
      </c>
      <c r="F250" t="s">
        <v>10</v>
      </c>
      <c r="G2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0">
        <f>IF(Table1[[#This Row],[is_ups_overcharge]]="ups overcharged",Table1[[#This Row],[ups ship charge]]-Table1[[#This Row],[ada ship charge]],0)</f>
        <v>0</v>
      </c>
    </row>
    <row r="251" spans="1:9" x14ac:dyDescent="0.2">
      <c r="A251">
        <v>1005777</v>
      </c>
      <c r="B251" t="s">
        <v>20</v>
      </c>
      <c r="C251">
        <v>9.6999999999999993</v>
      </c>
      <c r="D251">
        <v>9.75</v>
      </c>
      <c r="E251">
        <v>102.9</v>
      </c>
      <c r="F251" t="s">
        <v>6</v>
      </c>
      <c r="G2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1">
        <f>IF(Table1[[#This Row],[is_ups_overcharge]]="ups overcharged",Table1[[#This Row],[ups ship charge]]-Table1[[#This Row],[ada ship charge]],0)</f>
        <v>0</v>
      </c>
    </row>
    <row r="252" spans="1:9" x14ac:dyDescent="0.2">
      <c r="A252">
        <v>1005799</v>
      </c>
      <c r="B252" t="s">
        <v>20</v>
      </c>
      <c r="C252">
        <v>19.22</v>
      </c>
      <c r="D252">
        <v>19.27</v>
      </c>
      <c r="E252">
        <v>102.05</v>
      </c>
      <c r="F252" t="s">
        <v>16</v>
      </c>
      <c r="G2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2">
        <f>IF(Table1[[#This Row],[is_ups_overcharge]]="ups overcharged",Table1[[#This Row],[ups ship charge]]-Table1[[#This Row],[ada ship charge]],0)</f>
        <v>0</v>
      </c>
    </row>
    <row r="253" spans="1:9" x14ac:dyDescent="0.2">
      <c r="A253">
        <v>1005817</v>
      </c>
      <c r="B253" t="s">
        <v>20</v>
      </c>
      <c r="C253">
        <v>17.149999999999999</v>
      </c>
      <c r="D253">
        <v>17.2</v>
      </c>
      <c r="E253">
        <v>34.99</v>
      </c>
      <c r="F253" t="s">
        <v>10</v>
      </c>
      <c r="G2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3">
        <f>IF(Table1[[#This Row],[is_ups_overcharge]]="ups overcharged",Table1[[#This Row],[ups ship charge]]-Table1[[#This Row],[ada ship charge]],0)</f>
        <v>0</v>
      </c>
    </row>
    <row r="254" spans="1:9" x14ac:dyDescent="0.2">
      <c r="A254">
        <v>1005829</v>
      </c>
      <c r="B254" t="s">
        <v>20</v>
      </c>
      <c r="C254">
        <v>16.559999999999999</v>
      </c>
      <c r="D254">
        <v>20.2</v>
      </c>
      <c r="E254">
        <v>89.7</v>
      </c>
      <c r="F254" t="s">
        <v>10</v>
      </c>
      <c r="G2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4">
        <f>IF(Table1[[#This Row],[is_ups_overcharge]]="ups overcharged",Table1[[#This Row],[ups ship charge]]-Table1[[#This Row],[ada ship charge]],0)</f>
        <v>0</v>
      </c>
    </row>
    <row r="255" spans="1:9" x14ac:dyDescent="0.2">
      <c r="A255">
        <v>1005834</v>
      </c>
      <c r="B255" t="s">
        <v>20</v>
      </c>
      <c r="C255">
        <v>9.7100000000000009</v>
      </c>
      <c r="D255">
        <v>0</v>
      </c>
      <c r="E255">
        <v>210</v>
      </c>
      <c r="F255" t="s">
        <v>6</v>
      </c>
      <c r="G2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5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55">
        <f>IF(Table1[[#This Row],[is_ups_overcharge]]="ups overcharged",Table1[[#This Row],[ups ship charge]]-Table1[[#This Row],[ada ship charge]],0)</f>
        <v>0</v>
      </c>
    </row>
    <row r="256" spans="1:9" x14ac:dyDescent="0.2">
      <c r="A256">
        <v>1005838</v>
      </c>
      <c r="B256" t="s">
        <v>20</v>
      </c>
      <c r="C256">
        <v>14.04</v>
      </c>
      <c r="D256">
        <v>14.09</v>
      </c>
      <c r="E256">
        <v>33.35</v>
      </c>
      <c r="F256" t="s">
        <v>16</v>
      </c>
      <c r="G2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6">
        <f>IF(Table1[[#This Row],[is_ups_overcharge]]="ups overcharged",Table1[[#This Row],[ups ship charge]]-Table1[[#This Row],[ada ship charge]],0)</f>
        <v>0</v>
      </c>
    </row>
    <row r="257" spans="1:9" x14ac:dyDescent="0.2">
      <c r="A257">
        <v>1005850</v>
      </c>
      <c r="B257" t="s">
        <v>20</v>
      </c>
      <c r="C257">
        <v>13.7</v>
      </c>
      <c r="D257">
        <v>13.75</v>
      </c>
      <c r="E257">
        <v>5.95</v>
      </c>
      <c r="F257" t="s">
        <v>9</v>
      </c>
      <c r="G2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7">
        <f>IF(Table1[[#This Row],[is_ups_overcharge]]="ups overcharged",Table1[[#This Row],[ups ship charge]]-Table1[[#This Row],[ada ship charge]],0)</f>
        <v>0</v>
      </c>
    </row>
    <row r="258" spans="1:9" x14ac:dyDescent="0.2">
      <c r="A258">
        <v>1005856</v>
      </c>
      <c r="B258" t="s">
        <v>20</v>
      </c>
      <c r="C258">
        <v>15.44</v>
      </c>
      <c r="D258">
        <v>15.5</v>
      </c>
      <c r="E258">
        <v>18.45</v>
      </c>
      <c r="F258" t="s">
        <v>12</v>
      </c>
      <c r="G2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8">
        <f>IF(Table1[[#This Row],[is_ups_overcharge]]="ups overcharged",Table1[[#This Row],[ups ship charge]]-Table1[[#This Row],[ada ship charge]],0)</f>
        <v>0</v>
      </c>
    </row>
    <row r="259" spans="1:9" x14ac:dyDescent="0.2">
      <c r="A259">
        <v>1005859</v>
      </c>
      <c r="B259" t="s">
        <v>20</v>
      </c>
      <c r="C259">
        <v>16.87</v>
      </c>
      <c r="D259">
        <v>16.920000000000002</v>
      </c>
      <c r="E259">
        <v>18.45</v>
      </c>
      <c r="F259" t="s">
        <v>10</v>
      </c>
      <c r="G2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9">
        <f>IF(Table1[[#This Row],[is_ups_overcharge]]="ups overcharged",Table1[[#This Row],[ups ship charge]]-Table1[[#This Row],[ada ship charge]],0)</f>
        <v>0</v>
      </c>
    </row>
    <row r="260" spans="1:9" x14ac:dyDescent="0.2">
      <c r="A260">
        <v>1005927</v>
      </c>
      <c r="B260" t="s">
        <v>20</v>
      </c>
      <c r="C260">
        <v>12.73</v>
      </c>
      <c r="D260">
        <v>12.78</v>
      </c>
      <c r="E260">
        <v>75.8</v>
      </c>
      <c r="F260" t="s">
        <v>13</v>
      </c>
      <c r="G2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0">
        <f>IF(Table1[[#This Row],[is_ups_overcharge]]="ups overcharged",Table1[[#This Row],[ups ship charge]]-Table1[[#This Row],[ada ship charge]],0)</f>
        <v>0</v>
      </c>
    </row>
    <row r="261" spans="1:9" x14ac:dyDescent="0.2">
      <c r="A261">
        <v>1005951</v>
      </c>
      <c r="B261" t="s">
        <v>20</v>
      </c>
      <c r="C261">
        <v>9.6999999999999993</v>
      </c>
      <c r="D261">
        <v>0</v>
      </c>
      <c r="E261">
        <v>267.8</v>
      </c>
      <c r="F261" t="s">
        <v>6</v>
      </c>
      <c r="G2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6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61">
        <f>IF(Table1[[#This Row],[is_ups_overcharge]]="ups overcharged",Table1[[#This Row],[ups ship charge]]-Table1[[#This Row],[ada ship charge]],0)</f>
        <v>0</v>
      </c>
    </row>
    <row r="262" spans="1:9" x14ac:dyDescent="0.2">
      <c r="A262">
        <v>1005988</v>
      </c>
      <c r="B262" t="s">
        <v>20</v>
      </c>
      <c r="C262">
        <v>12.85</v>
      </c>
      <c r="D262">
        <v>0</v>
      </c>
      <c r="E262">
        <v>1447.2</v>
      </c>
      <c r="F262" t="s">
        <v>6</v>
      </c>
      <c r="G2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6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62">
        <f>IF(Table1[[#This Row],[is_ups_overcharge]]="ups overcharged",Table1[[#This Row],[ups ship charge]]-Table1[[#This Row],[ada ship charge]],0)</f>
        <v>0</v>
      </c>
    </row>
    <row r="263" spans="1:9" x14ac:dyDescent="0.2">
      <c r="A263">
        <v>1006014</v>
      </c>
      <c r="B263" t="s">
        <v>20</v>
      </c>
      <c r="C263">
        <v>10.26</v>
      </c>
      <c r="D263">
        <v>0</v>
      </c>
      <c r="E263">
        <v>308.75</v>
      </c>
      <c r="F263" t="s">
        <v>6</v>
      </c>
      <c r="G2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6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63">
        <f>IF(Table1[[#This Row],[is_ups_overcharge]]="ups overcharged",Table1[[#This Row],[ups ship charge]]-Table1[[#This Row],[ada ship charge]],0)</f>
        <v>0</v>
      </c>
    </row>
    <row r="264" spans="1:9" x14ac:dyDescent="0.2">
      <c r="A264">
        <v>1006026</v>
      </c>
      <c r="B264" t="s">
        <v>20</v>
      </c>
      <c r="C264">
        <v>9.6999999999999993</v>
      </c>
      <c r="D264">
        <v>0</v>
      </c>
      <c r="E264">
        <v>172.74</v>
      </c>
      <c r="F264" t="s">
        <v>6</v>
      </c>
      <c r="G2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64">
        <f>IF(Table1[[#This Row],[is_ups_overcharge]]="ups overcharged",Table1[[#This Row],[ups ship charge]]-Table1[[#This Row],[ada ship charge]],0)</f>
        <v>9.6999999999999993</v>
      </c>
    </row>
    <row r="265" spans="1:9" x14ac:dyDescent="0.2">
      <c r="A265">
        <v>1006052</v>
      </c>
      <c r="B265" t="s">
        <v>20</v>
      </c>
      <c r="C265">
        <v>12.81</v>
      </c>
      <c r="D265">
        <v>0</v>
      </c>
      <c r="E265">
        <v>253.85</v>
      </c>
      <c r="F265" t="s">
        <v>9</v>
      </c>
      <c r="G2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6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65">
        <f>IF(Table1[[#This Row],[is_ups_overcharge]]="ups overcharged",Table1[[#This Row],[ups ship charge]]-Table1[[#This Row],[ada ship charge]],0)</f>
        <v>0</v>
      </c>
    </row>
    <row r="266" spans="1:9" x14ac:dyDescent="0.2">
      <c r="A266">
        <v>1006061</v>
      </c>
      <c r="B266" t="s">
        <v>20</v>
      </c>
      <c r="C266">
        <v>12.81</v>
      </c>
      <c r="D266">
        <v>12.86</v>
      </c>
      <c r="E266">
        <v>65.8</v>
      </c>
      <c r="F266" t="s">
        <v>9</v>
      </c>
      <c r="G2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6">
        <f>IF(Table1[[#This Row],[is_ups_overcharge]]="ups overcharged",Table1[[#This Row],[ups ship charge]]-Table1[[#This Row],[ada ship charge]],0)</f>
        <v>0</v>
      </c>
    </row>
    <row r="267" spans="1:9" x14ac:dyDescent="0.2">
      <c r="A267">
        <v>1006086</v>
      </c>
      <c r="B267" t="s">
        <v>20</v>
      </c>
      <c r="C267">
        <v>12.81</v>
      </c>
      <c r="D267">
        <v>12.86</v>
      </c>
      <c r="E267">
        <v>162.5</v>
      </c>
      <c r="F267" t="s">
        <v>9</v>
      </c>
      <c r="G2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7">
        <f>IF(Table1[[#This Row],[is_ups_overcharge]]="ups overcharged",Table1[[#This Row],[ups ship charge]]-Table1[[#This Row],[ada ship charge]],0)</f>
        <v>0</v>
      </c>
    </row>
    <row r="268" spans="1:9" x14ac:dyDescent="0.2">
      <c r="A268">
        <v>1006092</v>
      </c>
      <c r="B268" t="s">
        <v>20</v>
      </c>
      <c r="C268">
        <v>13.32</v>
      </c>
      <c r="D268">
        <v>13.37</v>
      </c>
      <c r="E268">
        <v>114.1</v>
      </c>
      <c r="F268" t="s">
        <v>9</v>
      </c>
      <c r="G2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8">
        <f>IF(Table1[[#This Row],[is_ups_overcharge]]="ups overcharged",Table1[[#This Row],[ups ship charge]]-Table1[[#This Row],[ada ship charge]],0)</f>
        <v>0</v>
      </c>
    </row>
    <row r="269" spans="1:9" x14ac:dyDescent="0.2">
      <c r="A269">
        <v>1006119</v>
      </c>
      <c r="B269" t="s">
        <v>20</v>
      </c>
      <c r="C269">
        <v>12.81</v>
      </c>
      <c r="D269">
        <v>12.86</v>
      </c>
      <c r="E269">
        <v>39.950000000000003</v>
      </c>
      <c r="F269" t="s">
        <v>9</v>
      </c>
      <c r="G2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9">
        <f>IF(Table1[[#This Row],[is_ups_overcharge]]="ups overcharged",Table1[[#This Row],[ups ship charge]]-Table1[[#This Row],[ada ship charge]],0)</f>
        <v>0</v>
      </c>
    </row>
    <row r="270" spans="1:9" x14ac:dyDescent="0.2">
      <c r="A270">
        <v>1006129</v>
      </c>
      <c r="B270" t="s">
        <v>20</v>
      </c>
      <c r="C270">
        <v>14.31</v>
      </c>
      <c r="D270">
        <v>27.8</v>
      </c>
      <c r="E270">
        <v>184.55</v>
      </c>
      <c r="F270" t="s">
        <v>13</v>
      </c>
      <c r="G2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0">
        <f>IF(Table1[[#This Row],[is_ups_overcharge]]="ups overcharged",Table1[[#This Row],[ups ship charge]]-Table1[[#This Row],[ada ship charge]],0)</f>
        <v>0</v>
      </c>
    </row>
    <row r="271" spans="1:9" x14ac:dyDescent="0.2">
      <c r="A271">
        <v>1006164</v>
      </c>
      <c r="B271" t="s">
        <v>20</v>
      </c>
      <c r="C271">
        <v>16.46</v>
      </c>
      <c r="D271">
        <v>16.510000000000002</v>
      </c>
      <c r="E271">
        <v>107.5</v>
      </c>
      <c r="F271" t="s">
        <v>10</v>
      </c>
      <c r="G2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1">
        <f>IF(Table1[[#This Row],[is_ups_overcharge]]="ups overcharged",Table1[[#This Row],[ups ship charge]]-Table1[[#This Row],[ada ship charge]],0)</f>
        <v>0</v>
      </c>
    </row>
    <row r="272" spans="1:9" x14ac:dyDescent="0.2">
      <c r="A272">
        <v>1006173</v>
      </c>
      <c r="B272" t="s">
        <v>20</v>
      </c>
      <c r="C272">
        <v>14.1</v>
      </c>
      <c r="D272">
        <v>0</v>
      </c>
      <c r="E272">
        <v>346</v>
      </c>
      <c r="F272" t="s">
        <v>9</v>
      </c>
      <c r="G2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7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72">
        <f>IF(Table1[[#This Row],[is_ups_overcharge]]="ups overcharged",Table1[[#This Row],[ups ship charge]]-Table1[[#This Row],[ada ship charge]],0)</f>
        <v>0</v>
      </c>
    </row>
    <row r="273" spans="1:9" x14ac:dyDescent="0.2">
      <c r="A273">
        <v>1006179</v>
      </c>
      <c r="B273" t="s">
        <v>20</v>
      </c>
      <c r="C273">
        <v>14.12</v>
      </c>
      <c r="D273">
        <v>14.42</v>
      </c>
      <c r="E273">
        <v>100</v>
      </c>
      <c r="F273" t="s">
        <v>16</v>
      </c>
      <c r="G2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3">
        <f>IF(Table1[[#This Row],[is_ups_overcharge]]="ups overcharged",Table1[[#This Row],[ups ship charge]]-Table1[[#This Row],[ada ship charge]],0)</f>
        <v>0</v>
      </c>
    </row>
    <row r="274" spans="1:9" x14ac:dyDescent="0.2">
      <c r="A274">
        <v>1006191</v>
      </c>
      <c r="B274" t="s">
        <v>20</v>
      </c>
      <c r="C274">
        <v>14.13</v>
      </c>
      <c r="D274">
        <v>13.65</v>
      </c>
      <c r="E274">
        <v>44.95</v>
      </c>
      <c r="F274" t="s">
        <v>16</v>
      </c>
      <c r="G2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74">
        <f>IF(Table1[[#This Row],[is_ups_overcharge]]="ups overcharged",Table1[[#This Row],[ups ship charge]]-Table1[[#This Row],[ada ship charge]],0)</f>
        <v>0.48000000000000043</v>
      </c>
    </row>
    <row r="275" spans="1:9" x14ac:dyDescent="0.2">
      <c r="A275">
        <v>1006200</v>
      </c>
      <c r="B275" t="s">
        <v>20</v>
      </c>
      <c r="C275">
        <v>13.7</v>
      </c>
      <c r="D275">
        <v>13.75</v>
      </c>
      <c r="E275">
        <v>70.7</v>
      </c>
      <c r="F275" t="s">
        <v>9</v>
      </c>
      <c r="G2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5">
        <f>IF(Table1[[#This Row],[is_ups_overcharge]]="ups overcharged",Table1[[#This Row],[ups ship charge]]-Table1[[#This Row],[ada ship charge]],0)</f>
        <v>0</v>
      </c>
    </row>
    <row r="276" spans="1:9" x14ac:dyDescent="0.2">
      <c r="A276">
        <v>1006222</v>
      </c>
      <c r="B276" t="s">
        <v>20</v>
      </c>
      <c r="C276">
        <v>16.46</v>
      </c>
      <c r="D276">
        <v>16.510000000000002</v>
      </c>
      <c r="E276">
        <v>96.65</v>
      </c>
      <c r="F276" t="s">
        <v>10</v>
      </c>
      <c r="G2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6">
        <f>IF(Table1[[#This Row],[is_ups_overcharge]]="ups overcharged",Table1[[#This Row],[ups ship charge]]-Table1[[#This Row],[ada ship charge]],0)</f>
        <v>0</v>
      </c>
    </row>
    <row r="277" spans="1:9" x14ac:dyDescent="0.2">
      <c r="A277">
        <v>1006231</v>
      </c>
      <c r="B277" t="s">
        <v>20</v>
      </c>
      <c r="C277">
        <v>12.81</v>
      </c>
      <c r="D277">
        <v>12.86</v>
      </c>
      <c r="E277">
        <v>142.75</v>
      </c>
      <c r="F277" t="s">
        <v>9</v>
      </c>
      <c r="G2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7">
        <f>IF(Table1[[#This Row],[is_ups_overcharge]]="ups overcharged",Table1[[#This Row],[ups ship charge]]-Table1[[#This Row],[ada ship charge]],0)</f>
        <v>0</v>
      </c>
    </row>
    <row r="278" spans="1:9" x14ac:dyDescent="0.2">
      <c r="A278">
        <v>1006234</v>
      </c>
      <c r="B278" t="s">
        <v>20</v>
      </c>
      <c r="C278">
        <v>15.44</v>
      </c>
      <c r="D278">
        <v>15.49</v>
      </c>
      <c r="E278">
        <v>27</v>
      </c>
      <c r="F278" t="s">
        <v>12</v>
      </c>
      <c r="G2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8">
        <f>IF(Table1[[#This Row],[is_ups_overcharge]]="ups overcharged",Table1[[#This Row],[ups ship charge]]-Table1[[#This Row],[ada ship charge]],0)</f>
        <v>0</v>
      </c>
    </row>
    <row r="279" spans="1:9" x14ac:dyDescent="0.2">
      <c r="A279">
        <v>1006238</v>
      </c>
      <c r="B279" t="s">
        <v>20</v>
      </c>
      <c r="C279">
        <v>12.81</v>
      </c>
      <c r="D279">
        <v>12.86</v>
      </c>
      <c r="E279">
        <v>16.850000000000001</v>
      </c>
      <c r="F279" t="s">
        <v>9</v>
      </c>
      <c r="G2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9">
        <f>IF(Table1[[#This Row],[is_ups_overcharge]]="ups overcharged",Table1[[#This Row],[ups ship charge]]-Table1[[#This Row],[ada ship charge]],0)</f>
        <v>0</v>
      </c>
    </row>
    <row r="280" spans="1:9" x14ac:dyDescent="0.2">
      <c r="A280">
        <v>1006253</v>
      </c>
      <c r="B280" t="s">
        <v>20</v>
      </c>
      <c r="C280">
        <v>23.33</v>
      </c>
      <c r="D280">
        <v>23.38</v>
      </c>
      <c r="E280">
        <v>79.900000000000006</v>
      </c>
      <c r="F280" t="s">
        <v>15</v>
      </c>
      <c r="G2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0">
        <f>IF(Table1[[#This Row],[is_ups_overcharge]]="ups overcharged",Table1[[#This Row],[ups ship charge]]-Table1[[#This Row],[ada ship charge]],0)</f>
        <v>0</v>
      </c>
    </row>
    <row r="281" spans="1:9" x14ac:dyDescent="0.2">
      <c r="A281">
        <v>1006268</v>
      </c>
      <c r="B281" t="s">
        <v>20</v>
      </c>
      <c r="C281">
        <v>12.81</v>
      </c>
      <c r="D281">
        <v>12.86</v>
      </c>
      <c r="E281">
        <v>78.45</v>
      </c>
      <c r="F281" t="s">
        <v>9</v>
      </c>
      <c r="G2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1">
        <f>IF(Table1[[#This Row],[is_ups_overcharge]]="ups overcharged",Table1[[#This Row],[ups ship charge]]-Table1[[#This Row],[ada ship charge]],0)</f>
        <v>0</v>
      </c>
    </row>
    <row r="282" spans="1:9" x14ac:dyDescent="0.2">
      <c r="A282">
        <v>1006322</v>
      </c>
      <c r="B282" t="s">
        <v>20</v>
      </c>
      <c r="C282">
        <v>23.14</v>
      </c>
      <c r="D282">
        <v>25.04</v>
      </c>
      <c r="E282">
        <v>232.7</v>
      </c>
      <c r="F282" t="s">
        <v>10</v>
      </c>
      <c r="G2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2">
        <f>IF(Table1[[#This Row],[is_ups_overcharge]]="ups overcharged",Table1[[#This Row],[ups ship charge]]-Table1[[#This Row],[ada ship charge]],0)</f>
        <v>0</v>
      </c>
    </row>
    <row r="283" spans="1:9" x14ac:dyDescent="0.2">
      <c r="A283">
        <v>1006327</v>
      </c>
      <c r="B283" t="s">
        <v>20</v>
      </c>
      <c r="C283">
        <v>12.35</v>
      </c>
      <c r="D283">
        <v>12.4</v>
      </c>
      <c r="E283">
        <v>65.45</v>
      </c>
      <c r="F283" t="s">
        <v>13</v>
      </c>
      <c r="G2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3">
        <f>IF(Table1[[#This Row],[is_ups_overcharge]]="ups overcharged",Table1[[#This Row],[ups ship charge]]-Table1[[#This Row],[ada ship charge]],0)</f>
        <v>0</v>
      </c>
    </row>
    <row r="284" spans="1:9" x14ac:dyDescent="0.2">
      <c r="A284">
        <v>1006349</v>
      </c>
      <c r="B284" t="s">
        <v>20</v>
      </c>
      <c r="C284">
        <v>13.7</v>
      </c>
      <c r="D284">
        <v>13.75</v>
      </c>
      <c r="E284">
        <v>11.85</v>
      </c>
      <c r="F284" t="s">
        <v>9</v>
      </c>
      <c r="G2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4">
        <f>IF(Table1[[#This Row],[is_ups_overcharge]]="ups overcharged",Table1[[#This Row],[ups ship charge]]-Table1[[#This Row],[ada ship charge]],0)</f>
        <v>0</v>
      </c>
    </row>
    <row r="285" spans="1:9" x14ac:dyDescent="0.2">
      <c r="A285">
        <v>1006373</v>
      </c>
      <c r="B285" t="s">
        <v>20</v>
      </c>
      <c r="C285">
        <v>60.29</v>
      </c>
      <c r="D285">
        <v>60.34</v>
      </c>
      <c r="E285">
        <v>866.3</v>
      </c>
      <c r="F285" t="s">
        <v>8</v>
      </c>
      <c r="G2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5">
        <f>IF(Table1[[#This Row],[is_ups_overcharge]]="ups overcharged",Table1[[#This Row],[ups ship charge]]-Table1[[#This Row],[ada ship charge]],0)</f>
        <v>0</v>
      </c>
    </row>
    <row r="286" spans="1:9" x14ac:dyDescent="0.2">
      <c r="A286">
        <v>1006375</v>
      </c>
      <c r="B286" t="s">
        <v>20</v>
      </c>
      <c r="C286">
        <v>12.81</v>
      </c>
      <c r="D286">
        <v>0</v>
      </c>
      <c r="E286">
        <v>269.39999999999998</v>
      </c>
      <c r="F286" t="s">
        <v>9</v>
      </c>
      <c r="G2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8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86">
        <f>IF(Table1[[#This Row],[is_ups_overcharge]]="ups overcharged",Table1[[#This Row],[ups ship charge]]-Table1[[#This Row],[ada ship charge]],0)</f>
        <v>0</v>
      </c>
    </row>
    <row r="287" spans="1:9" x14ac:dyDescent="0.2">
      <c r="A287">
        <v>1006380</v>
      </c>
      <c r="B287" t="s">
        <v>20</v>
      </c>
      <c r="C287">
        <v>13.71</v>
      </c>
      <c r="D287">
        <v>13.75</v>
      </c>
      <c r="E287">
        <v>73.349999999999994</v>
      </c>
      <c r="F287" t="s">
        <v>9</v>
      </c>
      <c r="G2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7">
        <f>IF(Table1[[#This Row],[is_ups_overcharge]]="ups overcharged",Table1[[#This Row],[ups ship charge]]-Table1[[#This Row],[ada ship charge]],0)</f>
        <v>0</v>
      </c>
    </row>
    <row r="288" spans="1:9" x14ac:dyDescent="0.2">
      <c r="A288">
        <v>1006399</v>
      </c>
      <c r="B288" t="s">
        <v>20</v>
      </c>
      <c r="C288">
        <v>13.7</v>
      </c>
      <c r="D288">
        <v>13.75</v>
      </c>
      <c r="E288">
        <v>69.8</v>
      </c>
      <c r="F288" t="s">
        <v>9</v>
      </c>
      <c r="G2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8">
        <f>IF(Table1[[#This Row],[is_ups_overcharge]]="ups overcharged",Table1[[#This Row],[ups ship charge]]-Table1[[#This Row],[ada ship charge]],0)</f>
        <v>0</v>
      </c>
    </row>
    <row r="289" spans="1:9" x14ac:dyDescent="0.2">
      <c r="A289">
        <v>1006458</v>
      </c>
      <c r="B289" t="s">
        <v>20</v>
      </c>
      <c r="C289">
        <v>16.77</v>
      </c>
      <c r="D289">
        <v>16.82</v>
      </c>
      <c r="E289">
        <v>50.4</v>
      </c>
      <c r="F289" t="s">
        <v>10</v>
      </c>
      <c r="G2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9">
        <f>IF(Table1[[#This Row],[is_ups_overcharge]]="ups overcharged",Table1[[#This Row],[ups ship charge]]-Table1[[#This Row],[ada ship charge]],0)</f>
        <v>0</v>
      </c>
    </row>
    <row r="290" spans="1:9" x14ac:dyDescent="0.2">
      <c r="A290">
        <v>1006463</v>
      </c>
      <c r="B290" t="s">
        <v>20</v>
      </c>
      <c r="C290">
        <v>71.73</v>
      </c>
      <c r="D290">
        <v>71.78</v>
      </c>
      <c r="E290">
        <v>167.75</v>
      </c>
      <c r="F290" t="s">
        <v>11</v>
      </c>
      <c r="G2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0">
        <f>IF(Table1[[#This Row],[is_ups_overcharge]]="ups overcharged",Table1[[#This Row],[ups ship charge]]-Table1[[#This Row],[ada ship charge]],0)</f>
        <v>0</v>
      </c>
    </row>
    <row r="291" spans="1:9" x14ac:dyDescent="0.2">
      <c r="A291">
        <v>1006471</v>
      </c>
      <c r="B291" t="s">
        <v>20</v>
      </c>
      <c r="C291">
        <v>9.6999999999999993</v>
      </c>
      <c r="D291">
        <v>9.75</v>
      </c>
      <c r="E291">
        <v>6.5</v>
      </c>
      <c r="F291" t="s">
        <v>6</v>
      </c>
      <c r="G2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1">
        <f>IF(Table1[[#This Row],[is_ups_overcharge]]="ups overcharged",Table1[[#This Row],[ups ship charge]]-Table1[[#This Row],[ada ship charge]],0)</f>
        <v>0</v>
      </c>
    </row>
    <row r="292" spans="1:9" x14ac:dyDescent="0.2">
      <c r="A292">
        <v>1006474</v>
      </c>
      <c r="B292" t="s">
        <v>20</v>
      </c>
      <c r="C292">
        <v>65.349999999999994</v>
      </c>
      <c r="D292">
        <v>65.400000000000006</v>
      </c>
      <c r="E292">
        <v>39.950000000000003</v>
      </c>
      <c r="F292" t="s">
        <v>17</v>
      </c>
      <c r="G2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2">
        <f>IF(Table1[[#This Row],[is_ups_overcharge]]="ups overcharged",Table1[[#This Row],[ups ship charge]]-Table1[[#This Row],[ada ship charge]],0)</f>
        <v>0</v>
      </c>
    </row>
    <row r="293" spans="1:9" x14ac:dyDescent="0.2">
      <c r="A293">
        <v>1006484</v>
      </c>
      <c r="B293" t="s">
        <v>20</v>
      </c>
      <c r="C293">
        <v>12.81</v>
      </c>
      <c r="D293">
        <v>12.86</v>
      </c>
      <c r="E293">
        <v>68.599999999999994</v>
      </c>
      <c r="F293" t="s">
        <v>9</v>
      </c>
      <c r="G2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3">
        <f>IF(Table1[[#This Row],[is_ups_overcharge]]="ups overcharged",Table1[[#This Row],[ups ship charge]]-Table1[[#This Row],[ada ship charge]],0)</f>
        <v>0</v>
      </c>
    </row>
    <row r="294" spans="1:9" x14ac:dyDescent="0.2">
      <c r="A294">
        <v>1006488</v>
      </c>
      <c r="B294" t="s">
        <v>20</v>
      </c>
      <c r="C294">
        <v>16.46</v>
      </c>
      <c r="D294">
        <v>16.97</v>
      </c>
      <c r="E294">
        <v>126.1</v>
      </c>
      <c r="F294" t="s">
        <v>10</v>
      </c>
      <c r="G2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4">
        <f>IF(Table1[[#This Row],[is_ups_overcharge]]="ups overcharged",Table1[[#This Row],[ups ship charge]]-Table1[[#This Row],[ada ship charge]],0)</f>
        <v>0</v>
      </c>
    </row>
    <row r="295" spans="1:9" x14ac:dyDescent="0.2">
      <c r="A295">
        <v>1006499</v>
      </c>
      <c r="B295" t="s">
        <v>20</v>
      </c>
      <c r="C295">
        <v>9.6999999999999993</v>
      </c>
      <c r="D295">
        <v>9.75</v>
      </c>
      <c r="E295">
        <v>21.9</v>
      </c>
      <c r="F295" t="s">
        <v>6</v>
      </c>
      <c r="G2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5">
        <f>IF(Table1[[#This Row],[is_ups_overcharge]]="ups overcharged",Table1[[#This Row],[ups ship charge]]-Table1[[#This Row],[ada ship charge]],0)</f>
        <v>0</v>
      </c>
    </row>
    <row r="296" spans="1:9" x14ac:dyDescent="0.2">
      <c r="A296">
        <v>1006505</v>
      </c>
      <c r="B296" t="s">
        <v>20</v>
      </c>
      <c r="C296">
        <v>13.6</v>
      </c>
      <c r="D296">
        <v>13.65</v>
      </c>
      <c r="E296">
        <v>469.45</v>
      </c>
      <c r="F296" t="s">
        <v>16</v>
      </c>
      <c r="G2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6">
        <f>IF(Table1[[#This Row],[is_ups_overcharge]]="ups overcharged",Table1[[#This Row],[ups ship charge]]-Table1[[#This Row],[ada ship charge]],0)</f>
        <v>0</v>
      </c>
    </row>
    <row r="297" spans="1:9" x14ac:dyDescent="0.2">
      <c r="A297">
        <v>1006536</v>
      </c>
      <c r="B297" t="s">
        <v>20</v>
      </c>
      <c r="C297">
        <v>22.7</v>
      </c>
      <c r="D297">
        <v>9.7799999999999994</v>
      </c>
      <c r="E297">
        <v>79.900000000000006</v>
      </c>
      <c r="F297" t="s">
        <v>6</v>
      </c>
      <c r="G2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7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97">
        <f>IF(Table1[[#This Row],[is_ups_overcharge]]="ups overcharged",Table1[[#This Row],[ups ship charge]]-Table1[[#This Row],[ada ship charge]],0)</f>
        <v>12.92</v>
      </c>
    </row>
    <row r="298" spans="1:9" x14ac:dyDescent="0.2">
      <c r="A298">
        <v>1006540</v>
      </c>
      <c r="B298" t="s">
        <v>20</v>
      </c>
      <c r="C298">
        <v>13.7</v>
      </c>
      <c r="D298">
        <v>13.75</v>
      </c>
      <c r="E298">
        <v>16.399999999999999</v>
      </c>
      <c r="F298" t="s">
        <v>9</v>
      </c>
      <c r="G2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8">
        <f>IF(Table1[[#This Row],[is_ups_overcharge]]="ups overcharged",Table1[[#This Row],[ups ship charge]]-Table1[[#This Row],[ada ship charge]],0)</f>
        <v>0</v>
      </c>
    </row>
    <row r="299" spans="1:9" x14ac:dyDescent="0.2">
      <c r="A299">
        <v>1006550</v>
      </c>
      <c r="B299" t="s">
        <v>20</v>
      </c>
      <c r="C299">
        <v>12.81</v>
      </c>
      <c r="D299">
        <v>12.86</v>
      </c>
      <c r="E299">
        <v>69.849999999999994</v>
      </c>
      <c r="F299" t="s">
        <v>9</v>
      </c>
      <c r="G2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9">
        <f>IF(Table1[[#This Row],[is_ups_overcharge]]="ups overcharged",Table1[[#This Row],[ups ship charge]]-Table1[[#This Row],[ada ship charge]],0)</f>
        <v>0</v>
      </c>
    </row>
    <row r="300" spans="1:9" x14ac:dyDescent="0.2">
      <c r="A300">
        <v>1006552</v>
      </c>
      <c r="B300" t="s">
        <v>20</v>
      </c>
      <c r="C300">
        <v>9.6999999999999993</v>
      </c>
      <c r="D300">
        <v>12.86</v>
      </c>
      <c r="E300">
        <v>27.9</v>
      </c>
      <c r="F300" t="s">
        <v>6</v>
      </c>
      <c r="G3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0">
        <f>IF(Table1[[#This Row],[is_ups_overcharge]]="ups overcharged",Table1[[#This Row],[ups ship charge]]-Table1[[#This Row],[ada ship charge]],0)</f>
        <v>0</v>
      </c>
    </row>
    <row r="301" spans="1:9" x14ac:dyDescent="0.2">
      <c r="A301">
        <v>1006568</v>
      </c>
      <c r="B301" t="s">
        <v>20</v>
      </c>
      <c r="C301">
        <v>12.81</v>
      </c>
      <c r="D301">
        <v>12.86</v>
      </c>
      <c r="E301">
        <v>20.85</v>
      </c>
      <c r="F301" t="s">
        <v>9</v>
      </c>
      <c r="G3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1">
        <f>IF(Table1[[#This Row],[is_ups_overcharge]]="ups overcharged",Table1[[#This Row],[ups ship charge]]-Table1[[#This Row],[ada ship charge]],0)</f>
        <v>0</v>
      </c>
    </row>
    <row r="302" spans="1:9" x14ac:dyDescent="0.2">
      <c r="A302">
        <v>1006600</v>
      </c>
      <c r="B302" t="s">
        <v>20</v>
      </c>
      <c r="C302">
        <v>67.459999999999994</v>
      </c>
      <c r="D302">
        <v>67.510000000000005</v>
      </c>
      <c r="E302">
        <v>115.3</v>
      </c>
      <c r="F302" t="s">
        <v>8</v>
      </c>
      <c r="G3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2">
        <f>IF(Table1[[#This Row],[is_ups_overcharge]]="ups overcharged",Table1[[#This Row],[ups ship charge]]-Table1[[#This Row],[ada ship charge]],0)</f>
        <v>0</v>
      </c>
    </row>
    <row r="303" spans="1:9" x14ac:dyDescent="0.2">
      <c r="A303">
        <v>1006619</v>
      </c>
      <c r="B303" t="s">
        <v>20</v>
      </c>
      <c r="C303">
        <v>36.630000000000003</v>
      </c>
      <c r="D303">
        <v>15.18</v>
      </c>
      <c r="E303">
        <v>17.5</v>
      </c>
      <c r="F303" t="s">
        <v>12</v>
      </c>
      <c r="G3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3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03">
        <f>IF(Table1[[#This Row],[is_ups_overcharge]]="ups overcharged",Table1[[#This Row],[ups ship charge]]-Table1[[#This Row],[ada ship charge]],0)</f>
        <v>21.450000000000003</v>
      </c>
    </row>
    <row r="304" spans="1:9" x14ac:dyDescent="0.2">
      <c r="A304">
        <v>1006621</v>
      </c>
      <c r="B304" t="s">
        <v>20</v>
      </c>
      <c r="C304">
        <v>13.7</v>
      </c>
      <c r="D304">
        <v>13.75</v>
      </c>
      <c r="E304">
        <v>21.5</v>
      </c>
      <c r="F304" t="s">
        <v>9</v>
      </c>
      <c r="G3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4">
        <f>IF(Table1[[#This Row],[is_ups_overcharge]]="ups overcharged",Table1[[#This Row],[ups ship charge]]-Table1[[#This Row],[ada ship charge]],0)</f>
        <v>0</v>
      </c>
    </row>
    <row r="305" spans="1:9" x14ac:dyDescent="0.2">
      <c r="A305">
        <v>1006626</v>
      </c>
      <c r="B305" t="s">
        <v>20</v>
      </c>
      <c r="C305">
        <v>13.7</v>
      </c>
      <c r="D305">
        <v>13.75</v>
      </c>
      <c r="E305">
        <v>51.9</v>
      </c>
      <c r="F305" t="s">
        <v>9</v>
      </c>
      <c r="G3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5">
        <f>IF(Table1[[#This Row],[is_ups_overcharge]]="ups overcharged",Table1[[#This Row],[ups ship charge]]-Table1[[#This Row],[ada ship charge]],0)</f>
        <v>0</v>
      </c>
    </row>
    <row r="306" spans="1:9" x14ac:dyDescent="0.2">
      <c r="A306">
        <v>1006644</v>
      </c>
      <c r="B306" t="s">
        <v>20</v>
      </c>
      <c r="C306">
        <v>15.44</v>
      </c>
      <c r="D306">
        <v>16.760000000000002</v>
      </c>
      <c r="E306">
        <v>29.3</v>
      </c>
      <c r="F306" t="s">
        <v>12</v>
      </c>
      <c r="G3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6">
        <f>IF(Table1[[#This Row],[is_ups_overcharge]]="ups overcharged",Table1[[#This Row],[ups ship charge]]-Table1[[#This Row],[ada ship charge]],0)</f>
        <v>0</v>
      </c>
    </row>
    <row r="307" spans="1:9" x14ac:dyDescent="0.2">
      <c r="A307">
        <v>1006645</v>
      </c>
      <c r="B307" t="s">
        <v>20</v>
      </c>
      <c r="C307">
        <v>12.81</v>
      </c>
      <c r="D307">
        <v>12.86</v>
      </c>
      <c r="E307">
        <v>47.9</v>
      </c>
      <c r="F307" t="s">
        <v>9</v>
      </c>
      <c r="G3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7">
        <f>IF(Table1[[#This Row],[is_ups_overcharge]]="ups overcharged",Table1[[#This Row],[ups ship charge]]-Table1[[#This Row],[ada ship charge]],0)</f>
        <v>0</v>
      </c>
    </row>
    <row r="308" spans="1:9" x14ac:dyDescent="0.2">
      <c r="A308">
        <v>1006668</v>
      </c>
      <c r="B308" t="s">
        <v>20</v>
      </c>
      <c r="C308">
        <v>12.81</v>
      </c>
      <c r="D308">
        <v>12.86</v>
      </c>
      <c r="E308">
        <v>8</v>
      </c>
      <c r="F308" t="s">
        <v>9</v>
      </c>
      <c r="G3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8">
        <f>IF(Table1[[#This Row],[is_ups_overcharge]]="ups overcharged",Table1[[#This Row],[ups ship charge]]-Table1[[#This Row],[ada ship charge]],0)</f>
        <v>0</v>
      </c>
    </row>
    <row r="309" spans="1:9" x14ac:dyDescent="0.2">
      <c r="A309">
        <v>1006681</v>
      </c>
      <c r="B309" t="s">
        <v>20</v>
      </c>
      <c r="C309">
        <v>9.6999999999999993</v>
      </c>
      <c r="D309">
        <v>9.75</v>
      </c>
      <c r="E309">
        <v>6.95</v>
      </c>
      <c r="F309" t="s">
        <v>6</v>
      </c>
      <c r="G3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9">
        <f>IF(Table1[[#This Row],[is_ups_overcharge]]="ups overcharged",Table1[[#This Row],[ups ship charge]]-Table1[[#This Row],[ada ship charge]],0)</f>
        <v>0</v>
      </c>
    </row>
    <row r="310" spans="1:9" x14ac:dyDescent="0.2">
      <c r="A310">
        <v>1006682</v>
      </c>
      <c r="B310" t="s">
        <v>20</v>
      </c>
      <c r="C310">
        <v>13.71</v>
      </c>
      <c r="D310">
        <v>13.76</v>
      </c>
      <c r="E310">
        <v>114.95</v>
      </c>
      <c r="F310" t="s">
        <v>9</v>
      </c>
      <c r="G3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0">
        <f>IF(Table1[[#This Row],[is_ups_overcharge]]="ups overcharged",Table1[[#This Row],[ups ship charge]]-Table1[[#This Row],[ada ship charge]],0)</f>
        <v>0</v>
      </c>
    </row>
    <row r="311" spans="1:9" x14ac:dyDescent="0.2">
      <c r="A311">
        <v>1006700</v>
      </c>
      <c r="B311" t="s">
        <v>20</v>
      </c>
      <c r="C311">
        <v>12.81</v>
      </c>
      <c r="D311">
        <v>12.86</v>
      </c>
      <c r="E311">
        <v>45.8</v>
      </c>
      <c r="F311" t="s">
        <v>9</v>
      </c>
      <c r="G3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1">
        <f>IF(Table1[[#This Row],[is_ups_overcharge]]="ups overcharged",Table1[[#This Row],[ups ship charge]]-Table1[[#This Row],[ada ship charge]],0)</f>
        <v>0</v>
      </c>
    </row>
    <row r="312" spans="1:9" x14ac:dyDescent="0.2">
      <c r="A312">
        <v>1006713</v>
      </c>
      <c r="B312" t="s">
        <v>20</v>
      </c>
      <c r="C312">
        <v>59.02</v>
      </c>
      <c r="D312">
        <v>59.07</v>
      </c>
      <c r="E312">
        <v>242.5</v>
      </c>
      <c r="F312" t="s">
        <v>8</v>
      </c>
      <c r="G3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2">
        <f>IF(Table1[[#This Row],[is_ups_overcharge]]="ups overcharged",Table1[[#This Row],[ups ship charge]]-Table1[[#This Row],[ada ship charge]],0)</f>
        <v>0</v>
      </c>
    </row>
    <row r="313" spans="1:9" x14ac:dyDescent="0.2">
      <c r="A313">
        <v>1006715</v>
      </c>
      <c r="B313" t="s">
        <v>20</v>
      </c>
      <c r="C313">
        <v>12.81</v>
      </c>
      <c r="D313">
        <v>12.86</v>
      </c>
      <c r="E313">
        <v>133.15</v>
      </c>
      <c r="F313" t="s">
        <v>9</v>
      </c>
      <c r="G3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3">
        <f>IF(Table1[[#This Row],[is_ups_overcharge]]="ups overcharged",Table1[[#This Row],[ups ship charge]]-Table1[[#This Row],[ada ship charge]],0)</f>
        <v>0</v>
      </c>
    </row>
    <row r="314" spans="1:9" x14ac:dyDescent="0.2">
      <c r="A314">
        <v>1006727</v>
      </c>
      <c r="B314" t="s">
        <v>20</v>
      </c>
      <c r="C314">
        <v>13.71</v>
      </c>
      <c r="D314">
        <v>13.76</v>
      </c>
      <c r="E314">
        <v>29.95</v>
      </c>
      <c r="F314" t="s">
        <v>9</v>
      </c>
      <c r="G3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4">
        <f>IF(Table1[[#This Row],[is_ups_overcharge]]="ups overcharged",Table1[[#This Row],[ups ship charge]]-Table1[[#This Row],[ada ship charge]],0)</f>
        <v>0</v>
      </c>
    </row>
    <row r="315" spans="1:9" x14ac:dyDescent="0.2">
      <c r="A315">
        <v>1006752</v>
      </c>
      <c r="B315" t="s">
        <v>20</v>
      </c>
      <c r="C315">
        <v>12.81</v>
      </c>
      <c r="D315">
        <v>12.86</v>
      </c>
      <c r="E315">
        <v>47.5</v>
      </c>
      <c r="F315" t="s">
        <v>9</v>
      </c>
      <c r="G3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5">
        <f>IF(Table1[[#This Row],[is_ups_overcharge]]="ups overcharged",Table1[[#This Row],[ups ship charge]]-Table1[[#This Row],[ada ship charge]],0)</f>
        <v>0</v>
      </c>
    </row>
    <row r="316" spans="1:9" x14ac:dyDescent="0.2">
      <c r="A316">
        <v>1006755</v>
      </c>
      <c r="B316" t="s">
        <v>20</v>
      </c>
      <c r="C316">
        <v>15.44</v>
      </c>
      <c r="D316">
        <v>15.49</v>
      </c>
      <c r="E316">
        <v>102.65</v>
      </c>
      <c r="F316" t="s">
        <v>12</v>
      </c>
      <c r="G3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6">
        <f>IF(Table1[[#This Row],[is_ups_overcharge]]="ups overcharged",Table1[[#This Row],[ups ship charge]]-Table1[[#This Row],[ada ship charge]],0)</f>
        <v>0</v>
      </c>
    </row>
    <row r="317" spans="1:9" x14ac:dyDescent="0.2">
      <c r="A317">
        <v>1006766</v>
      </c>
      <c r="B317" t="s">
        <v>20</v>
      </c>
      <c r="C317">
        <v>13.7</v>
      </c>
      <c r="D317">
        <v>13.75</v>
      </c>
      <c r="E317">
        <v>69.849999999999994</v>
      </c>
      <c r="F317" t="s">
        <v>9</v>
      </c>
      <c r="G3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7">
        <f>IF(Table1[[#This Row],[is_ups_overcharge]]="ups overcharged",Table1[[#This Row],[ups ship charge]]-Table1[[#This Row],[ada ship charge]],0)</f>
        <v>0</v>
      </c>
    </row>
    <row r="318" spans="1:9" x14ac:dyDescent="0.2">
      <c r="A318">
        <v>1006771</v>
      </c>
      <c r="B318" t="s">
        <v>20</v>
      </c>
      <c r="C318">
        <v>18.66</v>
      </c>
      <c r="D318">
        <v>17.2</v>
      </c>
      <c r="E318">
        <v>173.7</v>
      </c>
      <c r="F318" t="s">
        <v>10</v>
      </c>
      <c r="G3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18">
        <f>IF(Table1[[#This Row],[is_ups_overcharge]]="ups overcharged",Table1[[#This Row],[ups ship charge]]-Table1[[#This Row],[ada ship charge]],0)</f>
        <v>1.4600000000000009</v>
      </c>
    </row>
    <row r="319" spans="1:9" x14ac:dyDescent="0.2">
      <c r="A319">
        <v>1006780</v>
      </c>
      <c r="B319" t="s">
        <v>20</v>
      </c>
      <c r="C319">
        <v>17.149999999999999</v>
      </c>
      <c r="D319">
        <v>0</v>
      </c>
      <c r="E319">
        <v>3296.56</v>
      </c>
      <c r="F319" t="s">
        <v>6</v>
      </c>
      <c r="G3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31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319">
        <f>IF(Table1[[#This Row],[is_ups_overcharge]]="ups overcharged",Table1[[#This Row],[ups ship charge]]-Table1[[#This Row],[ada ship charge]],0)</f>
        <v>0</v>
      </c>
    </row>
    <row r="320" spans="1:9" x14ac:dyDescent="0.2">
      <c r="A320">
        <v>1006791</v>
      </c>
      <c r="B320" t="s">
        <v>20</v>
      </c>
      <c r="C320">
        <v>18.149999999999999</v>
      </c>
      <c r="D320">
        <v>18.2</v>
      </c>
      <c r="E320">
        <v>59.9</v>
      </c>
      <c r="F320" t="s">
        <v>10</v>
      </c>
      <c r="G3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0">
        <f>IF(Table1[[#This Row],[is_ups_overcharge]]="ups overcharged",Table1[[#This Row],[ups ship charge]]-Table1[[#This Row],[ada ship charge]],0)</f>
        <v>0</v>
      </c>
    </row>
    <row r="321" spans="1:9" x14ac:dyDescent="0.2">
      <c r="A321">
        <v>1006805</v>
      </c>
      <c r="B321" t="s">
        <v>20</v>
      </c>
      <c r="C321">
        <v>9.6999999999999993</v>
      </c>
      <c r="D321">
        <v>9.75</v>
      </c>
      <c r="E321">
        <v>67.8</v>
      </c>
      <c r="F321" t="s">
        <v>6</v>
      </c>
      <c r="G3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1">
        <f>IF(Table1[[#This Row],[is_ups_overcharge]]="ups overcharged",Table1[[#This Row],[ups ship charge]]-Table1[[#This Row],[ada ship charge]],0)</f>
        <v>0</v>
      </c>
    </row>
    <row r="322" spans="1:9" x14ac:dyDescent="0.2">
      <c r="A322">
        <v>1006827</v>
      </c>
      <c r="B322" t="s">
        <v>20</v>
      </c>
      <c r="C322">
        <v>9.6999999999999993</v>
      </c>
      <c r="D322">
        <v>9.75</v>
      </c>
      <c r="E322">
        <v>24.75</v>
      </c>
      <c r="F322" t="s">
        <v>6</v>
      </c>
      <c r="G3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2">
        <f>IF(Table1[[#This Row],[is_ups_overcharge]]="ups overcharged",Table1[[#This Row],[ups ship charge]]-Table1[[#This Row],[ada ship charge]],0)</f>
        <v>0</v>
      </c>
    </row>
    <row r="323" spans="1:9" x14ac:dyDescent="0.2">
      <c r="A323">
        <v>1006837</v>
      </c>
      <c r="B323" t="s">
        <v>20</v>
      </c>
      <c r="C323">
        <v>9.6999999999999993</v>
      </c>
      <c r="D323">
        <v>9.75</v>
      </c>
      <c r="E323">
        <v>164.45</v>
      </c>
      <c r="F323" t="s">
        <v>6</v>
      </c>
      <c r="G3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3">
        <f>IF(Table1[[#This Row],[is_ups_overcharge]]="ups overcharged",Table1[[#This Row],[ups ship charge]]-Table1[[#This Row],[ada ship charge]],0)</f>
        <v>0</v>
      </c>
    </row>
    <row r="324" spans="1:9" x14ac:dyDescent="0.2">
      <c r="A324">
        <v>1006853</v>
      </c>
      <c r="B324" t="s">
        <v>20</v>
      </c>
      <c r="C324">
        <v>9.7100000000000009</v>
      </c>
      <c r="D324">
        <v>0</v>
      </c>
      <c r="E324">
        <v>283.56</v>
      </c>
      <c r="F324" t="s">
        <v>6</v>
      </c>
      <c r="G3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32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324">
        <f>IF(Table1[[#This Row],[is_ups_overcharge]]="ups overcharged",Table1[[#This Row],[ups ship charge]]-Table1[[#This Row],[ada ship charge]],0)</f>
        <v>0</v>
      </c>
    </row>
    <row r="325" spans="1:9" x14ac:dyDescent="0.2">
      <c r="A325">
        <v>1006863</v>
      </c>
      <c r="B325" t="s">
        <v>20</v>
      </c>
      <c r="C325">
        <v>12.81</v>
      </c>
      <c r="D325">
        <v>12.86</v>
      </c>
      <c r="E325">
        <v>9.9</v>
      </c>
      <c r="F325" t="s">
        <v>9</v>
      </c>
      <c r="G3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5">
        <f>IF(Table1[[#This Row],[is_ups_overcharge]]="ups overcharged",Table1[[#This Row],[ups ship charge]]-Table1[[#This Row],[ada ship charge]],0)</f>
        <v>0</v>
      </c>
    </row>
    <row r="326" spans="1:9" x14ac:dyDescent="0.2">
      <c r="A326">
        <v>1006884</v>
      </c>
      <c r="B326" t="s">
        <v>20</v>
      </c>
      <c r="C326">
        <v>17.440000000000001</v>
      </c>
      <c r="D326">
        <v>17.489999999999998</v>
      </c>
      <c r="E326">
        <v>19.899999999999999</v>
      </c>
      <c r="F326" t="s">
        <v>16</v>
      </c>
      <c r="G3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6">
        <f>IF(Table1[[#This Row],[is_ups_overcharge]]="ups overcharged",Table1[[#This Row],[ups ship charge]]-Table1[[#This Row],[ada ship charge]],0)</f>
        <v>0</v>
      </c>
    </row>
    <row r="327" spans="1:9" x14ac:dyDescent="0.2">
      <c r="A327">
        <v>1006888</v>
      </c>
      <c r="B327" t="s">
        <v>20</v>
      </c>
      <c r="C327">
        <v>9.6999999999999993</v>
      </c>
      <c r="D327">
        <v>0</v>
      </c>
      <c r="E327">
        <v>471.4</v>
      </c>
      <c r="F327" t="s">
        <v>6</v>
      </c>
      <c r="G3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32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327">
        <f>IF(Table1[[#This Row],[is_ups_overcharge]]="ups overcharged",Table1[[#This Row],[ups ship charge]]-Table1[[#This Row],[ada ship charge]],0)</f>
        <v>0</v>
      </c>
    </row>
    <row r="328" spans="1:9" x14ac:dyDescent="0.2">
      <c r="A328">
        <v>1006894</v>
      </c>
      <c r="B328" t="s">
        <v>20</v>
      </c>
      <c r="C328">
        <v>12.81</v>
      </c>
      <c r="D328">
        <v>12.86</v>
      </c>
      <c r="E328">
        <v>134.85</v>
      </c>
      <c r="F328" t="s">
        <v>9</v>
      </c>
      <c r="G3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8">
        <f>IF(Table1[[#This Row],[is_ups_overcharge]]="ups overcharged",Table1[[#This Row],[ups ship charge]]-Table1[[#This Row],[ada ship charge]],0)</f>
        <v>0</v>
      </c>
    </row>
    <row r="329" spans="1:9" x14ac:dyDescent="0.2">
      <c r="A329">
        <v>1006904</v>
      </c>
      <c r="B329" t="s">
        <v>20</v>
      </c>
      <c r="C329">
        <v>12.81</v>
      </c>
      <c r="D329">
        <v>12.86</v>
      </c>
      <c r="E329">
        <v>34.4</v>
      </c>
      <c r="F329" t="s">
        <v>9</v>
      </c>
      <c r="G3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9">
        <f>IF(Table1[[#This Row],[is_ups_overcharge]]="ups overcharged",Table1[[#This Row],[ups ship charge]]-Table1[[#This Row],[ada ship charge]],0)</f>
        <v>0</v>
      </c>
    </row>
    <row r="330" spans="1:9" x14ac:dyDescent="0.2">
      <c r="A330">
        <v>1006942</v>
      </c>
      <c r="B330" t="s">
        <v>20</v>
      </c>
      <c r="C330">
        <v>9.6999999999999993</v>
      </c>
      <c r="D330">
        <v>13.75</v>
      </c>
      <c r="E330">
        <v>89.95</v>
      </c>
      <c r="F330" t="s">
        <v>6</v>
      </c>
      <c r="G3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0">
        <f>IF(Table1[[#This Row],[is_ups_overcharge]]="ups overcharged",Table1[[#This Row],[ups ship charge]]-Table1[[#This Row],[ada ship charge]],0)</f>
        <v>0</v>
      </c>
    </row>
    <row r="331" spans="1:9" x14ac:dyDescent="0.2">
      <c r="A331">
        <v>1006958</v>
      </c>
      <c r="B331" t="s">
        <v>20</v>
      </c>
      <c r="C331">
        <v>12.81</v>
      </c>
      <c r="D331">
        <v>12.86</v>
      </c>
      <c r="E331">
        <v>106.9</v>
      </c>
      <c r="F331" t="s">
        <v>9</v>
      </c>
      <c r="G3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1">
        <f>IF(Table1[[#This Row],[is_ups_overcharge]]="ups overcharged",Table1[[#This Row],[ups ship charge]]-Table1[[#This Row],[ada ship charge]],0)</f>
        <v>0</v>
      </c>
    </row>
    <row r="332" spans="1:9" x14ac:dyDescent="0.2">
      <c r="A332">
        <v>1006977</v>
      </c>
      <c r="B332" t="s">
        <v>20</v>
      </c>
      <c r="C332">
        <v>13.7</v>
      </c>
      <c r="D332">
        <v>13.75</v>
      </c>
      <c r="E332">
        <v>154.85</v>
      </c>
      <c r="F332" t="s">
        <v>9</v>
      </c>
      <c r="G3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2">
        <f>IF(Table1[[#This Row],[is_ups_overcharge]]="ups overcharged",Table1[[#This Row],[ups ship charge]]-Table1[[#This Row],[ada ship charge]],0)</f>
        <v>0</v>
      </c>
    </row>
    <row r="333" spans="1:9" x14ac:dyDescent="0.2">
      <c r="A333">
        <v>1007025</v>
      </c>
      <c r="B333" t="s">
        <v>20</v>
      </c>
      <c r="C333">
        <v>12.81</v>
      </c>
      <c r="D333">
        <v>12.86</v>
      </c>
      <c r="E333">
        <v>48.4</v>
      </c>
      <c r="F333" t="s">
        <v>9</v>
      </c>
      <c r="G3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3">
        <f>IF(Table1[[#This Row],[is_ups_overcharge]]="ups overcharged",Table1[[#This Row],[ups ship charge]]-Table1[[#This Row],[ada ship charge]],0)</f>
        <v>0</v>
      </c>
    </row>
    <row r="334" spans="1:9" x14ac:dyDescent="0.2">
      <c r="A334">
        <v>1007050</v>
      </c>
      <c r="B334" t="s">
        <v>20</v>
      </c>
      <c r="C334">
        <v>12.81</v>
      </c>
      <c r="D334">
        <v>12.86</v>
      </c>
      <c r="E334">
        <v>194.5</v>
      </c>
      <c r="F334" t="s">
        <v>9</v>
      </c>
      <c r="G3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4">
        <f>IF(Table1[[#This Row],[is_ups_overcharge]]="ups overcharged",Table1[[#This Row],[ups ship charge]]-Table1[[#This Row],[ada ship charge]],0)</f>
        <v>0</v>
      </c>
    </row>
    <row r="335" spans="1:9" x14ac:dyDescent="0.2">
      <c r="A335">
        <v>1007051</v>
      </c>
      <c r="B335" t="s">
        <v>20</v>
      </c>
      <c r="C335">
        <v>9.6999999999999993</v>
      </c>
      <c r="D335">
        <v>0</v>
      </c>
      <c r="E335">
        <v>310</v>
      </c>
      <c r="F335" t="s">
        <v>6</v>
      </c>
      <c r="G3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33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335">
        <f>IF(Table1[[#This Row],[is_ups_overcharge]]="ups overcharged",Table1[[#This Row],[ups ship charge]]-Table1[[#This Row],[ada ship charge]],0)</f>
        <v>0</v>
      </c>
    </row>
    <row r="336" spans="1:9" x14ac:dyDescent="0.2">
      <c r="A336">
        <v>1007068</v>
      </c>
      <c r="B336" t="s">
        <v>20</v>
      </c>
      <c r="C336">
        <v>15.44</v>
      </c>
      <c r="D336">
        <v>15.49</v>
      </c>
      <c r="E336">
        <v>45</v>
      </c>
      <c r="F336" t="s">
        <v>12</v>
      </c>
      <c r="G3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6">
        <f>IF(Table1[[#This Row],[is_ups_overcharge]]="ups overcharged",Table1[[#This Row],[ups ship charge]]-Table1[[#This Row],[ada ship charge]],0)</f>
        <v>0</v>
      </c>
    </row>
    <row r="337" spans="1:9" x14ac:dyDescent="0.2">
      <c r="A337">
        <v>1007073</v>
      </c>
      <c r="B337" t="s">
        <v>20</v>
      </c>
      <c r="C337">
        <v>12.81</v>
      </c>
      <c r="D337">
        <v>12.86</v>
      </c>
      <c r="E337">
        <v>22.35</v>
      </c>
      <c r="F337" t="s">
        <v>9</v>
      </c>
      <c r="G3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7">
        <f>IF(Table1[[#This Row],[is_ups_overcharge]]="ups overcharged",Table1[[#This Row],[ups ship charge]]-Table1[[#This Row],[ada ship charge]],0)</f>
        <v>0</v>
      </c>
    </row>
    <row r="338" spans="1:9" x14ac:dyDescent="0.2">
      <c r="A338">
        <v>1007076</v>
      </c>
      <c r="B338" t="s">
        <v>20</v>
      </c>
      <c r="C338">
        <v>12.81</v>
      </c>
      <c r="D338">
        <v>12.86</v>
      </c>
      <c r="E338">
        <v>25</v>
      </c>
      <c r="F338" t="s">
        <v>9</v>
      </c>
      <c r="G3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8">
        <f>IF(Table1[[#This Row],[is_ups_overcharge]]="ups overcharged",Table1[[#This Row],[ups ship charge]]-Table1[[#This Row],[ada ship charge]],0)</f>
        <v>0</v>
      </c>
    </row>
    <row r="339" spans="1:9" x14ac:dyDescent="0.2">
      <c r="A339">
        <v>1007077</v>
      </c>
      <c r="B339" t="s">
        <v>20</v>
      </c>
      <c r="C339">
        <v>9.7100000000000009</v>
      </c>
      <c r="D339">
        <v>9.76</v>
      </c>
      <c r="E339">
        <v>12.5</v>
      </c>
      <c r="F339" t="s">
        <v>6</v>
      </c>
      <c r="G3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9">
        <f>IF(Table1[[#This Row],[is_ups_overcharge]]="ups overcharged",Table1[[#This Row],[ups ship charge]]-Table1[[#This Row],[ada ship charge]],0)</f>
        <v>0</v>
      </c>
    </row>
    <row r="340" spans="1:9" x14ac:dyDescent="0.2">
      <c r="A340">
        <v>1007094</v>
      </c>
      <c r="B340" t="s">
        <v>20</v>
      </c>
      <c r="C340">
        <v>9.6999999999999993</v>
      </c>
      <c r="D340">
        <v>9.76</v>
      </c>
      <c r="E340">
        <v>71.2</v>
      </c>
      <c r="F340" t="s">
        <v>6</v>
      </c>
      <c r="G3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0">
        <f>IF(Table1[[#This Row],[is_ups_overcharge]]="ups overcharged",Table1[[#This Row],[ups ship charge]]-Table1[[#This Row],[ada ship charge]],0)</f>
        <v>0</v>
      </c>
    </row>
    <row r="341" spans="1:9" x14ac:dyDescent="0.2">
      <c r="A341">
        <v>1007119</v>
      </c>
      <c r="B341" t="s">
        <v>20</v>
      </c>
      <c r="C341">
        <v>16.46</v>
      </c>
      <c r="D341">
        <v>16.510000000000002</v>
      </c>
      <c r="E341">
        <v>13.9</v>
      </c>
      <c r="F341" t="s">
        <v>10</v>
      </c>
      <c r="G3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1">
        <f>IF(Table1[[#This Row],[is_ups_overcharge]]="ups overcharged",Table1[[#This Row],[ups ship charge]]-Table1[[#This Row],[ada ship charge]],0)</f>
        <v>0</v>
      </c>
    </row>
    <row r="342" spans="1:9" x14ac:dyDescent="0.2">
      <c r="A342">
        <v>1007120</v>
      </c>
      <c r="B342" t="s">
        <v>20</v>
      </c>
      <c r="C342">
        <v>9.6999999999999993</v>
      </c>
      <c r="D342">
        <v>9.75</v>
      </c>
      <c r="E342">
        <v>166.2</v>
      </c>
      <c r="F342" t="s">
        <v>6</v>
      </c>
      <c r="G3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2">
        <f>IF(Table1[[#This Row],[is_ups_overcharge]]="ups overcharged",Table1[[#This Row],[ups ship charge]]-Table1[[#This Row],[ada ship charge]],0)</f>
        <v>0</v>
      </c>
    </row>
    <row r="343" spans="1:9" x14ac:dyDescent="0.2">
      <c r="A343">
        <v>1007133</v>
      </c>
      <c r="B343" t="s">
        <v>20</v>
      </c>
      <c r="C343">
        <v>16.77</v>
      </c>
      <c r="D343">
        <v>16.82</v>
      </c>
      <c r="E343">
        <v>52.3</v>
      </c>
      <c r="F343" t="s">
        <v>10</v>
      </c>
      <c r="G3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3">
        <f>IF(Table1[[#This Row],[is_ups_overcharge]]="ups overcharged",Table1[[#This Row],[ups ship charge]]-Table1[[#This Row],[ada ship charge]],0)</f>
        <v>0</v>
      </c>
    </row>
    <row r="344" spans="1:9" x14ac:dyDescent="0.2">
      <c r="A344">
        <v>1007134</v>
      </c>
      <c r="B344" t="s">
        <v>20</v>
      </c>
      <c r="C344">
        <v>9.6999999999999993</v>
      </c>
      <c r="D344">
        <v>9.75</v>
      </c>
      <c r="E344">
        <v>80.75</v>
      </c>
      <c r="F344" t="s">
        <v>6</v>
      </c>
      <c r="G3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4">
        <f>IF(Table1[[#This Row],[is_ups_overcharge]]="ups overcharged",Table1[[#This Row],[ups ship charge]]-Table1[[#This Row],[ada ship charge]],0)</f>
        <v>0</v>
      </c>
    </row>
    <row r="345" spans="1:9" x14ac:dyDescent="0.2">
      <c r="A345">
        <v>1007136</v>
      </c>
      <c r="B345" t="s">
        <v>20</v>
      </c>
      <c r="C345">
        <v>15.13</v>
      </c>
      <c r="D345">
        <v>15.18</v>
      </c>
      <c r="E345">
        <v>64.95</v>
      </c>
      <c r="F345" t="s">
        <v>12</v>
      </c>
      <c r="G3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5">
        <f>IF(Table1[[#This Row],[is_ups_overcharge]]="ups overcharged",Table1[[#This Row],[ups ship charge]]-Table1[[#This Row],[ada ship charge]],0)</f>
        <v>0</v>
      </c>
    </row>
    <row r="346" spans="1:9" x14ac:dyDescent="0.2">
      <c r="A346">
        <v>1007156</v>
      </c>
      <c r="B346" t="s">
        <v>20</v>
      </c>
      <c r="C346">
        <v>12.81</v>
      </c>
      <c r="D346">
        <v>12.86</v>
      </c>
      <c r="E346">
        <v>9.8000000000000007</v>
      </c>
      <c r="F346" t="s">
        <v>9</v>
      </c>
      <c r="G3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6">
        <f>IF(Table1[[#This Row],[is_ups_overcharge]]="ups overcharged",Table1[[#This Row],[ups ship charge]]-Table1[[#This Row],[ada ship charge]],0)</f>
        <v>0</v>
      </c>
    </row>
    <row r="347" spans="1:9" x14ac:dyDescent="0.2">
      <c r="A347">
        <v>1007193</v>
      </c>
      <c r="B347" t="s">
        <v>20</v>
      </c>
      <c r="C347">
        <v>9.6999999999999993</v>
      </c>
      <c r="D347">
        <v>9.75</v>
      </c>
      <c r="E347">
        <v>110</v>
      </c>
      <c r="F347" t="s">
        <v>6</v>
      </c>
      <c r="G3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7">
        <f>IF(Table1[[#This Row],[is_ups_overcharge]]="ups overcharged",Table1[[#This Row],[ups ship charge]]-Table1[[#This Row],[ada ship charge]],0)</f>
        <v>0</v>
      </c>
    </row>
    <row r="348" spans="1:9" x14ac:dyDescent="0.2">
      <c r="A348">
        <v>1007196</v>
      </c>
      <c r="B348" t="s">
        <v>20</v>
      </c>
      <c r="C348">
        <v>13.7</v>
      </c>
      <c r="D348">
        <v>13.75</v>
      </c>
      <c r="E348">
        <v>17</v>
      </c>
      <c r="F348" t="s">
        <v>9</v>
      </c>
      <c r="G3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8">
        <f>IF(Table1[[#This Row],[is_ups_overcharge]]="ups overcharged",Table1[[#This Row],[ups ship charge]]-Table1[[#This Row],[ada ship charge]],0)</f>
        <v>0</v>
      </c>
    </row>
    <row r="349" spans="1:9" x14ac:dyDescent="0.2">
      <c r="A349">
        <v>1007200</v>
      </c>
      <c r="B349" t="s">
        <v>20</v>
      </c>
      <c r="C349">
        <v>24.87</v>
      </c>
      <c r="D349">
        <v>29.42</v>
      </c>
      <c r="E349">
        <v>192.3</v>
      </c>
      <c r="F349" t="s">
        <v>15</v>
      </c>
      <c r="G3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9">
        <f>IF(Table1[[#This Row],[is_ups_overcharge]]="ups overcharged",Table1[[#This Row],[ups ship charge]]-Table1[[#This Row],[ada ship charge]],0)</f>
        <v>0</v>
      </c>
    </row>
    <row r="350" spans="1:9" x14ac:dyDescent="0.2">
      <c r="A350">
        <v>1007222</v>
      </c>
      <c r="B350" t="s">
        <v>20</v>
      </c>
      <c r="C350">
        <v>12.81</v>
      </c>
      <c r="D350">
        <v>13.09</v>
      </c>
      <c r="E350">
        <v>114.95</v>
      </c>
      <c r="F350" t="s">
        <v>9</v>
      </c>
      <c r="G3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0">
        <f>IF(Table1[[#This Row],[is_ups_overcharge]]="ups overcharged",Table1[[#This Row],[ups ship charge]]-Table1[[#This Row],[ada ship charge]],0)</f>
        <v>0</v>
      </c>
    </row>
    <row r="351" spans="1:9" x14ac:dyDescent="0.2">
      <c r="A351">
        <v>1007245</v>
      </c>
      <c r="B351" t="s">
        <v>20</v>
      </c>
      <c r="C351">
        <v>12.81</v>
      </c>
      <c r="D351">
        <v>12.86</v>
      </c>
      <c r="E351">
        <v>10</v>
      </c>
      <c r="F351" t="s">
        <v>9</v>
      </c>
      <c r="G3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1">
        <f>IF(Table1[[#This Row],[is_ups_overcharge]]="ups overcharged",Table1[[#This Row],[ups ship charge]]-Table1[[#This Row],[ada ship charge]],0)</f>
        <v>0</v>
      </c>
    </row>
    <row r="352" spans="1:9" x14ac:dyDescent="0.2">
      <c r="A352">
        <v>1007249</v>
      </c>
      <c r="B352" t="s">
        <v>20</v>
      </c>
      <c r="C352">
        <v>12.55</v>
      </c>
      <c r="D352">
        <v>0</v>
      </c>
      <c r="E352">
        <v>540.9</v>
      </c>
      <c r="F352" t="s">
        <v>6</v>
      </c>
      <c r="G3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35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352">
        <f>IF(Table1[[#This Row],[is_ups_overcharge]]="ups overcharged",Table1[[#This Row],[ups ship charge]]-Table1[[#This Row],[ada ship charge]],0)</f>
        <v>0</v>
      </c>
    </row>
    <row r="353" spans="1:9" x14ac:dyDescent="0.2">
      <c r="A353">
        <v>1007261</v>
      </c>
      <c r="B353" t="s">
        <v>20</v>
      </c>
      <c r="C353">
        <v>25.81</v>
      </c>
      <c r="D353">
        <v>13.31</v>
      </c>
      <c r="E353">
        <v>85</v>
      </c>
      <c r="F353" t="s">
        <v>9</v>
      </c>
      <c r="G3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3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53">
        <f>IF(Table1[[#This Row],[is_ups_overcharge]]="ups overcharged",Table1[[#This Row],[ups ship charge]]-Table1[[#This Row],[ada ship charge]],0)</f>
        <v>12.499999999999998</v>
      </c>
    </row>
    <row r="354" spans="1:9" x14ac:dyDescent="0.2">
      <c r="A354">
        <v>1007264</v>
      </c>
      <c r="B354" t="s">
        <v>20</v>
      </c>
      <c r="C354">
        <v>16.46</v>
      </c>
      <c r="D354">
        <v>16.510000000000002</v>
      </c>
      <c r="E354">
        <v>36.9</v>
      </c>
      <c r="F354" t="s">
        <v>10</v>
      </c>
      <c r="G3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4">
        <f>IF(Table1[[#This Row],[is_ups_overcharge]]="ups overcharged",Table1[[#This Row],[ups ship charge]]-Table1[[#This Row],[ada ship charge]],0)</f>
        <v>0</v>
      </c>
    </row>
    <row r="355" spans="1:9" x14ac:dyDescent="0.2">
      <c r="A355">
        <v>1007265</v>
      </c>
      <c r="B355" t="s">
        <v>20</v>
      </c>
      <c r="C355">
        <v>9.6999999999999993</v>
      </c>
      <c r="D355">
        <v>9.75</v>
      </c>
      <c r="E355">
        <v>30.95</v>
      </c>
      <c r="F355" t="s">
        <v>6</v>
      </c>
      <c r="G3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5">
        <f>IF(Table1[[#This Row],[is_ups_overcharge]]="ups overcharged",Table1[[#This Row],[ups ship charge]]-Table1[[#This Row],[ada ship charge]],0)</f>
        <v>0</v>
      </c>
    </row>
    <row r="356" spans="1:9" x14ac:dyDescent="0.2">
      <c r="A356">
        <v>1007267</v>
      </c>
      <c r="B356" t="s">
        <v>20</v>
      </c>
      <c r="C356">
        <v>13.7</v>
      </c>
      <c r="D356">
        <v>13.76</v>
      </c>
      <c r="E356">
        <v>76.45</v>
      </c>
      <c r="F356" t="s">
        <v>9</v>
      </c>
      <c r="G3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6">
        <f>IF(Table1[[#This Row],[is_ups_overcharge]]="ups overcharged",Table1[[#This Row],[ups ship charge]]-Table1[[#This Row],[ada ship charge]],0)</f>
        <v>0</v>
      </c>
    </row>
    <row r="357" spans="1:9" x14ac:dyDescent="0.2">
      <c r="A357">
        <v>1007275</v>
      </c>
      <c r="B357" t="s">
        <v>20</v>
      </c>
      <c r="C357">
        <v>15.44</v>
      </c>
      <c r="D357">
        <v>15.49</v>
      </c>
      <c r="E357">
        <v>64.25</v>
      </c>
      <c r="F357" t="s">
        <v>12</v>
      </c>
      <c r="G3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7">
        <f>IF(Table1[[#This Row],[is_ups_overcharge]]="ups overcharged",Table1[[#This Row],[ups ship charge]]-Table1[[#This Row],[ada ship charge]],0)</f>
        <v>0</v>
      </c>
    </row>
    <row r="358" spans="1:9" x14ac:dyDescent="0.2">
      <c r="A358">
        <v>1007280</v>
      </c>
      <c r="B358" t="s">
        <v>20</v>
      </c>
      <c r="C358">
        <v>12.81</v>
      </c>
      <c r="D358">
        <v>12.86</v>
      </c>
      <c r="E358">
        <v>18.95</v>
      </c>
      <c r="F358" t="s">
        <v>9</v>
      </c>
      <c r="G3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8">
        <f>IF(Table1[[#This Row],[is_ups_overcharge]]="ups overcharged",Table1[[#This Row],[ups ship charge]]-Table1[[#This Row],[ada ship charge]],0)</f>
        <v>0</v>
      </c>
    </row>
    <row r="359" spans="1:9" x14ac:dyDescent="0.2">
      <c r="A359">
        <v>1007296</v>
      </c>
      <c r="B359" t="s">
        <v>20</v>
      </c>
      <c r="C359">
        <v>13.7</v>
      </c>
      <c r="D359">
        <v>0</v>
      </c>
      <c r="E359">
        <v>206.3</v>
      </c>
      <c r="F359" t="s">
        <v>9</v>
      </c>
      <c r="G3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35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359">
        <f>IF(Table1[[#This Row],[is_ups_overcharge]]="ups overcharged",Table1[[#This Row],[ups ship charge]]-Table1[[#This Row],[ada ship charge]],0)</f>
        <v>0</v>
      </c>
    </row>
    <row r="360" spans="1:9" x14ac:dyDescent="0.2">
      <c r="A360">
        <v>1007302</v>
      </c>
      <c r="B360" t="s">
        <v>20</v>
      </c>
      <c r="C360">
        <v>12.81</v>
      </c>
      <c r="D360">
        <v>12.86</v>
      </c>
      <c r="E360">
        <v>22.9</v>
      </c>
      <c r="F360" t="s">
        <v>9</v>
      </c>
      <c r="G3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0">
        <f>IF(Table1[[#This Row],[is_ups_overcharge]]="ups overcharged",Table1[[#This Row],[ups ship charge]]-Table1[[#This Row],[ada ship charge]],0)</f>
        <v>0</v>
      </c>
    </row>
    <row r="361" spans="1:9" x14ac:dyDescent="0.2">
      <c r="A361">
        <v>1007303</v>
      </c>
      <c r="B361" t="s">
        <v>20</v>
      </c>
      <c r="C361">
        <v>12.81</v>
      </c>
      <c r="D361">
        <v>12.86</v>
      </c>
      <c r="E361">
        <v>150.6</v>
      </c>
      <c r="F361" t="s">
        <v>9</v>
      </c>
      <c r="G3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1">
        <f>IF(Table1[[#This Row],[is_ups_overcharge]]="ups overcharged",Table1[[#This Row],[ups ship charge]]-Table1[[#This Row],[ada ship charge]],0)</f>
        <v>0</v>
      </c>
    </row>
    <row r="362" spans="1:9" x14ac:dyDescent="0.2">
      <c r="A362">
        <v>1007329</v>
      </c>
      <c r="B362" t="s">
        <v>20</v>
      </c>
      <c r="C362">
        <v>13.7</v>
      </c>
      <c r="D362">
        <v>13.75</v>
      </c>
      <c r="E362">
        <v>21.95</v>
      </c>
      <c r="F362" t="s">
        <v>9</v>
      </c>
      <c r="G3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2">
        <f>IF(Table1[[#This Row],[is_ups_overcharge]]="ups overcharged",Table1[[#This Row],[ups ship charge]]-Table1[[#This Row],[ada ship charge]],0)</f>
        <v>0</v>
      </c>
    </row>
    <row r="363" spans="1:9" x14ac:dyDescent="0.2">
      <c r="A363">
        <v>1007339</v>
      </c>
      <c r="B363" t="s">
        <v>20</v>
      </c>
      <c r="C363">
        <v>59.02</v>
      </c>
      <c r="D363">
        <v>59.07</v>
      </c>
      <c r="E363">
        <v>137.69999999999999</v>
      </c>
      <c r="F363" t="s">
        <v>8</v>
      </c>
      <c r="G3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3">
        <f>IF(Table1[[#This Row],[is_ups_overcharge]]="ups overcharged",Table1[[#This Row],[ups ship charge]]-Table1[[#This Row],[ada ship charge]],0)</f>
        <v>0</v>
      </c>
    </row>
    <row r="364" spans="1:9" x14ac:dyDescent="0.2">
      <c r="A364">
        <v>1007343</v>
      </c>
      <c r="B364" t="s">
        <v>20</v>
      </c>
      <c r="C364">
        <v>13.7</v>
      </c>
      <c r="D364">
        <v>13.75</v>
      </c>
      <c r="E364">
        <v>9.9499999999999993</v>
      </c>
      <c r="F364" t="s">
        <v>9</v>
      </c>
      <c r="G3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4">
        <f>IF(Table1[[#This Row],[is_ups_overcharge]]="ups overcharged",Table1[[#This Row],[ups ship charge]]-Table1[[#This Row],[ada ship charge]],0)</f>
        <v>0</v>
      </c>
    </row>
    <row r="365" spans="1:9" x14ac:dyDescent="0.2">
      <c r="A365">
        <v>1007379</v>
      </c>
      <c r="B365" t="s">
        <v>20</v>
      </c>
      <c r="C365">
        <v>61.56</v>
      </c>
      <c r="D365">
        <v>61.61</v>
      </c>
      <c r="E365">
        <v>82.45</v>
      </c>
      <c r="F365" t="s">
        <v>11</v>
      </c>
      <c r="G3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5">
        <f>IF(Table1[[#This Row],[is_ups_overcharge]]="ups overcharged",Table1[[#This Row],[ups ship charge]]-Table1[[#This Row],[ada ship charge]],0)</f>
        <v>0</v>
      </c>
    </row>
    <row r="366" spans="1:9" x14ac:dyDescent="0.2">
      <c r="A366">
        <v>1007383</v>
      </c>
      <c r="B366" t="s">
        <v>20</v>
      </c>
      <c r="C366">
        <v>12.81</v>
      </c>
      <c r="D366">
        <v>12.86</v>
      </c>
      <c r="E366">
        <v>64.3</v>
      </c>
      <c r="F366" t="s">
        <v>9</v>
      </c>
      <c r="G3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6">
        <f>IF(Table1[[#This Row],[is_ups_overcharge]]="ups overcharged",Table1[[#This Row],[ups ship charge]]-Table1[[#This Row],[ada ship charge]],0)</f>
        <v>0</v>
      </c>
    </row>
    <row r="367" spans="1:9" x14ac:dyDescent="0.2">
      <c r="A367">
        <v>1007405</v>
      </c>
      <c r="B367" t="s">
        <v>20</v>
      </c>
      <c r="C367">
        <v>18.149999999999999</v>
      </c>
      <c r="D367">
        <v>18.2</v>
      </c>
      <c r="E367">
        <v>2.95</v>
      </c>
      <c r="F367" t="s">
        <v>15</v>
      </c>
      <c r="G3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7">
        <f>IF(Table1[[#This Row],[is_ups_overcharge]]="ups overcharged",Table1[[#This Row],[ups ship charge]]-Table1[[#This Row],[ada ship charge]],0)</f>
        <v>0</v>
      </c>
    </row>
    <row r="368" spans="1:9" x14ac:dyDescent="0.2">
      <c r="A368">
        <v>1007428</v>
      </c>
      <c r="B368" t="s">
        <v>20</v>
      </c>
      <c r="C368">
        <v>15.44</v>
      </c>
      <c r="D368">
        <v>15.49</v>
      </c>
      <c r="E368">
        <v>99.8</v>
      </c>
      <c r="F368" t="s">
        <v>12</v>
      </c>
      <c r="G3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8">
        <f>IF(Table1[[#This Row],[is_ups_overcharge]]="ups overcharged",Table1[[#This Row],[ups ship charge]]-Table1[[#This Row],[ada ship charge]],0)</f>
        <v>0</v>
      </c>
    </row>
    <row r="369" spans="1:9" x14ac:dyDescent="0.2">
      <c r="A369">
        <v>1007431</v>
      </c>
      <c r="B369" t="s">
        <v>20</v>
      </c>
      <c r="C369">
        <v>13.7</v>
      </c>
      <c r="D369">
        <v>0</v>
      </c>
      <c r="E369">
        <v>200.1</v>
      </c>
      <c r="F369" t="s">
        <v>9</v>
      </c>
      <c r="G3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36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369">
        <f>IF(Table1[[#This Row],[is_ups_overcharge]]="ups overcharged",Table1[[#This Row],[ups ship charge]]-Table1[[#This Row],[ada ship charge]],0)</f>
        <v>0</v>
      </c>
    </row>
    <row r="370" spans="1:9" x14ac:dyDescent="0.2">
      <c r="A370">
        <v>1007436</v>
      </c>
      <c r="B370" t="s">
        <v>20</v>
      </c>
      <c r="C370">
        <v>16.399999999999999</v>
      </c>
      <c r="D370">
        <v>17.82</v>
      </c>
      <c r="E370">
        <v>125.6</v>
      </c>
      <c r="F370" t="s">
        <v>12</v>
      </c>
      <c r="G3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0">
        <f>IF(Table1[[#This Row],[is_ups_overcharge]]="ups overcharged",Table1[[#This Row],[ups ship charge]]-Table1[[#This Row],[ada ship charge]],0)</f>
        <v>0</v>
      </c>
    </row>
    <row r="371" spans="1:9" x14ac:dyDescent="0.2">
      <c r="A371">
        <v>1007444</v>
      </c>
      <c r="B371" t="s">
        <v>20</v>
      </c>
      <c r="C371">
        <v>9.6999999999999993</v>
      </c>
      <c r="D371">
        <v>9.75</v>
      </c>
      <c r="E371">
        <v>23.45</v>
      </c>
      <c r="F371" t="s">
        <v>6</v>
      </c>
      <c r="G3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1">
        <f>IF(Table1[[#This Row],[is_ups_overcharge]]="ups overcharged",Table1[[#This Row],[ups ship charge]]-Table1[[#This Row],[ada ship charge]],0)</f>
        <v>0</v>
      </c>
    </row>
    <row r="372" spans="1:9" x14ac:dyDescent="0.2">
      <c r="A372">
        <v>1007458</v>
      </c>
      <c r="B372" t="s">
        <v>20</v>
      </c>
      <c r="C372">
        <v>12.81</v>
      </c>
      <c r="D372">
        <v>12.86</v>
      </c>
      <c r="E372">
        <v>36.799999999999997</v>
      </c>
      <c r="F372" t="s">
        <v>9</v>
      </c>
      <c r="G3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2">
        <f>IF(Table1[[#This Row],[is_ups_overcharge]]="ups overcharged",Table1[[#This Row],[ups ship charge]]-Table1[[#This Row],[ada ship charge]],0)</f>
        <v>0</v>
      </c>
    </row>
    <row r="373" spans="1:9" x14ac:dyDescent="0.2">
      <c r="A373">
        <v>1007460</v>
      </c>
      <c r="B373" t="s">
        <v>20</v>
      </c>
      <c r="C373">
        <v>16.77</v>
      </c>
      <c r="D373">
        <v>16.82</v>
      </c>
      <c r="E373">
        <v>59.8</v>
      </c>
      <c r="F373" t="s">
        <v>10</v>
      </c>
      <c r="G3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3">
        <f>IF(Table1[[#This Row],[is_ups_overcharge]]="ups overcharged",Table1[[#This Row],[ups ship charge]]-Table1[[#This Row],[ada ship charge]],0)</f>
        <v>0</v>
      </c>
    </row>
    <row r="374" spans="1:9" x14ac:dyDescent="0.2">
      <c r="A374">
        <v>1007465</v>
      </c>
      <c r="B374" t="s">
        <v>20</v>
      </c>
      <c r="C374">
        <v>12.81</v>
      </c>
      <c r="D374">
        <v>12.86</v>
      </c>
      <c r="E374">
        <v>17.399999999999999</v>
      </c>
      <c r="F374" t="s">
        <v>9</v>
      </c>
      <c r="G3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4">
        <f>IF(Table1[[#This Row],[is_ups_overcharge]]="ups overcharged",Table1[[#This Row],[ups ship charge]]-Table1[[#This Row],[ada ship charge]],0)</f>
        <v>0</v>
      </c>
    </row>
    <row r="375" spans="1:9" x14ac:dyDescent="0.2">
      <c r="A375">
        <v>1007477</v>
      </c>
      <c r="B375" t="s">
        <v>20</v>
      </c>
      <c r="C375">
        <v>13.7</v>
      </c>
      <c r="D375">
        <v>13.75</v>
      </c>
      <c r="E375">
        <v>43.2</v>
      </c>
      <c r="F375" t="s">
        <v>9</v>
      </c>
      <c r="G3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5">
        <f>IF(Table1[[#This Row],[is_ups_overcharge]]="ups overcharged",Table1[[#This Row],[ups ship charge]]-Table1[[#This Row],[ada ship charge]],0)</f>
        <v>0</v>
      </c>
    </row>
    <row r="376" spans="1:9" x14ac:dyDescent="0.2">
      <c r="A376">
        <v>1007478</v>
      </c>
      <c r="B376" t="s">
        <v>20</v>
      </c>
      <c r="C376">
        <v>12.81</v>
      </c>
      <c r="D376">
        <v>12.86</v>
      </c>
      <c r="E376">
        <v>87.75</v>
      </c>
      <c r="F376" t="s">
        <v>9</v>
      </c>
      <c r="G3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6">
        <f>IF(Table1[[#This Row],[is_ups_overcharge]]="ups overcharged",Table1[[#This Row],[ups ship charge]]-Table1[[#This Row],[ada ship charge]],0)</f>
        <v>0</v>
      </c>
    </row>
    <row r="377" spans="1:9" x14ac:dyDescent="0.2">
      <c r="A377">
        <v>1007480</v>
      </c>
      <c r="B377" t="s">
        <v>20</v>
      </c>
      <c r="C377">
        <v>16.399999999999999</v>
      </c>
      <c r="D377">
        <v>17.82</v>
      </c>
      <c r="E377">
        <v>59.25</v>
      </c>
      <c r="F377" t="s">
        <v>12</v>
      </c>
      <c r="G3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7">
        <f>IF(Table1[[#This Row],[is_ups_overcharge]]="ups overcharged",Table1[[#This Row],[ups ship charge]]-Table1[[#This Row],[ada ship charge]],0)</f>
        <v>0</v>
      </c>
    </row>
    <row r="378" spans="1:9" x14ac:dyDescent="0.2">
      <c r="A378">
        <v>1007488</v>
      </c>
      <c r="B378" t="s">
        <v>20</v>
      </c>
      <c r="C378">
        <v>12.81</v>
      </c>
      <c r="D378">
        <v>12.86</v>
      </c>
      <c r="E378">
        <v>44.95</v>
      </c>
      <c r="F378" t="s">
        <v>9</v>
      </c>
      <c r="G3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8">
        <f>IF(Table1[[#This Row],[is_ups_overcharge]]="ups overcharged",Table1[[#This Row],[ups ship charge]]-Table1[[#This Row],[ada ship charge]],0)</f>
        <v>0</v>
      </c>
    </row>
    <row r="379" spans="1:9" x14ac:dyDescent="0.2">
      <c r="A379">
        <v>1007506</v>
      </c>
      <c r="B379" t="s">
        <v>20</v>
      </c>
      <c r="C379">
        <v>15.13</v>
      </c>
      <c r="D379">
        <v>15.18</v>
      </c>
      <c r="E379">
        <v>27.85</v>
      </c>
      <c r="F379" t="s">
        <v>12</v>
      </c>
      <c r="G3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9">
        <f>IF(Table1[[#This Row],[is_ups_overcharge]]="ups overcharged",Table1[[#This Row],[ups ship charge]]-Table1[[#This Row],[ada ship charge]],0)</f>
        <v>0</v>
      </c>
    </row>
    <row r="380" spans="1:9" x14ac:dyDescent="0.2">
      <c r="A380">
        <v>1007516</v>
      </c>
      <c r="B380" t="s">
        <v>20</v>
      </c>
      <c r="C380">
        <v>18.07</v>
      </c>
      <c r="D380">
        <v>16.760000000000002</v>
      </c>
      <c r="E380">
        <v>112.85</v>
      </c>
      <c r="F380" t="s">
        <v>12</v>
      </c>
      <c r="G3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0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80">
        <f>IF(Table1[[#This Row],[is_ups_overcharge]]="ups overcharged",Table1[[#This Row],[ups ship charge]]-Table1[[#This Row],[ada ship charge]],0)</f>
        <v>1.3099999999999987</v>
      </c>
    </row>
    <row r="381" spans="1:9" x14ac:dyDescent="0.2">
      <c r="A381">
        <v>1007536</v>
      </c>
      <c r="B381" t="s">
        <v>20</v>
      </c>
      <c r="C381">
        <v>12.81</v>
      </c>
      <c r="D381">
        <v>12.86</v>
      </c>
      <c r="E381">
        <v>17.5</v>
      </c>
      <c r="F381" t="s">
        <v>9</v>
      </c>
      <c r="G3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1">
        <f>IF(Table1[[#This Row],[is_ups_overcharge]]="ups overcharged",Table1[[#This Row],[ups ship charge]]-Table1[[#This Row],[ada ship charge]],0)</f>
        <v>0</v>
      </c>
    </row>
    <row r="382" spans="1:9" x14ac:dyDescent="0.2">
      <c r="A382">
        <v>1007567</v>
      </c>
      <c r="B382" t="s">
        <v>20</v>
      </c>
      <c r="C382">
        <v>16.399999999999999</v>
      </c>
      <c r="D382">
        <v>17.82</v>
      </c>
      <c r="E382">
        <v>85</v>
      </c>
      <c r="F382" t="s">
        <v>12</v>
      </c>
      <c r="G3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2">
        <f>IF(Table1[[#This Row],[is_ups_overcharge]]="ups overcharged",Table1[[#This Row],[ups ship charge]]-Table1[[#This Row],[ada ship charge]],0)</f>
        <v>0</v>
      </c>
    </row>
    <row r="383" spans="1:9" x14ac:dyDescent="0.2">
      <c r="A383">
        <v>1007616</v>
      </c>
      <c r="B383" t="s">
        <v>20</v>
      </c>
      <c r="C383">
        <v>9.6999999999999993</v>
      </c>
      <c r="D383">
        <v>13.75</v>
      </c>
      <c r="E383">
        <v>39.799999999999997</v>
      </c>
      <c r="F383" t="s">
        <v>6</v>
      </c>
      <c r="G3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3">
        <f>IF(Table1[[#This Row],[is_ups_overcharge]]="ups overcharged",Table1[[#This Row],[ups ship charge]]-Table1[[#This Row],[ada ship charge]],0)</f>
        <v>0</v>
      </c>
    </row>
    <row r="384" spans="1:9" x14ac:dyDescent="0.2">
      <c r="A384">
        <v>1007634</v>
      </c>
      <c r="B384" t="s">
        <v>20</v>
      </c>
      <c r="C384">
        <v>9.7100000000000009</v>
      </c>
      <c r="D384">
        <v>0</v>
      </c>
      <c r="E384">
        <v>20.399999999999999</v>
      </c>
      <c r="F384" t="s">
        <v>6</v>
      </c>
      <c r="G3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84">
        <f>IF(Table1[[#This Row],[is_ups_overcharge]]="ups overcharged",Table1[[#This Row],[ups ship charge]]-Table1[[#This Row],[ada ship charge]],0)</f>
        <v>9.7100000000000009</v>
      </c>
    </row>
    <row r="385" spans="1:9" x14ac:dyDescent="0.2">
      <c r="A385">
        <v>1007640</v>
      </c>
      <c r="B385" t="s">
        <v>20</v>
      </c>
      <c r="C385">
        <v>9.7100000000000009</v>
      </c>
      <c r="D385">
        <v>0</v>
      </c>
      <c r="E385">
        <v>46.71</v>
      </c>
      <c r="F385" t="s">
        <v>6</v>
      </c>
      <c r="G3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5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85">
        <f>IF(Table1[[#This Row],[is_ups_overcharge]]="ups overcharged",Table1[[#This Row],[ups ship charge]]-Table1[[#This Row],[ada ship charge]],0)</f>
        <v>9.7100000000000009</v>
      </c>
    </row>
    <row r="386" spans="1:9" x14ac:dyDescent="0.2">
      <c r="A386">
        <v>1007648</v>
      </c>
      <c r="B386" t="s">
        <v>20</v>
      </c>
      <c r="C386">
        <v>12.81</v>
      </c>
      <c r="D386">
        <v>12.86</v>
      </c>
      <c r="E386">
        <v>91.85</v>
      </c>
      <c r="F386" t="s">
        <v>9</v>
      </c>
      <c r="G3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6">
        <f>IF(Table1[[#This Row],[is_ups_overcharge]]="ups overcharged",Table1[[#This Row],[ups ship charge]]-Table1[[#This Row],[ada ship charge]],0)</f>
        <v>0</v>
      </c>
    </row>
    <row r="387" spans="1:9" x14ac:dyDescent="0.2">
      <c r="A387">
        <v>1007656</v>
      </c>
      <c r="B387" t="s">
        <v>20</v>
      </c>
      <c r="C387">
        <v>12.81</v>
      </c>
      <c r="D387">
        <v>0</v>
      </c>
      <c r="E387">
        <v>221.8</v>
      </c>
      <c r="F387" t="s">
        <v>9</v>
      </c>
      <c r="G3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38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387">
        <f>IF(Table1[[#This Row],[is_ups_overcharge]]="ups overcharged",Table1[[#This Row],[ups ship charge]]-Table1[[#This Row],[ada ship charge]],0)</f>
        <v>0</v>
      </c>
    </row>
    <row r="388" spans="1:9" x14ac:dyDescent="0.2">
      <c r="A388">
        <v>1007661</v>
      </c>
      <c r="B388" t="s">
        <v>20</v>
      </c>
      <c r="C388">
        <v>9.7100000000000009</v>
      </c>
      <c r="D388">
        <v>0</v>
      </c>
      <c r="E388">
        <v>34.97</v>
      </c>
      <c r="F388" t="s">
        <v>6</v>
      </c>
      <c r="G3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88">
        <f>IF(Table1[[#This Row],[is_ups_overcharge]]="ups overcharged",Table1[[#This Row],[ups ship charge]]-Table1[[#This Row],[ada ship charge]],0)</f>
        <v>9.7100000000000009</v>
      </c>
    </row>
    <row r="389" spans="1:9" x14ac:dyDescent="0.2">
      <c r="A389">
        <v>1007665</v>
      </c>
      <c r="B389" t="s">
        <v>20</v>
      </c>
      <c r="C389">
        <v>12.81</v>
      </c>
      <c r="D389">
        <v>12.86</v>
      </c>
      <c r="E389">
        <v>112.4</v>
      </c>
      <c r="F389" t="s">
        <v>9</v>
      </c>
      <c r="G3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9">
        <f>IF(Table1[[#This Row],[is_ups_overcharge]]="ups overcharged",Table1[[#This Row],[ups ship charge]]-Table1[[#This Row],[ada ship charge]],0)</f>
        <v>0</v>
      </c>
    </row>
    <row r="390" spans="1:9" x14ac:dyDescent="0.2">
      <c r="A390">
        <v>1007676</v>
      </c>
      <c r="B390" t="s">
        <v>20</v>
      </c>
      <c r="C390">
        <v>9.6999999999999993</v>
      </c>
      <c r="D390">
        <v>9.75</v>
      </c>
      <c r="E390">
        <v>18.899999999999999</v>
      </c>
      <c r="F390" t="s">
        <v>6</v>
      </c>
      <c r="G3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0">
        <f>IF(Table1[[#This Row],[is_ups_overcharge]]="ups overcharged",Table1[[#This Row],[ups ship charge]]-Table1[[#This Row],[ada ship charge]],0)</f>
        <v>0</v>
      </c>
    </row>
    <row r="391" spans="1:9" x14ac:dyDescent="0.2">
      <c r="A391">
        <v>1007678</v>
      </c>
      <c r="B391" t="s">
        <v>20</v>
      </c>
      <c r="C391">
        <v>9.6999999999999993</v>
      </c>
      <c r="D391">
        <v>9.75</v>
      </c>
      <c r="E391">
        <v>99.6</v>
      </c>
      <c r="F391" t="s">
        <v>6</v>
      </c>
      <c r="G3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1">
        <f>IF(Table1[[#This Row],[is_ups_overcharge]]="ups overcharged",Table1[[#This Row],[ups ship charge]]-Table1[[#This Row],[ada ship charge]],0)</f>
        <v>0</v>
      </c>
    </row>
    <row r="392" spans="1:9" x14ac:dyDescent="0.2">
      <c r="A392">
        <v>1007683</v>
      </c>
      <c r="B392" t="s">
        <v>20</v>
      </c>
      <c r="C392">
        <v>15.44</v>
      </c>
      <c r="D392">
        <v>15.49</v>
      </c>
      <c r="E392">
        <v>94.9</v>
      </c>
      <c r="F392" t="s">
        <v>12</v>
      </c>
      <c r="G3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2">
        <f>IF(Table1[[#This Row],[is_ups_overcharge]]="ups overcharged",Table1[[#This Row],[ups ship charge]]-Table1[[#This Row],[ada ship charge]],0)</f>
        <v>0</v>
      </c>
    </row>
    <row r="393" spans="1:9" x14ac:dyDescent="0.2">
      <c r="A393">
        <v>1007698</v>
      </c>
      <c r="B393" t="s">
        <v>20</v>
      </c>
      <c r="C393">
        <v>13.71</v>
      </c>
      <c r="D393">
        <v>13.76</v>
      </c>
      <c r="E393">
        <v>119.9</v>
      </c>
      <c r="F393" t="s">
        <v>9</v>
      </c>
      <c r="G3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3">
        <f>IF(Table1[[#This Row],[is_ups_overcharge]]="ups overcharged",Table1[[#This Row],[ups ship charge]]-Table1[[#This Row],[ada ship charge]],0)</f>
        <v>0</v>
      </c>
    </row>
    <row r="394" spans="1:9" x14ac:dyDescent="0.2">
      <c r="A394">
        <v>1007704</v>
      </c>
      <c r="B394" t="s">
        <v>20</v>
      </c>
      <c r="C394">
        <v>9.7100000000000009</v>
      </c>
      <c r="D394">
        <v>0</v>
      </c>
      <c r="E394">
        <v>204.95</v>
      </c>
      <c r="F394" t="s">
        <v>6</v>
      </c>
      <c r="G3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39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394">
        <f>IF(Table1[[#This Row],[is_ups_overcharge]]="ups overcharged",Table1[[#This Row],[ups ship charge]]-Table1[[#This Row],[ada ship charge]],0)</f>
        <v>0</v>
      </c>
    </row>
    <row r="395" spans="1:9" x14ac:dyDescent="0.2">
      <c r="A395">
        <v>1007706</v>
      </c>
      <c r="B395" t="s">
        <v>20</v>
      </c>
      <c r="C395">
        <v>9.7100000000000009</v>
      </c>
      <c r="D395">
        <v>9.75</v>
      </c>
      <c r="E395">
        <v>34.99</v>
      </c>
      <c r="F395" t="s">
        <v>6</v>
      </c>
      <c r="G3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5">
        <f>IF(Table1[[#This Row],[is_ups_overcharge]]="ups overcharged",Table1[[#This Row],[ups ship charge]]-Table1[[#This Row],[ada ship charge]],0)</f>
        <v>0</v>
      </c>
    </row>
    <row r="396" spans="1:9" x14ac:dyDescent="0.2">
      <c r="A396">
        <v>1007711</v>
      </c>
      <c r="B396" t="s">
        <v>20</v>
      </c>
      <c r="C396">
        <v>13.7</v>
      </c>
      <c r="D396">
        <v>13.76</v>
      </c>
      <c r="E396">
        <v>38.85</v>
      </c>
      <c r="F396" t="s">
        <v>9</v>
      </c>
      <c r="G3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6">
        <f>IF(Table1[[#This Row],[is_ups_overcharge]]="ups overcharged",Table1[[#This Row],[ups ship charge]]-Table1[[#This Row],[ada ship charge]],0)</f>
        <v>0</v>
      </c>
    </row>
    <row r="397" spans="1:9" x14ac:dyDescent="0.2">
      <c r="A397">
        <v>1007719</v>
      </c>
      <c r="B397" t="s">
        <v>20</v>
      </c>
      <c r="C397">
        <v>13.7</v>
      </c>
      <c r="D397">
        <v>13.75</v>
      </c>
      <c r="E397">
        <v>7.95</v>
      </c>
      <c r="F397" t="s">
        <v>9</v>
      </c>
      <c r="G3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7">
        <f>IF(Table1[[#This Row],[is_ups_overcharge]]="ups overcharged",Table1[[#This Row],[ups ship charge]]-Table1[[#This Row],[ada ship charge]],0)</f>
        <v>0</v>
      </c>
    </row>
    <row r="398" spans="1:9" x14ac:dyDescent="0.2">
      <c r="A398">
        <v>1007725</v>
      </c>
      <c r="B398" t="s">
        <v>20</v>
      </c>
      <c r="C398">
        <v>12.81</v>
      </c>
      <c r="D398">
        <v>12.86</v>
      </c>
      <c r="E398">
        <v>123.1</v>
      </c>
      <c r="F398" t="s">
        <v>9</v>
      </c>
      <c r="G3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8">
        <f>IF(Table1[[#This Row],[is_ups_overcharge]]="ups overcharged",Table1[[#This Row],[ups ship charge]]-Table1[[#This Row],[ada ship charge]],0)</f>
        <v>0</v>
      </c>
    </row>
    <row r="399" spans="1:9" x14ac:dyDescent="0.2">
      <c r="A399">
        <v>1007741</v>
      </c>
      <c r="B399" t="s">
        <v>20</v>
      </c>
      <c r="C399">
        <v>12.81</v>
      </c>
      <c r="D399">
        <v>13.09</v>
      </c>
      <c r="E399">
        <v>99.95</v>
      </c>
      <c r="F399" t="s">
        <v>9</v>
      </c>
      <c r="G3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9">
        <f>IF(Table1[[#This Row],[is_ups_overcharge]]="ups overcharged",Table1[[#This Row],[ups ship charge]]-Table1[[#This Row],[ada ship charge]],0)</f>
        <v>0</v>
      </c>
    </row>
    <row r="400" spans="1:9" x14ac:dyDescent="0.2">
      <c r="A400">
        <v>1007745</v>
      </c>
      <c r="B400" t="s">
        <v>20</v>
      </c>
      <c r="C400">
        <v>16.77</v>
      </c>
      <c r="D400">
        <v>16.82</v>
      </c>
      <c r="E400">
        <v>398.25</v>
      </c>
      <c r="F400" t="s">
        <v>10</v>
      </c>
      <c r="G4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0">
        <f>IF(Table1[[#This Row],[is_ups_overcharge]]="ups overcharged",Table1[[#This Row],[ups ship charge]]-Table1[[#This Row],[ada ship charge]],0)</f>
        <v>0</v>
      </c>
    </row>
    <row r="401" spans="1:9" x14ac:dyDescent="0.2">
      <c r="A401">
        <v>1007777</v>
      </c>
      <c r="B401" t="s">
        <v>20</v>
      </c>
      <c r="C401">
        <v>13.7</v>
      </c>
      <c r="D401">
        <v>13.75</v>
      </c>
      <c r="E401">
        <v>108.15</v>
      </c>
      <c r="F401" t="s">
        <v>9</v>
      </c>
      <c r="G4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1">
        <f>IF(Table1[[#This Row],[is_ups_overcharge]]="ups overcharged",Table1[[#This Row],[ups ship charge]]-Table1[[#This Row],[ada ship charge]],0)</f>
        <v>0</v>
      </c>
    </row>
    <row r="402" spans="1:9" x14ac:dyDescent="0.2">
      <c r="A402">
        <v>1007785</v>
      </c>
      <c r="B402" t="s">
        <v>20</v>
      </c>
      <c r="C402">
        <v>15.44</v>
      </c>
      <c r="D402">
        <v>15.49</v>
      </c>
      <c r="E402">
        <v>45.55</v>
      </c>
      <c r="F402" t="s">
        <v>12</v>
      </c>
      <c r="G4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2">
        <f>IF(Table1[[#This Row],[is_ups_overcharge]]="ups overcharged",Table1[[#This Row],[ups ship charge]]-Table1[[#This Row],[ada ship charge]],0)</f>
        <v>0</v>
      </c>
    </row>
    <row r="403" spans="1:9" x14ac:dyDescent="0.2">
      <c r="A403">
        <v>1007808</v>
      </c>
      <c r="B403" t="s">
        <v>20</v>
      </c>
      <c r="C403">
        <v>12.81</v>
      </c>
      <c r="D403">
        <v>14.28</v>
      </c>
      <c r="E403">
        <v>114.95</v>
      </c>
      <c r="F403" t="s">
        <v>9</v>
      </c>
      <c r="G4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3">
        <f>IF(Table1[[#This Row],[is_ups_overcharge]]="ups overcharged",Table1[[#This Row],[ups ship charge]]-Table1[[#This Row],[ada ship charge]],0)</f>
        <v>0</v>
      </c>
    </row>
    <row r="404" spans="1:9" x14ac:dyDescent="0.2">
      <c r="A404">
        <v>1007876</v>
      </c>
      <c r="B404" t="s">
        <v>20</v>
      </c>
      <c r="C404">
        <v>16.87</v>
      </c>
      <c r="D404">
        <v>16.920000000000002</v>
      </c>
      <c r="E404">
        <v>74.900000000000006</v>
      </c>
      <c r="F404" t="s">
        <v>10</v>
      </c>
      <c r="G4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4">
        <f>IF(Table1[[#This Row],[is_ups_overcharge]]="ups overcharged",Table1[[#This Row],[ups ship charge]]-Table1[[#This Row],[ada ship charge]],0)</f>
        <v>0</v>
      </c>
    </row>
    <row r="405" spans="1:9" x14ac:dyDescent="0.2">
      <c r="A405">
        <v>1007878</v>
      </c>
      <c r="B405" t="s">
        <v>20</v>
      </c>
      <c r="C405">
        <v>12.81</v>
      </c>
      <c r="D405">
        <v>12.86</v>
      </c>
      <c r="E405">
        <v>32.049999999999997</v>
      </c>
      <c r="F405" t="s">
        <v>9</v>
      </c>
      <c r="G4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5">
        <f>IF(Table1[[#This Row],[is_ups_overcharge]]="ups overcharged",Table1[[#This Row],[ups ship charge]]-Table1[[#This Row],[ada ship charge]],0)</f>
        <v>0</v>
      </c>
    </row>
    <row r="406" spans="1:9" x14ac:dyDescent="0.2">
      <c r="A406">
        <v>1007883</v>
      </c>
      <c r="B406" t="s">
        <v>20</v>
      </c>
      <c r="C406">
        <v>9.6999999999999993</v>
      </c>
      <c r="D406">
        <v>9.75</v>
      </c>
      <c r="E406">
        <v>4.95</v>
      </c>
      <c r="F406" t="s">
        <v>6</v>
      </c>
      <c r="G4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6">
        <f>IF(Table1[[#This Row],[is_ups_overcharge]]="ups overcharged",Table1[[#This Row],[ups ship charge]]-Table1[[#This Row],[ada ship charge]],0)</f>
        <v>0</v>
      </c>
    </row>
    <row r="407" spans="1:9" x14ac:dyDescent="0.2">
      <c r="A407">
        <v>1007884</v>
      </c>
      <c r="B407" t="s">
        <v>20</v>
      </c>
      <c r="C407">
        <v>12.81</v>
      </c>
      <c r="D407">
        <v>12.86</v>
      </c>
      <c r="E407">
        <v>6.95</v>
      </c>
      <c r="F407" t="s">
        <v>9</v>
      </c>
      <c r="G4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7">
        <f>IF(Table1[[#This Row],[is_ups_overcharge]]="ups overcharged",Table1[[#This Row],[ups ship charge]]-Table1[[#This Row],[ada ship charge]],0)</f>
        <v>0</v>
      </c>
    </row>
    <row r="408" spans="1:9" x14ac:dyDescent="0.2">
      <c r="A408">
        <v>1007894</v>
      </c>
      <c r="B408" t="s">
        <v>20</v>
      </c>
      <c r="C408">
        <v>24.87</v>
      </c>
      <c r="D408">
        <v>30.23</v>
      </c>
      <c r="E408">
        <v>109.95</v>
      </c>
      <c r="F408" t="s">
        <v>15</v>
      </c>
      <c r="G4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8">
        <f>IF(Table1[[#This Row],[is_ups_overcharge]]="ups overcharged",Table1[[#This Row],[ups ship charge]]-Table1[[#This Row],[ada ship charge]],0)</f>
        <v>0</v>
      </c>
    </row>
    <row r="409" spans="1:9" x14ac:dyDescent="0.2">
      <c r="A409">
        <v>1007905</v>
      </c>
      <c r="B409" t="s">
        <v>20</v>
      </c>
      <c r="C409">
        <v>13.7</v>
      </c>
      <c r="D409">
        <v>13.75</v>
      </c>
      <c r="E409">
        <v>34.950000000000003</v>
      </c>
      <c r="F409" t="s">
        <v>9</v>
      </c>
      <c r="G4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9">
        <f>IF(Table1[[#This Row],[is_ups_overcharge]]="ups overcharged",Table1[[#This Row],[ups ship charge]]-Table1[[#This Row],[ada ship charge]],0)</f>
        <v>0</v>
      </c>
    </row>
    <row r="410" spans="1:9" x14ac:dyDescent="0.2">
      <c r="A410">
        <v>1007913</v>
      </c>
      <c r="B410" t="s">
        <v>20</v>
      </c>
      <c r="C410">
        <v>9.7100000000000009</v>
      </c>
      <c r="D410">
        <v>9.75</v>
      </c>
      <c r="E410">
        <v>35.700000000000003</v>
      </c>
      <c r="F410" t="s">
        <v>6</v>
      </c>
      <c r="G4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0">
        <f>IF(Table1[[#This Row],[is_ups_overcharge]]="ups overcharged",Table1[[#This Row],[ups ship charge]]-Table1[[#This Row],[ada ship charge]],0)</f>
        <v>0</v>
      </c>
    </row>
    <row r="411" spans="1:9" x14ac:dyDescent="0.2">
      <c r="A411">
        <v>1007921</v>
      </c>
      <c r="B411" t="s">
        <v>20</v>
      </c>
      <c r="C411">
        <v>13.7</v>
      </c>
      <c r="D411">
        <v>13.75</v>
      </c>
      <c r="E411">
        <v>130.44999999999999</v>
      </c>
      <c r="F411" t="s">
        <v>9</v>
      </c>
      <c r="G4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1">
        <f>IF(Table1[[#This Row],[is_ups_overcharge]]="ups overcharged",Table1[[#This Row],[ups ship charge]]-Table1[[#This Row],[ada ship charge]],0)</f>
        <v>0</v>
      </c>
    </row>
    <row r="412" spans="1:9" x14ac:dyDescent="0.2">
      <c r="A412">
        <v>1007949</v>
      </c>
      <c r="B412" t="s">
        <v>20</v>
      </c>
      <c r="C412">
        <v>9.6999999999999993</v>
      </c>
      <c r="D412">
        <v>9.75</v>
      </c>
      <c r="E412">
        <v>55</v>
      </c>
      <c r="F412" t="s">
        <v>6</v>
      </c>
      <c r="G4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2">
        <f>IF(Table1[[#This Row],[is_ups_overcharge]]="ups overcharged",Table1[[#This Row],[ups ship charge]]-Table1[[#This Row],[ada ship charge]],0)</f>
        <v>0</v>
      </c>
    </row>
    <row r="413" spans="1:9" x14ac:dyDescent="0.2">
      <c r="A413">
        <v>1007997</v>
      </c>
      <c r="B413" t="s">
        <v>20</v>
      </c>
      <c r="C413">
        <v>13.7</v>
      </c>
      <c r="D413">
        <v>13.75</v>
      </c>
      <c r="E413">
        <v>54.25</v>
      </c>
      <c r="F413" t="s">
        <v>9</v>
      </c>
      <c r="G4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3">
        <f>IF(Table1[[#This Row],[is_ups_overcharge]]="ups overcharged",Table1[[#This Row],[ups ship charge]]-Table1[[#This Row],[ada ship charge]],0)</f>
        <v>0</v>
      </c>
    </row>
    <row r="414" spans="1:9" x14ac:dyDescent="0.2">
      <c r="A414">
        <v>1008000</v>
      </c>
      <c r="B414" t="s">
        <v>20</v>
      </c>
      <c r="C414">
        <v>17.7</v>
      </c>
      <c r="D414">
        <v>17.75</v>
      </c>
      <c r="E414">
        <v>204.4</v>
      </c>
      <c r="F414" t="s">
        <v>15</v>
      </c>
      <c r="G4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4">
        <f>IF(Table1[[#This Row],[is_ups_overcharge]]="ups overcharged",Table1[[#This Row],[ups ship charge]]-Table1[[#This Row],[ada ship charge]],0)</f>
        <v>0</v>
      </c>
    </row>
    <row r="415" spans="1:9" x14ac:dyDescent="0.2">
      <c r="A415">
        <v>1008005</v>
      </c>
      <c r="B415" t="s">
        <v>20</v>
      </c>
      <c r="C415">
        <v>11.02</v>
      </c>
      <c r="D415">
        <v>11.07</v>
      </c>
      <c r="E415">
        <v>53.9</v>
      </c>
      <c r="F415" t="s">
        <v>14</v>
      </c>
      <c r="G4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5">
        <f>IF(Table1[[#This Row],[is_ups_overcharge]]="ups overcharged",Table1[[#This Row],[ups ship charge]]-Table1[[#This Row],[ada ship charge]],0)</f>
        <v>0</v>
      </c>
    </row>
    <row r="416" spans="1:9" x14ac:dyDescent="0.2">
      <c r="A416">
        <v>1008007</v>
      </c>
      <c r="B416" t="s">
        <v>20</v>
      </c>
      <c r="C416">
        <v>9.6999999999999993</v>
      </c>
      <c r="D416">
        <v>9.75</v>
      </c>
      <c r="E416">
        <v>16.95</v>
      </c>
      <c r="F416" t="s">
        <v>6</v>
      </c>
      <c r="G4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6">
        <f>IF(Table1[[#This Row],[is_ups_overcharge]]="ups overcharged",Table1[[#This Row],[ups ship charge]]-Table1[[#This Row],[ada ship charge]],0)</f>
        <v>0</v>
      </c>
    </row>
    <row r="417" spans="1:9" x14ac:dyDescent="0.2">
      <c r="A417">
        <v>1008013</v>
      </c>
      <c r="B417" t="s">
        <v>20</v>
      </c>
      <c r="C417">
        <v>28.89</v>
      </c>
      <c r="D417">
        <v>31.02</v>
      </c>
      <c r="E417">
        <v>331.6</v>
      </c>
      <c r="F417" t="s">
        <v>15</v>
      </c>
      <c r="G4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7">
        <f>IF(Table1[[#This Row],[is_ups_overcharge]]="ups overcharged",Table1[[#This Row],[ups ship charge]]-Table1[[#This Row],[ada ship charge]],0)</f>
        <v>0</v>
      </c>
    </row>
    <row r="418" spans="1:9" x14ac:dyDescent="0.2">
      <c r="A418">
        <v>1008018</v>
      </c>
      <c r="B418" t="s">
        <v>20</v>
      </c>
      <c r="C418">
        <v>9.6999999999999993</v>
      </c>
      <c r="D418">
        <v>0</v>
      </c>
      <c r="E418">
        <v>249.5</v>
      </c>
      <c r="F418" t="s">
        <v>6</v>
      </c>
      <c r="G4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1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18">
        <f>IF(Table1[[#This Row],[is_ups_overcharge]]="ups overcharged",Table1[[#This Row],[ups ship charge]]-Table1[[#This Row],[ada ship charge]],0)</f>
        <v>0</v>
      </c>
    </row>
    <row r="419" spans="1:9" x14ac:dyDescent="0.2">
      <c r="A419">
        <v>1008019</v>
      </c>
      <c r="B419" t="s">
        <v>20</v>
      </c>
      <c r="C419">
        <v>9.6999999999999993</v>
      </c>
      <c r="D419">
        <v>0</v>
      </c>
      <c r="E419">
        <v>373.95</v>
      </c>
      <c r="F419" t="s">
        <v>6</v>
      </c>
      <c r="G4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1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19">
        <f>IF(Table1[[#This Row],[is_ups_overcharge]]="ups overcharged",Table1[[#This Row],[ups ship charge]]-Table1[[#This Row],[ada ship charge]],0)</f>
        <v>0</v>
      </c>
    </row>
    <row r="420" spans="1:9" x14ac:dyDescent="0.2">
      <c r="A420">
        <v>1008020</v>
      </c>
      <c r="B420" t="s">
        <v>20</v>
      </c>
      <c r="C420">
        <v>13.7</v>
      </c>
      <c r="D420">
        <v>13.75</v>
      </c>
      <c r="E420">
        <v>55.9</v>
      </c>
      <c r="F420" t="s">
        <v>9</v>
      </c>
      <c r="G4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0">
        <f>IF(Table1[[#This Row],[is_ups_overcharge]]="ups overcharged",Table1[[#This Row],[ups ship charge]]-Table1[[#This Row],[ada ship charge]],0)</f>
        <v>0</v>
      </c>
    </row>
    <row r="421" spans="1:9" x14ac:dyDescent="0.2">
      <c r="A421">
        <v>1008026</v>
      </c>
      <c r="B421" t="s">
        <v>20</v>
      </c>
      <c r="C421">
        <v>76.67</v>
      </c>
      <c r="D421">
        <v>83.08</v>
      </c>
      <c r="E421">
        <v>152.84</v>
      </c>
      <c r="F421" t="s">
        <v>8</v>
      </c>
      <c r="G4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1">
        <f>IF(Table1[[#This Row],[is_ups_overcharge]]="ups overcharged",Table1[[#This Row],[ups ship charge]]-Table1[[#This Row],[ada ship charge]],0)</f>
        <v>0</v>
      </c>
    </row>
    <row r="422" spans="1:9" x14ac:dyDescent="0.2">
      <c r="A422">
        <v>1008051</v>
      </c>
      <c r="B422" t="s">
        <v>20</v>
      </c>
      <c r="C422">
        <v>12.81</v>
      </c>
      <c r="D422">
        <v>12.86</v>
      </c>
      <c r="E422">
        <v>27.9</v>
      </c>
      <c r="F422" t="s">
        <v>9</v>
      </c>
      <c r="G4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2">
        <f>IF(Table1[[#This Row],[is_ups_overcharge]]="ups overcharged",Table1[[#This Row],[ups ship charge]]-Table1[[#This Row],[ada ship charge]],0)</f>
        <v>0</v>
      </c>
    </row>
    <row r="423" spans="1:9" x14ac:dyDescent="0.2">
      <c r="A423">
        <v>1008061</v>
      </c>
      <c r="B423" t="s">
        <v>20</v>
      </c>
      <c r="C423">
        <v>12.55</v>
      </c>
      <c r="D423">
        <v>0</v>
      </c>
      <c r="E423">
        <v>712.45</v>
      </c>
      <c r="F423" t="s">
        <v>6</v>
      </c>
      <c r="G4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2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23">
        <f>IF(Table1[[#This Row],[is_ups_overcharge]]="ups overcharged",Table1[[#This Row],[ups ship charge]]-Table1[[#This Row],[ada ship charge]],0)</f>
        <v>0</v>
      </c>
    </row>
    <row r="424" spans="1:9" x14ac:dyDescent="0.2">
      <c r="A424">
        <v>1008067</v>
      </c>
      <c r="B424" t="s">
        <v>20</v>
      </c>
      <c r="C424">
        <v>9.6999999999999993</v>
      </c>
      <c r="D424">
        <v>0</v>
      </c>
      <c r="E424">
        <v>259.19</v>
      </c>
      <c r="F424" t="s">
        <v>6</v>
      </c>
      <c r="G4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2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24">
        <f>IF(Table1[[#This Row],[is_ups_overcharge]]="ups overcharged",Table1[[#This Row],[ups ship charge]]-Table1[[#This Row],[ada ship charge]],0)</f>
        <v>0</v>
      </c>
    </row>
    <row r="425" spans="1:9" x14ac:dyDescent="0.2">
      <c r="A425">
        <v>1008090</v>
      </c>
      <c r="B425" t="s">
        <v>20</v>
      </c>
      <c r="C425">
        <v>9.73</v>
      </c>
      <c r="D425">
        <v>0</v>
      </c>
      <c r="E425">
        <v>424.5</v>
      </c>
      <c r="F425" t="s">
        <v>6</v>
      </c>
      <c r="G4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2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25">
        <f>IF(Table1[[#This Row],[is_ups_overcharge]]="ups overcharged",Table1[[#This Row],[ups ship charge]]-Table1[[#This Row],[ada ship charge]],0)</f>
        <v>0</v>
      </c>
    </row>
    <row r="426" spans="1:9" x14ac:dyDescent="0.2">
      <c r="A426">
        <v>1008102</v>
      </c>
      <c r="B426" t="s">
        <v>20</v>
      </c>
      <c r="C426">
        <v>14.22</v>
      </c>
      <c r="D426">
        <v>0</v>
      </c>
      <c r="E426">
        <v>288.05</v>
      </c>
      <c r="F426" t="s">
        <v>9</v>
      </c>
      <c r="G4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2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26">
        <f>IF(Table1[[#This Row],[is_ups_overcharge]]="ups overcharged",Table1[[#This Row],[ups ship charge]]-Table1[[#This Row],[ada ship charge]],0)</f>
        <v>0</v>
      </c>
    </row>
    <row r="427" spans="1:9" x14ac:dyDescent="0.2">
      <c r="A427">
        <v>1008109</v>
      </c>
      <c r="B427" t="s">
        <v>20</v>
      </c>
      <c r="C427">
        <v>9.6999999999999993</v>
      </c>
      <c r="D427">
        <v>9.7899999999999991</v>
      </c>
      <c r="E427">
        <v>52.8</v>
      </c>
      <c r="F427" t="s">
        <v>6</v>
      </c>
      <c r="G4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7">
        <f>IF(Table1[[#This Row],[is_ups_overcharge]]="ups overcharged",Table1[[#This Row],[ups ship charge]]-Table1[[#This Row],[ada ship charge]],0)</f>
        <v>0</v>
      </c>
    </row>
    <row r="428" spans="1:9" x14ac:dyDescent="0.2">
      <c r="A428">
        <v>1008149</v>
      </c>
      <c r="B428" t="s">
        <v>20</v>
      </c>
      <c r="C428">
        <v>9.6999999999999993</v>
      </c>
      <c r="D428">
        <v>9.75</v>
      </c>
      <c r="E428">
        <v>31.85</v>
      </c>
      <c r="F428" t="s">
        <v>6</v>
      </c>
      <c r="G4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8">
        <f>IF(Table1[[#This Row],[is_ups_overcharge]]="ups overcharged",Table1[[#This Row],[ups ship charge]]-Table1[[#This Row],[ada ship charge]],0)</f>
        <v>0</v>
      </c>
    </row>
    <row r="429" spans="1:9" x14ac:dyDescent="0.2">
      <c r="A429">
        <v>1008159</v>
      </c>
      <c r="B429" t="s">
        <v>20</v>
      </c>
      <c r="C429">
        <v>15.44</v>
      </c>
      <c r="D429">
        <v>15.49</v>
      </c>
      <c r="E429">
        <v>6.95</v>
      </c>
      <c r="F429" t="s">
        <v>12</v>
      </c>
      <c r="G4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9">
        <f>IF(Table1[[#This Row],[is_ups_overcharge]]="ups overcharged",Table1[[#This Row],[ups ship charge]]-Table1[[#This Row],[ada ship charge]],0)</f>
        <v>0</v>
      </c>
    </row>
    <row r="430" spans="1:9" x14ac:dyDescent="0.2">
      <c r="A430">
        <v>1008180</v>
      </c>
      <c r="B430" t="s">
        <v>20</v>
      </c>
      <c r="C430">
        <v>12.81</v>
      </c>
      <c r="D430">
        <v>12.86</v>
      </c>
      <c r="E430">
        <v>33.75</v>
      </c>
      <c r="F430" t="s">
        <v>9</v>
      </c>
      <c r="G4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0">
        <f>IF(Table1[[#This Row],[is_ups_overcharge]]="ups overcharged",Table1[[#This Row],[ups ship charge]]-Table1[[#This Row],[ada ship charge]],0)</f>
        <v>0</v>
      </c>
    </row>
    <row r="431" spans="1:9" x14ac:dyDescent="0.2">
      <c r="A431">
        <v>1008184</v>
      </c>
      <c r="B431" t="s">
        <v>20</v>
      </c>
      <c r="C431">
        <v>9.6999999999999993</v>
      </c>
      <c r="D431">
        <v>9.75</v>
      </c>
      <c r="E431">
        <v>9.9499999999999993</v>
      </c>
      <c r="F431" t="s">
        <v>6</v>
      </c>
      <c r="G4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1">
        <f>IF(Table1[[#This Row],[is_ups_overcharge]]="ups overcharged",Table1[[#This Row],[ups ship charge]]-Table1[[#This Row],[ada ship charge]],0)</f>
        <v>0</v>
      </c>
    </row>
    <row r="432" spans="1:9" x14ac:dyDescent="0.2">
      <c r="A432">
        <v>1008193</v>
      </c>
      <c r="B432" t="s">
        <v>20</v>
      </c>
      <c r="C432">
        <v>13.7</v>
      </c>
      <c r="D432">
        <v>13.75</v>
      </c>
      <c r="E432">
        <v>83.6</v>
      </c>
      <c r="F432" t="s">
        <v>9</v>
      </c>
      <c r="G4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2">
        <f>IF(Table1[[#This Row],[is_ups_overcharge]]="ups overcharged",Table1[[#This Row],[ups ship charge]]-Table1[[#This Row],[ada ship charge]],0)</f>
        <v>0</v>
      </c>
    </row>
    <row r="433" spans="1:9" x14ac:dyDescent="0.2">
      <c r="A433">
        <v>1008204</v>
      </c>
      <c r="B433" t="s">
        <v>20</v>
      </c>
      <c r="C433">
        <v>15.44</v>
      </c>
      <c r="D433">
        <v>15.49</v>
      </c>
      <c r="E433">
        <v>19.95</v>
      </c>
      <c r="F433" t="s">
        <v>12</v>
      </c>
      <c r="G4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3">
        <f>IF(Table1[[#This Row],[is_ups_overcharge]]="ups overcharged",Table1[[#This Row],[ups ship charge]]-Table1[[#This Row],[ada ship charge]],0)</f>
        <v>0</v>
      </c>
    </row>
    <row r="434" spans="1:9" x14ac:dyDescent="0.2">
      <c r="A434">
        <v>1008223</v>
      </c>
      <c r="B434" t="s">
        <v>20</v>
      </c>
      <c r="C434">
        <v>12.81</v>
      </c>
      <c r="D434">
        <v>12.86</v>
      </c>
      <c r="E434">
        <v>22.05</v>
      </c>
      <c r="F434" t="s">
        <v>9</v>
      </c>
      <c r="G4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4">
        <f>IF(Table1[[#This Row],[is_ups_overcharge]]="ups overcharged",Table1[[#This Row],[ups ship charge]]-Table1[[#This Row],[ada ship charge]],0)</f>
        <v>0</v>
      </c>
    </row>
    <row r="435" spans="1:9" x14ac:dyDescent="0.2">
      <c r="A435">
        <v>1008229</v>
      </c>
      <c r="B435" t="s">
        <v>20</v>
      </c>
      <c r="C435">
        <v>16.46</v>
      </c>
      <c r="D435">
        <v>16.510000000000002</v>
      </c>
      <c r="E435">
        <v>63</v>
      </c>
      <c r="F435" t="s">
        <v>10</v>
      </c>
      <c r="G4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5">
        <f>IF(Table1[[#This Row],[is_ups_overcharge]]="ups overcharged",Table1[[#This Row],[ups ship charge]]-Table1[[#This Row],[ada ship charge]],0)</f>
        <v>0</v>
      </c>
    </row>
    <row r="436" spans="1:9" x14ac:dyDescent="0.2">
      <c r="A436">
        <v>1008245</v>
      </c>
      <c r="B436" t="s">
        <v>20</v>
      </c>
      <c r="C436">
        <v>16.77</v>
      </c>
      <c r="D436">
        <v>16.82</v>
      </c>
      <c r="E436">
        <v>147.75</v>
      </c>
      <c r="F436" t="s">
        <v>10</v>
      </c>
      <c r="G4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6">
        <f>IF(Table1[[#This Row],[is_ups_overcharge]]="ups overcharged",Table1[[#This Row],[ups ship charge]]-Table1[[#This Row],[ada ship charge]],0)</f>
        <v>0</v>
      </c>
    </row>
    <row r="437" spans="1:9" x14ac:dyDescent="0.2">
      <c r="A437">
        <v>1008267</v>
      </c>
      <c r="B437" t="s">
        <v>20</v>
      </c>
      <c r="C437">
        <v>12.81</v>
      </c>
      <c r="D437">
        <v>12.86</v>
      </c>
      <c r="E437">
        <v>27.9</v>
      </c>
      <c r="F437" t="s">
        <v>9</v>
      </c>
      <c r="G4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7">
        <f>IF(Table1[[#This Row],[is_ups_overcharge]]="ups overcharged",Table1[[#This Row],[ups ship charge]]-Table1[[#This Row],[ada ship charge]],0)</f>
        <v>0</v>
      </c>
    </row>
    <row r="438" spans="1:9" x14ac:dyDescent="0.2">
      <c r="A438">
        <v>1008282</v>
      </c>
      <c r="B438" t="s">
        <v>20</v>
      </c>
      <c r="C438">
        <v>59.02</v>
      </c>
      <c r="D438">
        <v>59.07</v>
      </c>
      <c r="E438">
        <v>28.75</v>
      </c>
      <c r="F438" t="s">
        <v>8</v>
      </c>
      <c r="G4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8">
        <f>IF(Table1[[#This Row],[is_ups_overcharge]]="ups overcharged",Table1[[#This Row],[ups ship charge]]-Table1[[#This Row],[ada ship charge]],0)</f>
        <v>0</v>
      </c>
    </row>
    <row r="439" spans="1:9" x14ac:dyDescent="0.2">
      <c r="A439">
        <v>1008288</v>
      </c>
      <c r="B439" t="s">
        <v>20</v>
      </c>
      <c r="C439">
        <v>9.6999999999999993</v>
      </c>
      <c r="D439">
        <v>13.75</v>
      </c>
      <c r="E439">
        <v>19.75</v>
      </c>
      <c r="F439" t="s">
        <v>6</v>
      </c>
      <c r="G4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9">
        <f>IF(Table1[[#This Row],[is_ups_overcharge]]="ups overcharged",Table1[[#This Row],[ups ship charge]]-Table1[[#This Row],[ada ship charge]],0)</f>
        <v>0</v>
      </c>
    </row>
    <row r="440" spans="1:9" x14ac:dyDescent="0.2">
      <c r="A440">
        <v>1008301</v>
      </c>
      <c r="B440" t="s">
        <v>20</v>
      </c>
      <c r="C440">
        <v>13.7</v>
      </c>
      <c r="D440">
        <v>13.75</v>
      </c>
      <c r="E440">
        <v>59.35</v>
      </c>
      <c r="F440" t="s">
        <v>9</v>
      </c>
      <c r="G4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0">
        <f>IF(Table1[[#This Row],[is_ups_overcharge]]="ups overcharged",Table1[[#This Row],[ups ship charge]]-Table1[[#This Row],[ada ship charge]],0)</f>
        <v>0</v>
      </c>
    </row>
    <row r="441" spans="1:9" x14ac:dyDescent="0.2">
      <c r="A441">
        <v>1008309</v>
      </c>
      <c r="B441" t="s">
        <v>20</v>
      </c>
      <c r="C441">
        <v>12.81</v>
      </c>
      <c r="D441">
        <v>12.86</v>
      </c>
      <c r="E441">
        <v>124.95</v>
      </c>
      <c r="F441" t="s">
        <v>9</v>
      </c>
      <c r="G4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1">
        <f>IF(Table1[[#This Row],[is_ups_overcharge]]="ups overcharged",Table1[[#This Row],[ups ship charge]]-Table1[[#This Row],[ada ship charge]],0)</f>
        <v>0</v>
      </c>
    </row>
    <row r="442" spans="1:9" x14ac:dyDescent="0.2">
      <c r="A442">
        <v>1008322</v>
      </c>
      <c r="B442" t="s">
        <v>20</v>
      </c>
      <c r="C442">
        <v>15.45</v>
      </c>
      <c r="D442">
        <v>16.5</v>
      </c>
      <c r="E442">
        <v>109.35</v>
      </c>
      <c r="F442" t="s">
        <v>12</v>
      </c>
      <c r="G4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2">
        <f>IF(Table1[[#This Row],[is_ups_overcharge]]="ups overcharged",Table1[[#This Row],[ups ship charge]]-Table1[[#This Row],[ada ship charge]],0)</f>
        <v>0</v>
      </c>
    </row>
    <row r="443" spans="1:9" x14ac:dyDescent="0.2">
      <c r="A443">
        <v>1008325</v>
      </c>
      <c r="B443" t="s">
        <v>20</v>
      </c>
      <c r="C443">
        <v>13.7</v>
      </c>
      <c r="D443">
        <v>13.75</v>
      </c>
      <c r="E443">
        <v>55.7</v>
      </c>
      <c r="F443" t="s">
        <v>9</v>
      </c>
      <c r="G4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3">
        <f>IF(Table1[[#This Row],[is_ups_overcharge]]="ups overcharged",Table1[[#This Row],[ups ship charge]]-Table1[[#This Row],[ada ship charge]],0)</f>
        <v>0</v>
      </c>
    </row>
    <row r="444" spans="1:9" x14ac:dyDescent="0.2">
      <c r="A444">
        <v>1008336</v>
      </c>
      <c r="B444" t="s">
        <v>20</v>
      </c>
      <c r="C444">
        <v>60.85</v>
      </c>
      <c r="D444">
        <v>60.9</v>
      </c>
      <c r="E444">
        <v>102.5</v>
      </c>
      <c r="F444" t="s">
        <v>8</v>
      </c>
      <c r="G4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4">
        <f>IF(Table1[[#This Row],[is_ups_overcharge]]="ups overcharged",Table1[[#This Row],[ups ship charge]]-Table1[[#This Row],[ada ship charge]],0)</f>
        <v>0</v>
      </c>
    </row>
    <row r="445" spans="1:9" x14ac:dyDescent="0.2">
      <c r="A445">
        <v>1008340</v>
      </c>
      <c r="B445" t="s">
        <v>20</v>
      </c>
      <c r="C445">
        <v>12.81</v>
      </c>
      <c r="D445">
        <v>12.86</v>
      </c>
      <c r="E445">
        <v>84.2</v>
      </c>
      <c r="F445" t="s">
        <v>9</v>
      </c>
      <c r="G4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5">
        <f>IF(Table1[[#This Row],[is_ups_overcharge]]="ups overcharged",Table1[[#This Row],[ups ship charge]]-Table1[[#This Row],[ada ship charge]],0)</f>
        <v>0</v>
      </c>
    </row>
    <row r="446" spans="1:9" x14ac:dyDescent="0.2">
      <c r="A446">
        <v>1008355</v>
      </c>
      <c r="B446" t="s">
        <v>20</v>
      </c>
      <c r="C446">
        <v>12.81</v>
      </c>
      <c r="D446">
        <v>12.86</v>
      </c>
      <c r="E446">
        <v>0.95</v>
      </c>
      <c r="F446" t="s">
        <v>9</v>
      </c>
      <c r="G4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6">
        <f>IF(Table1[[#This Row],[is_ups_overcharge]]="ups overcharged",Table1[[#This Row],[ups ship charge]]-Table1[[#This Row],[ada ship charge]],0)</f>
        <v>0</v>
      </c>
    </row>
    <row r="447" spans="1:9" x14ac:dyDescent="0.2">
      <c r="A447">
        <v>1008387</v>
      </c>
      <c r="B447" t="s">
        <v>20</v>
      </c>
      <c r="C447">
        <v>9.82</v>
      </c>
      <c r="D447">
        <v>0</v>
      </c>
      <c r="E447">
        <v>337.5</v>
      </c>
      <c r="F447" t="s">
        <v>6</v>
      </c>
      <c r="G4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4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47">
        <f>IF(Table1[[#This Row],[is_ups_overcharge]]="ups overcharged",Table1[[#This Row],[ups ship charge]]-Table1[[#This Row],[ada ship charge]],0)</f>
        <v>0</v>
      </c>
    </row>
    <row r="448" spans="1:9" x14ac:dyDescent="0.2">
      <c r="A448">
        <v>1008408</v>
      </c>
      <c r="B448" t="s">
        <v>20</v>
      </c>
      <c r="C448">
        <v>13.7</v>
      </c>
      <c r="D448">
        <v>13.75</v>
      </c>
      <c r="E448">
        <v>47.85</v>
      </c>
      <c r="F448" t="s">
        <v>9</v>
      </c>
      <c r="G4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8">
        <f>IF(Table1[[#This Row],[is_ups_overcharge]]="ups overcharged",Table1[[#This Row],[ups ship charge]]-Table1[[#This Row],[ada ship charge]],0)</f>
        <v>0</v>
      </c>
    </row>
    <row r="449" spans="1:9" x14ac:dyDescent="0.2">
      <c r="A449">
        <v>1008410</v>
      </c>
      <c r="B449" t="s">
        <v>20</v>
      </c>
      <c r="C449">
        <v>12.81</v>
      </c>
      <c r="D449">
        <v>12.86</v>
      </c>
      <c r="E449">
        <v>88.5</v>
      </c>
      <c r="F449" t="s">
        <v>9</v>
      </c>
      <c r="G4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9">
        <f>IF(Table1[[#This Row],[is_ups_overcharge]]="ups overcharged",Table1[[#This Row],[ups ship charge]]-Table1[[#This Row],[ada ship charge]],0)</f>
        <v>0</v>
      </c>
    </row>
    <row r="450" spans="1:9" x14ac:dyDescent="0.2">
      <c r="A450">
        <v>1008430</v>
      </c>
      <c r="B450" t="s">
        <v>20</v>
      </c>
      <c r="C450">
        <v>9.6999999999999993</v>
      </c>
      <c r="D450">
        <v>13.75</v>
      </c>
      <c r="E450">
        <v>22.5</v>
      </c>
      <c r="F450" t="s">
        <v>6</v>
      </c>
      <c r="G4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0">
        <f>IF(Table1[[#This Row],[is_ups_overcharge]]="ups overcharged",Table1[[#This Row],[ups ship charge]]-Table1[[#This Row],[ada ship charge]],0)</f>
        <v>0</v>
      </c>
    </row>
    <row r="451" spans="1:9" x14ac:dyDescent="0.2">
      <c r="A451">
        <v>1008432</v>
      </c>
      <c r="B451" t="s">
        <v>20</v>
      </c>
      <c r="C451">
        <v>13.7</v>
      </c>
      <c r="D451">
        <v>13.75</v>
      </c>
      <c r="E451">
        <v>41.3</v>
      </c>
      <c r="F451" t="s">
        <v>9</v>
      </c>
      <c r="G4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1">
        <f>IF(Table1[[#This Row],[is_ups_overcharge]]="ups overcharged",Table1[[#This Row],[ups ship charge]]-Table1[[#This Row],[ada ship charge]],0)</f>
        <v>0</v>
      </c>
    </row>
    <row r="452" spans="1:9" x14ac:dyDescent="0.2">
      <c r="A452">
        <v>1008460</v>
      </c>
      <c r="B452" t="s">
        <v>20</v>
      </c>
      <c r="C452">
        <v>12.81</v>
      </c>
      <c r="D452">
        <v>12.86</v>
      </c>
      <c r="E452">
        <v>17.600000000000001</v>
      </c>
      <c r="F452" t="s">
        <v>9</v>
      </c>
      <c r="G4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2">
        <f>IF(Table1[[#This Row],[is_ups_overcharge]]="ups overcharged",Table1[[#This Row],[ups ship charge]]-Table1[[#This Row],[ada ship charge]],0)</f>
        <v>0</v>
      </c>
    </row>
    <row r="453" spans="1:9" x14ac:dyDescent="0.2">
      <c r="A453">
        <v>1008466</v>
      </c>
      <c r="B453" t="s">
        <v>20</v>
      </c>
      <c r="C453">
        <v>16.46</v>
      </c>
      <c r="D453">
        <v>16.510000000000002</v>
      </c>
      <c r="E453">
        <v>67.45</v>
      </c>
      <c r="F453" t="s">
        <v>10</v>
      </c>
      <c r="G4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3">
        <f>IF(Table1[[#This Row],[is_ups_overcharge]]="ups overcharged",Table1[[#This Row],[ups ship charge]]-Table1[[#This Row],[ada ship charge]],0)</f>
        <v>0</v>
      </c>
    </row>
    <row r="454" spans="1:9" x14ac:dyDescent="0.2">
      <c r="A454">
        <v>1008467</v>
      </c>
      <c r="B454" t="s">
        <v>20</v>
      </c>
      <c r="C454">
        <v>15.44</v>
      </c>
      <c r="D454">
        <v>15.49</v>
      </c>
      <c r="E454">
        <v>49.85</v>
      </c>
      <c r="F454" t="s">
        <v>12</v>
      </c>
      <c r="G4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4">
        <f>IF(Table1[[#This Row],[is_ups_overcharge]]="ups overcharged",Table1[[#This Row],[ups ship charge]]-Table1[[#This Row],[ada ship charge]],0)</f>
        <v>0</v>
      </c>
    </row>
    <row r="455" spans="1:9" x14ac:dyDescent="0.2">
      <c r="A455">
        <v>1008474</v>
      </c>
      <c r="B455" t="s">
        <v>20</v>
      </c>
      <c r="C455">
        <v>12.81</v>
      </c>
      <c r="D455">
        <v>12.86</v>
      </c>
      <c r="E455">
        <v>49.7</v>
      </c>
      <c r="F455" t="s">
        <v>9</v>
      </c>
      <c r="G4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5">
        <f>IF(Table1[[#This Row],[is_ups_overcharge]]="ups overcharged",Table1[[#This Row],[ups ship charge]]-Table1[[#This Row],[ada ship charge]],0)</f>
        <v>0</v>
      </c>
    </row>
    <row r="456" spans="1:9" x14ac:dyDescent="0.2">
      <c r="A456">
        <v>1008476</v>
      </c>
      <c r="B456" t="s">
        <v>20</v>
      </c>
      <c r="C456">
        <v>12.81</v>
      </c>
      <c r="D456">
        <v>12.86</v>
      </c>
      <c r="E456">
        <v>74.900000000000006</v>
      </c>
      <c r="F456" t="s">
        <v>9</v>
      </c>
      <c r="G4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6">
        <f>IF(Table1[[#This Row],[is_ups_overcharge]]="ups overcharged",Table1[[#This Row],[ups ship charge]]-Table1[[#This Row],[ada ship charge]],0)</f>
        <v>0</v>
      </c>
    </row>
    <row r="457" spans="1:9" x14ac:dyDescent="0.2">
      <c r="A457">
        <v>1008478</v>
      </c>
      <c r="B457" t="s">
        <v>20</v>
      </c>
      <c r="C457">
        <v>12.81</v>
      </c>
      <c r="D457">
        <v>12.86</v>
      </c>
      <c r="E457">
        <v>7.45</v>
      </c>
      <c r="F457" t="s">
        <v>9</v>
      </c>
      <c r="G4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7">
        <f>IF(Table1[[#This Row],[is_ups_overcharge]]="ups overcharged",Table1[[#This Row],[ups ship charge]]-Table1[[#This Row],[ada ship charge]],0)</f>
        <v>0</v>
      </c>
    </row>
    <row r="458" spans="1:9" x14ac:dyDescent="0.2">
      <c r="A458">
        <v>1008493</v>
      </c>
      <c r="B458" t="s">
        <v>20</v>
      </c>
      <c r="C458">
        <v>15.44</v>
      </c>
      <c r="D458">
        <v>15.5</v>
      </c>
      <c r="E458">
        <v>73.150000000000006</v>
      </c>
      <c r="F458" t="s">
        <v>12</v>
      </c>
      <c r="G4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8">
        <f>IF(Table1[[#This Row],[is_ups_overcharge]]="ups overcharged",Table1[[#This Row],[ups ship charge]]-Table1[[#This Row],[ada ship charge]],0)</f>
        <v>0</v>
      </c>
    </row>
    <row r="459" spans="1:9" x14ac:dyDescent="0.2">
      <c r="A459">
        <v>1008494</v>
      </c>
      <c r="B459" t="s">
        <v>20</v>
      </c>
      <c r="C459">
        <v>9.6999999999999993</v>
      </c>
      <c r="D459">
        <v>9.75</v>
      </c>
      <c r="E459">
        <v>9.9499999999999993</v>
      </c>
      <c r="F459" t="s">
        <v>6</v>
      </c>
      <c r="G4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9">
        <f>IF(Table1[[#This Row],[is_ups_overcharge]]="ups overcharged",Table1[[#This Row],[ups ship charge]]-Table1[[#This Row],[ada ship charge]],0)</f>
        <v>0</v>
      </c>
    </row>
    <row r="460" spans="1:9" x14ac:dyDescent="0.2">
      <c r="A460">
        <v>1008496</v>
      </c>
      <c r="B460" t="s">
        <v>20</v>
      </c>
      <c r="C460">
        <v>13.7</v>
      </c>
      <c r="D460">
        <v>13.75</v>
      </c>
      <c r="E460">
        <v>62.85</v>
      </c>
      <c r="F460" t="s">
        <v>9</v>
      </c>
      <c r="G4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0">
        <f>IF(Table1[[#This Row],[is_ups_overcharge]]="ups overcharged",Table1[[#This Row],[ups ship charge]]-Table1[[#This Row],[ada ship charge]],0)</f>
        <v>0</v>
      </c>
    </row>
    <row r="461" spans="1:9" x14ac:dyDescent="0.2">
      <c r="A461">
        <v>1008527</v>
      </c>
      <c r="B461" t="s">
        <v>20</v>
      </c>
      <c r="C461">
        <v>13.7</v>
      </c>
      <c r="D461">
        <v>13.75</v>
      </c>
      <c r="E461">
        <v>83.85</v>
      </c>
      <c r="F461" t="s">
        <v>9</v>
      </c>
      <c r="G4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1">
        <f>IF(Table1[[#This Row],[is_ups_overcharge]]="ups overcharged",Table1[[#This Row],[ups ship charge]]-Table1[[#This Row],[ada ship charge]],0)</f>
        <v>0</v>
      </c>
    </row>
    <row r="462" spans="1:9" x14ac:dyDescent="0.2">
      <c r="A462">
        <v>1008533</v>
      </c>
      <c r="B462" t="s">
        <v>20</v>
      </c>
      <c r="C462">
        <v>13.7</v>
      </c>
      <c r="D462">
        <v>13.75</v>
      </c>
      <c r="E462">
        <v>29.9</v>
      </c>
      <c r="F462" t="s">
        <v>9</v>
      </c>
      <c r="G4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2">
        <f>IF(Table1[[#This Row],[is_ups_overcharge]]="ups overcharged",Table1[[#This Row],[ups ship charge]]-Table1[[#This Row],[ada ship charge]],0)</f>
        <v>0</v>
      </c>
    </row>
    <row r="463" spans="1:9" x14ac:dyDescent="0.2">
      <c r="A463">
        <v>1008538</v>
      </c>
      <c r="B463" t="s">
        <v>20</v>
      </c>
      <c r="C463">
        <v>15.13</v>
      </c>
      <c r="D463">
        <v>15.18</v>
      </c>
      <c r="E463">
        <v>99.6</v>
      </c>
      <c r="F463" t="s">
        <v>12</v>
      </c>
      <c r="G4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3">
        <f>IF(Table1[[#This Row],[is_ups_overcharge]]="ups overcharged",Table1[[#This Row],[ups ship charge]]-Table1[[#This Row],[ada ship charge]],0)</f>
        <v>0</v>
      </c>
    </row>
    <row r="464" spans="1:9" x14ac:dyDescent="0.2">
      <c r="A464">
        <v>1008549</v>
      </c>
      <c r="B464" t="s">
        <v>20</v>
      </c>
      <c r="C464">
        <v>12.81</v>
      </c>
      <c r="D464">
        <v>12.86</v>
      </c>
      <c r="E464">
        <v>3.9</v>
      </c>
      <c r="F464" t="s">
        <v>9</v>
      </c>
      <c r="G4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4">
        <f>IF(Table1[[#This Row],[is_ups_overcharge]]="ups overcharged",Table1[[#This Row],[ups ship charge]]-Table1[[#This Row],[ada ship charge]],0)</f>
        <v>0</v>
      </c>
    </row>
    <row r="465" spans="1:9" x14ac:dyDescent="0.2">
      <c r="A465">
        <v>1008563</v>
      </c>
      <c r="B465" t="s">
        <v>20</v>
      </c>
      <c r="C465">
        <v>12.81</v>
      </c>
      <c r="D465">
        <v>13.37</v>
      </c>
      <c r="E465">
        <v>111.9</v>
      </c>
      <c r="F465" t="s">
        <v>9</v>
      </c>
      <c r="G4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5">
        <f>IF(Table1[[#This Row],[is_ups_overcharge]]="ups overcharged",Table1[[#This Row],[ups ship charge]]-Table1[[#This Row],[ada ship charge]],0)</f>
        <v>0</v>
      </c>
    </row>
    <row r="466" spans="1:9" x14ac:dyDescent="0.2">
      <c r="A466">
        <v>1008576</v>
      </c>
      <c r="B466" t="s">
        <v>20</v>
      </c>
      <c r="C466">
        <v>13.71</v>
      </c>
      <c r="D466">
        <v>13.76</v>
      </c>
      <c r="E466">
        <v>36.700000000000003</v>
      </c>
      <c r="F466" t="s">
        <v>9</v>
      </c>
      <c r="G4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6">
        <f>IF(Table1[[#This Row],[is_ups_overcharge]]="ups overcharged",Table1[[#This Row],[ups ship charge]]-Table1[[#This Row],[ada ship charge]],0)</f>
        <v>0</v>
      </c>
    </row>
    <row r="467" spans="1:9" x14ac:dyDescent="0.2">
      <c r="A467">
        <v>1008577</v>
      </c>
      <c r="B467" t="s">
        <v>20</v>
      </c>
      <c r="C467">
        <v>12.81</v>
      </c>
      <c r="D467">
        <v>12.86</v>
      </c>
      <c r="E467">
        <v>94.7</v>
      </c>
      <c r="F467" t="s">
        <v>9</v>
      </c>
      <c r="G4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7">
        <f>IF(Table1[[#This Row],[is_ups_overcharge]]="ups overcharged",Table1[[#This Row],[ups ship charge]]-Table1[[#This Row],[ada ship charge]],0)</f>
        <v>0</v>
      </c>
    </row>
    <row r="468" spans="1:9" x14ac:dyDescent="0.2">
      <c r="A468">
        <v>1008604</v>
      </c>
      <c r="B468" t="s">
        <v>20</v>
      </c>
      <c r="C468">
        <v>13.7</v>
      </c>
      <c r="D468">
        <v>13.75</v>
      </c>
      <c r="E468">
        <v>111.85</v>
      </c>
      <c r="F468" t="s">
        <v>9</v>
      </c>
      <c r="G4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8">
        <f>IF(Table1[[#This Row],[is_ups_overcharge]]="ups overcharged",Table1[[#This Row],[ups ship charge]]-Table1[[#This Row],[ada ship charge]],0)</f>
        <v>0</v>
      </c>
    </row>
    <row r="469" spans="1:9" x14ac:dyDescent="0.2">
      <c r="A469">
        <v>1008634</v>
      </c>
      <c r="B469" t="s">
        <v>20</v>
      </c>
      <c r="C469">
        <v>16.77</v>
      </c>
      <c r="D469">
        <v>16.82</v>
      </c>
      <c r="E469">
        <v>114.9</v>
      </c>
      <c r="F469" t="s">
        <v>10</v>
      </c>
      <c r="G4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9">
        <f>IF(Table1[[#This Row],[is_ups_overcharge]]="ups overcharged",Table1[[#This Row],[ups ship charge]]-Table1[[#This Row],[ada ship charge]],0)</f>
        <v>0</v>
      </c>
    </row>
    <row r="470" spans="1:9" x14ac:dyDescent="0.2">
      <c r="A470">
        <v>1008641</v>
      </c>
      <c r="B470" t="s">
        <v>20</v>
      </c>
      <c r="C470">
        <v>13.26</v>
      </c>
      <c r="D470">
        <v>13.88</v>
      </c>
      <c r="E470">
        <v>130.9</v>
      </c>
      <c r="F470" t="s">
        <v>9</v>
      </c>
      <c r="G4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70">
        <f>IF(Table1[[#This Row],[is_ups_overcharge]]="ups overcharged",Table1[[#This Row],[ups ship charge]]-Table1[[#This Row],[ada ship charge]],0)</f>
        <v>0</v>
      </c>
    </row>
    <row r="471" spans="1:9" x14ac:dyDescent="0.2">
      <c r="A471">
        <v>1008684</v>
      </c>
      <c r="B471" t="s">
        <v>20</v>
      </c>
      <c r="C471">
        <v>89.7</v>
      </c>
      <c r="D471">
        <v>90.43</v>
      </c>
      <c r="E471">
        <v>553.44000000000005</v>
      </c>
      <c r="F471" t="s">
        <v>11</v>
      </c>
      <c r="G4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71">
        <f>IF(Table1[[#This Row],[is_ups_overcharge]]="ups overcharged",Table1[[#This Row],[ups ship charge]]-Table1[[#This Row],[ada ship charge]],0)</f>
        <v>0</v>
      </c>
    </row>
    <row r="472" spans="1:9" x14ac:dyDescent="0.2">
      <c r="A472">
        <v>1008707</v>
      </c>
      <c r="B472" t="s">
        <v>20</v>
      </c>
      <c r="C472">
        <v>16.46</v>
      </c>
      <c r="D472">
        <v>16.510000000000002</v>
      </c>
      <c r="E472">
        <v>190.4</v>
      </c>
      <c r="F472" t="s">
        <v>10</v>
      </c>
      <c r="G4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72">
        <f>IF(Table1[[#This Row],[is_ups_overcharge]]="ups overcharged",Table1[[#This Row],[ups ship charge]]-Table1[[#This Row],[ada ship charge]],0)</f>
        <v>0</v>
      </c>
    </row>
    <row r="473" spans="1:9" x14ac:dyDescent="0.2">
      <c r="A473">
        <v>1008712</v>
      </c>
      <c r="B473" t="s">
        <v>20</v>
      </c>
      <c r="C473">
        <v>12.81</v>
      </c>
      <c r="D473">
        <v>12.9</v>
      </c>
      <c r="E473">
        <v>37.4</v>
      </c>
      <c r="F473" t="s">
        <v>9</v>
      </c>
      <c r="G4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73">
        <f>IF(Table1[[#This Row],[is_ups_overcharge]]="ups overcharged",Table1[[#This Row],[ups ship charge]]-Table1[[#This Row],[ada ship charge]],0)</f>
        <v>0</v>
      </c>
    </row>
    <row r="474" spans="1:9" x14ac:dyDescent="0.2">
      <c r="A474">
        <v>1008725</v>
      </c>
      <c r="B474" t="s">
        <v>20</v>
      </c>
      <c r="C474">
        <v>12.69</v>
      </c>
      <c r="D474">
        <v>0</v>
      </c>
      <c r="E474">
        <v>2227.1999999999998</v>
      </c>
      <c r="F474" t="s">
        <v>6</v>
      </c>
      <c r="G4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4">
        <f>IF(Table1[[#This Row],[is_ups_overcharge]]="ups overcharged",Table1[[#This Row],[ups ship charge]]-Table1[[#This Row],[ada ship charge]],0)</f>
        <v>0</v>
      </c>
    </row>
    <row r="475" spans="1:9" x14ac:dyDescent="0.2">
      <c r="A475">
        <v>1008730</v>
      </c>
      <c r="B475" t="s">
        <v>20</v>
      </c>
      <c r="C475">
        <v>9.6999999999999993</v>
      </c>
      <c r="D475">
        <v>13.76</v>
      </c>
      <c r="E475">
        <v>72.75</v>
      </c>
      <c r="F475" t="s">
        <v>6</v>
      </c>
      <c r="G4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75">
        <f>IF(Table1[[#This Row],[is_ups_overcharge]]="ups overcharged",Table1[[#This Row],[ups ship charge]]-Table1[[#This Row],[ada ship charge]],0)</f>
        <v>0</v>
      </c>
    </row>
    <row r="476" spans="1:9" x14ac:dyDescent="0.2">
      <c r="A476">
        <v>1008739</v>
      </c>
      <c r="B476" t="s">
        <v>20</v>
      </c>
      <c r="C476">
        <v>9.6999999999999993</v>
      </c>
      <c r="D476">
        <v>9.7899999999999991</v>
      </c>
      <c r="E476">
        <v>145.30000000000001</v>
      </c>
      <c r="F476" t="s">
        <v>6</v>
      </c>
      <c r="G4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76">
        <f>IF(Table1[[#This Row],[is_ups_overcharge]]="ups overcharged",Table1[[#This Row],[ups ship charge]]-Table1[[#This Row],[ada ship charge]],0)</f>
        <v>0</v>
      </c>
    </row>
    <row r="477" spans="1:9" x14ac:dyDescent="0.2">
      <c r="A477">
        <v>1008742</v>
      </c>
      <c r="B477" t="s">
        <v>20</v>
      </c>
      <c r="C477">
        <v>13.7</v>
      </c>
      <c r="D477">
        <v>13.75</v>
      </c>
      <c r="E477">
        <v>29.95</v>
      </c>
      <c r="F477" t="s">
        <v>9</v>
      </c>
      <c r="G4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77">
        <f>IF(Table1[[#This Row],[is_ups_overcharge]]="ups overcharged",Table1[[#This Row],[ups ship charge]]-Table1[[#This Row],[ada ship charge]],0)</f>
        <v>0</v>
      </c>
    </row>
    <row r="478" spans="1:9" x14ac:dyDescent="0.2">
      <c r="A478">
        <v>1008743</v>
      </c>
      <c r="B478" t="s">
        <v>20</v>
      </c>
      <c r="C478">
        <v>9.6999999999999993</v>
      </c>
      <c r="D478">
        <v>0</v>
      </c>
      <c r="E478">
        <v>111</v>
      </c>
      <c r="F478" t="s">
        <v>6</v>
      </c>
      <c r="G4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7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478">
        <f>IF(Table1[[#This Row],[is_ups_overcharge]]="ups overcharged",Table1[[#This Row],[ups ship charge]]-Table1[[#This Row],[ada ship charge]],0)</f>
        <v>9.6999999999999993</v>
      </c>
    </row>
    <row r="479" spans="1:9" x14ac:dyDescent="0.2">
      <c r="A479">
        <v>1008753</v>
      </c>
      <c r="B479" t="s">
        <v>20</v>
      </c>
      <c r="C479">
        <v>12.81</v>
      </c>
      <c r="D479">
        <v>12.86</v>
      </c>
      <c r="E479">
        <v>49.95</v>
      </c>
      <c r="F479" t="s">
        <v>9</v>
      </c>
      <c r="G4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79">
        <f>IF(Table1[[#This Row],[is_ups_overcharge]]="ups overcharged",Table1[[#This Row],[ups ship charge]]-Table1[[#This Row],[ada ship charge]],0)</f>
        <v>0</v>
      </c>
    </row>
    <row r="480" spans="1:9" x14ac:dyDescent="0.2">
      <c r="A480">
        <v>1008757</v>
      </c>
      <c r="B480" t="s">
        <v>20</v>
      </c>
      <c r="C480">
        <v>12.81</v>
      </c>
      <c r="D480">
        <v>0</v>
      </c>
      <c r="E480">
        <v>229.5</v>
      </c>
      <c r="F480" t="s">
        <v>9</v>
      </c>
      <c r="G4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0">
        <f>IF(Table1[[#This Row],[is_ups_overcharge]]="ups overcharged",Table1[[#This Row],[ups ship charge]]-Table1[[#This Row],[ada ship charge]],0)</f>
        <v>0</v>
      </c>
    </row>
    <row r="481" spans="1:9" x14ac:dyDescent="0.2">
      <c r="A481">
        <v>1008758</v>
      </c>
      <c r="B481" t="s">
        <v>20</v>
      </c>
      <c r="C481">
        <v>9.6999999999999993</v>
      </c>
      <c r="D481">
        <v>9.75</v>
      </c>
      <c r="E481">
        <v>49.95</v>
      </c>
      <c r="F481" t="s">
        <v>6</v>
      </c>
      <c r="G4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81">
        <f>IF(Table1[[#This Row],[is_ups_overcharge]]="ups overcharged",Table1[[#This Row],[ups ship charge]]-Table1[[#This Row],[ada ship charge]],0)</f>
        <v>0</v>
      </c>
    </row>
    <row r="482" spans="1:9" x14ac:dyDescent="0.2">
      <c r="A482">
        <v>1008768</v>
      </c>
      <c r="B482" t="s">
        <v>20</v>
      </c>
      <c r="C482">
        <v>12.81</v>
      </c>
      <c r="D482">
        <v>12.86</v>
      </c>
      <c r="E482">
        <v>33.9</v>
      </c>
      <c r="F482" t="s">
        <v>9</v>
      </c>
      <c r="G4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82">
        <f>IF(Table1[[#This Row],[is_ups_overcharge]]="ups overcharged",Table1[[#This Row],[ups ship charge]]-Table1[[#This Row],[ada ship charge]],0)</f>
        <v>0</v>
      </c>
    </row>
    <row r="483" spans="1:9" x14ac:dyDescent="0.2">
      <c r="A483">
        <v>1008776</v>
      </c>
      <c r="B483" t="s">
        <v>20</v>
      </c>
      <c r="C483">
        <v>9.6999999999999993</v>
      </c>
      <c r="D483">
        <v>9.75</v>
      </c>
      <c r="E483">
        <v>190.1</v>
      </c>
      <c r="F483" t="s">
        <v>6</v>
      </c>
      <c r="G4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83">
        <f>IF(Table1[[#This Row],[is_ups_overcharge]]="ups overcharged",Table1[[#This Row],[ups ship charge]]-Table1[[#This Row],[ada ship charge]],0)</f>
        <v>0</v>
      </c>
    </row>
    <row r="484" spans="1:9" x14ac:dyDescent="0.2">
      <c r="A484">
        <v>1008785</v>
      </c>
      <c r="B484" t="s">
        <v>20</v>
      </c>
      <c r="C484">
        <v>13.7</v>
      </c>
      <c r="D484">
        <v>13.75</v>
      </c>
      <c r="E484">
        <v>44.95</v>
      </c>
      <c r="F484" t="s">
        <v>9</v>
      </c>
      <c r="G4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84">
        <f>IF(Table1[[#This Row],[is_ups_overcharge]]="ups overcharged",Table1[[#This Row],[ups ship charge]]-Table1[[#This Row],[ada ship charge]],0)</f>
        <v>0</v>
      </c>
    </row>
    <row r="485" spans="1:9" x14ac:dyDescent="0.2">
      <c r="A485">
        <v>1008791</v>
      </c>
      <c r="B485" t="s">
        <v>20</v>
      </c>
      <c r="C485">
        <v>13.7</v>
      </c>
      <c r="D485">
        <v>13.75</v>
      </c>
      <c r="E485">
        <v>29.95</v>
      </c>
      <c r="F485" t="s">
        <v>9</v>
      </c>
      <c r="G4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85">
        <f>IF(Table1[[#This Row],[is_ups_overcharge]]="ups overcharged",Table1[[#This Row],[ups ship charge]]-Table1[[#This Row],[ada ship charge]],0)</f>
        <v>0</v>
      </c>
    </row>
    <row r="486" spans="1:9" x14ac:dyDescent="0.2">
      <c r="A486">
        <v>1008793</v>
      </c>
      <c r="B486" t="s">
        <v>20</v>
      </c>
      <c r="C486">
        <v>12.35</v>
      </c>
      <c r="D486">
        <v>12.78</v>
      </c>
      <c r="E486">
        <v>56.8</v>
      </c>
      <c r="F486" t="s">
        <v>13</v>
      </c>
      <c r="G4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86">
        <f>IF(Table1[[#This Row],[is_ups_overcharge]]="ups overcharged",Table1[[#This Row],[ups ship charge]]-Table1[[#This Row],[ada ship charge]],0)</f>
        <v>0</v>
      </c>
    </row>
    <row r="487" spans="1:9" x14ac:dyDescent="0.2">
      <c r="A487">
        <v>1008799</v>
      </c>
      <c r="B487" t="s">
        <v>20</v>
      </c>
      <c r="C487">
        <v>16.46</v>
      </c>
      <c r="D487">
        <v>16.510000000000002</v>
      </c>
      <c r="E487">
        <v>26.3</v>
      </c>
      <c r="F487" t="s">
        <v>10</v>
      </c>
      <c r="G4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87">
        <f>IF(Table1[[#This Row],[is_ups_overcharge]]="ups overcharged",Table1[[#This Row],[ups ship charge]]-Table1[[#This Row],[ada ship charge]],0)</f>
        <v>0</v>
      </c>
    </row>
    <row r="488" spans="1:9" x14ac:dyDescent="0.2">
      <c r="A488">
        <v>1008804</v>
      </c>
      <c r="B488" t="s">
        <v>20</v>
      </c>
      <c r="C488">
        <v>9.6999999999999993</v>
      </c>
      <c r="D488">
        <v>9.75</v>
      </c>
      <c r="E488">
        <v>29.9</v>
      </c>
      <c r="F488" t="s">
        <v>6</v>
      </c>
      <c r="G4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88">
        <f>IF(Table1[[#This Row],[is_ups_overcharge]]="ups overcharged",Table1[[#This Row],[ups ship charge]]-Table1[[#This Row],[ada ship charge]],0)</f>
        <v>0</v>
      </c>
    </row>
    <row r="489" spans="1:9" x14ac:dyDescent="0.2">
      <c r="A489">
        <v>1008826</v>
      </c>
      <c r="B489" t="s">
        <v>20</v>
      </c>
      <c r="C489">
        <v>16.46</v>
      </c>
      <c r="D489">
        <v>16.510000000000002</v>
      </c>
      <c r="E489">
        <v>110.1</v>
      </c>
      <c r="F489" t="s">
        <v>10</v>
      </c>
      <c r="G4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89">
        <f>IF(Table1[[#This Row],[is_ups_overcharge]]="ups overcharged",Table1[[#This Row],[ups ship charge]]-Table1[[#This Row],[ada ship charge]],0)</f>
        <v>0</v>
      </c>
    </row>
    <row r="490" spans="1:9" x14ac:dyDescent="0.2">
      <c r="A490">
        <v>1008842</v>
      </c>
      <c r="B490" t="s">
        <v>20</v>
      </c>
      <c r="C490">
        <v>13.71</v>
      </c>
      <c r="D490">
        <v>13.75</v>
      </c>
      <c r="E490">
        <v>86.8</v>
      </c>
      <c r="F490" t="s">
        <v>9</v>
      </c>
      <c r="G4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90">
        <f>IF(Table1[[#This Row],[is_ups_overcharge]]="ups overcharged",Table1[[#This Row],[ups ship charge]]-Table1[[#This Row],[ada ship charge]],0)</f>
        <v>0</v>
      </c>
    </row>
    <row r="491" spans="1:9" x14ac:dyDescent="0.2">
      <c r="A491">
        <v>1008880</v>
      </c>
      <c r="B491" t="s">
        <v>20</v>
      </c>
      <c r="C491">
        <v>19.22</v>
      </c>
      <c r="D491">
        <v>23.38</v>
      </c>
      <c r="E491">
        <v>49.9</v>
      </c>
      <c r="F491" t="s">
        <v>16</v>
      </c>
      <c r="G4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91">
        <f>IF(Table1[[#This Row],[is_ups_overcharge]]="ups overcharged",Table1[[#This Row],[ups ship charge]]-Table1[[#This Row],[ada ship charge]],0)</f>
        <v>0</v>
      </c>
    </row>
    <row r="492" spans="1:9" x14ac:dyDescent="0.2">
      <c r="A492">
        <v>1008886</v>
      </c>
      <c r="B492" t="s">
        <v>20</v>
      </c>
      <c r="C492">
        <v>12.81</v>
      </c>
      <c r="D492">
        <v>12.86</v>
      </c>
      <c r="E492">
        <v>42.9</v>
      </c>
      <c r="F492" t="s">
        <v>9</v>
      </c>
      <c r="G4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92">
        <f>IF(Table1[[#This Row],[is_ups_overcharge]]="ups overcharged",Table1[[#This Row],[ups ship charge]]-Table1[[#This Row],[ada ship charge]],0)</f>
        <v>0</v>
      </c>
    </row>
    <row r="493" spans="1:9" x14ac:dyDescent="0.2">
      <c r="A493">
        <v>1008887</v>
      </c>
      <c r="B493" t="s">
        <v>20</v>
      </c>
      <c r="C493">
        <v>11.02</v>
      </c>
      <c r="D493">
        <v>11.07</v>
      </c>
      <c r="E493">
        <v>111.65</v>
      </c>
      <c r="F493" t="s">
        <v>14</v>
      </c>
      <c r="G4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93">
        <f>IF(Table1[[#This Row],[is_ups_overcharge]]="ups overcharged",Table1[[#This Row],[ups ship charge]]-Table1[[#This Row],[ada ship charge]],0)</f>
        <v>0</v>
      </c>
    </row>
    <row r="494" spans="1:9" x14ac:dyDescent="0.2">
      <c r="A494">
        <v>1008900</v>
      </c>
      <c r="B494" t="s">
        <v>20</v>
      </c>
      <c r="C494">
        <v>13.7</v>
      </c>
      <c r="D494">
        <v>13.75</v>
      </c>
      <c r="E494">
        <v>71.349999999999994</v>
      </c>
      <c r="F494" t="s">
        <v>9</v>
      </c>
      <c r="G4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94">
        <f>IF(Table1[[#This Row],[is_ups_overcharge]]="ups overcharged",Table1[[#This Row],[ups ship charge]]-Table1[[#This Row],[ada ship charge]],0)</f>
        <v>0</v>
      </c>
    </row>
    <row r="495" spans="1:9" x14ac:dyDescent="0.2">
      <c r="A495">
        <v>1008909</v>
      </c>
      <c r="B495" t="s">
        <v>20</v>
      </c>
      <c r="C495">
        <v>15.44</v>
      </c>
      <c r="D495">
        <v>15.49</v>
      </c>
      <c r="E495">
        <v>9.9499999999999993</v>
      </c>
      <c r="F495" t="s">
        <v>12</v>
      </c>
      <c r="G4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95">
        <f>IF(Table1[[#This Row],[is_ups_overcharge]]="ups overcharged",Table1[[#This Row],[ups ship charge]]-Table1[[#This Row],[ada ship charge]],0)</f>
        <v>0</v>
      </c>
    </row>
    <row r="496" spans="1:9" x14ac:dyDescent="0.2">
      <c r="A496">
        <v>1008910</v>
      </c>
      <c r="B496" t="s">
        <v>20</v>
      </c>
      <c r="C496">
        <v>17.34</v>
      </c>
      <c r="D496">
        <v>0</v>
      </c>
      <c r="E496">
        <v>200</v>
      </c>
      <c r="F496" t="s">
        <v>6</v>
      </c>
      <c r="G4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9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96">
        <f>IF(Table1[[#This Row],[is_ups_overcharge]]="ups overcharged",Table1[[#This Row],[ups ship charge]]-Table1[[#This Row],[ada ship charge]],0)</f>
        <v>0</v>
      </c>
    </row>
    <row r="497" spans="1:9" x14ac:dyDescent="0.2">
      <c r="A497">
        <v>1008920</v>
      </c>
      <c r="B497" t="s">
        <v>20</v>
      </c>
      <c r="C497">
        <v>9.6999999999999993</v>
      </c>
      <c r="D497">
        <v>9.75</v>
      </c>
      <c r="E497">
        <v>64.349999999999994</v>
      </c>
      <c r="F497" t="s">
        <v>6</v>
      </c>
      <c r="G4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97">
        <f>IF(Table1[[#This Row],[is_ups_overcharge]]="ups overcharged",Table1[[#This Row],[ups ship charge]]-Table1[[#This Row],[ada ship charge]],0)</f>
        <v>0</v>
      </c>
    </row>
    <row r="498" spans="1:9" x14ac:dyDescent="0.2">
      <c r="A498">
        <v>1008924</v>
      </c>
      <c r="B498" t="s">
        <v>20</v>
      </c>
      <c r="C498">
        <v>12.81</v>
      </c>
      <c r="D498">
        <v>12.86</v>
      </c>
      <c r="E498">
        <v>20.85</v>
      </c>
      <c r="F498" t="s">
        <v>9</v>
      </c>
      <c r="G4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98">
        <f>IF(Table1[[#This Row],[is_ups_overcharge]]="ups overcharged",Table1[[#This Row],[ups ship charge]]-Table1[[#This Row],[ada ship charge]],0)</f>
        <v>0</v>
      </c>
    </row>
    <row r="499" spans="1:9" x14ac:dyDescent="0.2">
      <c r="A499">
        <v>1008925</v>
      </c>
      <c r="B499" t="s">
        <v>20</v>
      </c>
      <c r="C499">
        <v>13.71</v>
      </c>
      <c r="D499">
        <v>14.2</v>
      </c>
      <c r="E499">
        <v>32.450000000000003</v>
      </c>
      <c r="F499" t="s">
        <v>9</v>
      </c>
      <c r="G4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99">
        <f>IF(Table1[[#This Row],[is_ups_overcharge]]="ups overcharged",Table1[[#This Row],[ups ship charge]]-Table1[[#This Row],[ada ship charge]],0)</f>
        <v>0</v>
      </c>
    </row>
    <row r="500" spans="1:9" x14ac:dyDescent="0.2">
      <c r="A500">
        <v>1008930</v>
      </c>
      <c r="B500" t="s">
        <v>20</v>
      </c>
      <c r="C500">
        <v>16.46</v>
      </c>
      <c r="D500">
        <v>16.510000000000002</v>
      </c>
      <c r="E500">
        <v>39.950000000000003</v>
      </c>
      <c r="F500" t="s">
        <v>10</v>
      </c>
      <c r="G5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00">
        <f>IF(Table1[[#This Row],[is_ups_overcharge]]="ups overcharged",Table1[[#This Row],[ups ship charge]]-Table1[[#This Row],[ada ship charge]],0)</f>
        <v>0</v>
      </c>
    </row>
    <row r="501" spans="1:9" x14ac:dyDescent="0.2">
      <c r="A501">
        <v>1008936</v>
      </c>
      <c r="B501" t="s">
        <v>20</v>
      </c>
      <c r="C501">
        <v>12.81</v>
      </c>
      <c r="D501">
        <v>12.86</v>
      </c>
      <c r="E501">
        <v>93.95</v>
      </c>
      <c r="F501" t="s">
        <v>9</v>
      </c>
      <c r="G5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01">
        <f>IF(Table1[[#This Row],[is_ups_overcharge]]="ups overcharged",Table1[[#This Row],[ups ship charge]]-Table1[[#This Row],[ada ship charge]],0)</f>
        <v>0</v>
      </c>
    </row>
    <row r="502" spans="1:9" x14ac:dyDescent="0.2">
      <c r="A502">
        <v>1008956</v>
      </c>
      <c r="B502" t="s">
        <v>20</v>
      </c>
      <c r="C502">
        <v>12.35</v>
      </c>
      <c r="D502">
        <v>12.4</v>
      </c>
      <c r="E502">
        <v>10.7</v>
      </c>
      <c r="F502" t="s">
        <v>13</v>
      </c>
      <c r="G5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02">
        <f>IF(Table1[[#This Row],[is_ups_overcharge]]="ups overcharged",Table1[[#This Row],[ups ship charge]]-Table1[[#This Row],[ada ship charge]],0)</f>
        <v>0</v>
      </c>
    </row>
    <row r="503" spans="1:9" x14ac:dyDescent="0.2">
      <c r="A503">
        <v>1008960</v>
      </c>
      <c r="B503" t="s">
        <v>20</v>
      </c>
      <c r="C503">
        <v>16.87</v>
      </c>
      <c r="D503">
        <v>16.920000000000002</v>
      </c>
      <c r="E503">
        <v>53.8</v>
      </c>
      <c r="F503" t="s">
        <v>10</v>
      </c>
      <c r="G5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03">
        <f>IF(Table1[[#This Row],[is_ups_overcharge]]="ups overcharged",Table1[[#This Row],[ups ship charge]]-Table1[[#This Row],[ada ship charge]],0)</f>
        <v>0</v>
      </c>
    </row>
    <row r="504" spans="1:9" x14ac:dyDescent="0.2">
      <c r="A504">
        <v>1008966</v>
      </c>
      <c r="B504" t="s">
        <v>20</v>
      </c>
      <c r="C504">
        <v>13.05</v>
      </c>
      <c r="D504">
        <v>0</v>
      </c>
      <c r="E504">
        <v>214.95</v>
      </c>
      <c r="F504" t="s">
        <v>9</v>
      </c>
      <c r="G5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0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04">
        <f>IF(Table1[[#This Row],[is_ups_overcharge]]="ups overcharged",Table1[[#This Row],[ups ship charge]]-Table1[[#This Row],[ada ship charge]],0)</f>
        <v>0</v>
      </c>
    </row>
    <row r="505" spans="1:9" x14ac:dyDescent="0.2">
      <c r="A505">
        <v>1008971</v>
      </c>
      <c r="B505" t="s">
        <v>20</v>
      </c>
      <c r="C505">
        <v>15.13</v>
      </c>
      <c r="D505">
        <v>15.18</v>
      </c>
      <c r="E505">
        <v>19.95</v>
      </c>
      <c r="F505" t="s">
        <v>12</v>
      </c>
      <c r="G5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05">
        <f>IF(Table1[[#This Row],[is_ups_overcharge]]="ups overcharged",Table1[[#This Row],[ups ship charge]]-Table1[[#This Row],[ada ship charge]],0)</f>
        <v>0</v>
      </c>
    </row>
    <row r="506" spans="1:9" x14ac:dyDescent="0.2">
      <c r="A506">
        <v>1008973</v>
      </c>
      <c r="B506" t="s">
        <v>20</v>
      </c>
      <c r="C506">
        <v>9.7100000000000009</v>
      </c>
      <c r="D506">
        <v>9.75</v>
      </c>
      <c r="E506">
        <v>34.99</v>
      </c>
      <c r="F506" t="s">
        <v>6</v>
      </c>
      <c r="G5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06">
        <f>IF(Table1[[#This Row],[is_ups_overcharge]]="ups overcharged",Table1[[#This Row],[ups ship charge]]-Table1[[#This Row],[ada ship charge]],0)</f>
        <v>0</v>
      </c>
    </row>
    <row r="507" spans="1:9" x14ac:dyDescent="0.2">
      <c r="A507">
        <v>1008974</v>
      </c>
      <c r="B507" t="s">
        <v>20</v>
      </c>
      <c r="C507">
        <v>9.6999999999999993</v>
      </c>
      <c r="D507">
        <v>9.75</v>
      </c>
      <c r="E507">
        <v>70.7</v>
      </c>
      <c r="F507" t="s">
        <v>6</v>
      </c>
      <c r="G5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07">
        <f>IF(Table1[[#This Row],[is_ups_overcharge]]="ups overcharged",Table1[[#This Row],[ups ship charge]]-Table1[[#This Row],[ada ship charge]],0)</f>
        <v>0</v>
      </c>
    </row>
    <row r="508" spans="1:9" x14ac:dyDescent="0.2">
      <c r="A508">
        <v>1008989</v>
      </c>
      <c r="B508" t="s">
        <v>20</v>
      </c>
      <c r="C508">
        <v>13.7</v>
      </c>
      <c r="D508">
        <v>13.75</v>
      </c>
      <c r="E508">
        <v>23.95</v>
      </c>
      <c r="F508" t="s">
        <v>9</v>
      </c>
      <c r="G5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08">
        <f>IF(Table1[[#This Row],[is_ups_overcharge]]="ups overcharged",Table1[[#This Row],[ups ship charge]]-Table1[[#This Row],[ada ship charge]],0)</f>
        <v>0</v>
      </c>
    </row>
    <row r="509" spans="1:9" x14ac:dyDescent="0.2">
      <c r="A509">
        <v>1008998</v>
      </c>
      <c r="B509" t="s">
        <v>20</v>
      </c>
      <c r="C509">
        <v>16.559999999999999</v>
      </c>
      <c r="D509">
        <v>16.61</v>
      </c>
      <c r="E509">
        <v>24.75</v>
      </c>
      <c r="F509" t="s">
        <v>10</v>
      </c>
      <c r="G5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09">
        <f>IF(Table1[[#This Row],[is_ups_overcharge]]="ups overcharged",Table1[[#This Row],[ups ship charge]]-Table1[[#This Row],[ada ship charge]],0)</f>
        <v>0</v>
      </c>
    </row>
    <row r="510" spans="1:9" x14ac:dyDescent="0.2">
      <c r="A510">
        <v>1009008</v>
      </c>
      <c r="B510" t="s">
        <v>20</v>
      </c>
      <c r="C510">
        <v>12.81</v>
      </c>
      <c r="D510">
        <v>12.86</v>
      </c>
      <c r="E510">
        <v>32.299999999999997</v>
      </c>
      <c r="F510" t="s">
        <v>9</v>
      </c>
      <c r="G5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10">
        <f>IF(Table1[[#This Row],[is_ups_overcharge]]="ups overcharged",Table1[[#This Row],[ups ship charge]]-Table1[[#This Row],[ada ship charge]],0)</f>
        <v>0</v>
      </c>
    </row>
    <row r="511" spans="1:9" x14ac:dyDescent="0.2">
      <c r="A511">
        <v>1009017</v>
      </c>
      <c r="B511" t="s">
        <v>20</v>
      </c>
      <c r="C511">
        <v>16.77</v>
      </c>
      <c r="D511">
        <v>16.82</v>
      </c>
      <c r="E511">
        <v>204.7</v>
      </c>
      <c r="F511" t="s">
        <v>10</v>
      </c>
      <c r="G5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11">
        <f>IF(Table1[[#This Row],[is_ups_overcharge]]="ups overcharged",Table1[[#This Row],[ups ship charge]]-Table1[[#This Row],[ada ship charge]],0)</f>
        <v>0</v>
      </c>
    </row>
    <row r="512" spans="1:9" x14ac:dyDescent="0.2">
      <c r="A512">
        <v>1009029</v>
      </c>
      <c r="B512" t="s">
        <v>20</v>
      </c>
      <c r="C512">
        <v>12.81</v>
      </c>
      <c r="D512">
        <v>12.86</v>
      </c>
      <c r="E512">
        <v>102.35</v>
      </c>
      <c r="F512" t="s">
        <v>9</v>
      </c>
      <c r="G5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12">
        <f>IF(Table1[[#This Row],[is_ups_overcharge]]="ups overcharged",Table1[[#This Row],[ups ship charge]]-Table1[[#This Row],[ada ship charge]],0)</f>
        <v>0</v>
      </c>
    </row>
    <row r="513" spans="1:9" x14ac:dyDescent="0.2">
      <c r="A513">
        <v>1009036</v>
      </c>
      <c r="B513" t="s">
        <v>20</v>
      </c>
      <c r="C513">
        <v>9.6999999999999993</v>
      </c>
      <c r="D513">
        <v>9.75</v>
      </c>
      <c r="E513">
        <v>25.35</v>
      </c>
      <c r="F513" t="s">
        <v>6</v>
      </c>
      <c r="G5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13">
        <f>IF(Table1[[#This Row],[is_ups_overcharge]]="ups overcharged",Table1[[#This Row],[ups ship charge]]-Table1[[#This Row],[ada ship charge]],0)</f>
        <v>0</v>
      </c>
    </row>
    <row r="514" spans="1:9" x14ac:dyDescent="0.2">
      <c r="A514">
        <v>1009059</v>
      </c>
      <c r="B514" t="s">
        <v>20</v>
      </c>
      <c r="C514">
        <v>13.7</v>
      </c>
      <c r="D514">
        <v>13.79</v>
      </c>
      <c r="E514">
        <v>53.35</v>
      </c>
      <c r="F514" t="s">
        <v>9</v>
      </c>
      <c r="G5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14">
        <f>IF(Table1[[#This Row],[is_ups_overcharge]]="ups overcharged",Table1[[#This Row],[ups ship charge]]-Table1[[#This Row],[ada ship charge]],0)</f>
        <v>0</v>
      </c>
    </row>
    <row r="515" spans="1:9" x14ac:dyDescent="0.2">
      <c r="A515">
        <v>1009066</v>
      </c>
      <c r="B515" t="s">
        <v>20</v>
      </c>
      <c r="C515">
        <v>12.81</v>
      </c>
      <c r="D515">
        <v>13.88</v>
      </c>
      <c r="E515">
        <v>12.85</v>
      </c>
      <c r="F515" t="s">
        <v>9</v>
      </c>
      <c r="G5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15">
        <f>IF(Table1[[#This Row],[is_ups_overcharge]]="ups overcharged",Table1[[#This Row],[ups ship charge]]-Table1[[#This Row],[ada ship charge]],0)</f>
        <v>0</v>
      </c>
    </row>
    <row r="516" spans="1:9" x14ac:dyDescent="0.2">
      <c r="A516">
        <v>1009074</v>
      </c>
      <c r="B516" t="s">
        <v>20</v>
      </c>
      <c r="C516">
        <v>9.6999999999999993</v>
      </c>
      <c r="D516">
        <v>0</v>
      </c>
      <c r="E516">
        <v>464.68</v>
      </c>
      <c r="F516" t="s">
        <v>6</v>
      </c>
      <c r="G5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1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16">
        <f>IF(Table1[[#This Row],[is_ups_overcharge]]="ups overcharged",Table1[[#This Row],[ups ship charge]]-Table1[[#This Row],[ada ship charge]],0)</f>
        <v>0</v>
      </c>
    </row>
    <row r="517" spans="1:9" x14ac:dyDescent="0.2">
      <c r="A517">
        <v>1009081</v>
      </c>
      <c r="B517" t="s">
        <v>20</v>
      </c>
      <c r="C517">
        <v>12.81</v>
      </c>
      <c r="D517">
        <v>12.86</v>
      </c>
      <c r="E517">
        <v>64.2</v>
      </c>
      <c r="F517" t="s">
        <v>9</v>
      </c>
      <c r="G5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17">
        <f>IF(Table1[[#This Row],[is_ups_overcharge]]="ups overcharged",Table1[[#This Row],[ups ship charge]]-Table1[[#This Row],[ada ship charge]],0)</f>
        <v>0</v>
      </c>
    </row>
    <row r="518" spans="1:9" x14ac:dyDescent="0.2">
      <c r="A518">
        <v>1009113</v>
      </c>
      <c r="B518" t="s">
        <v>20</v>
      </c>
      <c r="C518">
        <v>15.44</v>
      </c>
      <c r="D518">
        <v>15.49</v>
      </c>
      <c r="E518">
        <v>54.45</v>
      </c>
      <c r="F518" t="s">
        <v>12</v>
      </c>
      <c r="G5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18">
        <f>IF(Table1[[#This Row],[is_ups_overcharge]]="ups overcharged",Table1[[#This Row],[ups ship charge]]-Table1[[#This Row],[ada ship charge]],0)</f>
        <v>0</v>
      </c>
    </row>
    <row r="519" spans="1:9" x14ac:dyDescent="0.2">
      <c r="A519">
        <v>1009114</v>
      </c>
      <c r="B519" t="s">
        <v>20</v>
      </c>
      <c r="C519">
        <v>9.6999999999999993</v>
      </c>
      <c r="D519">
        <v>9.75</v>
      </c>
      <c r="E519">
        <v>7.8</v>
      </c>
      <c r="F519" t="s">
        <v>6</v>
      </c>
      <c r="G5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19">
        <f>IF(Table1[[#This Row],[is_ups_overcharge]]="ups overcharged",Table1[[#This Row],[ups ship charge]]-Table1[[#This Row],[ada ship charge]],0)</f>
        <v>0</v>
      </c>
    </row>
    <row r="520" spans="1:9" x14ac:dyDescent="0.2">
      <c r="A520">
        <v>1009115</v>
      </c>
      <c r="B520" t="s">
        <v>20</v>
      </c>
      <c r="C520">
        <v>16.87</v>
      </c>
      <c r="D520">
        <v>16.920000000000002</v>
      </c>
      <c r="E520">
        <v>71.8</v>
      </c>
      <c r="F520" t="s">
        <v>10</v>
      </c>
      <c r="G5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20">
        <f>IF(Table1[[#This Row],[is_ups_overcharge]]="ups overcharged",Table1[[#This Row],[ups ship charge]]-Table1[[#This Row],[ada ship charge]],0)</f>
        <v>0</v>
      </c>
    </row>
    <row r="521" spans="1:9" x14ac:dyDescent="0.2">
      <c r="A521">
        <v>1009121</v>
      </c>
      <c r="B521" t="s">
        <v>20</v>
      </c>
      <c r="C521">
        <v>13.7</v>
      </c>
      <c r="D521">
        <v>13.75</v>
      </c>
      <c r="E521">
        <v>59.9</v>
      </c>
      <c r="F521" t="s">
        <v>9</v>
      </c>
      <c r="G5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21">
        <f>IF(Table1[[#This Row],[is_ups_overcharge]]="ups overcharged",Table1[[#This Row],[ups ship charge]]-Table1[[#This Row],[ada ship charge]],0)</f>
        <v>0</v>
      </c>
    </row>
    <row r="522" spans="1:9" x14ac:dyDescent="0.2">
      <c r="A522">
        <v>1009125</v>
      </c>
      <c r="B522" t="s">
        <v>20</v>
      </c>
      <c r="C522">
        <v>13.7</v>
      </c>
      <c r="D522">
        <v>13.76</v>
      </c>
      <c r="E522">
        <v>172.95</v>
      </c>
      <c r="F522" t="s">
        <v>9</v>
      </c>
      <c r="G5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22">
        <f>IF(Table1[[#This Row],[is_ups_overcharge]]="ups overcharged",Table1[[#This Row],[ups ship charge]]-Table1[[#This Row],[ada ship charge]],0)</f>
        <v>0</v>
      </c>
    </row>
    <row r="523" spans="1:9" x14ac:dyDescent="0.2">
      <c r="A523">
        <v>1009126</v>
      </c>
      <c r="B523" t="s">
        <v>20</v>
      </c>
      <c r="C523">
        <v>13.7</v>
      </c>
      <c r="D523">
        <v>13.75</v>
      </c>
      <c r="E523">
        <v>19.149999999999999</v>
      </c>
      <c r="F523" t="s">
        <v>9</v>
      </c>
      <c r="G5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23">
        <f>IF(Table1[[#This Row],[is_ups_overcharge]]="ups overcharged",Table1[[#This Row],[ups ship charge]]-Table1[[#This Row],[ada ship charge]],0)</f>
        <v>0</v>
      </c>
    </row>
    <row r="524" spans="1:9" x14ac:dyDescent="0.2">
      <c r="A524">
        <v>1009144</v>
      </c>
      <c r="B524" t="s">
        <v>20</v>
      </c>
      <c r="C524">
        <v>9.7100000000000009</v>
      </c>
      <c r="D524">
        <v>0</v>
      </c>
      <c r="E524">
        <v>6</v>
      </c>
      <c r="F524" t="s">
        <v>6</v>
      </c>
      <c r="G5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2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524">
        <f>IF(Table1[[#This Row],[is_ups_overcharge]]="ups overcharged",Table1[[#This Row],[ups ship charge]]-Table1[[#This Row],[ada ship charge]],0)</f>
        <v>9.7100000000000009</v>
      </c>
    </row>
    <row r="525" spans="1:9" x14ac:dyDescent="0.2">
      <c r="A525">
        <v>1009165</v>
      </c>
      <c r="B525" t="s">
        <v>20</v>
      </c>
      <c r="C525">
        <v>9.6999999999999993</v>
      </c>
      <c r="D525">
        <v>13.75</v>
      </c>
      <c r="E525">
        <v>25.45</v>
      </c>
      <c r="F525" t="s">
        <v>6</v>
      </c>
      <c r="G5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25">
        <f>IF(Table1[[#This Row],[is_ups_overcharge]]="ups overcharged",Table1[[#This Row],[ups ship charge]]-Table1[[#This Row],[ada ship charge]],0)</f>
        <v>0</v>
      </c>
    </row>
    <row r="526" spans="1:9" x14ac:dyDescent="0.2">
      <c r="A526">
        <v>1009168</v>
      </c>
      <c r="B526" t="s">
        <v>20</v>
      </c>
      <c r="C526">
        <v>12.81</v>
      </c>
      <c r="D526">
        <v>12.86</v>
      </c>
      <c r="E526">
        <v>137.69999999999999</v>
      </c>
      <c r="F526" t="s">
        <v>9</v>
      </c>
      <c r="G5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26">
        <f>IF(Table1[[#This Row],[is_ups_overcharge]]="ups overcharged",Table1[[#This Row],[ups ship charge]]-Table1[[#This Row],[ada ship charge]],0)</f>
        <v>0</v>
      </c>
    </row>
    <row r="527" spans="1:9" x14ac:dyDescent="0.2">
      <c r="A527">
        <v>1009170</v>
      </c>
      <c r="B527" t="s">
        <v>20</v>
      </c>
      <c r="C527">
        <v>15.44</v>
      </c>
      <c r="D527">
        <v>15.49</v>
      </c>
      <c r="E527">
        <v>9.9499999999999993</v>
      </c>
      <c r="F527" t="s">
        <v>12</v>
      </c>
      <c r="G5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27">
        <f>IF(Table1[[#This Row],[is_ups_overcharge]]="ups overcharged",Table1[[#This Row],[ups ship charge]]-Table1[[#This Row],[ada ship charge]],0)</f>
        <v>0</v>
      </c>
    </row>
    <row r="528" spans="1:9" x14ac:dyDescent="0.2">
      <c r="A528">
        <v>1009190</v>
      </c>
      <c r="B528" t="s">
        <v>20</v>
      </c>
      <c r="C528">
        <v>15.44</v>
      </c>
      <c r="D528">
        <v>15.49</v>
      </c>
      <c r="E528">
        <v>39.15</v>
      </c>
      <c r="F528" t="s">
        <v>12</v>
      </c>
      <c r="G5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28">
        <f>IF(Table1[[#This Row],[is_ups_overcharge]]="ups overcharged",Table1[[#This Row],[ups ship charge]]-Table1[[#This Row],[ada ship charge]],0)</f>
        <v>0</v>
      </c>
    </row>
    <row r="529" spans="1:9" x14ac:dyDescent="0.2">
      <c r="A529">
        <v>1009197</v>
      </c>
      <c r="B529" t="s">
        <v>20</v>
      </c>
      <c r="C529">
        <v>9.6999999999999993</v>
      </c>
      <c r="D529">
        <v>9.75</v>
      </c>
      <c r="E529">
        <v>148.35</v>
      </c>
      <c r="F529" t="s">
        <v>6</v>
      </c>
      <c r="G5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29">
        <f>IF(Table1[[#This Row],[is_ups_overcharge]]="ups overcharged",Table1[[#This Row],[ups ship charge]]-Table1[[#This Row],[ada ship charge]],0)</f>
        <v>0</v>
      </c>
    </row>
    <row r="530" spans="1:9" x14ac:dyDescent="0.2">
      <c r="A530">
        <v>1009205</v>
      </c>
      <c r="B530" t="s">
        <v>20</v>
      </c>
      <c r="C530">
        <v>13.26</v>
      </c>
      <c r="D530">
        <v>13.31</v>
      </c>
      <c r="E530">
        <v>193.55</v>
      </c>
      <c r="F530" t="s">
        <v>9</v>
      </c>
      <c r="G5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30">
        <f>IF(Table1[[#This Row],[is_ups_overcharge]]="ups overcharged",Table1[[#This Row],[ups ship charge]]-Table1[[#This Row],[ada ship charge]],0)</f>
        <v>0</v>
      </c>
    </row>
    <row r="531" spans="1:9" x14ac:dyDescent="0.2">
      <c r="A531">
        <v>1009214</v>
      </c>
      <c r="B531" t="s">
        <v>20</v>
      </c>
      <c r="C531">
        <v>9.7100000000000009</v>
      </c>
      <c r="D531">
        <v>9.75</v>
      </c>
      <c r="E531">
        <v>81</v>
      </c>
      <c r="F531" t="s">
        <v>6</v>
      </c>
      <c r="G5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31">
        <f>IF(Table1[[#This Row],[is_ups_overcharge]]="ups overcharged",Table1[[#This Row],[ups ship charge]]-Table1[[#This Row],[ada ship charge]],0)</f>
        <v>0</v>
      </c>
    </row>
    <row r="532" spans="1:9" x14ac:dyDescent="0.2">
      <c r="A532">
        <v>1009215</v>
      </c>
      <c r="B532" t="s">
        <v>20</v>
      </c>
      <c r="C532">
        <v>16.77</v>
      </c>
      <c r="D532">
        <v>16.82</v>
      </c>
      <c r="E532">
        <v>50.45</v>
      </c>
      <c r="F532" t="s">
        <v>10</v>
      </c>
      <c r="G5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32">
        <f>IF(Table1[[#This Row],[is_ups_overcharge]]="ups overcharged",Table1[[#This Row],[ups ship charge]]-Table1[[#This Row],[ada ship charge]],0)</f>
        <v>0</v>
      </c>
    </row>
    <row r="533" spans="1:9" x14ac:dyDescent="0.2">
      <c r="A533">
        <v>1009222</v>
      </c>
      <c r="B533" t="s">
        <v>20</v>
      </c>
      <c r="C533">
        <v>9.6999999999999993</v>
      </c>
      <c r="D533">
        <v>9.75</v>
      </c>
      <c r="E533">
        <v>40.950000000000003</v>
      </c>
      <c r="F533" t="s">
        <v>6</v>
      </c>
      <c r="G5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33">
        <f>IF(Table1[[#This Row],[is_ups_overcharge]]="ups overcharged",Table1[[#This Row],[ups ship charge]]-Table1[[#This Row],[ada ship charge]],0)</f>
        <v>0</v>
      </c>
    </row>
    <row r="534" spans="1:9" x14ac:dyDescent="0.2">
      <c r="A534">
        <v>1009223</v>
      </c>
      <c r="B534" t="s">
        <v>20</v>
      </c>
      <c r="C534">
        <v>13.7</v>
      </c>
      <c r="D534">
        <v>0</v>
      </c>
      <c r="E534">
        <v>316</v>
      </c>
      <c r="F534" t="s">
        <v>9</v>
      </c>
      <c r="G5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3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34">
        <f>IF(Table1[[#This Row],[is_ups_overcharge]]="ups overcharged",Table1[[#This Row],[ups ship charge]]-Table1[[#This Row],[ada ship charge]],0)</f>
        <v>0</v>
      </c>
    </row>
    <row r="535" spans="1:9" x14ac:dyDescent="0.2">
      <c r="A535">
        <v>1009224</v>
      </c>
      <c r="B535" t="s">
        <v>20</v>
      </c>
      <c r="C535">
        <v>23.33</v>
      </c>
      <c r="D535">
        <v>24.61</v>
      </c>
      <c r="E535">
        <v>99.9</v>
      </c>
      <c r="F535" t="s">
        <v>15</v>
      </c>
      <c r="G5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35">
        <f>IF(Table1[[#This Row],[is_ups_overcharge]]="ups overcharged",Table1[[#This Row],[ups ship charge]]-Table1[[#This Row],[ada ship charge]],0)</f>
        <v>0</v>
      </c>
    </row>
    <row r="536" spans="1:9" x14ac:dyDescent="0.2">
      <c r="A536">
        <v>1009228</v>
      </c>
      <c r="B536" t="s">
        <v>20</v>
      </c>
      <c r="C536">
        <v>13.6</v>
      </c>
      <c r="D536">
        <v>13.65</v>
      </c>
      <c r="E536">
        <v>84.6</v>
      </c>
      <c r="F536" t="s">
        <v>16</v>
      </c>
      <c r="G5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36">
        <f>IF(Table1[[#This Row],[is_ups_overcharge]]="ups overcharged",Table1[[#This Row],[ups ship charge]]-Table1[[#This Row],[ada ship charge]],0)</f>
        <v>0</v>
      </c>
    </row>
    <row r="537" spans="1:9" x14ac:dyDescent="0.2">
      <c r="A537">
        <v>1009234</v>
      </c>
      <c r="B537" t="s">
        <v>20</v>
      </c>
      <c r="C537">
        <v>12.81</v>
      </c>
      <c r="D537">
        <v>0</v>
      </c>
      <c r="E537">
        <v>208.35</v>
      </c>
      <c r="F537" t="s">
        <v>9</v>
      </c>
      <c r="G5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3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37">
        <f>IF(Table1[[#This Row],[is_ups_overcharge]]="ups overcharged",Table1[[#This Row],[ups ship charge]]-Table1[[#This Row],[ada ship charge]],0)</f>
        <v>0</v>
      </c>
    </row>
    <row r="538" spans="1:9" x14ac:dyDescent="0.2">
      <c r="A538">
        <v>1009239</v>
      </c>
      <c r="B538" t="s">
        <v>20</v>
      </c>
      <c r="C538">
        <v>9.6999999999999993</v>
      </c>
      <c r="D538">
        <v>0</v>
      </c>
      <c r="E538">
        <v>400</v>
      </c>
      <c r="F538" t="s">
        <v>6</v>
      </c>
      <c r="G5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3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38">
        <f>IF(Table1[[#This Row],[is_ups_overcharge]]="ups overcharged",Table1[[#This Row],[ups ship charge]]-Table1[[#This Row],[ada ship charge]],0)</f>
        <v>0</v>
      </c>
    </row>
    <row r="539" spans="1:9" x14ac:dyDescent="0.2">
      <c r="A539">
        <v>1009241</v>
      </c>
      <c r="B539" t="s">
        <v>20</v>
      </c>
      <c r="C539">
        <v>13.7</v>
      </c>
      <c r="D539">
        <v>13.75</v>
      </c>
      <c r="E539">
        <v>11.9</v>
      </c>
      <c r="F539" t="s">
        <v>9</v>
      </c>
      <c r="G5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39">
        <f>IF(Table1[[#This Row],[is_ups_overcharge]]="ups overcharged",Table1[[#This Row],[ups ship charge]]-Table1[[#This Row],[ada ship charge]],0)</f>
        <v>0</v>
      </c>
    </row>
    <row r="540" spans="1:9" x14ac:dyDescent="0.2">
      <c r="A540">
        <v>1009265</v>
      </c>
      <c r="B540" t="s">
        <v>20</v>
      </c>
      <c r="C540">
        <v>13.7</v>
      </c>
      <c r="D540">
        <v>13.75</v>
      </c>
      <c r="E540">
        <v>26.9</v>
      </c>
      <c r="F540" t="s">
        <v>9</v>
      </c>
      <c r="G5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40">
        <f>IF(Table1[[#This Row],[is_ups_overcharge]]="ups overcharged",Table1[[#This Row],[ups ship charge]]-Table1[[#This Row],[ada ship charge]],0)</f>
        <v>0</v>
      </c>
    </row>
    <row r="541" spans="1:9" x14ac:dyDescent="0.2">
      <c r="A541">
        <v>1009292</v>
      </c>
      <c r="B541" t="s">
        <v>20</v>
      </c>
      <c r="C541">
        <v>12.81</v>
      </c>
      <c r="D541">
        <v>12.86</v>
      </c>
      <c r="E541">
        <v>44.75</v>
      </c>
      <c r="F541" t="s">
        <v>9</v>
      </c>
      <c r="G5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41">
        <f>IF(Table1[[#This Row],[is_ups_overcharge]]="ups overcharged",Table1[[#This Row],[ups ship charge]]-Table1[[#This Row],[ada ship charge]],0)</f>
        <v>0</v>
      </c>
    </row>
    <row r="542" spans="1:9" x14ac:dyDescent="0.2">
      <c r="A542">
        <v>1009296</v>
      </c>
      <c r="B542" t="s">
        <v>20</v>
      </c>
      <c r="C542">
        <v>17.7</v>
      </c>
      <c r="D542">
        <v>17.75</v>
      </c>
      <c r="E542">
        <v>510.6</v>
      </c>
      <c r="F542" t="s">
        <v>14</v>
      </c>
      <c r="G5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42">
        <f>IF(Table1[[#This Row],[is_ups_overcharge]]="ups overcharged",Table1[[#This Row],[ups ship charge]]-Table1[[#This Row],[ada ship charge]],0)</f>
        <v>0</v>
      </c>
    </row>
    <row r="543" spans="1:9" x14ac:dyDescent="0.2">
      <c r="A543">
        <v>1009299</v>
      </c>
      <c r="B543" t="s">
        <v>20</v>
      </c>
      <c r="C543">
        <v>9.6999999999999993</v>
      </c>
      <c r="D543">
        <v>0</v>
      </c>
      <c r="E543">
        <v>208.95</v>
      </c>
      <c r="F543" t="s">
        <v>6</v>
      </c>
      <c r="G5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4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43">
        <f>IF(Table1[[#This Row],[is_ups_overcharge]]="ups overcharged",Table1[[#This Row],[ups ship charge]]-Table1[[#This Row],[ada ship charge]],0)</f>
        <v>0</v>
      </c>
    </row>
    <row r="544" spans="1:9" x14ac:dyDescent="0.2">
      <c r="A544">
        <v>1009352</v>
      </c>
      <c r="B544" t="s">
        <v>20</v>
      </c>
      <c r="C544">
        <v>9.6999999999999993</v>
      </c>
      <c r="D544">
        <v>14.28</v>
      </c>
      <c r="E544">
        <v>176.9</v>
      </c>
      <c r="F544" t="s">
        <v>6</v>
      </c>
      <c r="G5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44">
        <f>IF(Table1[[#This Row],[is_ups_overcharge]]="ups overcharged",Table1[[#This Row],[ups ship charge]]-Table1[[#This Row],[ada ship charge]],0)</f>
        <v>0</v>
      </c>
    </row>
    <row r="545" spans="1:9" x14ac:dyDescent="0.2">
      <c r="A545">
        <v>1009364</v>
      </c>
      <c r="B545" t="s">
        <v>20</v>
      </c>
      <c r="C545">
        <v>12.45</v>
      </c>
      <c r="D545">
        <v>14.36</v>
      </c>
      <c r="E545">
        <v>71.599999999999994</v>
      </c>
      <c r="F545" t="s">
        <v>13</v>
      </c>
      <c r="G5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45">
        <f>IF(Table1[[#This Row],[is_ups_overcharge]]="ups overcharged",Table1[[#This Row],[ups ship charge]]-Table1[[#This Row],[ada ship charge]],0)</f>
        <v>0</v>
      </c>
    </row>
    <row r="546" spans="1:9" x14ac:dyDescent="0.2">
      <c r="A546">
        <v>1009381</v>
      </c>
      <c r="B546" t="s">
        <v>20</v>
      </c>
      <c r="C546">
        <v>12.81</v>
      </c>
      <c r="D546">
        <v>12.86</v>
      </c>
      <c r="E546">
        <v>18.899999999999999</v>
      </c>
      <c r="F546" t="s">
        <v>9</v>
      </c>
      <c r="G5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46">
        <f>IF(Table1[[#This Row],[is_ups_overcharge]]="ups overcharged",Table1[[#This Row],[ups ship charge]]-Table1[[#This Row],[ada ship charge]],0)</f>
        <v>0</v>
      </c>
    </row>
    <row r="547" spans="1:9" x14ac:dyDescent="0.2">
      <c r="A547">
        <v>1009383</v>
      </c>
      <c r="B547" t="s">
        <v>20</v>
      </c>
      <c r="C547">
        <v>12.45</v>
      </c>
      <c r="D547">
        <v>16.61</v>
      </c>
      <c r="E547">
        <v>9.9</v>
      </c>
      <c r="F547" t="s">
        <v>13</v>
      </c>
      <c r="G5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47">
        <f>IF(Table1[[#This Row],[is_ups_overcharge]]="ups overcharged",Table1[[#This Row],[ups ship charge]]-Table1[[#This Row],[ada ship charge]],0)</f>
        <v>0</v>
      </c>
    </row>
    <row r="548" spans="1:9" x14ac:dyDescent="0.2">
      <c r="A548">
        <v>1009386</v>
      </c>
      <c r="B548" t="s">
        <v>20</v>
      </c>
      <c r="C548">
        <v>16.77</v>
      </c>
      <c r="D548">
        <v>16.82</v>
      </c>
      <c r="E548">
        <v>151.35</v>
      </c>
      <c r="F548" t="s">
        <v>10</v>
      </c>
      <c r="G5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48">
        <f>IF(Table1[[#This Row],[is_ups_overcharge]]="ups overcharged",Table1[[#This Row],[ups ship charge]]-Table1[[#This Row],[ada ship charge]],0)</f>
        <v>0</v>
      </c>
    </row>
    <row r="549" spans="1:9" x14ac:dyDescent="0.2">
      <c r="A549">
        <v>1009422</v>
      </c>
      <c r="B549" t="s">
        <v>20</v>
      </c>
      <c r="C549">
        <v>12.81</v>
      </c>
      <c r="D549">
        <v>12.9</v>
      </c>
      <c r="E549">
        <v>34.9</v>
      </c>
      <c r="F549" t="s">
        <v>9</v>
      </c>
      <c r="G5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49">
        <f>IF(Table1[[#This Row],[is_ups_overcharge]]="ups overcharged",Table1[[#This Row],[ups ship charge]]-Table1[[#This Row],[ada ship charge]],0)</f>
        <v>0</v>
      </c>
    </row>
    <row r="550" spans="1:9" x14ac:dyDescent="0.2">
      <c r="A550">
        <v>1009427</v>
      </c>
      <c r="B550" t="s">
        <v>20</v>
      </c>
      <c r="C550">
        <v>13.7</v>
      </c>
      <c r="D550">
        <v>13.75</v>
      </c>
      <c r="E550">
        <v>1.95</v>
      </c>
      <c r="F550" t="s">
        <v>9</v>
      </c>
      <c r="G5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50">
        <f>IF(Table1[[#This Row],[is_ups_overcharge]]="ups overcharged",Table1[[#This Row],[ups ship charge]]-Table1[[#This Row],[ada ship charge]],0)</f>
        <v>0</v>
      </c>
    </row>
    <row r="551" spans="1:9" x14ac:dyDescent="0.2">
      <c r="A551">
        <v>1009431</v>
      </c>
      <c r="B551" t="s">
        <v>20</v>
      </c>
      <c r="C551">
        <v>13.7</v>
      </c>
      <c r="D551">
        <v>13.75</v>
      </c>
      <c r="E551">
        <v>24.95</v>
      </c>
      <c r="F551" t="s">
        <v>9</v>
      </c>
      <c r="G5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51">
        <f>IF(Table1[[#This Row],[is_ups_overcharge]]="ups overcharged",Table1[[#This Row],[ups ship charge]]-Table1[[#This Row],[ada ship charge]],0)</f>
        <v>0</v>
      </c>
    </row>
    <row r="552" spans="1:9" x14ac:dyDescent="0.2">
      <c r="A552">
        <v>1009440</v>
      </c>
      <c r="B552" t="s">
        <v>20</v>
      </c>
      <c r="C552">
        <v>13.71</v>
      </c>
      <c r="D552">
        <v>13.76</v>
      </c>
      <c r="E552">
        <v>73.849999999999994</v>
      </c>
      <c r="F552" t="s">
        <v>9</v>
      </c>
      <c r="G5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52">
        <f>IF(Table1[[#This Row],[is_ups_overcharge]]="ups overcharged",Table1[[#This Row],[ups ship charge]]-Table1[[#This Row],[ada ship charge]],0)</f>
        <v>0</v>
      </c>
    </row>
    <row r="553" spans="1:9" x14ac:dyDescent="0.2">
      <c r="A553">
        <v>1009443</v>
      </c>
      <c r="B553" t="s">
        <v>20</v>
      </c>
      <c r="C553">
        <v>13.7</v>
      </c>
      <c r="D553">
        <v>13.75</v>
      </c>
      <c r="E553">
        <v>34.99</v>
      </c>
      <c r="F553" t="s">
        <v>9</v>
      </c>
      <c r="G5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53">
        <f>IF(Table1[[#This Row],[is_ups_overcharge]]="ups overcharged",Table1[[#This Row],[ups ship charge]]-Table1[[#This Row],[ada ship charge]],0)</f>
        <v>0</v>
      </c>
    </row>
    <row r="554" spans="1:9" x14ac:dyDescent="0.2">
      <c r="A554">
        <v>1009446</v>
      </c>
      <c r="B554" t="s">
        <v>20</v>
      </c>
      <c r="C554">
        <v>11.02</v>
      </c>
      <c r="D554">
        <v>11.07</v>
      </c>
      <c r="E554">
        <v>67.95</v>
      </c>
      <c r="F554" t="s">
        <v>14</v>
      </c>
      <c r="G5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54">
        <f>IF(Table1[[#This Row],[is_ups_overcharge]]="ups overcharged",Table1[[#This Row],[ups ship charge]]-Table1[[#This Row],[ada ship charge]],0)</f>
        <v>0</v>
      </c>
    </row>
    <row r="555" spans="1:9" x14ac:dyDescent="0.2">
      <c r="A555">
        <v>1009453</v>
      </c>
      <c r="B555" t="s">
        <v>20</v>
      </c>
      <c r="C555">
        <v>12.81</v>
      </c>
      <c r="D555">
        <v>12.86</v>
      </c>
      <c r="E555">
        <v>19.95</v>
      </c>
      <c r="F555" t="s">
        <v>9</v>
      </c>
      <c r="G5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55">
        <f>IF(Table1[[#This Row],[is_ups_overcharge]]="ups overcharged",Table1[[#This Row],[ups ship charge]]-Table1[[#This Row],[ada ship charge]],0)</f>
        <v>0</v>
      </c>
    </row>
    <row r="556" spans="1:9" x14ac:dyDescent="0.2">
      <c r="A556">
        <v>1009459</v>
      </c>
      <c r="B556" t="s">
        <v>20</v>
      </c>
      <c r="C556">
        <v>15.13</v>
      </c>
      <c r="D556">
        <v>15.18</v>
      </c>
      <c r="E556">
        <v>39.950000000000003</v>
      </c>
      <c r="F556" t="s">
        <v>12</v>
      </c>
      <c r="G5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56">
        <f>IF(Table1[[#This Row],[is_ups_overcharge]]="ups overcharged",Table1[[#This Row],[ups ship charge]]-Table1[[#This Row],[ada ship charge]],0)</f>
        <v>0</v>
      </c>
    </row>
    <row r="557" spans="1:9" x14ac:dyDescent="0.2">
      <c r="A557">
        <v>1009466</v>
      </c>
      <c r="B557" t="s">
        <v>20</v>
      </c>
      <c r="C557">
        <v>12.81</v>
      </c>
      <c r="D557">
        <v>12.86</v>
      </c>
      <c r="E557">
        <v>155.25</v>
      </c>
      <c r="F557" t="s">
        <v>9</v>
      </c>
      <c r="G5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57">
        <f>IF(Table1[[#This Row],[is_ups_overcharge]]="ups overcharged",Table1[[#This Row],[ups ship charge]]-Table1[[#This Row],[ada ship charge]],0)</f>
        <v>0</v>
      </c>
    </row>
    <row r="558" spans="1:9" x14ac:dyDescent="0.2">
      <c r="A558">
        <v>1009491</v>
      </c>
      <c r="B558" t="s">
        <v>20</v>
      </c>
      <c r="C558">
        <v>15.44</v>
      </c>
      <c r="D558">
        <v>15.49</v>
      </c>
      <c r="E558">
        <v>46.4</v>
      </c>
      <c r="F558" t="s">
        <v>12</v>
      </c>
      <c r="G5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58">
        <f>IF(Table1[[#This Row],[is_ups_overcharge]]="ups overcharged",Table1[[#This Row],[ups ship charge]]-Table1[[#This Row],[ada ship charge]],0)</f>
        <v>0</v>
      </c>
    </row>
    <row r="559" spans="1:9" x14ac:dyDescent="0.2">
      <c r="A559">
        <v>1009537</v>
      </c>
      <c r="B559" t="s">
        <v>20</v>
      </c>
      <c r="C559">
        <v>12.81</v>
      </c>
      <c r="D559">
        <v>12.86</v>
      </c>
      <c r="E559">
        <v>74.75</v>
      </c>
      <c r="F559" t="s">
        <v>9</v>
      </c>
      <c r="G5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59">
        <f>IF(Table1[[#This Row],[is_ups_overcharge]]="ups overcharged",Table1[[#This Row],[ups ship charge]]-Table1[[#This Row],[ada ship charge]],0)</f>
        <v>0</v>
      </c>
    </row>
    <row r="560" spans="1:9" x14ac:dyDescent="0.2">
      <c r="A560">
        <v>1009538</v>
      </c>
      <c r="B560" t="s">
        <v>20</v>
      </c>
      <c r="C560">
        <v>12.81</v>
      </c>
      <c r="D560">
        <v>12.86</v>
      </c>
      <c r="E560">
        <v>89.6</v>
      </c>
      <c r="F560" t="s">
        <v>9</v>
      </c>
      <c r="G5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60">
        <f>IF(Table1[[#This Row],[is_ups_overcharge]]="ups overcharged",Table1[[#This Row],[ups ship charge]]-Table1[[#This Row],[ada ship charge]],0)</f>
        <v>0</v>
      </c>
    </row>
    <row r="561" spans="1:9" x14ac:dyDescent="0.2">
      <c r="A561">
        <v>1009543</v>
      </c>
      <c r="B561" t="s">
        <v>20</v>
      </c>
      <c r="C561">
        <v>13.71</v>
      </c>
      <c r="D561">
        <v>0</v>
      </c>
      <c r="E561">
        <v>286.8</v>
      </c>
      <c r="F561" t="s">
        <v>9</v>
      </c>
      <c r="G5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6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61">
        <f>IF(Table1[[#This Row],[is_ups_overcharge]]="ups overcharged",Table1[[#This Row],[ups ship charge]]-Table1[[#This Row],[ada ship charge]],0)</f>
        <v>0</v>
      </c>
    </row>
    <row r="562" spans="1:9" x14ac:dyDescent="0.2">
      <c r="A562">
        <v>1009556</v>
      </c>
      <c r="B562" t="s">
        <v>20</v>
      </c>
      <c r="C562">
        <v>13.71</v>
      </c>
      <c r="D562">
        <v>13.75</v>
      </c>
      <c r="E562">
        <v>62.4</v>
      </c>
      <c r="F562" t="s">
        <v>9</v>
      </c>
      <c r="G5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62">
        <f>IF(Table1[[#This Row],[is_ups_overcharge]]="ups overcharged",Table1[[#This Row],[ups ship charge]]-Table1[[#This Row],[ada ship charge]],0)</f>
        <v>0</v>
      </c>
    </row>
    <row r="563" spans="1:9" x14ac:dyDescent="0.2">
      <c r="A563">
        <v>1009558</v>
      </c>
      <c r="B563" t="s">
        <v>20</v>
      </c>
      <c r="C563">
        <v>13.83</v>
      </c>
      <c r="D563">
        <v>0</v>
      </c>
      <c r="E563">
        <v>297.64999999999998</v>
      </c>
      <c r="F563" t="s">
        <v>9</v>
      </c>
      <c r="G5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6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63">
        <f>IF(Table1[[#This Row],[is_ups_overcharge]]="ups overcharged",Table1[[#This Row],[ups ship charge]]-Table1[[#This Row],[ada ship charge]],0)</f>
        <v>0</v>
      </c>
    </row>
    <row r="564" spans="1:9" x14ac:dyDescent="0.2">
      <c r="A564">
        <v>1009613</v>
      </c>
      <c r="B564" t="s">
        <v>20</v>
      </c>
      <c r="C564">
        <v>11.02</v>
      </c>
      <c r="D564">
        <v>11.07</v>
      </c>
      <c r="E564">
        <v>45.6</v>
      </c>
      <c r="F564" t="s">
        <v>14</v>
      </c>
      <c r="G5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64">
        <f>IF(Table1[[#This Row],[is_ups_overcharge]]="ups overcharged",Table1[[#This Row],[ups ship charge]]-Table1[[#This Row],[ada ship charge]],0)</f>
        <v>0</v>
      </c>
    </row>
    <row r="565" spans="1:9" x14ac:dyDescent="0.2">
      <c r="A565">
        <v>1009629</v>
      </c>
      <c r="B565" t="s">
        <v>20</v>
      </c>
      <c r="C565">
        <v>57.52</v>
      </c>
      <c r="D565">
        <v>60.39</v>
      </c>
      <c r="E565">
        <v>483.95</v>
      </c>
      <c r="F565" t="s">
        <v>11</v>
      </c>
      <c r="G5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65">
        <f>IF(Table1[[#This Row],[is_ups_overcharge]]="ups overcharged",Table1[[#This Row],[ups ship charge]]-Table1[[#This Row],[ada ship charge]],0)</f>
        <v>0</v>
      </c>
    </row>
    <row r="566" spans="1:9" x14ac:dyDescent="0.2">
      <c r="A566">
        <v>1009634</v>
      </c>
      <c r="B566" t="s">
        <v>20</v>
      </c>
      <c r="C566">
        <v>12.81</v>
      </c>
      <c r="D566">
        <v>12.86</v>
      </c>
      <c r="E566">
        <v>11.95</v>
      </c>
      <c r="F566" t="s">
        <v>9</v>
      </c>
      <c r="G5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66">
        <f>IF(Table1[[#This Row],[is_ups_overcharge]]="ups overcharged",Table1[[#This Row],[ups ship charge]]-Table1[[#This Row],[ada ship charge]],0)</f>
        <v>0</v>
      </c>
    </row>
    <row r="567" spans="1:9" x14ac:dyDescent="0.2">
      <c r="A567">
        <v>1009687</v>
      </c>
      <c r="B567" t="s">
        <v>20</v>
      </c>
      <c r="C567">
        <v>16.87</v>
      </c>
      <c r="D567">
        <v>16.920000000000002</v>
      </c>
      <c r="E567">
        <v>29.9</v>
      </c>
      <c r="F567" t="s">
        <v>10</v>
      </c>
      <c r="G5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67">
        <f>IF(Table1[[#This Row],[is_ups_overcharge]]="ups overcharged",Table1[[#This Row],[ups ship charge]]-Table1[[#This Row],[ada ship charge]],0)</f>
        <v>0</v>
      </c>
    </row>
    <row r="568" spans="1:9" x14ac:dyDescent="0.2">
      <c r="A568">
        <v>1009726</v>
      </c>
      <c r="B568" t="s">
        <v>20</v>
      </c>
      <c r="C568">
        <v>12.81</v>
      </c>
      <c r="D568">
        <v>12.86</v>
      </c>
      <c r="E568">
        <v>42.85</v>
      </c>
      <c r="F568" t="s">
        <v>9</v>
      </c>
      <c r="G5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68">
        <f>IF(Table1[[#This Row],[is_ups_overcharge]]="ups overcharged",Table1[[#This Row],[ups ship charge]]-Table1[[#This Row],[ada ship charge]],0)</f>
        <v>0</v>
      </c>
    </row>
    <row r="569" spans="1:9" x14ac:dyDescent="0.2">
      <c r="A569">
        <v>1009732</v>
      </c>
      <c r="B569" t="s">
        <v>20</v>
      </c>
      <c r="C569">
        <v>9.6999999999999993</v>
      </c>
      <c r="D569">
        <v>9.75</v>
      </c>
      <c r="E569">
        <v>39.950000000000003</v>
      </c>
      <c r="F569" t="s">
        <v>6</v>
      </c>
      <c r="G5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69">
        <f>IF(Table1[[#This Row],[is_ups_overcharge]]="ups overcharged",Table1[[#This Row],[ups ship charge]]-Table1[[#This Row],[ada ship charge]],0)</f>
        <v>0</v>
      </c>
    </row>
    <row r="570" spans="1:9" x14ac:dyDescent="0.2">
      <c r="A570">
        <v>1009737</v>
      </c>
      <c r="B570" t="s">
        <v>20</v>
      </c>
      <c r="C570">
        <v>12.81</v>
      </c>
      <c r="D570">
        <v>12.86</v>
      </c>
      <c r="E570">
        <v>40.85</v>
      </c>
      <c r="F570" t="s">
        <v>9</v>
      </c>
      <c r="G5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70">
        <f>IF(Table1[[#This Row],[is_ups_overcharge]]="ups overcharged",Table1[[#This Row],[ups ship charge]]-Table1[[#This Row],[ada ship charge]],0)</f>
        <v>0</v>
      </c>
    </row>
    <row r="571" spans="1:9" x14ac:dyDescent="0.2">
      <c r="A571">
        <v>1009743</v>
      </c>
      <c r="B571" t="s">
        <v>20</v>
      </c>
      <c r="C571">
        <v>13.7</v>
      </c>
      <c r="D571">
        <v>13.75</v>
      </c>
      <c r="E571">
        <v>58.8</v>
      </c>
      <c r="F571" t="s">
        <v>9</v>
      </c>
      <c r="G5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71">
        <f>IF(Table1[[#This Row],[is_ups_overcharge]]="ups overcharged",Table1[[#This Row],[ups ship charge]]-Table1[[#This Row],[ada ship charge]],0)</f>
        <v>0</v>
      </c>
    </row>
    <row r="572" spans="1:9" x14ac:dyDescent="0.2">
      <c r="A572">
        <v>1009748</v>
      </c>
      <c r="B572" t="s">
        <v>20</v>
      </c>
      <c r="C572">
        <v>9.6999999999999993</v>
      </c>
      <c r="D572">
        <v>12.86</v>
      </c>
      <c r="E572">
        <v>20</v>
      </c>
      <c r="F572" t="s">
        <v>6</v>
      </c>
      <c r="G5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72">
        <f>IF(Table1[[#This Row],[is_ups_overcharge]]="ups overcharged",Table1[[#This Row],[ups ship charge]]-Table1[[#This Row],[ada ship charge]],0)</f>
        <v>0</v>
      </c>
    </row>
    <row r="573" spans="1:9" x14ac:dyDescent="0.2">
      <c r="A573">
        <v>1009755</v>
      </c>
      <c r="B573" t="s">
        <v>20</v>
      </c>
      <c r="C573">
        <v>13.71</v>
      </c>
      <c r="D573">
        <v>14.15</v>
      </c>
      <c r="E573">
        <v>78.599999999999994</v>
      </c>
      <c r="F573" t="s">
        <v>9</v>
      </c>
      <c r="G5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73">
        <f>IF(Table1[[#This Row],[is_ups_overcharge]]="ups overcharged",Table1[[#This Row],[ups ship charge]]-Table1[[#This Row],[ada ship charge]],0)</f>
        <v>0</v>
      </c>
    </row>
    <row r="574" spans="1:9" x14ac:dyDescent="0.2">
      <c r="A574">
        <v>1009769</v>
      </c>
      <c r="B574" t="s">
        <v>20</v>
      </c>
      <c r="C574">
        <v>59.75</v>
      </c>
      <c r="D574">
        <v>59.8</v>
      </c>
      <c r="E574">
        <v>124.95</v>
      </c>
      <c r="F574" t="s">
        <v>8</v>
      </c>
      <c r="G5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74">
        <f>IF(Table1[[#This Row],[is_ups_overcharge]]="ups overcharged",Table1[[#This Row],[ups ship charge]]-Table1[[#This Row],[ada ship charge]],0)</f>
        <v>0</v>
      </c>
    </row>
    <row r="575" spans="1:9" x14ac:dyDescent="0.2">
      <c r="A575">
        <v>1009775</v>
      </c>
      <c r="B575" t="s">
        <v>20</v>
      </c>
      <c r="C575">
        <v>15.44</v>
      </c>
      <c r="D575">
        <v>15.49</v>
      </c>
      <c r="E575">
        <v>4.95</v>
      </c>
      <c r="F575" t="s">
        <v>12</v>
      </c>
      <c r="G5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75">
        <f>IF(Table1[[#This Row],[is_ups_overcharge]]="ups overcharged",Table1[[#This Row],[ups ship charge]]-Table1[[#This Row],[ada ship charge]],0)</f>
        <v>0</v>
      </c>
    </row>
    <row r="576" spans="1:9" x14ac:dyDescent="0.2">
      <c r="A576">
        <v>1009800</v>
      </c>
      <c r="B576" t="s">
        <v>20</v>
      </c>
      <c r="C576">
        <v>74.86</v>
      </c>
      <c r="D576">
        <v>88.95</v>
      </c>
      <c r="E576">
        <v>131.15</v>
      </c>
      <c r="F576" t="s">
        <v>11</v>
      </c>
      <c r="G5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76">
        <f>IF(Table1[[#This Row],[is_ups_overcharge]]="ups overcharged",Table1[[#This Row],[ups ship charge]]-Table1[[#This Row],[ada ship charge]],0)</f>
        <v>0</v>
      </c>
    </row>
    <row r="577" spans="1:9" x14ac:dyDescent="0.2">
      <c r="A577">
        <v>1009805</v>
      </c>
      <c r="B577" t="s">
        <v>20</v>
      </c>
      <c r="C577">
        <v>9.6999999999999993</v>
      </c>
      <c r="D577">
        <v>12.86</v>
      </c>
      <c r="E577">
        <v>19.899999999999999</v>
      </c>
      <c r="F577" t="s">
        <v>6</v>
      </c>
      <c r="G5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77">
        <f>IF(Table1[[#This Row],[is_ups_overcharge]]="ups overcharged",Table1[[#This Row],[ups ship charge]]-Table1[[#This Row],[ada ship charge]],0)</f>
        <v>0</v>
      </c>
    </row>
    <row r="578" spans="1:9" x14ac:dyDescent="0.2">
      <c r="A578">
        <v>1009819</v>
      </c>
      <c r="B578" t="s">
        <v>20</v>
      </c>
      <c r="C578">
        <v>12.81</v>
      </c>
      <c r="D578">
        <v>12.86</v>
      </c>
      <c r="E578">
        <v>37.5</v>
      </c>
      <c r="F578" t="s">
        <v>9</v>
      </c>
      <c r="G5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78">
        <f>IF(Table1[[#This Row],[is_ups_overcharge]]="ups overcharged",Table1[[#This Row],[ups ship charge]]-Table1[[#This Row],[ada ship charge]],0)</f>
        <v>0</v>
      </c>
    </row>
    <row r="579" spans="1:9" x14ac:dyDescent="0.2">
      <c r="A579">
        <v>1009830</v>
      </c>
      <c r="B579" t="s">
        <v>20</v>
      </c>
      <c r="C579">
        <v>15.13</v>
      </c>
      <c r="D579">
        <v>15.18</v>
      </c>
      <c r="E579">
        <v>14.95</v>
      </c>
      <c r="F579" t="s">
        <v>12</v>
      </c>
      <c r="G5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79">
        <f>IF(Table1[[#This Row],[is_ups_overcharge]]="ups overcharged",Table1[[#This Row],[ups ship charge]]-Table1[[#This Row],[ada ship charge]],0)</f>
        <v>0</v>
      </c>
    </row>
    <row r="580" spans="1:9" x14ac:dyDescent="0.2">
      <c r="A580">
        <v>1009844</v>
      </c>
      <c r="B580" t="s">
        <v>20</v>
      </c>
      <c r="C580">
        <v>12.81</v>
      </c>
      <c r="D580">
        <v>12.86</v>
      </c>
      <c r="E580">
        <v>9.9499999999999993</v>
      </c>
      <c r="F580" t="s">
        <v>9</v>
      </c>
      <c r="G5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80">
        <f>IF(Table1[[#This Row],[is_ups_overcharge]]="ups overcharged",Table1[[#This Row],[ups ship charge]]-Table1[[#This Row],[ada ship charge]],0)</f>
        <v>0</v>
      </c>
    </row>
    <row r="581" spans="1:9" x14ac:dyDescent="0.2">
      <c r="A581">
        <v>1009848</v>
      </c>
      <c r="B581" t="s">
        <v>20</v>
      </c>
      <c r="C581">
        <v>19.940000000000001</v>
      </c>
      <c r="D581">
        <v>18.97</v>
      </c>
      <c r="E581">
        <v>146.80000000000001</v>
      </c>
      <c r="F581" t="s">
        <v>15</v>
      </c>
      <c r="G5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81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581">
        <f>IF(Table1[[#This Row],[is_ups_overcharge]]="ups overcharged",Table1[[#This Row],[ups ship charge]]-Table1[[#This Row],[ada ship charge]],0)</f>
        <v>0.97000000000000242</v>
      </c>
    </row>
    <row r="582" spans="1:9" x14ac:dyDescent="0.2">
      <c r="A582">
        <v>1009855</v>
      </c>
      <c r="B582" t="s">
        <v>20</v>
      </c>
      <c r="C582">
        <v>15.44</v>
      </c>
      <c r="D582">
        <v>15.49</v>
      </c>
      <c r="E582">
        <v>48.7</v>
      </c>
      <c r="F582" t="s">
        <v>12</v>
      </c>
      <c r="G5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82">
        <f>IF(Table1[[#This Row],[is_ups_overcharge]]="ups overcharged",Table1[[#This Row],[ups ship charge]]-Table1[[#This Row],[ada ship charge]],0)</f>
        <v>0</v>
      </c>
    </row>
    <row r="583" spans="1:9" x14ac:dyDescent="0.2">
      <c r="A583">
        <v>1009876</v>
      </c>
      <c r="B583" t="s">
        <v>20</v>
      </c>
      <c r="C583">
        <v>12.81</v>
      </c>
      <c r="D583">
        <v>12.86</v>
      </c>
      <c r="E583">
        <v>70.400000000000006</v>
      </c>
      <c r="F583" t="s">
        <v>9</v>
      </c>
      <c r="G5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83">
        <f>IF(Table1[[#This Row],[is_ups_overcharge]]="ups overcharged",Table1[[#This Row],[ups ship charge]]-Table1[[#This Row],[ada ship charge]],0)</f>
        <v>0</v>
      </c>
    </row>
    <row r="584" spans="1:9" x14ac:dyDescent="0.2">
      <c r="A584">
        <v>1009878</v>
      </c>
      <c r="B584" t="s">
        <v>20</v>
      </c>
      <c r="C584">
        <v>12.81</v>
      </c>
      <c r="D584">
        <v>12.86</v>
      </c>
      <c r="E584">
        <v>49.95</v>
      </c>
      <c r="F584" t="s">
        <v>9</v>
      </c>
      <c r="G5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84">
        <f>IF(Table1[[#This Row],[is_ups_overcharge]]="ups overcharged",Table1[[#This Row],[ups ship charge]]-Table1[[#This Row],[ada ship charge]],0)</f>
        <v>0</v>
      </c>
    </row>
    <row r="585" spans="1:9" x14ac:dyDescent="0.2">
      <c r="A585">
        <v>1009879</v>
      </c>
      <c r="B585" t="s">
        <v>20</v>
      </c>
      <c r="C585">
        <v>12.81</v>
      </c>
      <c r="D585">
        <v>12.86</v>
      </c>
      <c r="E585">
        <v>9.9</v>
      </c>
      <c r="F585" t="s">
        <v>9</v>
      </c>
      <c r="G5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85">
        <f>IF(Table1[[#This Row],[is_ups_overcharge]]="ups overcharged",Table1[[#This Row],[ups ship charge]]-Table1[[#This Row],[ada ship charge]],0)</f>
        <v>0</v>
      </c>
    </row>
    <row r="586" spans="1:9" x14ac:dyDescent="0.2">
      <c r="A586">
        <v>1009907</v>
      </c>
      <c r="B586" t="s">
        <v>20</v>
      </c>
      <c r="C586">
        <v>12.81</v>
      </c>
      <c r="D586">
        <v>12.86</v>
      </c>
      <c r="E586">
        <v>5</v>
      </c>
      <c r="F586" t="s">
        <v>9</v>
      </c>
      <c r="G5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86">
        <f>IF(Table1[[#This Row],[is_ups_overcharge]]="ups overcharged",Table1[[#This Row],[ups ship charge]]-Table1[[#This Row],[ada ship charge]],0)</f>
        <v>0</v>
      </c>
    </row>
    <row r="587" spans="1:9" x14ac:dyDescent="0.2">
      <c r="A587">
        <v>1009943</v>
      </c>
      <c r="B587" t="s">
        <v>20</v>
      </c>
      <c r="C587">
        <v>12.81</v>
      </c>
      <c r="D587">
        <v>12.86</v>
      </c>
      <c r="E587">
        <v>130.15</v>
      </c>
      <c r="F587" t="s">
        <v>9</v>
      </c>
      <c r="G5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87">
        <f>IF(Table1[[#This Row],[is_ups_overcharge]]="ups overcharged",Table1[[#This Row],[ups ship charge]]-Table1[[#This Row],[ada ship charge]],0)</f>
        <v>0</v>
      </c>
    </row>
    <row r="588" spans="1:9" x14ac:dyDescent="0.2">
      <c r="A588">
        <v>1009948</v>
      </c>
      <c r="B588" t="s">
        <v>20</v>
      </c>
      <c r="C588">
        <v>12.56</v>
      </c>
      <c r="D588">
        <v>0</v>
      </c>
      <c r="E588">
        <v>953.9</v>
      </c>
      <c r="F588" t="s">
        <v>6</v>
      </c>
      <c r="G5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8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88">
        <f>IF(Table1[[#This Row],[is_ups_overcharge]]="ups overcharged",Table1[[#This Row],[ups ship charge]]-Table1[[#This Row],[ada ship charge]],0)</f>
        <v>0</v>
      </c>
    </row>
    <row r="589" spans="1:9" x14ac:dyDescent="0.2">
      <c r="A589">
        <v>1009966</v>
      </c>
      <c r="B589" t="s">
        <v>20</v>
      </c>
      <c r="C589">
        <v>13.7</v>
      </c>
      <c r="D589">
        <v>13.75</v>
      </c>
      <c r="E589">
        <v>64.95</v>
      </c>
      <c r="F589" t="s">
        <v>9</v>
      </c>
      <c r="G5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89">
        <f>IF(Table1[[#This Row],[is_ups_overcharge]]="ups overcharged",Table1[[#This Row],[ups ship charge]]-Table1[[#This Row],[ada ship charge]],0)</f>
        <v>0</v>
      </c>
    </row>
    <row r="590" spans="1:9" x14ac:dyDescent="0.2">
      <c r="A590">
        <v>1009969</v>
      </c>
      <c r="B590" t="s">
        <v>20</v>
      </c>
      <c r="C590">
        <v>12.81</v>
      </c>
      <c r="D590">
        <v>12.86</v>
      </c>
      <c r="E590">
        <v>6.9</v>
      </c>
      <c r="F590" t="s">
        <v>9</v>
      </c>
      <c r="G5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90">
        <f>IF(Table1[[#This Row],[is_ups_overcharge]]="ups overcharged",Table1[[#This Row],[ups ship charge]]-Table1[[#This Row],[ada ship charge]],0)</f>
        <v>0</v>
      </c>
    </row>
    <row r="591" spans="1:9" x14ac:dyDescent="0.2">
      <c r="A591">
        <v>1009971</v>
      </c>
      <c r="B591" t="s">
        <v>20</v>
      </c>
      <c r="C591">
        <v>13.7</v>
      </c>
      <c r="D591">
        <v>13.75</v>
      </c>
      <c r="E591">
        <v>59.75</v>
      </c>
      <c r="F591" t="s">
        <v>9</v>
      </c>
      <c r="G5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91">
        <f>IF(Table1[[#This Row],[is_ups_overcharge]]="ups overcharged",Table1[[#This Row],[ups ship charge]]-Table1[[#This Row],[ada ship charge]],0)</f>
        <v>0</v>
      </c>
    </row>
    <row r="592" spans="1:9" x14ac:dyDescent="0.2">
      <c r="A592">
        <v>1009981</v>
      </c>
      <c r="B592" t="s">
        <v>20</v>
      </c>
      <c r="C592">
        <v>13.7</v>
      </c>
      <c r="D592">
        <v>13.75</v>
      </c>
      <c r="E592">
        <v>18.05</v>
      </c>
      <c r="F592" t="s">
        <v>9</v>
      </c>
      <c r="G5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92">
        <f>IF(Table1[[#This Row],[is_ups_overcharge]]="ups overcharged",Table1[[#This Row],[ups ship charge]]-Table1[[#This Row],[ada ship charge]],0)</f>
        <v>0</v>
      </c>
    </row>
    <row r="593" spans="1:9" x14ac:dyDescent="0.2">
      <c r="A593">
        <v>1009995</v>
      </c>
      <c r="B593" t="s">
        <v>20</v>
      </c>
      <c r="C593">
        <v>13.7</v>
      </c>
      <c r="D593">
        <v>13.75</v>
      </c>
      <c r="E593">
        <v>99.9</v>
      </c>
      <c r="F593" t="s">
        <v>9</v>
      </c>
      <c r="G5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93">
        <f>IF(Table1[[#This Row],[is_ups_overcharge]]="ups overcharged",Table1[[#This Row],[ups ship charge]]-Table1[[#This Row],[ada ship charge]],0)</f>
        <v>0</v>
      </c>
    </row>
    <row r="594" spans="1:9" x14ac:dyDescent="0.2">
      <c r="A594">
        <v>1010020</v>
      </c>
      <c r="B594" t="s">
        <v>20</v>
      </c>
      <c r="C594">
        <v>12.81</v>
      </c>
      <c r="D594">
        <v>0</v>
      </c>
      <c r="E594">
        <v>261.45</v>
      </c>
      <c r="F594" t="s">
        <v>9</v>
      </c>
      <c r="G5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9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94">
        <f>IF(Table1[[#This Row],[is_ups_overcharge]]="ups overcharged",Table1[[#This Row],[ups ship charge]]-Table1[[#This Row],[ada ship charge]],0)</f>
        <v>0</v>
      </c>
    </row>
    <row r="595" spans="1:9" x14ac:dyDescent="0.2">
      <c r="A595">
        <v>1010025</v>
      </c>
      <c r="B595" t="s">
        <v>20</v>
      </c>
      <c r="C595">
        <v>26.7</v>
      </c>
      <c r="D595">
        <v>13.79</v>
      </c>
      <c r="E595">
        <v>123.85</v>
      </c>
      <c r="F595" t="s">
        <v>9</v>
      </c>
      <c r="G5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95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595">
        <f>IF(Table1[[#This Row],[is_ups_overcharge]]="ups overcharged",Table1[[#This Row],[ups ship charge]]-Table1[[#This Row],[ada ship charge]],0)</f>
        <v>12.91</v>
      </c>
    </row>
    <row r="596" spans="1:9" x14ac:dyDescent="0.2">
      <c r="A596">
        <v>1010050</v>
      </c>
      <c r="B596" t="s">
        <v>20</v>
      </c>
      <c r="C596">
        <v>12.81</v>
      </c>
      <c r="D596">
        <v>0</v>
      </c>
      <c r="E596">
        <v>238.2</v>
      </c>
      <c r="F596" t="s">
        <v>9</v>
      </c>
      <c r="G5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9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96">
        <f>IF(Table1[[#This Row],[is_ups_overcharge]]="ups overcharged",Table1[[#This Row],[ups ship charge]]-Table1[[#This Row],[ada ship charge]],0)</f>
        <v>0</v>
      </c>
    </row>
    <row r="597" spans="1:9" x14ac:dyDescent="0.2">
      <c r="A597">
        <v>1010056</v>
      </c>
      <c r="B597" t="s">
        <v>20</v>
      </c>
      <c r="C597">
        <v>13.09</v>
      </c>
      <c r="D597">
        <v>0</v>
      </c>
      <c r="E597">
        <v>404.15</v>
      </c>
      <c r="F597" t="s">
        <v>9</v>
      </c>
      <c r="G5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9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97">
        <f>IF(Table1[[#This Row],[is_ups_overcharge]]="ups overcharged",Table1[[#This Row],[ups ship charge]]-Table1[[#This Row],[ada ship charge]],0)</f>
        <v>0</v>
      </c>
    </row>
    <row r="598" spans="1:9" x14ac:dyDescent="0.2">
      <c r="A598">
        <v>1010057</v>
      </c>
      <c r="B598" t="s">
        <v>20</v>
      </c>
      <c r="C598">
        <v>13.7</v>
      </c>
      <c r="D598">
        <v>0</v>
      </c>
      <c r="E598">
        <v>204.35</v>
      </c>
      <c r="F598" t="s">
        <v>9</v>
      </c>
      <c r="G5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59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598">
        <f>IF(Table1[[#This Row],[is_ups_overcharge]]="ups overcharged",Table1[[#This Row],[ups ship charge]]-Table1[[#This Row],[ada ship charge]],0)</f>
        <v>0</v>
      </c>
    </row>
    <row r="599" spans="1:9" x14ac:dyDescent="0.2">
      <c r="A599">
        <v>1010097</v>
      </c>
      <c r="B599" t="s">
        <v>20</v>
      </c>
      <c r="C599">
        <v>9.6999999999999993</v>
      </c>
      <c r="D599">
        <v>9.75</v>
      </c>
      <c r="E599">
        <v>29.7</v>
      </c>
      <c r="F599" t="s">
        <v>6</v>
      </c>
      <c r="G5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5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599">
        <f>IF(Table1[[#This Row],[is_ups_overcharge]]="ups overcharged",Table1[[#This Row],[ups ship charge]]-Table1[[#This Row],[ada ship charge]],0)</f>
        <v>0</v>
      </c>
    </row>
    <row r="600" spans="1:9" x14ac:dyDescent="0.2">
      <c r="A600">
        <v>1010105</v>
      </c>
      <c r="B600" t="s">
        <v>20</v>
      </c>
      <c r="C600">
        <v>12.81</v>
      </c>
      <c r="D600">
        <v>12.86</v>
      </c>
      <c r="E600">
        <v>95.8</v>
      </c>
      <c r="F600" t="s">
        <v>9</v>
      </c>
      <c r="G6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00">
        <f>IF(Table1[[#This Row],[is_ups_overcharge]]="ups overcharged",Table1[[#This Row],[ups ship charge]]-Table1[[#This Row],[ada ship charge]],0)</f>
        <v>0</v>
      </c>
    </row>
    <row r="601" spans="1:9" x14ac:dyDescent="0.2">
      <c r="A601">
        <v>1010133</v>
      </c>
      <c r="B601" t="s">
        <v>20</v>
      </c>
      <c r="C601">
        <v>13.7</v>
      </c>
      <c r="D601">
        <v>13.75</v>
      </c>
      <c r="E601">
        <v>11.95</v>
      </c>
      <c r="F601" t="s">
        <v>9</v>
      </c>
      <c r="G6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01">
        <f>IF(Table1[[#This Row],[is_ups_overcharge]]="ups overcharged",Table1[[#This Row],[ups ship charge]]-Table1[[#This Row],[ada ship charge]],0)</f>
        <v>0</v>
      </c>
    </row>
    <row r="602" spans="1:9" x14ac:dyDescent="0.2">
      <c r="A602">
        <v>1010143</v>
      </c>
      <c r="B602" t="s">
        <v>20</v>
      </c>
      <c r="C602">
        <v>12.81</v>
      </c>
      <c r="D602">
        <v>13.02</v>
      </c>
      <c r="E602">
        <v>70.55</v>
      </c>
      <c r="F602" t="s">
        <v>9</v>
      </c>
      <c r="G6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02">
        <f>IF(Table1[[#This Row],[is_ups_overcharge]]="ups overcharged",Table1[[#This Row],[ups ship charge]]-Table1[[#This Row],[ada ship charge]],0)</f>
        <v>0</v>
      </c>
    </row>
    <row r="603" spans="1:9" x14ac:dyDescent="0.2">
      <c r="A603">
        <v>1010209</v>
      </c>
      <c r="B603" t="s">
        <v>20</v>
      </c>
      <c r="C603">
        <v>13.7</v>
      </c>
      <c r="D603">
        <v>13.75</v>
      </c>
      <c r="E603">
        <v>38.700000000000003</v>
      </c>
      <c r="F603" t="s">
        <v>9</v>
      </c>
      <c r="G6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03">
        <f>IF(Table1[[#This Row],[is_ups_overcharge]]="ups overcharged",Table1[[#This Row],[ups ship charge]]-Table1[[#This Row],[ada ship charge]],0)</f>
        <v>0</v>
      </c>
    </row>
    <row r="604" spans="1:9" x14ac:dyDescent="0.2">
      <c r="A604">
        <v>1010211</v>
      </c>
      <c r="B604" t="s">
        <v>20</v>
      </c>
      <c r="C604">
        <v>15.44</v>
      </c>
      <c r="D604">
        <v>15.49</v>
      </c>
      <c r="E604">
        <v>9.9</v>
      </c>
      <c r="F604" t="s">
        <v>12</v>
      </c>
      <c r="G6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04">
        <f>IF(Table1[[#This Row],[is_ups_overcharge]]="ups overcharged",Table1[[#This Row],[ups ship charge]]-Table1[[#This Row],[ada ship charge]],0)</f>
        <v>0</v>
      </c>
    </row>
    <row r="605" spans="1:9" x14ac:dyDescent="0.2">
      <c r="A605">
        <v>1010232</v>
      </c>
      <c r="B605" t="s">
        <v>20</v>
      </c>
      <c r="C605">
        <v>12.81</v>
      </c>
      <c r="D605">
        <v>13.31</v>
      </c>
      <c r="E605">
        <v>29.5</v>
      </c>
      <c r="F605" t="s">
        <v>9</v>
      </c>
      <c r="G6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05">
        <f>IF(Table1[[#This Row],[is_ups_overcharge]]="ups overcharged",Table1[[#This Row],[ups ship charge]]-Table1[[#This Row],[ada ship charge]],0)</f>
        <v>0</v>
      </c>
    </row>
    <row r="606" spans="1:9" x14ac:dyDescent="0.2">
      <c r="A606">
        <v>1010236</v>
      </c>
      <c r="B606" t="s">
        <v>20</v>
      </c>
      <c r="C606">
        <v>16.46</v>
      </c>
      <c r="D606">
        <v>16.510000000000002</v>
      </c>
      <c r="E606">
        <v>36.75</v>
      </c>
      <c r="F606" t="s">
        <v>10</v>
      </c>
      <c r="G6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06">
        <f>IF(Table1[[#This Row],[is_ups_overcharge]]="ups overcharged",Table1[[#This Row],[ups ship charge]]-Table1[[#This Row],[ada ship charge]],0)</f>
        <v>0</v>
      </c>
    </row>
    <row r="607" spans="1:9" x14ac:dyDescent="0.2">
      <c r="A607">
        <v>1010237</v>
      </c>
      <c r="B607" t="s">
        <v>20</v>
      </c>
      <c r="C607">
        <v>12.81</v>
      </c>
      <c r="D607">
        <v>12.86</v>
      </c>
      <c r="E607">
        <v>39.950000000000003</v>
      </c>
      <c r="F607" t="s">
        <v>9</v>
      </c>
      <c r="G6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07">
        <f>IF(Table1[[#This Row],[is_ups_overcharge]]="ups overcharged",Table1[[#This Row],[ups ship charge]]-Table1[[#This Row],[ada ship charge]],0)</f>
        <v>0</v>
      </c>
    </row>
    <row r="608" spans="1:9" x14ac:dyDescent="0.2">
      <c r="A608">
        <v>1010257</v>
      </c>
      <c r="B608" t="s">
        <v>20</v>
      </c>
      <c r="C608">
        <v>18.46</v>
      </c>
      <c r="D608">
        <v>20.3</v>
      </c>
      <c r="E608">
        <v>144.5</v>
      </c>
      <c r="F608" t="s">
        <v>15</v>
      </c>
      <c r="G6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08">
        <f>IF(Table1[[#This Row],[is_ups_overcharge]]="ups overcharged",Table1[[#This Row],[ups ship charge]]-Table1[[#This Row],[ada ship charge]],0)</f>
        <v>0</v>
      </c>
    </row>
    <row r="609" spans="1:9" x14ac:dyDescent="0.2">
      <c r="A609">
        <v>1010282</v>
      </c>
      <c r="B609" t="s">
        <v>20</v>
      </c>
      <c r="C609">
        <v>67.25</v>
      </c>
      <c r="D609">
        <v>67.3</v>
      </c>
      <c r="E609">
        <v>247.3</v>
      </c>
      <c r="F609" t="s">
        <v>8</v>
      </c>
      <c r="G6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09">
        <f>IF(Table1[[#This Row],[is_ups_overcharge]]="ups overcharged",Table1[[#This Row],[ups ship charge]]-Table1[[#This Row],[ada ship charge]],0)</f>
        <v>0</v>
      </c>
    </row>
    <row r="610" spans="1:9" x14ac:dyDescent="0.2">
      <c r="A610">
        <v>1010315</v>
      </c>
      <c r="B610" t="s">
        <v>20</v>
      </c>
      <c r="C610">
        <v>67.459999999999994</v>
      </c>
      <c r="D610">
        <v>67.510000000000005</v>
      </c>
      <c r="E610">
        <v>299.7</v>
      </c>
      <c r="F610" t="s">
        <v>8</v>
      </c>
      <c r="G6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10">
        <f>IF(Table1[[#This Row],[is_ups_overcharge]]="ups overcharged",Table1[[#This Row],[ups ship charge]]-Table1[[#This Row],[ada ship charge]],0)</f>
        <v>0</v>
      </c>
    </row>
    <row r="611" spans="1:9" x14ac:dyDescent="0.2">
      <c r="A611">
        <v>1010342</v>
      </c>
      <c r="B611" t="s">
        <v>20</v>
      </c>
      <c r="C611">
        <v>12.81</v>
      </c>
      <c r="D611">
        <v>12.86</v>
      </c>
      <c r="E611">
        <v>49.9</v>
      </c>
      <c r="F611" t="s">
        <v>9</v>
      </c>
      <c r="G6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11">
        <f>IF(Table1[[#This Row],[is_ups_overcharge]]="ups overcharged",Table1[[#This Row],[ups ship charge]]-Table1[[#This Row],[ada ship charge]],0)</f>
        <v>0</v>
      </c>
    </row>
    <row r="612" spans="1:9" x14ac:dyDescent="0.2">
      <c r="A612">
        <v>1010343</v>
      </c>
      <c r="B612" t="s">
        <v>20</v>
      </c>
      <c r="C612">
        <v>13.7</v>
      </c>
      <c r="D612">
        <v>13.75</v>
      </c>
      <c r="E612">
        <v>29.7</v>
      </c>
      <c r="F612" t="s">
        <v>9</v>
      </c>
      <c r="G6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12">
        <f>IF(Table1[[#This Row],[is_ups_overcharge]]="ups overcharged",Table1[[#This Row],[ups ship charge]]-Table1[[#This Row],[ada ship charge]],0)</f>
        <v>0</v>
      </c>
    </row>
    <row r="613" spans="1:9" x14ac:dyDescent="0.2">
      <c r="A613">
        <v>1010344</v>
      </c>
      <c r="B613" t="s">
        <v>20</v>
      </c>
      <c r="C613">
        <v>18.46</v>
      </c>
      <c r="D613">
        <v>18.510000000000002</v>
      </c>
      <c r="E613">
        <v>44.95</v>
      </c>
      <c r="F613" t="s">
        <v>15</v>
      </c>
      <c r="G6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13">
        <f>IF(Table1[[#This Row],[is_ups_overcharge]]="ups overcharged",Table1[[#This Row],[ups ship charge]]-Table1[[#This Row],[ada ship charge]],0)</f>
        <v>0</v>
      </c>
    </row>
    <row r="614" spans="1:9" x14ac:dyDescent="0.2">
      <c r="A614">
        <v>1010356</v>
      </c>
      <c r="B614" t="s">
        <v>20</v>
      </c>
      <c r="C614">
        <v>13.7</v>
      </c>
      <c r="D614">
        <v>13.75</v>
      </c>
      <c r="E614">
        <v>39.75</v>
      </c>
      <c r="F614" t="s">
        <v>9</v>
      </c>
      <c r="G6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14">
        <f>IF(Table1[[#This Row],[is_ups_overcharge]]="ups overcharged",Table1[[#This Row],[ups ship charge]]-Table1[[#This Row],[ada ship charge]],0)</f>
        <v>0</v>
      </c>
    </row>
    <row r="615" spans="1:9" x14ac:dyDescent="0.2">
      <c r="A615">
        <v>1010360</v>
      </c>
      <c r="B615" t="s">
        <v>20</v>
      </c>
      <c r="C615">
        <v>13.26</v>
      </c>
      <c r="D615">
        <v>0</v>
      </c>
      <c r="E615">
        <v>218.8</v>
      </c>
      <c r="F615" t="s">
        <v>9</v>
      </c>
      <c r="G6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61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615">
        <f>IF(Table1[[#This Row],[is_ups_overcharge]]="ups overcharged",Table1[[#This Row],[ups ship charge]]-Table1[[#This Row],[ada ship charge]],0)</f>
        <v>0</v>
      </c>
    </row>
    <row r="616" spans="1:9" x14ac:dyDescent="0.2">
      <c r="A616">
        <v>1010383</v>
      </c>
      <c r="B616" t="s">
        <v>20</v>
      </c>
      <c r="C616">
        <v>12.81</v>
      </c>
      <c r="D616">
        <v>12.86</v>
      </c>
      <c r="E616">
        <v>39.9</v>
      </c>
      <c r="F616" t="s">
        <v>9</v>
      </c>
      <c r="G6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16">
        <f>IF(Table1[[#This Row],[is_ups_overcharge]]="ups overcharged",Table1[[#This Row],[ups ship charge]]-Table1[[#This Row],[ada ship charge]],0)</f>
        <v>0</v>
      </c>
    </row>
    <row r="617" spans="1:9" x14ac:dyDescent="0.2">
      <c r="A617">
        <v>1010404</v>
      </c>
      <c r="B617" t="s">
        <v>20</v>
      </c>
      <c r="C617">
        <v>16.399999999999999</v>
      </c>
      <c r="D617">
        <v>16.45</v>
      </c>
      <c r="E617">
        <v>19.95</v>
      </c>
      <c r="F617" t="s">
        <v>12</v>
      </c>
      <c r="G6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17">
        <f>IF(Table1[[#This Row],[is_ups_overcharge]]="ups overcharged",Table1[[#This Row],[ups ship charge]]-Table1[[#This Row],[ada ship charge]],0)</f>
        <v>0</v>
      </c>
    </row>
    <row r="618" spans="1:9" x14ac:dyDescent="0.2">
      <c r="A618">
        <v>1010423</v>
      </c>
      <c r="B618" t="s">
        <v>20</v>
      </c>
      <c r="C618">
        <v>13.7</v>
      </c>
      <c r="D618">
        <v>13.75</v>
      </c>
      <c r="E618">
        <v>14.45</v>
      </c>
      <c r="F618" t="s">
        <v>9</v>
      </c>
      <c r="G6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18">
        <f>IF(Table1[[#This Row],[is_ups_overcharge]]="ups overcharged",Table1[[#This Row],[ups ship charge]]-Table1[[#This Row],[ada ship charge]],0)</f>
        <v>0</v>
      </c>
    </row>
    <row r="619" spans="1:9" x14ac:dyDescent="0.2">
      <c r="A619">
        <v>1010458</v>
      </c>
      <c r="B619" t="s">
        <v>20</v>
      </c>
      <c r="C619">
        <v>13.7</v>
      </c>
      <c r="D619">
        <v>13.75</v>
      </c>
      <c r="E619">
        <v>24.9</v>
      </c>
      <c r="F619" t="s">
        <v>9</v>
      </c>
      <c r="G6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19">
        <f>IF(Table1[[#This Row],[is_ups_overcharge]]="ups overcharged",Table1[[#This Row],[ups ship charge]]-Table1[[#This Row],[ada ship charge]],0)</f>
        <v>0</v>
      </c>
    </row>
    <row r="620" spans="1:9" x14ac:dyDescent="0.2">
      <c r="A620">
        <v>1010464</v>
      </c>
      <c r="B620" t="s">
        <v>20</v>
      </c>
      <c r="C620">
        <v>9.6999999999999993</v>
      </c>
      <c r="D620">
        <v>9.75</v>
      </c>
      <c r="E620">
        <v>16.899999999999999</v>
      </c>
      <c r="F620" t="s">
        <v>6</v>
      </c>
      <c r="G6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20">
        <f>IF(Table1[[#This Row],[is_ups_overcharge]]="ups overcharged",Table1[[#This Row],[ups ship charge]]-Table1[[#This Row],[ada ship charge]],0)</f>
        <v>0</v>
      </c>
    </row>
    <row r="621" spans="1:9" x14ac:dyDescent="0.2">
      <c r="A621">
        <v>1010478</v>
      </c>
      <c r="B621" t="s">
        <v>20</v>
      </c>
      <c r="C621">
        <v>11.02</v>
      </c>
      <c r="D621">
        <v>11.07</v>
      </c>
      <c r="E621">
        <v>9.9499999999999993</v>
      </c>
      <c r="F621" t="s">
        <v>14</v>
      </c>
      <c r="G6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21">
        <f>IF(Table1[[#This Row],[is_ups_overcharge]]="ups overcharged",Table1[[#This Row],[ups ship charge]]-Table1[[#This Row],[ada ship charge]],0)</f>
        <v>0</v>
      </c>
    </row>
    <row r="622" spans="1:9" x14ac:dyDescent="0.2">
      <c r="A622">
        <v>1010530</v>
      </c>
      <c r="B622" t="s">
        <v>20</v>
      </c>
      <c r="C622">
        <v>13.7</v>
      </c>
      <c r="D622">
        <v>13.75</v>
      </c>
      <c r="E622">
        <v>63.9</v>
      </c>
      <c r="F622" t="s">
        <v>9</v>
      </c>
      <c r="G6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22">
        <f>IF(Table1[[#This Row],[is_ups_overcharge]]="ups overcharged",Table1[[#This Row],[ups ship charge]]-Table1[[#This Row],[ada ship charge]],0)</f>
        <v>0</v>
      </c>
    </row>
    <row r="623" spans="1:9" x14ac:dyDescent="0.2">
      <c r="A623">
        <v>1010541</v>
      </c>
      <c r="B623" t="s">
        <v>20</v>
      </c>
      <c r="C623">
        <v>15.44</v>
      </c>
      <c r="D623">
        <v>15.49</v>
      </c>
      <c r="E623">
        <v>48.75</v>
      </c>
      <c r="F623" t="s">
        <v>12</v>
      </c>
      <c r="G6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23">
        <f>IF(Table1[[#This Row],[is_ups_overcharge]]="ups overcharged",Table1[[#This Row],[ups ship charge]]-Table1[[#This Row],[ada ship charge]],0)</f>
        <v>0</v>
      </c>
    </row>
    <row r="624" spans="1:9" x14ac:dyDescent="0.2">
      <c r="A624">
        <v>1010542</v>
      </c>
      <c r="B624" t="s">
        <v>20</v>
      </c>
      <c r="C624">
        <v>12.81</v>
      </c>
      <c r="D624">
        <v>0</v>
      </c>
      <c r="E624">
        <v>206.5</v>
      </c>
      <c r="F624" t="s">
        <v>9</v>
      </c>
      <c r="G6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62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624">
        <f>IF(Table1[[#This Row],[is_ups_overcharge]]="ups overcharged",Table1[[#This Row],[ups ship charge]]-Table1[[#This Row],[ada ship charge]],0)</f>
        <v>0</v>
      </c>
    </row>
    <row r="625" spans="1:9" x14ac:dyDescent="0.2">
      <c r="A625">
        <v>1010543</v>
      </c>
      <c r="B625" t="s">
        <v>20</v>
      </c>
      <c r="C625">
        <v>13.7</v>
      </c>
      <c r="D625">
        <v>13.75</v>
      </c>
      <c r="E625">
        <v>34.75</v>
      </c>
      <c r="F625" t="s">
        <v>9</v>
      </c>
      <c r="G6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25">
        <f>IF(Table1[[#This Row],[is_ups_overcharge]]="ups overcharged",Table1[[#This Row],[ups ship charge]]-Table1[[#This Row],[ada ship charge]],0)</f>
        <v>0</v>
      </c>
    </row>
    <row r="626" spans="1:9" x14ac:dyDescent="0.2">
      <c r="A626">
        <v>1010554</v>
      </c>
      <c r="B626" t="s">
        <v>20</v>
      </c>
      <c r="C626">
        <v>12.81</v>
      </c>
      <c r="D626">
        <v>12.86</v>
      </c>
      <c r="E626">
        <v>35.1</v>
      </c>
      <c r="F626" t="s">
        <v>9</v>
      </c>
      <c r="G6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26">
        <f>IF(Table1[[#This Row],[is_ups_overcharge]]="ups overcharged",Table1[[#This Row],[ups ship charge]]-Table1[[#This Row],[ada ship charge]],0)</f>
        <v>0</v>
      </c>
    </row>
    <row r="627" spans="1:9" x14ac:dyDescent="0.2">
      <c r="A627">
        <v>1010558</v>
      </c>
      <c r="B627" t="s">
        <v>20</v>
      </c>
      <c r="C627">
        <v>12.81</v>
      </c>
      <c r="D627">
        <v>12.86</v>
      </c>
      <c r="E627">
        <v>63</v>
      </c>
      <c r="F627" t="s">
        <v>9</v>
      </c>
      <c r="G6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27">
        <f>IF(Table1[[#This Row],[is_ups_overcharge]]="ups overcharged",Table1[[#This Row],[ups ship charge]]-Table1[[#This Row],[ada ship charge]],0)</f>
        <v>0</v>
      </c>
    </row>
    <row r="628" spans="1:9" x14ac:dyDescent="0.2">
      <c r="A628">
        <v>1010589</v>
      </c>
      <c r="B628" t="s">
        <v>20</v>
      </c>
      <c r="C628">
        <v>12.81</v>
      </c>
      <c r="D628">
        <v>12.86</v>
      </c>
      <c r="E628">
        <v>17.899999999999999</v>
      </c>
      <c r="F628" t="s">
        <v>9</v>
      </c>
      <c r="G6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28">
        <f>IF(Table1[[#This Row],[is_ups_overcharge]]="ups overcharged",Table1[[#This Row],[ups ship charge]]-Table1[[#This Row],[ada ship charge]],0)</f>
        <v>0</v>
      </c>
    </row>
    <row r="629" spans="1:9" x14ac:dyDescent="0.2">
      <c r="A629">
        <v>1010590</v>
      </c>
      <c r="B629" t="s">
        <v>20</v>
      </c>
      <c r="C629">
        <v>13.7</v>
      </c>
      <c r="D629">
        <v>13.75</v>
      </c>
      <c r="E629">
        <v>27.95</v>
      </c>
      <c r="F629" t="s">
        <v>9</v>
      </c>
      <c r="G6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29">
        <f>IF(Table1[[#This Row],[is_ups_overcharge]]="ups overcharged",Table1[[#This Row],[ups ship charge]]-Table1[[#This Row],[ada ship charge]],0)</f>
        <v>0</v>
      </c>
    </row>
    <row r="630" spans="1:9" x14ac:dyDescent="0.2">
      <c r="A630">
        <v>1010593</v>
      </c>
      <c r="B630" t="s">
        <v>20</v>
      </c>
      <c r="C630">
        <v>13.7</v>
      </c>
      <c r="D630">
        <v>13.76</v>
      </c>
      <c r="E630">
        <v>35.75</v>
      </c>
      <c r="F630" t="s">
        <v>9</v>
      </c>
      <c r="G6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30">
        <f>IF(Table1[[#This Row],[is_ups_overcharge]]="ups overcharged",Table1[[#This Row],[ups ship charge]]-Table1[[#This Row],[ada ship charge]],0)</f>
        <v>0</v>
      </c>
    </row>
    <row r="631" spans="1:9" x14ac:dyDescent="0.2">
      <c r="A631">
        <v>1010605</v>
      </c>
      <c r="B631" t="s">
        <v>20</v>
      </c>
      <c r="C631">
        <v>9.6999999999999993</v>
      </c>
      <c r="D631">
        <v>9.75</v>
      </c>
      <c r="E631">
        <v>24.95</v>
      </c>
      <c r="F631" t="s">
        <v>6</v>
      </c>
      <c r="G6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31">
        <f>IF(Table1[[#This Row],[is_ups_overcharge]]="ups overcharged",Table1[[#This Row],[ups ship charge]]-Table1[[#This Row],[ada ship charge]],0)</f>
        <v>0</v>
      </c>
    </row>
    <row r="632" spans="1:9" x14ac:dyDescent="0.2">
      <c r="A632">
        <v>1010615</v>
      </c>
      <c r="B632" t="s">
        <v>20</v>
      </c>
      <c r="C632">
        <v>12.81</v>
      </c>
      <c r="D632">
        <v>12.86</v>
      </c>
      <c r="E632">
        <v>64.150000000000006</v>
      </c>
      <c r="F632" t="s">
        <v>9</v>
      </c>
      <c r="G6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32">
        <f>IF(Table1[[#This Row],[is_ups_overcharge]]="ups overcharged",Table1[[#This Row],[ups ship charge]]-Table1[[#This Row],[ada ship charge]],0)</f>
        <v>0</v>
      </c>
    </row>
    <row r="633" spans="1:9" x14ac:dyDescent="0.2">
      <c r="A633">
        <v>1010631</v>
      </c>
      <c r="B633" t="s">
        <v>20</v>
      </c>
      <c r="C633">
        <v>12.81</v>
      </c>
      <c r="D633">
        <v>12.86</v>
      </c>
      <c r="E633">
        <v>72.25</v>
      </c>
      <c r="F633" t="s">
        <v>9</v>
      </c>
      <c r="G6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33">
        <f>IF(Table1[[#This Row],[is_ups_overcharge]]="ups overcharged",Table1[[#This Row],[ups ship charge]]-Table1[[#This Row],[ada ship charge]],0)</f>
        <v>0</v>
      </c>
    </row>
    <row r="634" spans="1:9" x14ac:dyDescent="0.2">
      <c r="A634">
        <v>1010646</v>
      </c>
      <c r="B634" t="s">
        <v>20</v>
      </c>
      <c r="C634">
        <v>13.7</v>
      </c>
      <c r="D634">
        <v>13.75</v>
      </c>
      <c r="E634">
        <v>81.8</v>
      </c>
      <c r="F634" t="s">
        <v>9</v>
      </c>
      <c r="G6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34">
        <f>IF(Table1[[#This Row],[is_ups_overcharge]]="ups overcharged",Table1[[#This Row],[ups ship charge]]-Table1[[#This Row],[ada ship charge]],0)</f>
        <v>0</v>
      </c>
    </row>
    <row r="635" spans="1:9" x14ac:dyDescent="0.2">
      <c r="A635">
        <v>1010675</v>
      </c>
      <c r="B635" t="s">
        <v>20</v>
      </c>
      <c r="C635">
        <v>13.7</v>
      </c>
      <c r="D635">
        <v>14.15</v>
      </c>
      <c r="E635">
        <v>114.95</v>
      </c>
      <c r="F635" t="s">
        <v>9</v>
      </c>
      <c r="G6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35">
        <f>IF(Table1[[#This Row],[is_ups_overcharge]]="ups overcharged",Table1[[#This Row],[ups ship charge]]-Table1[[#This Row],[ada ship charge]],0)</f>
        <v>0</v>
      </c>
    </row>
    <row r="636" spans="1:9" x14ac:dyDescent="0.2">
      <c r="A636">
        <v>1010700</v>
      </c>
      <c r="B636" t="s">
        <v>20</v>
      </c>
      <c r="C636">
        <v>16.46</v>
      </c>
      <c r="D636">
        <v>16.510000000000002</v>
      </c>
      <c r="E636">
        <v>75</v>
      </c>
      <c r="F636" t="s">
        <v>10</v>
      </c>
      <c r="G6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36">
        <f>IF(Table1[[#This Row],[is_ups_overcharge]]="ups overcharged",Table1[[#This Row],[ups ship charge]]-Table1[[#This Row],[ada ship charge]],0)</f>
        <v>0</v>
      </c>
    </row>
    <row r="637" spans="1:9" x14ac:dyDescent="0.2">
      <c r="A637">
        <v>1010720</v>
      </c>
      <c r="B637" t="s">
        <v>20</v>
      </c>
      <c r="C637">
        <v>16.77</v>
      </c>
      <c r="D637">
        <v>16.82</v>
      </c>
      <c r="E637">
        <v>82.75</v>
      </c>
      <c r="F637" t="s">
        <v>10</v>
      </c>
      <c r="G6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37">
        <f>IF(Table1[[#This Row],[is_ups_overcharge]]="ups overcharged",Table1[[#This Row],[ups ship charge]]-Table1[[#This Row],[ada ship charge]],0)</f>
        <v>0</v>
      </c>
    </row>
    <row r="638" spans="1:9" x14ac:dyDescent="0.2">
      <c r="A638">
        <v>1010729</v>
      </c>
      <c r="B638" t="s">
        <v>20</v>
      </c>
      <c r="C638">
        <v>13.7</v>
      </c>
      <c r="D638">
        <v>13.76</v>
      </c>
      <c r="E638">
        <v>89.4</v>
      </c>
      <c r="F638" t="s">
        <v>9</v>
      </c>
      <c r="G6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38">
        <f>IF(Table1[[#This Row],[is_ups_overcharge]]="ups overcharged",Table1[[#This Row],[ups ship charge]]-Table1[[#This Row],[ada ship charge]],0)</f>
        <v>0</v>
      </c>
    </row>
    <row r="639" spans="1:9" x14ac:dyDescent="0.2">
      <c r="A639">
        <v>1010757</v>
      </c>
      <c r="B639" t="s">
        <v>20</v>
      </c>
      <c r="C639">
        <v>12.81</v>
      </c>
      <c r="D639">
        <v>12.86</v>
      </c>
      <c r="E639">
        <v>24.95</v>
      </c>
      <c r="F639" t="s">
        <v>9</v>
      </c>
      <c r="G6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39">
        <f>IF(Table1[[#This Row],[is_ups_overcharge]]="ups overcharged",Table1[[#This Row],[ups ship charge]]-Table1[[#This Row],[ada ship charge]],0)</f>
        <v>0</v>
      </c>
    </row>
    <row r="640" spans="1:9" x14ac:dyDescent="0.2">
      <c r="A640">
        <v>1010782</v>
      </c>
      <c r="B640" t="s">
        <v>20</v>
      </c>
      <c r="C640">
        <v>12.81</v>
      </c>
      <c r="D640">
        <v>12.86</v>
      </c>
      <c r="E640">
        <v>49.85</v>
      </c>
      <c r="F640" t="s">
        <v>9</v>
      </c>
      <c r="G6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40">
        <f>IF(Table1[[#This Row],[is_ups_overcharge]]="ups overcharged",Table1[[#This Row],[ups ship charge]]-Table1[[#This Row],[ada ship charge]],0)</f>
        <v>0</v>
      </c>
    </row>
    <row r="641" spans="1:9" x14ac:dyDescent="0.2">
      <c r="A641">
        <v>1010789</v>
      </c>
      <c r="B641" t="s">
        <v>20</v>
      </c>
      <c r="C641">
        <v>16.559999999999999</v>
      </c>
      <c r="D641">
        <v>16.61</v>
      </c>
      <c r="E641">
        <v>13.5</v>
      </c>
      <c r="F641" t="s">
        <v>10</v>
      </c>
      <c r="G6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41">
        <f>IF(Table1[[#This Row],[is_ups_overcharge]]="ups overcharged",Table1[[#This Row],[ups ship charge]]-Table1[[#This Row],[ada ship charge]],0)</f>
        <v>0</v>
      </c>
    </row>
    <row r="642" spans="1:9" x14ac:dyDescent="0.2">
      <c r="A642">
        <v>1010792</v>
      </c>
      <c r="B642" t="s">
        <v>20</v>
      </c>
      <c r="C642">
        <v>77.73</v>
      </c>
      <c r="D642">
        <v>77.78</v>
      </c>
      <c r="E642">
        <v>309.60000000000002</v>
      </c>
      <c r="F642" t="s">
        <v>8</v>
      </c>
      <c r="G6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42">
        <f>IF(Table1[[#This Row],[is_ups_overcharge]]="ups overcharged",Table1[[#This Row],[ups ship charge]]-Table1[[#This Row],[ada ship charge]],0)</f>
        <v>0</v>
      </c>
    </row>
    <row r="643" spans="1:9" x14ac:dyDescent="0.2">
      <c r="A643">
        <v>1010797</v>
      </c>
      <c r="B643" t="s">
        <v>20</v>
      </c>
      <c r="C643">
        <v>12.81</v>
      </c>
      <c r="D643">
        <v>12.86</v>
      </c>
      <c r="E643">
        <v>8.6999999999999993</v>
      </c>
      <c r="F643" t="s">
        <v>9</v>
      </c>
      <c r="G6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43">
        <f>IF(Table1[[#This Row],[is_ups_overcharge]]="ups overcharged",Table1[[#This Row],[ups ship charge]]-Table1[[#This Row],[ada ship charge]],0)</f>
        <v>0</v>
      </c>
    </row>
    <row r="644" spans="1:9" x14ac:dyDescent="0.2">
      <c r="A644">
        <v>1010798</v>
      </c>
      <c r="B644" t="s">
        <v>20</v>
      </c>
      <c r="C644">
        <v>13.7</v>
      </c>
      <c r="D644">
        <v>13.75</v>
      </c>
      <c r="E644">
        <v>54.75</v>
      </c>
      <c r="F644" t="s">
        <v>9</v>
      </c>
      <c r="G6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44">
        <f>IF(Table1[[#This Row],[is_ups_overcharge]]="ups overcharged",Table1[[#This Row],[ups ship charge]]-Table1[[#This Row],[ada ship charge]],0)</f>
        <v>0</v>
      </c>
    </row>
    <row r="645" spans="1:9" x14ac:dyDescent="0.2">
      <c r="A645">
        <v>1010812</v>
      </c>
      <c r="B645" t="s">
        <v>20</v>
      </c>
      <c r="C645">
        <v>16.77</v>
      </c>
      <c r="D645">
        <v>16.82</v>
      </c>
      <c r="E645">
        <v>3.95</v>
      </c>
      <c r="F645" t="s">
        <v>10</v>
      </c>
      <c r="G6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45">
        <f>IF(Table1[[#This Row],[is_ups_overcharge]]="ups overcharged",Table1[[#This Row],[ups ship charge]]-Table1[[#This Row],[ada ship charge]],0)</f>
        <v>0</v>
      </c>
    </row>
    <row r="646" spans="1:9" x14ac:dyDescent="0.2">
      <c r="A646">
        <v>1010819</v>
      </c>
      <c r="B646" t="s">
        <v>20</v>
      </c>
      <c r="C646">
        <v>12.81</v>
      </c>
      <c r="D646">
        <v>12.9</v>
      </c>
      <c r="E646">
        <v>55.7</v>
      </c>
      <c r="F646" t="s">
        <v>9</v>
      </c>
      <c r="G6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46">
        <f>IF(Table1[[#This Row],[is_ups_overcharge]]="ups overcharged",Table1[[#This Row],[ups ship charge]]-Table1[[#This Row],[ada ship charge]],0)</f>
        <v>0</v>
      </c>
    </row>
    <row r="647" spans="1:9" x14ac:dyDescent="0.2">
      <c r="A647">
        <v>1010825</v>
      </c>
      <c r="B647" t="s">
        <v>20</v>
      </c>
      <c r="C647">
        <v>13.7</v>
      </c>
      <c r="D647">
        <v>13.75</v>
      </c>
      <c r="E647">
        <v>19.95</v>
      </c>
      <c r="F647" t="s">
        <v>9</v>
      </c>
      <c r="G6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47">
        <f>IF(Table1[[#This Row],[is_ups_overcharge]]="ups overcharged",Table1[[#This Row],[ups ship charge]]-Table1[[#This Row],[ada ship charge]],0)</f>
        <v>0</v>
      </c>
    </row>
    <row r="648" spans="1:9" x14ac:dyDescent="0.2">
      <c r="A648">
        <v>1010840</v>
      </c>
      <c r="B648" t="s">
        <v>20</v>
      </c>
      <c r="C648">
        <v>13.7</v>
      </c>
      <c r="D648">
        <v>13.75</v>
      </c>
      <c r="E648">
        <v>64.55</v>
      </c>
      <c r="F648" t="s">
        <v>9</v>
      </c>
      <c r="G6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48">
        <f>IF(Table1[[#This Row],[is_ups_overcharge]]="ups overcharged",Table1[[#This Row],[ups ship charge]]-Table1[[#This Row],[ada ship charge]],0)</f>
        <v>0</v>
      </c>
    </row>
    <row r="649" spans="1:9" x14ac:dyDescent="0.2">
      <c r="A649">
        <v>1010841</v>
      </c>
      <c r="B649" t="s">
        <v>20</v>
      </c>
      <c r="C649">
        <v>12.81</v>
      </c>
      <c r="D649">
        <v>12.86</v>
      </c>
      <c r="E649">
        <v>19.95</v>
      </c>
      <c r="F649" t="s">
        <v>9</v>
      </c>
      <c r="G6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49">
        <f>IF(Table1[[#This Row],[is_ups_overcharge]]="ups overcharged",Table1[[#This Row],[ups ship charge]]-Table1[[#This Row],[ada ship charge]],0)</f>
        <v>0</v>
      </c>
    </row>
    <row r="650" spans="1:9" x14ac:dyDescent="0.2">
      <c r="A650">
        <v>1010845</v>
      </c>
      <c r="B650" t="s">
        <v>20</v>
      </c>
      <c r="C650">
        <v>15.13</v>
      </c>
      <c r="D650">
        <v>15.18</v>
      </c>
      <c r="E650">
        <v>44.95</v>
      </c>
      <c r="F650" t="s">
        <v>12</v>
      </c>
      <c r="G6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50">
        <f>IF(Table1[[#This Row],[is_ups_overcharge]]="ups overcharged",Table1[[#This Row],[ups ship charge]]-Table1[[#This Row],[ada ship charge]],0)</f>
        <v>0</v>
      </c>
    </row>
    <row r="651" spans="1:9" x14ac:dyDescent="0.2">
      <c r="A651">
        <v>1010851</v>
      </c>
      <c r="B651" t="s">
        <v>20</v>
      </c>
      <c r="C651">
        <v>72.02</v>
      </c>
      <c r="D651">
        <v>59.07</v>
      </c>
      <c r="E651">
        <v>193.15</v>
      </c>
      <c r="F651" t="s">
        <v>8</v>
      </c>
      <c r="G6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51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651">
        <f>IF(Table1[[#This Row],[is_ups_overcharge]]="ups overcharged",Table1[[#This Row],[ups ship charge]]-Table1[[#This Row],[ada ship charge]],0)</f>
        <v>12.949999999999996</v>
      </c>
    </row>
    <row r="652" spans="1:9" x14ac:dyDescent="0.2">
      <c r="A652">
        <v>1010868</v>
      </c>
      <c r="B652" t="s">
        <v>20</v>
      </c>
      <c r="C652">
        <v>18.05</v>
      </c>
      <c r="D652">
        <v>18.100000000000001</v>
      </c>
      <c r="E652">
        <v>145.1</v>
      </c>
      <c r="F652" t="s">
        <v>10</v>
      </c>
      <c r="G6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52">
        <f>IF(Table1[[#This Row],[is_ups_overcharge]]="ups overcharged",Table1[[#This Row],[ups ship charge]]-Table1[[#This Row],[ada ship charge]],0)</f>
        <v>0</v>
      </c>
    </row>
    <row r="653" spans="1:9" x14ac:dyDescent="0.2">
      <c r="A653">
        <v>1010888</v>
      </c>
      <c r="B653" t="s">
        <v>20</v>
      </c>
      <c r="C653">
        <v>15.44</v>
      </c>
      <c r="D653">
        <v>15.49</v>
      </c>
      <c r="E653">
        <v>26.5</v>
      </c>
      <c r="F653" t="s">
        <v>12</v>
      </c>
      <c r="G6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53">
        <f>IF(Table1[[#This Row],[is_ups_overcharge]]="ups overcharged",Table1[[#This Row],[ups ship charge]]-Table1[[#This Row],[ada ship charge]],0)</f>
        <v>0</v>
      </c>
    </row>
    <row r="654" spans="1:9" x14ac:dyDescent="0.2">
      <c r="A654">
        <v>1010901</v>
      </c>
      <c r="B654" t="s">
        <v>20</v>
      </c>
      <c r="C654">
        <v>12.81</v>
      </c>
      <c r="D654">
        <v>12.86</v>
      </c>
      <c r="E654">
        <v>34.700000000000003</v>
      </c>
      <c r="F654" t="s">
        <v>9</v>
      </c>
      <c r="G6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54">
        <f>IF(Table1[[#This Row],[is_ups_overcharge]]="ups overcharged",Table1[[#This Row],[ups ship charge]]-Table1[[#This Row],[ada ship charge]],0)</f>
        <v>0</v>
      </c>
    </row>
    <row r="655" spans="1:9" x14ac:dyDescent="0.2">
      <c r="A655">
        <v>1010903</v>
      </c>
      <c r="B655" t="s">
        <v>20</v>
      </c>
      <c r="C655">
        <v>12.81</v>
      </c>
      <c r="D655">
        <v>12.86</v>
      </c>
      <c r="E655">
        <v>19.899999999999999</v>
      </c>
      <c r="F655" t="s">
        <v>9</v>
      </c>
      <c r="G6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55">
        <f>IF(Table1[[#This Row],[is_ups_overcharge]]="ups overcharged",Table1[[#This Row],[ups ship charge]]-Table1[[#This Row],[ada ship charge]],0)</f>
        <v>0</v>
      </c>
    </row>
    <row r="656" spans="1:9" x14ac:dyDescent="0.2">
      <c r="A656">
        <v>1010918</v>
      </c>
      <c r="B656" t="s">
        <v>20</v>
      </c>
      <c r="C656">
        <v>13.7</v>
      </c>
      <c r="D656">
        <v>13.75</v>
      </c>
      <c r="E656">
        <v>6</v>
      </c>
      <c r="F656" t="s">
        <v>9</v>
      </c>
      <c r="G6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56">
        <f>IF(Table1[[#This Row],[is_ups_overcharge]]="ups overcharged",Table1[[#This Row],[ups ship charge]]-Table1[[#This Row],[ada ship charge]],0)</f>
        <v>0</v>
      </c>
    </row>
    <row r="657" spans="1:9" x14ac:dyDescent="0.2">
      <c r="A657">
        <v>1010920</v>
      </c>
      <c r="B657" t="s">
        <v>20</v>
      </c>
      <c r="C657">
        <v>20.100000000000001</v>
      </c>
      <c r="D657">
        <v>24.57</v>
      </c>
      <c r="E657">
        <v>36.6</v>
      </c>
      <c r="F657" t="s">
        <v>16</v>
      </c>
      <c r="G6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57">
        <f>IF(Table1[[#This Row],[is_ups_overcharge]]="ups overcharged",Table1[[#This Row],[ups ship charge]]-Table1[[#This Row],[ada ship charge]],0)</f>
        <v>0</v>
      </c>
    </row>
    <row r="658" spans="1:9" x14ac:dyDescent="0.2">
      <c r="A658">
        <v>1010924</v>
      </c>
      <c r="B658" t="s">
        <v>20</v>
      </c>
      <c r="C658">
        <v>12.81</v>
      </c>
      <c r="D658">
        <v>12.86</v>
      </c>
      <c r="E658">
        <v>93.65</v>
      </c>
      <c r="F658" t="s">
        <v>9</v>
      </c>
      <c r="G6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58">
        <f>IF(Table1[[#This Row],[is_ups_overcharge]]="ups overcharged",Table1[[#This Row],[ups ship charge]]-Table1[[#This Row],[ada ship charge]],0)</f>
        <v>0</v>
      </c>
    </row>
    <row r="659" spans="1:9" x14ac:dyDescent="0.2">
      <c r="A659">
        <v>1010946</v>
      </c>
      <c r="B659" t="s">
        <v>20</v>
      </c>
      <c r="C659">
        <v>15.13</v>
      </c>
      <c r="D659">
        <v>16.45</v>
      </c>
      <c r="E659">
        <v>23.75</v>
      </c>
      <c r="F659" t="s">
        <v>12</v>
      </c>
      <c r="G6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59">
        <f>IF(Table1[[#This Row],[is_ups_overcharge]]="ups overcharged",Table1[[#This Row],[ups ship charge]]-Table1[[#This Row],[ada ship charge]],0)</f>
        <v>0</v>
      </c>
    </row>
    <row r="660" spans="1:9" x14ac:dyDescent="0.2">
      <c r="A660">
        <v>1010949</v>
      </c>
      <c r="B660" t="s">
        <v>20</v>
      </c>
      <c r="C660">
        <v>27.81</v>
      </c>
      <c r="D660">
        <v>32.69</v>
      </c>
      <c r="E660">
        <v>93.65</v>
      </c>
      <c r="F660" t="s">
        <v>13</v>
      </c>
      <c r="G6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60">
        <f>IF(Table1[[#This Row],[is_ups_overcharge]]="ups overcharged",Table1[[#This Row],[ups ship charge]]-Table1[[#This Row],[ada ship charge]],0)</f>
        <v>0</v>
      </c>
    </row>
    <row r="661" spans="1:9" x14ac:dyDescent="0.2">
      <c r="A661">
        <v>1010989</v>
      </c>
      <c r="B661" t="s">
        <v>20</v>
      </c>
      <c r="C661">
        <v>12.81</v>
      </c>
      <c r="D661">
        <v>12.86</v>
      </c>
      <c r="E661">
        <v>109.95</v>
      </c>
      <c r="F661" t="s">
        <v>9</v>
      </c>
      <c r="G6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61">
        <f>IF(Table1[[#This Row],[is_ups_overcharge]]="ups overcharged",Table1[[#This Row],[ups ship charge]]-Table1[[#This Row],[ada ship charge]],0)</f>
        <v>0</v>
      </c>
    </row>
    <row r="662" spans="1:9" x14ac:dyDescent="0.2">
      <c r="A662">
        <v>1010998</v>
      </c>
      <c r="B662" t="s">
        <v>20</v>
      </c>
      <c r="C662">
        <v>12.81</v>
      </c>
      <c r="D662">
        <v>12.86</v>
      </c>
      <c r="E662">
        <v>91.65</v>
      </c>
      <c r="F662" t="s">
        <v>9</v>
      </c>
      <c r="G6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62">
        <f>IF(Table1[[#This Row],[is_ups_overcharge]]="ups overcharged",Table1[[#This Row],[ups ship charge]]-Table1[[#This Row],[ada ship charge]],0)</f>
        <v>0</v>
      </c>
    </row>
    <row r="663" spans="1:9" x14ac:dyDescent="0.2">
      <c r="A663">
        <v>1011012</v>
      </c>
      <c r="B663" t="s">
        <v>20</v>
      </c>
      <c r="C663">
        <v>71.73</v>
      </c>
      <c r="D663">
        <v>75.53</v>
      </c>
      <c r="E663">
        <v>134.9</v>
      </c>
      <c r="F663" t="s">
        <v>11</v>
      </c>
      <c r="G6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63">
        <f>IF(Table1[[#This Row],[is_ups_overcharge]]="ups overcharged",Table1[[#This Row],[ups ship charge]]-Table1[[#This Row],[ada ship charge]],0)</f>
        <v>0</v>
      </c>
    </row>
    <row r="664" spans="1:9" x14ac:dyDescent="0.2">
      <c r="A664">
        <v>1011027</v>
      </c>
      <c r="B664" t="s">
        <v>20</v>
      </c>
      <c r="C664">
        <v>9.6999999999999993</v>
      </c>
      <c r="D664">
        <v>12.86</v>
      </c>
      <c r="E664">
        <v>82.8</v>
      </c>
      <c r="F664" t="s">
        <v>6</v>
      </c>
      <c r="G6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64">
        <f>IF(Table1[[#This Row],[is_ups_overcharge]]="ups overcharged",Table1[[#This Row],[ups ship charge]]-Table1[[#This Row],[ada ship charge]],0)</f>
        <v>0</v>
      </c>
    </row>
    <row r="665" spans="1:9" x14ac:dyDescent="0.2">
      <c r="A665">
        <v>1011049</v>
      </c>
      <c r="B665" t="s">
        <v>20</v>
      </c>
      <c r="C665">
        <v>12.81</v>
      </c>
      <c r="D665">
        <v>12.86</v>
      </c>
      <c r="E665">
        <v>58.8</v>
      </c>
      <c r="F665" t="s">
        <v>9</v>
      </c>
      <c r="G6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65">
        <f>IF(Table1[[#This Row],[is_ups_overcharge]]="ups overcharged",Table1[[#This Row],[ups ship charge]]-Table1[[#This Row],[ada ship charge]],0)</f>
        <v>0</v>
      </c>
    </row>
    <row r="666" spans="1:9" x14ac:dyDescent="0.2">
      <c r="A666">
        <v>1011054</v>
      </c>
      <c r="B666" t="s">
        <v>20</v>
      </c>
      <c r="C666">
        <v>13.7</v>
      </c>
      <c r="D666">
        <v>13.75</v>
      </c>
      <c r="E666">
        <v>60.8</v>
      </c>
      <c r="F666" t="s">
        <v>9</v>
      </c>
      <c r="G6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66">
        <f>IF(Table1[[#This Row],[is_ups_overcharge]]="ups overcharged",Table1[[#This Row],[ups ship charge]]-Table1[[#This Row],[ada ship charge]],0)</f>
        <v>0</v>
      </c>
    </row>
    <row r="667" spans="1:9" x14ac:dyDescent="0.2">
      <c r="A667">
        <v>1011069</v>
      </c>
      <c r="B667" t="s">
        <v>20</v>
      </c>
      <c r="C667">
        <v>16.87</v>
      </c>
      <c r="D667">
        <v>16.920000000000002</v>
      </c>
      <c r="E667">
        <v>39.950000000000003</v>
      </c>
      <c r="F667" t="s">
        <v>10</v>
      </c>
      <c r="G6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67">
        <f>IF(Table1[[#This Row],[is_ups_overcharge]]="ups overcharged",Table1[[#This Row],[ups ship charge]]-Table1[[#This Row],[ada ship charge]],0)</f>
        <v>0</v>
      </c>
    </row>
    <row r="668" spans="1:9" x14ac:dyDescent="0.2">
      <c r="A668">
        <v>1011107</v>
      </c>
      <c r="B668" t="s">
        <v>20</v>
      </c>
      <c r="C668">
        <v>12.81</v>
      </c>
      <c r="D668">
        <v>12.86</v>
      </c>
      <c r="E668">
        <v>132.65</v>
      </c>
      <c r="F668" t="s">
        <v>9</v>
      </c>
      <c r="G6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68">
        <f>IF(Table1[[#This Row],[is_ups_overcharge]]="ups overcharged",Table1[[#This Row],[ups ship charge]]-Table1[[#This Row],[ada ship charge]],0)</f>
        <v>0</v>
      </c>
    </row>
    <row r="669" spans="1:9" x14ac:dyDescent="0.2">
      <c r="A669">
        <v>1011124</v>
      </c>
      <c r="B669" t="s">
        <v>20</v>
      </c>
      <c r="C669">
        <v>12.35</v>
      </c>
      <c r="D669">
        <v>12.4</v>
      </c>
      <c r="E669">
        <v>54.8</v>
      </c>
      <c r="F669" t="s">
        <v>13</v>
      </c>
      <c r="G6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69">
        <f>IF(Table1[[#This Row],[is_ups_overcharge]]="ups overcharged",Table1[[#This Row],[ups ship charge]]-Table1[[#This Row],[ada ship charge]],0)</f>
        <v>0</v>
      </c>
    </row>
    <row r="670" spans="1:9" x14ac:dyDescent="0.2">
      <c r="A670">
        <v>1011130</v>
      </c>
      <c r="B670" t="s">
        <v>20</v>
      </c>
      <c r="C670">
        <v>19.22</v>
      </c>
      <c r="D670">
        <v>19.27</v>
      </c>
      <c r="E670">
        <v>5.95</v>
      </c>
      <c r="F670" t="s">
        <v>16</v>
      </c>
      <c r="G6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70">
        <f>IF(Table1[[#This Row],[is_ups_overcharge]]="ups overcharged",Table1[[#This Row],[ups ship charge]]-Table1[[#This Row],[ada ship charge]],0)</f>
        <v>0</v>
      </c>
    </row>
    <row r="671" spans="1:9" x14ac:dyDescent="0.2">
      <c r="A671">
        <v>1011131</v>
      </c>
      <c r="B671" t="s">
        <v>20</v>
      </c>
      <c r="C671">
        <v>9.6999999999999993</v>
      </c>
      <c r="D671">
        <v>9.75</v>
      </c>
      <c r="E671">
        <v>87.9</v>
      </c>
      <c r="F671" t="s">
        <v>6</v>
      </c>
      <c r="G6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71">
        <f>IF(Table1[[#This Row],[is_ups_overcharge]]="ups overcharged",Table1[[#This Row],[ups ship charge]]-Table1[[#This Row],[ada ship charge]],0)</f>
        <v>0</v>
      </c>
    </row>
    <row r="672" spans="1:9" x14ac:dyDescent="0.2">
      <c r="A672">
        <v>1011149</v>
      </c>
      <c r="B672" t="s">
        <v>20</v>
      </c>
      <c r="C672">
        <v>9.6999999999999993</v>
      </c>
      <c r="D672">
        <v>9.75</v>
      </c>
      <c r="E672">
        <v>143.6</v>
      </c>
      <c r="F672" t="s">
        <v>6</v>
      </c>
      <c r="G6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72">
        <f>IF(Table1[[#This Row],[is_ups_overcharge]]="ups overcharged",Table1[[#This Row],[ups ship charge]]-Table1[[#This Row],[ada ship charge]],0)</f>
        <v>0</v>
      </c>
    </row>
    <row r="673" spans="1:9" x14ac:dyDescent="0.2">
      <c r="A673">
        <v>1011154</v>
      </c>
      <c r="B673" t="s">
        <v>20</v>
      </c>
      <c r="C673">
        <v>13.7</v>
      </c>
      <c r="D673">
        <v>13.75</v>
      </c>
      <c r="E673">
        <v>39.950000000000003</v>
      </c>
      <c r="F673" t="s">
        <v>9</v>
      </c>
      <c r="G6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73">
        <f>IF(Table1[[#This Row],[is_ups_overcharge]]="ups overcharged",Table1[[#This Row],[ups ship charge]]-Table1[[#This Row],[ada ship charge]],0)</f>
        <v>0</v>
      </c>
    </row>
    <row r="674" spans="1:9" x14ac:dyDescent="0.2">
      <c r="A674">
        <v>1011170</v>
      </c>
      <c r="B674" t="s">
        <v>20</v>
      </c>
      <c r="C674">
        <v>12.81</v>
      </c>
      <c r="D674">
        <v>12.9</v>
      </c>
      <c r="E674">
        <v>50.3</v>
      </c>
      <c r="F674" t="s">
        <v>9</v>
      </c>
      <c r="G6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74">
        <f>IF(Table1[[#This Row],[is_ups_overcharge]]="ups overcharged",Table1[[#This Row],[ups ship charge]]-Table1[[#This Row],[ada ship charge]],0)</f>
        <v>0</v>
      </c>
    </row>
    <row r="675" spans="1:9" x14ac:dyDescent="0.2">
      <c r="A675">
        <v>1011172</v>
      </c>
      <c r="B675" t="s">
        <v>20</v>
      </c>
      <c r="C675">
        <v>12.81</v>
      </c>
      <c r="D675">
        <v>12.86</v>
      </c>
      <c r="E675">
        <v>23.95</v>
      </c>
      <c r="F675" t="s">
        <v>9</v>
      </c>
      <c r="G6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75">
        <f>IF(Table1[[#This Row],[is_ups_overcharge]]="ups overcharged",Table1[[#This Row],[ups ship charge]]-Table1[[#This Row],[ada ship charge]],0)</f>
        <v>0</v>
      </c>
    </row>
    <row r="676" spans="1:9" x14ac:dyDescent="0.2">
      <c r="A676">
        <v>1011179</v>
      </c>
      <c r="B676" t="s">
        <v>20</v>
      </c>
      <c r="C676">
        <v>24.22</v>
      </c>
      <c r="D676">
        <v>24.27</v>
      </c>
      <c r="E676">
        <v>9.9499999999999993</v>
      </c>
      <c r="F676" t="s">
        <v>15</v>
      </c>
      <c r="G6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76">
        <f>IF(Table1[[#This Row],[is_ups_overcharge]]="ups overcharged",Table1[[#This Row],[ups ship charge]]-Table1[[#This Row],[ada ship charge]],0)</f>
        <v>0</v>
      </c>
    </row>
    <row r="677" spans="1:9" x14ac:dyDescent="0.2">
      <c r="A677">
        <v>1011186</v>
      </c>
      <c r="B677" t="s">
        <v>20</v>
      </c>
      <c r="C677">
        <v>9.6999999999999993</v>
      </c>
      <c r="D677">
        <v>9.75</v>
      </c>
      <c r="E677">
        <v>44.9</v>
      </c>
      <c r="F677" t="s">
        <v>6</v>
      </c>
      <c r="G6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77">
        <f>IF(Table1[[#This Row],[is_ups_overcharge]]="ups overcharged",Table1[[#This Row],[ups ship charge]]-Table1[[#This Row],[ada ship charge]],0)</f>
        <v>0</v>
      </c>
    </row>
    <row r="678" spans="1:9" x14ac:dyDescent="0.2">
      <c r="A678">
        <v>1011190</v>
      </c>
      <c r="B678" t="s">
        <v>20</v>
      </c>
      <c r="C678">
        <v>13.7</v>
      </c>
      <c r="D678">
        <v>13.75</v>
      </c>
      <c r="E678">
        <v>62.8</v>
      </c>
      <c r="F678" t="s">
        <v>9</v>
      </c>
      <c r="G6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78">
        <f>IF(Table1[[#This Row],[is_ups_overcharge]]="ups overcharged",Table1[[#This Row],[ups ship charge]]-Table1[[#This Row],[ada ship charge]],0)</f>
        <v>0</v>
      </c>
    </row>
    <row r="679" spans="1:9" x14ac:dyDescent="0.2">
      <c r="A679">
        <v>1011193</v>
      </c>
      <c r="B679" t="s">
        <v>20</v>
      </c>
      <c r="C679">
        <v>12.81</v>
      </c>
      <c r="D679">
        <v>12.86</v>
      </c>
      <c r="E679">
        <v>51.15</v>
      </c>
      <c r="F679" t="s">
        <v>9</v>
      </c>
      <c r="G6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79">
        <f>IF(Table1[[#This Row],[is_ups_overcharge]]="ups overcharged",Table1[[#This Row],[ups ship charge]]-Table1[[#This Row],[ada ship charge]],0)</f>
        <v>0</v>
      </c>
    </row>
    <row r="680" spans="1:9" x14ac:dyDescent="0.2">
      <c r="A680">
        <v>1011201</v>
      </c>
      <c r="B680" t="s">
        <v>20</v>
      </c>
      <c r="C680">
        <v>12.81</v>
      </c>
      <c r="D680">
        <v>12.86</v>
      </c>
      <c r="E680">
        <v>39.85</v>
      </c>
      <c r="F680" t="s">
        <v>9</v>
      </c>
      <c r="G6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80">
        <f>IF(Table1[[#This Row],[is_ups_overcharge]]="ups overcharged",Table1[[#This Row],[ups ship charge]]-Table1[[#This Row],[ada ship charge]],0)</f>
        <v>0</v>
      </c>
    </row>
    <row r="681" spans="1:9" x14ac:dyDescent="0.2">
      <c r="A681">
        <v>1011218</v>
      </c>
      <c r="B681" t="s">
        <v>20</v>
      </c>
      <c r="C681">
        <v>13.7</v>
      </c>
      <c r="D681">
        <v>13.75</v>
      </c>
      <c r="E681">
        <v>53.5</v>
      </c>
      <c r="F681" t="s">
        <v>9</v>
      </c>
      <c r="G6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81">
        <f>IF(Table1[[#This Row],[is_ups_overcharge]]="ups overcharged",Table1[[#This Row],[ups ship charge]]-Table1[[#This Row],[ada ship charge]],0)</f>
        <v>0</v>
      </c>
    </row>
    <row r="682" spans="1:9" x14ac:dyDescent="0.2">
      <c r="A682">
        <v>1011220</v>
      </c>
      <c r="B682" t="s">
        <v>20</v>
      </c>
      <c r="C682">
        <v>9.6999999999999993</v>
      </c>
      <c r="D682">
        <v>9.75</v>
      </c>
      <c r="E682">
        <v>59.95</v>
      </c>
      <c r="F682" t="s">
        <v>6</v>
      </c>
      <c r="G6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82">
        <f>IF(Table1[[#This Row],[is_ups_overcharge]]="ups overcharged",Table1[[#This Row],[ups ship charge]]-Table1[[#This Row],[ada ship charge]],0)</f>
        <v>0</v>
      </c>
    </row>
    <row r="683" spans="1:9" x14ac:dyDescent="0.2">
      <c r="A683">
        <v>1011226</v>
      </c>
      <c r="B683" t="s">
        <v>20</v>
      </c>
      <c r="C683">
        <v>9.6999999999999993</v>
      </c>
      <c r="D683">
        <v>9.75</v>
      </c>
      <c r="E683">
        <v>17.5</v>
      </c>
      <c r="F683" t="s">
        <v>6</v>
      </c>
      <c r="G6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83">
        <f>IF(Table1[[#This Row],[is_ups_overcharge]]="ups overcharged",Table1[[#This Row],[ups ship charge]]-Table1[[#This Row],[ada ship charge]],0)</f>
        <v>0</v>
      </c>
    </row>
    <row r="684" spans="1:9" x14ac:dyDescent="0.2">
      <c r="A684">
        <v>1011232</v>
      </c>
      <c r="B684" t="s">
        <v>20</v>
      </c>
      <c r="C684">
        <v>9.6999999999999993</v>
      </c>
      <c r="D684">
        <v>9.75</v>
      </c>
      <c r="E684">
        <v>19.899999999999999</v>
      </c>
      <c r="F684" t="s">
        <v>6</v>
      </c>
      <c r="G6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84">
        <f>IF(Table1[[#This Row],[is_ups_overcharge]]="ups overcharged",Table1[[#This Row],[ups ship charge]]-Table1[[#This Row],[ada ship charge]],0)</f>
        <v>0</v>
      </c>
    </row>
    <row r="685" spans="1:9" x14ac:dyDescent="0.2">
      <c r="A685">
        <v>1011267</v>
      </c>
      <c r="B685" t="s">
        <v>20</v>
      </c>
      <c r="C685">
        <v>15.13</v>
      </c>
      <c r="D685">
        <v>15.18</v>
      </c>
      <c r="E685">
        <v>41.75</v>
      </c>
      <c r="F685" t="s">
        <v>12</v>
      </c>
      <c r="G6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85">
        <f>IF(Table1[[#This Row],[is_ups_overcharge]]="ups overcharged",Table1[[#This Row],[ups ship charge]]-Table1[[#This Row],[ada ship charge]],0)</f>
        <v>0</v>
      </c>
    </row>
    <row r="686" spans="1:9" x14ac:dyDescent="0.2">
      <c r="A686">
        <v>1011294</v>
      </c>
      <c r="B686" t="s">
        <v>20</v>
      </c>
      <c r="C686">
        <v>12.81</v>
      </c>
      <c r="D686">
        <v>12.86</v>
      </c>
      <c r="E686">
        <v>54.45</v>
      </c>
      <c r="F686" t="s">
        <v>9</v>
      </c>
      <c r="G6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86">
        <f>IF(Table1[[#This Row],[is_ups_overcharge]]="ups overcharged",Table1[[#This Row],[ups ship charge]]-Table1[[#This Row],[ada ship charge]],0)</f>
        <v>0</v>
      </c>
    </row>
    <row r="687" spans="1:9" x14ac:dyDescent="0.2">
      <c r="A687">
        <v>1011301</v>
      </c>
      <c r="B687" t="s">
        <v>20</v>
      </c>
      <c r="C687">
        <v>12.81</v>
      </c>
      <c r="D687">
        <v>12.86</v>
      </c>
      <c r="E687">
        <v>121.9</v>
      </c>
      <c r="F687" t="s">
        <v>9</v>
      </c>
      <c r="G6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87">
        <f>IF(Table1[[#This Row],[is_ups_overcharge]]="ups overcharged",Table1[[#This Row],[ups ship charge]]-Table1[[#This Row],[ada ship charge]],0)</f>
        <v>0</v>
      </c>
    </row>
    <row r="688" spans="1:9" x14ac:dyDescent="0.2">
      <c r="A688">
        <v>1011307</v>
      </c>
      <c r="B688" t="s">
        <v>20</v>
      </c>
      <c r="C688">
        <v>14.23</v>
      </c>
      <c r="D688">
        <v>0</v>
      </c>
      <c r="E688">
        <v>258.8</v>
      </c>
      <c r="F688" t="s">
        <v>9</v>
      </c>
      <c r="G6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68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688">
        <f>IF(Table1[[#This Row],[is_ups_overcharge]]="ups overcharged",Table1[[#This Row],[ups ship charge]]-Table1[[#This Row],[ada ship charge]],0)</f>
        <v>0</v>
      </c>
    </row>
    <row r="689" spans="1:9" x14ac:dyDescent="0.2">
      <c r="A689">
        <v>1011346</v>
      </c>
      <c r="B689" t="s">
        <v>20</v>
      </c>
      <c r="C689">
        <v>12.81</v>
      </c>
      <c r="D689">
        <v>12.86</v>
      </c>
      <c r="E689">
        <v>22.4</v>
      </c>
      <c r="F689" t="s">
        <v>9</v>
      </c>
      <c r="G6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89">
        <f>IF(Table1[[#This Row],[is_ups_overcharge]]="ups overcharged",Table1[[#This Row],[ups ship charge]]-Table1[[#This Row],[ada ship charge]],0)</f>
        <v>0</v>
      </c>
    </row>
    <row r="690" spans="1:9" x14ac:dyDescent="0.2">
      <c r="A690">
        <v>1011350</v>
      </c>
      <c r="B690" t="s">
        <v>20</v>
      </c>
      <c r="C690">
        <v>12.81</v>
      </c>
      <c r="D690">
        <v>12.86</v>
      </c>
      <c r="E690">
        <v>30.35</v>
      </c>
      <c r="F690" t="s">
        <v>9</v>
      </c>
      <c r="G6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90">
        <f>IF(Table1[[#This Row],[is_ups_overcharge]]="ups overcharged",Table1[[#This Row],[ups ship charge]]-Table1[[#This Row],[ada ship charge]],0)</f>
        <v>0</v>
      </c>
    </row>
    <row r="691" spans="1:9" x14ac:dyDescent="0.2">
      <c r="A691">
        <v>1011360</v>
      </c>
      <c r="B691" t="s">
        <v>20</v>
      </c>
      <c r="C691">
        <v>9.6999999999999993</v>
      </c>
      <c r="D691">
        <v>9.76</v>
      </c>
      <c r="E691">
        <v>99.6</v>
      </c>
      <c r="F691" t="s">
        <v>6</v>
      </c>
      <c r="G6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91">
        <f>IF(Table1[[#This Row],[is_ups_overcharge]]="ups overcharged",Table1[[#This Row],[ups ship charge]]-Table1[[#This Row],[ada ship charge]],0)</f>
        <v>0</v>
      </c>
    </row>
    <row r="692" spans="1:9" x14ac:dyDescent="0.2">
      <c r="A692">
        <v>1011368</v>
      </c>
      <c r="B692" t="s">
        <v>20</v>
      </c>
      <c r="C692">
        <v>12.35</v>
      </c>
      <c r="D692">
        <v>13.78</v>
      </c>
      <c r="E692">
        <v>84.55</v>
      </c>
      <c r="F692" t="s">
        <v>13</v>
      </c>
      <c r="G6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92">
        <f>IF(Table1[[#This Row],[is_ups_overcharge]]="ups overcharged",Table1[[#This Row],[ups ship charge]]-Table1[[#This Row],[ada ship charge]],0)</f>
        <v>0</v>
      </c>
    </row>
    <row r="693" spans="1:9" x14ac:dyDescent="0.2">
      <c r="A693">
        <v>1011369</v>
      </c>
      <c r="B693" t="s">
        <v>20</v>
      </c>
      <c r="C693">
        <v>9.6999999999999993</v>
      </c>
      <c r="D693">
        <v>9.75</v>
      </c>
      <c r="E693">
        <v>31.9</v>
      </c>
      <c r="F693" t="s">
        <v>6</v>
      </c>
      <c r="G6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93">
        <f>IF(Table1[[#This Row],[is_ups_overcharge]]="ups overcharged",Table1[[#This Row],[ups ship charge]]-Table1[[#This Row],[ada ship charge]],0)</f>
        <v>0</v>
      </c>
    </row>
    <row r="694" spans="1:9" x14ac:dyDescent="0.2">
      <c r="A694">
        <v>1011379</v>
      </c>
      <c r="B694" t="s">
        <v>20</v>
      </c>
      <c r="C694">
        <v>9.6999999999999993</v>
      </c>
      <c r="D694">
        <v>9.75</v>
      </c>
      <c r="E694">
        <v>29.9</v>
      </c>
      <c r="F694" t="s">
        <v>6</v>
      </c>
      <c r="G6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94">
        <f>IF(Table1[[#This Row],[is_ups_overcharge]]="ups overcharged",Table1[[#This Row],[ups ship charge]]-Table1[[#This Row],[ada ship charge]],0)</f>
        <v>0</v>
      </c>
    </row>
    <row r="695" spans="1:9" x14ac:dyDescent="0.2">
      <c r="A695">
        <v>1011393</v>
      </c>
      <c r="B695" t="s">
        <v>20</v>
      </c>
      <c r="C695">
        <v>13.7</v>
      </c>
      <c r="D695">
        <v>13.75</v>
      </c>
      <c r="E695">
        <v>41.9</v>
      </c>
      <c r="F695" t="s">
        <v>9</v>
      </c>
      <c r="G6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95">
        <f>IF(Table1[[#This Row],[is_ups_overcharge]]="ups overcharged",Table1[[#This Row],[ups ship charge]]-Table1[[#This Row],[ada ship charge]],0)</f>
        <v>0</v>
      </c>
    </row>
    <row r="696" spans="1:9" x14ac:dyDescent="0.2">
      <c r="A696">
        <v>1011416</v>
      </c>
      <c r="B696" t="s">
        <v>20</v>
      </c>
      <c r="C696">
        <v>10.26</v>
      </c>
      <c r="D696">
        <v>0</v>
      </c>
      <c r="E696">
        <v>394.5</v>
      </c>
      <c r="F696" t="s">
        <v>6</v>
      </c>
      <c r="G6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69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696">
        <f>IF(Table1[[#This Row],[is_ups_overcharge]]="ups overcharged",Table1[[#This Row],[ups ship charge]]-Table1[[#This Row],[ada ship charge]],0)</f>
        <v>0</v>
      </c>
    </row>
    <row r="697" spans="1:9" x14ac:dyDescent="0.2">
      <c r="A697">
        <v>1011433</v>
      </c>
      <c r="B697" t="s">
        <v>20</v>
      </c>
      <c r="C697">
        <v>13.71</v>
      </c>
      <c r="D697">
        <v>13.76</v>
      </c>
      <c r="E697">
        <v>54.1</v>
      </c>
      <c r="F697" t="s">
        <v>9</v>
      </c>
      <c r="G6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97">
        <f>IF(Table1[[#This Row],[is_ups_overcharge]]="ups overcharged",Table1[[#This Row],[ups ship charge]]-Table1[[#This Row],[ada ship charge]],0)</f>
        <v>0</v>
      </c>
    </row>
    <row r="698" spans="1:9" x14ac:dyDescent="0.2">
      <c r="A698">
        <v>1011439</v>
      </c>
      <c r="B698" t="s">
        <v>20</v>
      </c>
      <c r="C698">
        <v>20.100000000000001</v>
      </c>
      <c r="D698">
        <v>20.149999999999999</v>
      </c>
      <c r="E698">
        <v>10.32</v>
      </c>
      <c r="F698" t="s">
        <v>16</v>
      </c>
      <c r="G6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98">
        <f>IF(Table1[[#This Row],[is_ups_overcharge]]="ups overcharged",Table1[[#This Row],[ups ship charge]]-Table1[[#This Row],[ada ship charge]],0)</f>
        <v>0</v>
      </c>
    </row>
    <row r="699" spans="1:9" x14ac:dyDescent="0.2">
      <c r="A699">
        <v>1011441</v>
      </c>
      <c r="B699" t="s">
        <v>20</v>
      </c>
      <c r="C699">
        <v>12.81</v>
      </c>
      <c r="D699">
        <v>12.86</v>
      </c>
      <c r="E699">
        <v>53.05</v>
      </c>
      <c r="F699" t="s">
        <v>9</v>
      </c>
      <c r="G6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6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699">
        <f>IF(Table1[[#This Row],[is_ups_overcharge]]="ups overcharged",Table1[[#This Row],[ups ship charge]]-Table1[[#This Row],[ada ship charge]],0)</f>
        <v>0</v>
      </c>
    </row>
    <row r="700" spans="1:9" x14ac:dyDescent="0.2">
      <c r="A700">
        <v>1011461</v>
      </c>
      <c r="B700" t="s">
        <v>20</v>
      </c>
      <c r="C700">
        <v>18.36</v>
      </c>
      <c r="D700">
        <v>18.41</v>
      </c>
      <c r="E700">
        <v>238.41</v>
      </c>
      <c r="F700" t="s">
        <v>10</v>
      </c>
      <c r="G7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00">
        <f>IF(Table1[[#This Row],[is_ups_overcharge]]="ups overcharged",Table1[[#This Row],[ups ship charge]]-Table1[[#This Row],[ada ship charge]],0)</f>
        <v>0</v>
      </c>
    </row>
    <row r="701" spans="1:9" x14ac:dyDescent="0.2">
      <c r="A701">
        <v>1011496</v>
      </c>
      <c r="B701" t="s">
        <v>20</v>
      </c>
      <c r="C701">
        <v>13.7</v>
      </c>
      <c r="D701">
        <v>13.75</v>
      </c>
      <c r="E701">
        <v>89.85</v>
      </c>
      <c r="F701" t="s">
        <v>9</v>
      </c>
      <c r="G7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01">
        <f>IF(Table1[[#This Row],[is_ups_overcharge]]="ups overcharged",Table1[[#This Row],[ups ship charge]]-Table1[[#This Row],[ada ship charge]],0)</f>
        <v>0</v>
      </c>
    </row>
    <row r="702" spans="1:9" x14ac:dyDescent="0.2">
      <c r="A702">
        <v>1011503</v>
      </c>
      <c r="B702" t="s">
        <v>20</v>
      </c>
      <c r="C702">
        <v>12.81</v>
      </c>
      <c r="D702">
        <v>0</v>
      </c>
      <c r="E702">
        <v>200.2</v>
      </c>
      <c r="F702" t="s">
        <v>9</v>
      </c>
      <c r="G7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70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702">
        <f>IF(Table1[[#This Row],[is_ups_overcharge]]="ups overcharged",Table1[[#This Row],[ups ship charge]]-Table1[[#This Row],[ada ship charge]],0)</f>
        <v>0</v>
      </c>
    </row>
    <row r="703" spans="1:9" x14ac:dyDescent="0.2">
      <c r="A703">
        <v>1011509</v>
      </c>
      <c r="B703" t="s">
        <v>20</v>
      </c>
      <c r="C703">
        <v>9.6999999999999993</v>
      </c>
      <c r="D703">
        <v>9.75</v>
      </c>
      <c r="E703">
        <v>29.9</v>
      </c>
      <c r="F703" t="s">
        <v>6</v>
      </c>
      <c r="G7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03">
        <f>IF(Table1[[#This Row],[is_ups_overcharge]]="ups overcharged",Table1[[#This Row],[ups ship charge]]-Table1[[#This Row],[ada ship charge]],0)</f>
        <v>0</v>
      </c>
    </row>
    <row r="704" spans="1:9" x14ac:dyDescent="0.2">
      <c r="A704">
        <v>1011540</v>
      </c>
      <c r="B704" t="s">
        <v>20</v>
      </c>
      <c r="C704">
        <v>9.6999999999999993</v>
      </c>
      <c r="D704">
        <v>9.75</v>
      </c>
      <c r="E704">
        <v>33.85</v>
      </c>
      <c r="F704" t="s">
        <v>6</v>
      </c>
      <c r="G7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04">
        <f>IF(Table1[[#This Row],[is_ups_overcharge]]="ups overcharged",Table1[[#This Row],[ups ship charge]]-Table1[[#This Row],[ada ship charge]],0)</f>
        <v>0</v>
      </c>
    </row>
    <row r="705" spans="1:9" x14ac:dyDescent="0.2">
      <c r="A705">
        <v>1011550</v>
      </c>
      <c r="B705" t="s">
        <v>20</v>
      </c>
      <c r="C705">
        <v>12.81</v>
      </c>
      <c r="D705">
        <v>12.86</v>
      </c>
      <c r="E705">
        <v>141.94999999999999</v>
      </c>
      <c r="F705" t="s">
        <v>9</v>
      </c>
      <c r="G7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05">
        <f>IF(Table1[[#This Row],[is_ups_overcharge]]="ups overcharged",Table1[[#This Row],[ups ship charge]]-Table1[[#This Row],[ada ship charge]],0)</f>
        <v>0</v>
      </c>
    </row>
    <row r="706" spans="1:9" x14ac:dyDescent="0.2">
      <c r="A706">
        <v>1011561</v>
      </c>
      <c r="B706" t="s">
        <v>20</v>
      </c>
      <c r="C706">
        <v>12.81</v>
      </c>
      <c r="D706">
        <v>12.86</v>
      </c>
      <c r="E706">
        <v>54.25</v>
      </c>
      <c r="F706" t="s">
        <v>9</v>
      </c>
      <c r="G7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06">
        <f>IF(Table1[[#This Row],[is_ups_overcharge]]="ups overcharged",Table1[[#This Row],[ups ship charge]]-Table1[[#This Row],[ada ship charge]],0)</f>
        <v>0</v>
      </c>
    </row>
    <row r="707" spans="1:9" x14ac:dyDescent="0.2">
      <c r="A707">
        <v>1011573</v>
      </c>
      <c r="B707" t="s">
        <v>20</v>
      </c>
      <c r="C707">
        <v>13.6</v>
      </c>
      <c r="D707">
        <v>13.65</v>
      </c>
      <c r="E707">
        <v>29.9</v>
      </c>
      <c r="F707" t="s">
        <v>16</v>
      </c>
      <c r="G7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07">
        <f>IF(Table1[[#This Row],[is_ups_overcharge]]="ups overcharged",Table1[[#This Row],[ups ship charge]]-Table1[[#This Row],[ada ship charge]],0)</f>
        <v>0</v>
      </c>
    </row>
    <row r="708" spans="1:9" x14ac:dyDescent="0.2">
      <c r="A708">
        <v>1011576</v>
      </c>
      <c r="B708" t="s">
        <v>20</v>
      </c>
      <c r="C708">
        <v>9.6999999999999993</v>
      </c>
      <c r="D708">
        <v>9.75</v>
      </c>
      <c r="E708">
        <v>75.12</v>
      </c>
      <c r="F708" t="s">
        <v>6</v>
      </c>
      <c r="G7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08">
        <f>IF(Table1[[#This Row],[is_ups_overcharge]]="ups overcharged",Table1[[#This Row],[ups ship charge]]-Table1[[#This Row],[ada ship charge]],0)</f>
        <v>0</v>
      </c>
    </row>
    <row r="709" spans="1:9" x14ac:dyDescent="0.2">
      <c r="A709">
        <v>1011588</v>
      </c>
      <c r="B709" t="s">
        <v>20</v>
      </c>
      <c r="C709">
        <v>12.81</v>
      </c>
      <c r="D709">
        <v>12.86</v>
      </c>
      <c r="E709">
        <v>115.74</v>
      </c>
      <c r="F709" t="s">
        <v>9</v>
      </c>
      <c r="G7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09">
        <f>IF(Table1[[#This Row],[is_ups_overcharge]]="ups overcharged",Table1[[#This Row],[ups ship charge]]-Table1[[#This Row],[ada ship charge]],0)</f>
        <v>0</v>
      </c>
    </row>
    <row r="710" spans="1:9" x14ac:dyDescent="0.2">
      <c r="A710">
        <v>1011597</v>
      </c>
      <c r="B710" t="s">
        <v>20</v>
      </c>
      <c r="C710">
        <v>13.7</v>
      </c>
      <c r="D710">
        <v>13.76</v>
      </c>
      <c r="E710">
        <v>85</v>
      </c>
      <c r="F710" t="s">
        <v>9</v>
      </c>
      <c r="G7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10">
        <f>IF(Table1[[#This Row],[is_ups_overcharge]]="ups overcharged",Table1[[#This Row],[ups ship charge]]-Table1[[#This Row],[ada ship charge]],0)</f>
        <v>0</v>
      </c>
    </row>
    <row r="711" spans="1:9" x14ac:dyDescent="0.2">
      <c r="A711">
        <v>1011601</v>
      </c>
      <c r="B711" t="s">
        <v>20</v>
      </c>
      <c r="C711">
        <v>12.81</v>
      </c>
      <c r="D711">
        <v>12.86</v>
      </c>
      <c r="E711">
        <v>15.95</v>
      </c>
      <c r="F711" t="s">
        <v>9</v>
      </c>
      <c r="G7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11">
        <f>IF(Table1[[#This Row],[is_ups_overcharge]]="ups overcharged",Table1[[#This Row],[ups ship charge]]-Table1[[#This Row],[ada ship charge]],0)</f>
        <v>0</v>
      </c>
    </row>
    <row r="712" spans="1:9" x14ac:dyDescent="0.2">
      <c r="A712">
        <v>1011613</v>
      </c>
      <c r="B712" t="s">
        <v>20</v>
      </c>
      <c r="C712">
        <v>15.13</v>
      </c>
      <c r="D712">
        <v>15.18</v>
      </c>
      <c r="E712">
        <v>8.9</v>
      </c>
      <c r="F712" t="s">
        <v>12</v>
      </c>
      <c r="G7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12">
        <f>IF(Table1[[#This Row],[is_ups_overcharge]]="ups overcharged",Table1[[#This Row],[ups ship charge]]-Table1[[#This Row],[ada ship charge]],0)</f>
        <v>0</v>
      </c>
    </row>
    <row r="713" spans="1:9" x14ac:dyDescent="0.2">
      <c r="A713">
        <v>1011619</v>
      </c>
      <c r="B713" t="s">
        <v>20</v>
      </c>
      <c r="C713">
        <v>12.81</v>
      </c>
      <c r="D713">
        <v>0</v>
      </c>
      <c r="E713">
        <v>200.85</v>
      </c>
      <c r="F713" t="s">
        <v>9</v>
      </c>
      <c r="G7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71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713">
        <f>IF(Table1[[#This Row],[is_ups_overcharge]]="ups overcharged",Table1[[#This Row],[ups ship charge]]-Table1[[#This Row],[ada ship charge]],0)</f>
        <v>0</v>
      </c>
    </row>
    <row r="714" spans="1:9" x14ac:dyDescent="0.2">
      <c r="A714">
        <v>1011620</v>
      </c>
      <c r="B714" t="s">
        <v>20</v>
      </c>
      <c r="C714">
        <v>12.81</v>
      </c>
      <c r="D714">
        <v>13.31</v>
      </c>
      <c r="E714">
        <v>27.45</v>
      </c>
      <c r="F714" t="s">
        <v>9</v>
      </c>
      <c r="G7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14">
        <f>IF(Table1[[#This Row],[is_ups_overcharge]]="ups overcharged",Table1[[#This Row],[ups ship charge]]-Table1[[#This Row],[ada ship charge]],0)</f>
        <v>0</v>
      </c>
    </row>
    <row r="715" spans="1:9" x14ac:dyDescent="0.2">
      <c r="A715">
        <v>1011622</v>
      </c>
      <c r="B715" t="s">
        <v>20</v>
      </c>
      <c r="C715">
        <v>13.7</v>
      </c>
      <c r="D715">
        <v>13.75</v>
      </c>
      <c r="E715">
        <v>22.75</v>
      </c>
      <c r="F715" t="s">
        <v>9</v>
      </c>
      <c r="G7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15">
        <f>IF(Table1[[#This Row],[is_ups_overcharge]]="ups overcharged",Table1[[#This Row],[ups ship charge]]-Table1[[#This Row],[ada ship charge]],0)</f>
        <v>0</v>
      </c>
    </row>
    <row r="716" spans="1:9" x14ac:dyDescent="0.2">
      <c r="A716">
        <v>1011623</v>
      </c>
      <c r="B716" t="s">
        <v>20</v>
      </c>
      <c r="C716">
        <v>16.77</v>
      </c>
      <c r="D716">
        <v>16.82</v>
      </c>
      <c r="E716">
        <v>31.4</v>
      </c>
      <c r="F716" t="s">
        <v>10</v>
      </c>
      <c r="G7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16">
        <f>IF(Table1[[#This Row],[is_ups_overcharge]]="ups overcharged",Table1[[#This Row],[ups ship charge]]-Table1[[#This Row],[ada ship charge]],0)</f>
        <v>0</v>
      </c>
    </row>
    <row r="717" spans="1:9" x14ac:dyDescent="0.2">
      <c r="A717">
        <v>1011631</v>
      </c>
      <c r="B717" t="s">
        <v>20</v>
      </c>
      <c r="C717">
        <v>9.7100000000000009</v>
      </c>
      <c r="D717">
        <v>13.75</v>
      </c>
      <c r="E717">
        <v>36.450000000000003</v>
      </c>
      <c r="F717" t="s">
        <v>6</v>
      </c>
      <c r="G7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17">
        <f>IF(Table1[[#This Row],[is_ups_overcharge]]="ups overcharged",Table1[[#This Row],[ups ship charge]]-Table1[[#This Row],[ada ship charge]],0)</f>
        <v>0</v>
      </c>
    </row>
    <row r="718" spans="1:9" x14ac:dyDescent="0.2">
      <c r="A718">
        <v>1011649</v>
      </c>
      <c r="B718" t="s">
        <v>20</v>
      </c>
      <c r="C718">
        <v>15</v>
      </c>
      <c r="D718">
        <v>0</v>
      </c>
      <c r="E718">
        <v>1009.1</v>
      </c>
      <c r="F718" t="s">
        <v>6</v>
      </c>
      <c r="G7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71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718">
        <f>IF(Table1[[#This Row],[is_ups_overcharge]]="ups overcharged",Table1[[#This Row],[ups ship charge]]-Table1[[#This Row],[ada ship charge]],0)</f>
        <v>0</v>
      </c>
    </row>
    <row r="719" spans="1:9" x14ac:dyDescent="0.2">
      <c r="A719">
        <v>1011658</v>
      </c>
      <c r="B719" t="s">
        <v>20</v>
      </c>
      <c r="C719">
        <v>13.7</v>
      </c>
      <c r="D719">
        <v>13.75</v>
      </c>
      <c r="E719">
        <v>95.45</v>
      </c>
      <c r="F719" t="s">
        <v>9</v>
      </c>
      <c r="G7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19">
        <f>IF(Table1[[#This Row],[is_ups_overcharge]]="ups overcharged",Table1[[#This Row],[ups ship charge]]-Table1[[#This Row],[ada ship charge]],0)</f>
        <v>0</v>
      </c>
    </row>
    <row r="720" spans="1:9" x14ac:dyDescent="0.2">
      <c r="A720">
        <v>1011674</v>
      </c>
      <c r="B720" t="s">
        <v>20</v>
      </c>
      <c r="C720">
        <v>12.81</v>
      </c>
      <c r="D720">
        <v>12.86</v>
      </c>
      <c r="E720">
        <v>135.80000000000001</v>
      </c>
      <c r="F720" t="s">
        <v>9</v>
      </c>
      <c r="G7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20">
        <f>IF(Table1[[#This Row],[is_ups_overcharge]]="ups overcharged",Table1[[#This Row],[ups ship charge]]-Table1[[#This Row],[ada ship charge]],0)</f>
        <v>0</v>
      </c>
    </row>
    <row r="721" spans="1:9" x14ac:dyDescent="0.2">
      <c r="A721">
        <v>1011705</v>
      </c>
      <c r="B721" t="s">
        <v>20</v>
      </c>
      <c r="C721">
        <v>12.81</v>
      </c>
      <c r="D721">
        <v>12.86</v>
      </c>
      <c r="E721">
        <v>29.95</v>
      </c>
      <c r="F721" t="s">
        <v>9</v>
      </c>
      <c r="G7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21">
        <f>IF(Table1[[#This Row],[is_ups_overcharge]]="ups overcharged",Table1[[#This Row],[ups ship charge]]-Table1[[#This Row],[ada ship charge]],0)</f>
        <v>0</v>
      </c>
    </row>
    <row r="722" spans="1:9" x14ac:dyDescent="0.2">
      <c r="A722">
        <v>1011717</v>
      </c>
      <c r="B722" t="s">
        <v>20</v>
      </c>
      <c r="C722">
        <v>13.7</v>
      </c>
      <c r="D722">
        <v>13.75</v>
      </c>
      <c r="E722">
        <v>17.850000000000001</v>
      </c>
      <c r="F722" t="s">
        <v>9</v>
      </c>
      <c r="G7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22">
        <f>IF(Table1[[#This Row],[is_ups_overcharge]]="ups overcharged",Table1[[#This Row],[ups ship charge]]-Table1[[#This Row],[ada ship charge]],0)</f>
        <v>0</v>
      </c>
    </row>
    <row r="723" spans="1:9" x14ac:dyDescent="0.2">
      <c r="A723">
        <v>1011751</v>
      </c>
      <c r="B723" t="s">
        <v>20</v>
      </c>
      <c r="C723">
        <v>13.7</v>
      </c>
      <c r="D723">
        <v>13.76</v>
      </c>
      <c r="E723">
        <v>62.6</v>
      </c>
      <c r="F723" t="s">
        <v>9</v>
      </c>
      <c r="G7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23">
        <f>IF(Table1[[#This Row],[is_ups_overcharge]]="ups overcharged",Table1[[#This Row],[ups ship charge]]-Table1[[#This Row],[ada ship charge]],0)</f>
        <v>0</v>
      </c>
    </row>
    <row r="724" spans="1:9" x14ac:dyDescent="0.2">
      <c r="A724">
        <v>1011755</v>
      </c>
      <c r="B724" t="s">
        <v>20</v>
      </c>
      <c r="C724">
        <v>13.7</v>
      </c>
      <c r="D724">
        <v>13.75</v>
      </c>
      <c r="E724">
        <v>29.85</v>
      </c>
      <c r="F724" t="s">
        <v>9</v>
      </c>
      <c r="G7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24">
        <f>IF(Table1[[#This Row],[is_ups_overcharge]]="ups overcharged",Table1[[#This Row],[ups ship charge]]-Table1[[#This Row],[ada ship charge]],0)</f>
        <v>0</v>
      </c>
    </row>
    <row r="725" spans="1:9" x14ac:dyDescent="0.2">
      <c r="A725">
        <v>1011776</v>
      </c>
      <c r="B725" t="s">
        <v>20</v>
      </c>
      <c r="C725">
        <v>15.13</v>
      </c>
      <c r="D725">
        <v>15.18</v>
      </c>
      <c r="E725">
        <v>6.45</v>
      </c>
      <c r="F725" t="s">
        <v>12</v>
      </c>
      <c r="G7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25">
        <f>IF(Table1[[#This Row],[is_ups_overcharge]]="ups overcharged",Table1[[#This Row],[ups ship charge]]-Table1[[#This Row],[ada ship charge]],0)</f>
        <v>0</v>
      </c>
    </row>
    <row r="726" spans="1:9" x14ac:dyDescent="0.2">
      <c r="A726">
        <v>1011791</v>
      </c>
      <c r="B726" t="s">
        <v>20</v>
      </c>
      <c r="C726">
        <v>13.7</v>
      </c>
      <c r="D726">
        <v>13.75</v>
      </c>
      <c r="E726">
        <v>16.8</v>
      </c>
      <c r="F726" t="s">
        <v>9</v>
      </c>
      <c r="G7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26">
        <f>IF(Table1[[#This Row],[is_ups_overcharge]]="ups overcharged",Table1[[#This Row],[ups ship charge]]-Table1[[#This Row],[ada ship charge]],0)</f>
        <v>0</v>
      </c>
    </row>
    <row r="727" spans="1:9" x14ac:dyDescent="0.2">
      <c r="A727">
        <v>1011824</v>
      </c>
      <c r="B727" t="s">
        <v>20</v>
      </c>
      <c r="C727">
        <v>9.6999999999999993</v>
      </c>
      <c r="D727">
        <v>9.75</v>
      </c>
      <c r="E727">
        <v>44.95</v>
      </c>
      <c r="F727" t="s">
        <v>6</v>
      </c>
      <c r="G7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27">
        <f>IF(Table1[[#This Row],[is_ups_overcharge]]="ups overcharged",Table1[[#This Row],[ups ship charge]]-Table1[[#This Row],[ada ship charge]],0)</f>
        <v>0</v>
      </c>
    </row>
    <row r="728" spans="1:9" x14ac:dyDescent="0.2">
      <c r="A728">
        <v>1011828</v>
      </c>
      <c r="B728" t="s">
        <v>20</v>
      </c>
      <c r="C728">
        <v>9.6999999999999993</v>
      </c>
      <c r="D728">
        <v>13.02</v>
      </c>
      <c r="E728">
        <v>100</v>
      </c>
      <c r="F728" t="s">
        <v>6</v>
      </c>
      <c r="G7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28">
        <f>IF(Table1[[#This Row],[is_ups_overcharge]]="ups overcharged",Table1[[#This Row],[ups ship charge]]-Table1[[#This Row],[ada ship charge]],0)</f>
        <v>0</v>
      </c>
    </row>
    <row r="729" spans="1:9" x14ac:dyDescent="0.2">
      <c r="A729">
        <v>1011834</v>
      </c>
      <c r="B729" t="s">
        <v>20</v>
      </c>
      <c r="C729">
        <v>13.7</v>
      </c>
      <c r="D729">
        <v>13.75</v>
      </c>
      <c r="E729">
        <v>13.5</v>
      </c>
      <c r="F729" t="s">
        <v>9</v>
      </c>
      <c r="G7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29">
        <f>IF(Table1[[#This Row],[is_ups_overcharge]]="ups overcharged",Table1[[#This Row],[ups ship charge]]-Table1[[#This Row],[ada ship charge]],0)</f>
        <v>0</v>
      </c>
    </row>
    <row r="730" spans="1:9" x14ac:dyDescent="0.2">
      <c r="A730">
        <v>1011842</v>
      </c>
      <c r="B730" t="s">
        <v>20</v>
      </c>
      <c r="C730">
        <v>14.31</v>
      </c>
      <c r="D730">
        <v>20.07</v>
      </c>
      <c r="E730">
        <v>114.95</v>
      </c>
      <c r="F730" t="s">
        <v>13</v>
      </c>
      <c r="G7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30">
        <f>IF(Table1[[#This Row],[is_ups_overcharge]]="ups overcharged",Table1[[#This Row],[ups ship charge]]-Table1[[#This Row],[ada ship charge]],0)</f>
        <v>0</v>
      </c>
    </row>
    <row r="731" spans="1:9" x14ac:dyDescent="0.2">
      <c r="A731">
        <v>1011845</v>
      </c>
      <c r="B731" t="s">
        <v>20</v>
      </c>
      <c r="C731">
        <v>13.71</v>
      </c>
      <c r="D731">
        <v>0</v>
      </c>
      <c r="E731">
        <v>246.85</v>
      </c>
      <c r="F731" t="s">
        <v>9</v>
      </c>
      <c r="G7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73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731">
        <f>IF(Table1[[#This Row],[is_ups_overcharge]]="ups overcharged",Table1[[#This Row],[ups ship charge]]-Table1[[#This Row],[ada ship charge]],0)</f>
        <v>0</v>
      </c>
    </row>
    <row r="732" spans="1:9" x14ac:dyDescent="0.2">
      <c r="A732">
        <v>1011852</v>
      </c>
      <c r="B732" t="s">
        <v>20</v>
      </c>
      <c r="C732">
        <v>12.81</v>
      </c>
      <c r="D732">
        <v>12.86</v>
      </c>
      <c r="E732">
        <v>59.94</v>
      </c>
      <c r="F732" t="s">
        <v>9</v>
      </c>
      <c r="G7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32">
        <f>IF(Table1[[#This Row],[is_ups_overcharge]]="ups overcharged",Table1[[#This Row],[ups ship charge]]-Table1[[#This Row],[ada ship charge]],0)</f>
        <v>0</v>
      </c>
    </row>
    <row r="733" spans="1:9" x14ac:dyDescent="0.2">
      <c r="A733">
        <v>1011854</v>
      </c>
      <c r="B733" t="s">
        <v>20</v>
      </c>
      <c r="C733">
        <v>13.7</v>
      </c>
      <c r="D733">
        <v>13.75</v>
      </c>
      <c r="E733">
        <v>52.9</v>
      </c>
      <c r="F733" t="s">
        <v>9</v>
      </c>
      <c r="G7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33">
        <f>IF(Table1[[#This Row],[is_ups_overcharge]]="ups overcharged",Table1[[#This Row],[ups ship charge]]-Table1[[#This Row],[ada ship charge]],0)</f>
        <v>0</v>
      </c>
    </row>
    <row r="734" spans="1:9" x14ac:dyDescent="0.2">
      <c r="A734">
        <v>1011862</v>
      </c>
      <c r="B734" t="s">
        <v>20</v>
      </c>
      <c r="C734">
        <v>9.6999999999999993</v>
      </c>
      <c r="D734">
        <v>12.86</v>
      </c>
      <c r="E734">
        <v>47.45</v>
      </c>
      <c r="F734" t="s">
        <v>6</v>
      </c>
      <c r="G7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34">
        <f>IF(Table1[[#This Row],[is_ups_overcharge]]="ups overcharged",Table1[[#This Row],[ups ship charge]]-Table1[[#This Row],[ada ship charge]],0)</f>
        <v>0</v>
      </c>
    </row>
    <row r="735" spans="1:9" x14ac:dyDescent="0.2">
      <c r="A735">
        <v>1011882</v>
      </c>
      <c r="B735" t="s">
        <v>20</v>
      </c>
      <c r="C735">
        <v>13.7</v>
      </c>
      <c r="D735">
        <v>13.75</v>
      </c>
      <c r="E735">
        <v>66.849999999999994</v>
      </c>
      <c r="F735" t="s">
        <v>9</v>
      </c>
      <c r="G7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35">
        <f>IF(Table1[[#This Row],[is_ups_overcharge]]="ups overcharged",Table1[[#This Row],[ups ship charge]]-Table1[[#This Row],[ada ship charge]],0)</f>
        <v>0</v>
      </c>
    </row>
    <row r="736" spans="1:9" x14ac:dyDescent="0.2">
      <c r="A736">
        <v>1011883</v>
      </c>
      <c r="B736" t="s">
        <v>20</v>
      </c>
      <c r="C736">
        <v>16.71</v>
      </c>
      <c r="D736">
        <v>20.61</v>
      </c>
      <c r="E736">
        <v>144.9</v>
      </c>
      <c r="F736" t="s">
        <v>12</v>
      </c>
      <c r="G7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36">
        <f>IF(Table1[[#This Row],[is_ups_overcharge]]="ups overcharged",Table1[[#This Row],[ups ship charge]]-Table1[[#This Row],[ada ship charge]],0)</f>
        <v>0</v>
      </c>
    </row>
    <row r="737" spans="1:9" x14ac:dyDescent="0.2">
      <c r="A737">
        <v>1011886</v>
      </c>
      <c r="B737" t="s">
        <v>20</v>
      </c>
      <c r="C737">
        <v>15.44</v>
      </c>
      <c r="D737">
        <v>15.49</v>
      </c>
      <c r="E737">
        <v>100</v>
      </c>
      <c r="F737" t="s">
        <v>12</v>
      </c>
      <c r="G7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37">
        <f>IF(Table1[[#This Row],[is_ups_overcharge]]="ups overcharged",Table1[[#This Row],[ups ship charge]]-Table1[[#This Row],[ada ship charge]],0)</f>
        <v>0</v>
      </c>
    </row>
    <row r="738" spans="1:9" x14ac:dyDescent="0.2">
      <c r="A738">
        <v>1011900</v>
      </c>
      <c r="B738" t="s">
        <v>20</v>
      </c>
      <c r="C738">
        <v>12.81</v>
      </c>
      <c r="D738">
        <v>12.86</v>
      </c>
      <c r="E738">
        <v>11.9</v>
      </c>
      <c r="F738" t="s">
        <v>9</v>
      </c>
      <c r="G7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38">
        <f>IF(Table1[[#This Row],[is_ups_overcharge]]="ups overcharged",Table1[[#This Row],[ups ship charge]]-Table1[[#This Row],[ada ship charge]],0)</f>
        <v>0</v>
      </c>
    </row>
    <row r="739" spans="1:9" x14ac:dyDescent="0.2">
      <c r="A739">
        <v>1011915</v>
      </c>
      <c r="B739" t="s">
        <v>20</v>
      </c>
      <c r="C739">
        <v>12.81</v>
      </c>
      <c r="D739">
        <v>12.86</v>
      </c>
      <c r="E739">
        <v>36.75</v>
      </c>
      <c r="F739" t="s">
        <v>9</v>
      </c>
      <c r="G7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39">
        <f>IF(Table1[[#This Row],[is_ups_overcharge]]="ups overcharged",Table1[[#This Row],[ups ship charge]]-Table1[[#This Row],[ada ship charge]],0)</f>
        <v>0</v>
      </c>
    </row>
    <row r="740" spans="1:9" x14ac:dyDescent="0.2">
      <c r="A740">
        <v>1011924</v>
      </c>
      <c r="B740" t="s">
        <v>20</v>
      </c>
      <c r="C740">
        <v>12.81</v>
      </c>
      <c r="D740">
        <v>12.86</v>
      </c>
      <c r="E740">
        <v>24.95</v>
      </c>
      <c r="F740" t="s">
        <v>9</v>
      </c>
      <c r="G7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40">
        <f>IF(Table1[[#This Row],[is_ups_overcharge]]="ups overcharged",Table1[[#This Row],[ups ship charge]]-Table1[[#This Row],[ada ship charge]],0)</f>
        <v>0</v>
      </c>
    </row>
    <row r="741" spans="1:9" x14ac:dyDescent="0.2">
      <c r="A741">
        <v>1011928</v>
      </c>
      <c r="B741" t="s">
        <v>20</v>
      </c>
      <c r="C741">
        <v>12.81</v>
      </c>
      <c r="D741">
        <v>13.09</v>
      </c>
      <c r="E741">
        <v>69.900000000000006</v>
      </c>
      <c r="F741" t="s">
        <v>9</v>
      </c>
      <c r="G7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41">
        <f>IF(Table1[[#This Row],[is_ups_overcharge]]="ups overcharged",Table1[[#This Row],[ups ship charge]]-Table1[[#This Row],[ada ship charge]],0)</f>
        <v>0</v>
      </c>
    </row>
    <row r="742" spans="1:9" x14ac:dyDescent="0.2">
      <c r="A742">
        <v>1011937</v>
      </c>
      <c r="B742" t="s">
        <v>20</v>
      </c>
      <c r="C742">
        <v>9.6999999999999993</v>
      </c>
      <c r="D742">
        <v>9.7899999999999991</v>
      </c>
      <c r="E742">
        <v>133.4</v>
      </c>
      <c r="F742" t="s">
        <v>6</v>
      </c>
      <c r="G7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42">
        <f>IF(Table1[[#This Row],[is_ups_overcharge]]="ups overcharged",Table1[[#This Row],[ups ship charge]]-Table1[[#This Row],[ada ship charge]],0)</f>
        <v>0</v>
      </c>
    </row>
    <row r="743" spans="1:9" x14ac:dyDescent="0.2">
      <c r="A743">
        <v>1011942</v>
      </c>
      <c r="B743" t="s">
        <v>20</v>
      </c>
      <c r="C743">
        <v>9.6999999999999993</v>
      </c>
      <c r="D743">
        <v>9.7899999999999991</v>
      </c>
      <c r="E743">
        <v>50.2</v>
      </c>
      <c r="F743" t="s">
        <v>6</v>
      </c>
      <c r="G7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43">
        <f>IF(Table1[[#This Row],[is_ups_overcharge]]="ups overcharged",Table1[[#This Row],[ups ship charge]]-Table1[[#This Row],[ada ship charge]],0)</f>
        <v>0</v>
      </c>
    </row>
    <row r="744" spans="1:9" x14ac:dyDescent="0.2">
      <c r="A744">
        <v>1011955</v>
      </c>
      <c r="B744" t="s">
        <v>20</v>
      </c>
      <c r="C744">
        <v>14.04</v>
      </c>
      <c r="D744">
        <v>14.09</v>
      </c>
      <c r="E744">
        <v>49.95</v>
      </c>
      <c r="F744" t="s">
        <v>16</v>
      </c>
      <c r="G7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44">
        <f>IF(Table1[[#This Row],[is_ups_overcharge]]="ups overcharged",Table1[[#This Row],[ups ship charge]]-Table1[[#This Row],[ada ship charge]],0)</f>
        <v>0</v>
      </c>
    </row>
    <row r="745" spans="1:9" x14ac:dyDescent="0.2">
      <c r="A745">
        <v>1011958</v>
      </c>
      <c r="B745" t="s">
        <v>20</v>
      </c>
      <c r="C745">
        <v>13.7</v>
      </c>
      <c r="D745">
        <v>13.75</v>
      </c>
      <c r="E745">
        <v>64.95</v>
      </c>
      <c r="F745" t="s">
        <v>9</v>
      </c>
      <c r="G7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45">
        <f>IF(Table1[[#This Row],[is_ups_overcharge]]="ups overcharged",Table1[[#This Row],[ups ship charge]]-Table1[[#This Row],[ada ship charge]],0)</f>
        <v>0</v>
      </c>
    </row>
    <row r="746" spans="1:9" x14ac:dyDescent="0.2">
      <c r="A746">
        <v>1011979</v>
      </c>
      <c r="B746" t="s">
        <v>20</v>
      </c>
      <c r="C746">
        <v>12.81</v>
      </c>
      <c r="D746">
        <v>14.28</v>
      </c>
      <c r="E746">
        <v>99.95</v>
      </c>
      <c r="F746" t="s">
        <v>9</v>
      </c>
      <c r="G7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46">
        <f>IF(Table1[[#This Row],[is_ups_overcharge]]="ups overcharged",Table1[[#This Row],[ups ship charge]]-Table1[[#This Row],[ada ship charge]],0)</f>
        <v>0</v>
      </c>
    </row>
    <row r="747" spans="1:9" x14ac:dyDescent="0.2">
      <c r="A747">
        <v>1012022</v>
      </c>
      <c r="B747" t="s">
        <v>20</v>
      </c>
      <c r="C747">
        <v>13.7</v>
      </c>
      <c r="D747">
        <v>13.75</v>
      </c>
      <c r="E747">
        <v>32.15</v>
      </c>
      <c r="F747" t="s">
        <v>9</v>
      </c>
      <c r="G7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47">
        <f>IF(Table1[[#This Row],[is_ups_overcharge]]="ups overcharged",Table1[[#This Row],[ups ship charge]]-Table1[[#This Row],[ada ship charge]],0)</f>
        <v>0</v>
      </c>
    </row>
    <row r="748" spans="1:9" x14ac:dyDescent="0.2">
      <c r="A748">
        <v>1012024</v>
      </c>
      <c r="B748" t="s">
        <v>20</v>
      </c>
      <c r="C748">
        <v>12.81</v>
      </c>
      <c r="D748">
        <v>12.86</v>
      </c>
      <c r="E748">
        <v>52.8</v>
      </c>
      <c r="F748" t="s">
        <v>9</v>
      </c>
      <c r="G7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48">
        <f>IF(Table1[[#This Row],[is_ups_overcharge]]="ups overcharged",Table1[[#This Row],[ups ship charge]]-Table1[[#This Row],[ada ship charge]],0)</f>
        <v>0</v>
      </c>
    </row>
    <row r="749" spans="1:9" x14ac:dyDescent="0.2">
      <c r="A749">
        <v>1012025</v>
      </c>
      <c r="B749" t="s">
        <v>20</v>
      </c>
      <c r="C749">
        <v>15.44</v>
      </c>
      <c r="D749">
        <v>15.49</v>
      </c>
      <c r="E749">
        <v>70.05</v>
      </c>
      <c r="F749" t="s">
        <v>12</v>
      </c>
      <c r="G7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49">
        <f>IF(Table1[[#This Row],[is_ups_overcharge]]="ups overcharged",Table1[[#This Row],[ups ship charge]]-Table1[[#This Row],[ada ship charge]],0)</f>
        <v>0</v>
      </c>
    </row>
    <row r="750" spans="1:9" x14ac:dyDescent="0.2">
      <c r="A750">
        <v>1012045</v>
      </c>
      <c r="B750" t="s">
        <v>20</v>
      </c>
      <c r="C750">
        <v>15.13</v>
      </c>
      <c r="D750">
        <v>15.18</v>
      </c>
      <c r="E750">
        <v>15.55</v>
      </c>
      <c r="F750" t="s">
        <v>12</v>
      </c>
      <c r="G7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50">
        <f>IF(Table1[[#This Row],[is_ups_overcharge]]="ups overcharged",Table1[[#This Row],[ups ship charge]]-Table1[[#This Row],[ada ship charge]],0)</f>
        <v>0</v>
      </c>
    </row>
    <row r="751" spans="1:9" x14ac:dyDescent="0.2">
      <c r="A751">
        <v>1012049</v>
      </c>
      <c r="B751" t="s">
        <v>20</v>
      </c>
      <c r="C751">
        <v>23.64</v>
      </c>
      <c r="D751">
        <v>23.69</v>
      </c>
      <c r="E751">
        <v>127.7</v>
      </c>
      <c r="F751" t="s">
        <v>15</v>
      </c>
      <c r="G7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51">
        <f>IF(Table1[[#This Row],[is_ups_overcharge]]="ups overcharged",Table1[[#This Row],[ups ship charge]]-Table1[[#This Row],[ada ship charge]],0)</f>
        <v>0</v>
      </c>
    </row>
    <row r="752" spans="1:9" x14ac:dyDescent="0.2">
      <c r="A752">
        <v>1012072</v>
      </c>
      <c r="B752" t="s">
        <v>20</v>
      </c>
      <c r="C752">
        <v>13.7</v>
      </c>
      <c r="D752">
        <v>13.75</v>
      </c>
      <c r="E752">
        <v>27.85</v>
      </c>
      <c r="F752" t="s">
        <v>9</v>
      </c>
      <c r="G7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52">
        <f>IF(Table1[[#This Row],[is_ups_overcharge]]="ups overcharged",Table1[[#This Row],[ups ship charge]]-Table1[[#This Row],[ada ship charge]],0)</f>
        <v>0</v>
      </c>
    </row>
    <row r="753" spans="1:9" x14ac:dyDescent="0.2">
      <c r="A753">
        <v>1012147</v>
      </c>
      <c r="B753" t="s">
        <v>20</v>
      </c>
      <c r="C753">
        <v>60.67</v>
      </c>
      <c r="D753">
        <v>60.72</v>
      </c>
      <c r="E753">
        <v>25.9</v>
      </c>
      <c r="F753" t="s">
        <v>11</v>
      </c>
      <c r="G7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53">
        <f>IF(Table1[[#This Row],[is_ups_overcharge]]="ups overcharged",Table1[[#This Row],[ups ship charge]]-Table1[[#This Row],[ada ship charge]],0)</f>
        <v>0</v>
      </c>
    </row>
    <row r="754" spans="1:9" x14ac:dyDescent="0.2">
      <c r="A754">
        <v>1012174</v>
      </c>
      <c r="B754" t="s">
        <v>20</v>
      </c>
      <c r="C754">
        <v>13.7</v>
      </c>
      <c r="D754">
        <v>14.56</v>
      </c>
      <c r="E754">
        <v>99.95</v>
      </c>
      <c r="F754" t="s">
        <v>9</v>
      </c>
      <c r="G7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54">
        <f>IF(Table1[[#This Row],[is_ups_overcharge]]="ups overcharged",Table1[[#This Row],[ups ship charge]]-Table1[[#This Row],[ada ship charge]],0)</f>
        <v>0</v>
      </c>
    </row>
    <row r="755" spans="1:9" x14ac:dyDescent="0.2">
      <c r="A755">
        <v>1012202</v>
      </c>
      <c r="B755" t="s">
        <v>20</v>
      </c>
      <c r="C755">
        <v>11.02</v>
      </c>
      <c r="D755">
        <v>11.07</v>
      </c>
      <c r="E755">
        <v>8.9499999999999993</v>
      </c>
      <c r="F755" t="s">
        <v>14</v>
      </c>
      <c r="G7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55">
        <f>IF(Table1[[#This Row],[is_ups_overcharge]]="ups overcharged",Table1[[#This Row],[ups ship charge]]-Table1[[#This Row],[ada ship charge]],0)</f>
        <v>0</v>
      </c>
    </row>
    <row r="756" spans="1:9" x14ac:dyDescent="0.2">
      <c r="A756">
        <v>1012203</v>
      </c>
      <c r="B756" t="s">
        <v>20</v>
      </c>
      <c r="C756">
        <v>12.81</v>
      </c>
      <c r="D756">
        <v>12.86</v>
      </c>
      <c r="E756">
        <v>85.45</v>
      </c>
      <c r="F756" t="s">
        <v>9</v>
      </c>
      <c r="G7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56">
        <f>IF(Table1[[#This Row],[is_ups_overcharge]]="ups overcharged",Table1[[#This Row],[ups ship charge]]-Table1[[#This Row],[ada ship charge]],0)</f>
        <v>0</v>
      </c>
    </row>
    <row r="757" spans="1:9" x14ac:dyDescent="0.2">
      <c r="A757">
        <v>1012219</v>
      </c>
      <c r="B757" t="s">
        <v>20</v>
      </c>
      <c r="C757">
        <v>12.81</v>
      </c>
      <c r="D757">
        <v>12.86</v>
      </c>
      <c r="E757">
        <v>33.950000000000003</v>
      </c>
      <c r="F757" t="s">
        <v>9</v>
      </c>
      <c r="G7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57">
        <f>IF(Table1[[#This Row],[is_ups_overcharge]]="ups overcharged",Table1[[#This Row],[ups ship charge]]-Table1[[#This Row],[ada ship charge]],0)</f>
        <v>0</v>
      </c>
    </row>
    <row r="758" spans="1:9" x14ac:dyDescent="0.2">
      <c r="A758">
        <v>1012244</v>
      </c>
      <c r="B758" t="s">
        <v>20</v>
      </c>
      <c r="C758">
        <v>12.81</v>
      </c>
      <c r="D758">
        <v>12.86</v>
      </c>
      <c r="E758">
        <v>40.299999999999997</v>
      </c>
      <c r="F758" t="s">
        <v>9</v>
      </c>
      <c r="G7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58">
        <f>IF(Table1[[#This Row],[is_ups_overcharge]]="ups overcharged",Table1[[#This Row],[ups ship charge]]-Table1[[#This Row],[ada ship charge]],0)</f>
        <v>0</v>
      </c>
    </row>
    <row r="759" spans="1:9" x14ac:dyDescent="0.2">
      <c r="A759">
        <v>1012252</v>
      </c>
      <c r="B759" t="s">
        <v>20</v>
      </c>
      <c r="C759">
        <v>12.81</v>
      </c>
      <c r="D759">
        <v>12.86</v>
      </c>
      <c r="E759">
        <v>14.85</v>
      </c>
      <c r="F759" t="s">
        <v>9</v>
      </c>
      <c r="G7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59">
        <f>IF(Table1[[#This Row],[is_ups_overcharge]]="ups overcharged",Table1[[#This Row],[ups ship charge]]-Table1[[#This Row],[ada ship charge]],0)</f>
        <v>0</v>
      </c>
    </row>
    <row r="760" spans="1:9" x14ac:dyDescent="0.2">
      <c r="A760">
        <v>1012274</v>
      </c>
      <c r="B760" t="s">
        <v>20</v>
      </c>
      <c r="C760">
        <v>15.13</v>
      </c>
      <c r="D760">
        <v>15.18</v>
      </c>
      <c r="E760">
        <v>154.6</v>
      </c>
      <c r="F760" t="s">
        <v>12</v>
      </c>
      <c r="G7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60">
        <f>IF(Table1[[#This Row],[is_ups_overcharge]]="ups overcharged",Table1[[#This Row],[ups ship charge]]-Table1[[#This Row],[ada ship charge]],0)</f>
        <v>0</v>
      </c>
    </row>
    <row r="761" spans="1:9" x14ac:dyDescent="0.2">
      <c r="A761">
        <v>1012286</v>
      </c>
      <c r="B761" t="s">
        <v>20</v>
      </c>
      <c r="C761">
        <v>13.7</v>
      </c>
      <c r="D761">
        <v>13.75</v>
      </c>
      <c r="E761">
        <v>23.8</v>
      </c>
      <c r="F761" t="s">
        <v>9</v>
      </c>
      <c r="G7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61">
        <f>IF(Table1[[#This Row],[is_ups_overcharge]]="ups overcharged",Table1[[#This Row],[ups ship charge]]-Table1[[#This Row],[ada ship charge]],0)</f>
        <v>0</v>
      </c>
    </row>
    <row r="762" spans="1:9" x14ac:dyDescent="0.2">
      <c r="A762">
        <v>1012294</v>
      </c>
      <c r="B762" t="s">
        <v>20</v>
      </c>
      <c r="C762">
        <v>9.7100000000000009</v>
      </c>
      <c r="D762">
        <v>0</v>
      </c>
      <c r="E762">
        <v>59.94</v>
      </c>
      <c r="F762" t="s">
        <v>6</v>
      </c>
      <c r="G7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62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762">
        <f>IF(Table1[[#This Row],[is_ups_overcharge]]="ups overcharged",Table1[[#This Row],[ups ship charge]]-Table1[[#This Row],[ada ship charge]],0)</f>
        <v>9.7100000000000009</v>
      </c>
    </row>
    <row r="763" spans="1:9" x14ac:dyDescent="0.2">
      <c r="A763">
        <v>1012303</v>
      </c>
      <c r="B763" t="s">
        <v>20</v>
      </c>
      <c r="C763">
        <v>13.7</v>
      </c>
      <c r="D763">
        <v>14.77</v>
      </c>
      <c r="E763">
        <v>39.9</v>
      </c>
      <c r="F763" t="s">
        <v>9</v>
      </c>
      <c r="G7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63">
        <f>IF(Table1[[#This Row],[is_ups_overcharge]]="ups overcharged",Table1[[#This Row],[ups ship charge]]-Table1[[#This Row],[ada ship charge]],0)</f>
        <v>0</v>
      </c>
    </row>
    <row r="764" spans="1:9" x14ac:dyDescent="0.2">
      <c r="A764">
        <v>1012309</v>
      </c>
      <c r="B764" t="s">
        <v>20</v>
      </c>
      <c r="C764">
        <v>9.6999999999999993</v>
      </c>
      <c r="D764">
        <v>9.75</v>
      </c>
      <c r="E764">
        <v>39</v>
      </c>
      <c r="F764" t="s">
        <v>6</v>
      </c>
      <c r="G7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64">
        <f>IF(Table1[[#This Row],[is_ups_overcharge]]="ups overcharged",Table1[[#This Row],[ups ship charge]]-Table1[[#This Row],[ada ship charge]],0)</f>
        <v>0</v>
      </c>
    </row>
    <row r="765" spans="1:9" x14ac:dyDescent="0.2">
      <c r="A765">
        <v>1012328</v>
      </c>
      <c r="B765" t="s">
        <v>20</v>
      </c>
      <c r="C765">
        <v>16.77</v>
      </c>
      <c r="D765">
        <v>16.82</v>
      </c>
      <c r="E765">
        <v>17.899999999999999</v>
      </c>
      <c r="F765" t="s">
        <v>10</v>
      </c>
      <c r="G7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65">
        <f>IF(Table1[[#This Row],[is_ups_overcharge]]="ups overcharged",Table1[[#This Row],[ups ship charge]]-Table1[[#This Row],[ada ship charge]],0)</f>
        <v>0</v>
      </c>
    </row>
    <row r="766" spans="1:9" x14ac:dyDescent="0.2">
      <c r="A766">
        <v>1012344</v>
      </c>
      <c r="B766" t="s">
        <v>20</v>
      </c>
      <c r="C766">
        <v>17.440000000000001</v>
      </c>
      <c r="D766">
        <v>17.489999999999998</v>
      </c>
      <c r="E766">
        <v>88</v>
      </c>
      <c r="F766" t="s">
        <v>16</v>
      </c>
      <c r="G7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66">
        <f>IF(Table1[[#This Row],[is_ups_overcharge]]="ups overcharged",Table1[[#This Row],[ups ship charge]]-Table1[[#This Row],[ada ship charge]],0)</f>
        <v>0</v>
      </c>
    </row>
    <row r="767" spans="1:9" x14ac:dyDescent="0.2">
      <c r="A767">
        <v>1012351</v>
      </c>
      <c r="B767" t="s">
        <v>20</v>
      </c>
      <c r="C767">
        <v>15.13</v>
      </c>
      <c r="D767">
        <v>15.18</v>
      </c>
      <c r="E767">
        <v>15.85</v>
      </c>
      <c r="F767" t="s">
        <v>12</v>
      </c>
      <c r="G7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67">
        <f>IF(Table1[[#This Row],[is_ups_overcharge]]="ups overcharged",Table1[[#This Row],[ups ship charge]]-Table1[[#This Row],[ada ship charge]],0)</f>
        <v>0</v>
      </c>
    </row>
    <row r="768" spans="1:9" x14ac:dyDescent="0.2">
      <c r="A768">
        <v>1012356</v>
      </c>
      <c r="B768" t="s">
        <v>20</v>
      </c>
      <c r="C768">
        <v>10.3</v>
      </c>
      <c r="D768">
        <v>0</v>
      </c>
      <c r="E768">
        <v>105</v>
      </c>
      <c r="F768" t="s">
        <v>6</v>
      </c>
      <c r="G7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6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768">
        <f>IF(Table1[[#This Row],[is_ups_overcharge]]="ups overcharged",Table1[[#This Row],[ups ship charge]]-Table1[[#This Row],[ada ship charge]],0)</f>
        <v>10.3</v>
      </c>
    </row>
    <row r="769" spans="1:9" x14ac:dyDescent="0.2">
      <c r="A769">
        <v>1012367</v>
      </c>
      <c r="B769" t="s">
        <v>20</v>
      </c>
      <c r="C769">
        <v>12.81</v>
      </c>
      <c r="D769">
        <v>12.86</v>
      </c>
      <c r="E769">
        <v>39.950000000000003</v>
      </c>
      <c r="F769" t="s">
        <v>9</v>
      </c>
      <c r="G7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69">
        <f>IF(Table1[[#This Row],[is_ups_overcharge]]="ups overcharged",Table1[[#This Row],[ups ship charge]]-Table1[[#This Row],[ada ship charge]],0)</f>
        <v>0</v>
      </c>
    </row>
    <row r="770" spans="1:9" x14ac:dyDescent="0.2">
      <c r="A770">
        <v>1012379</v>
      </c>
      <c r="B770" t="s">
        <v>20</v>
      </c>
      <c r="C770">
        <v>12.81</v>
      </c>
      <c r="D770">
        <v>12.86</v>
      </c>
      <c r="E770">
        <v>15</v>
      </c>
      <c r="F770" t="s">
        <v>9</v>
      </c>
      <c r="G7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70">
        <f>IF(Table1[[#This Row],[is_ups_overcharge]]="ups overcharged",Table1[[#This Row],[ups ship charge]]-Table1[[#This Row],[ada ship charge]],0)</f>
        <v>0</v>
      </c>
    </row>
    <row r="771" spans="1:9" x14ac:dyDescent="0.2">
      <c r="A771">
        <v>1012401</v>
      </c>
      <c r="B771" t="s">
        <v>20</v>
      </c>
      <c r="C771">
        <v>12.81</v>
      </c>
      <c r="D771">
        <v>0</v>
      </c>
      <c r="E771">
        <v>280.2</v>
      </c>
      <c r="F771" t="s">
        <v>9</v>
      </c>
      <c r="G7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77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771">
        <f>IF(Table1[[#This Row],[is_ups_overcharge]]="ups overcharged",Table1[[#This Row],[ups ship charge]]-Table1[[#This Row],[ada ship charge]],0)</f>
        <v>0</v>
      </c>
    </row>
    <row r="772" spans="1:9" x14ac:dyDescent="0.2">
      <c r="A772">
        <v>1012409</v>
      </c>
      <c r="B772" t="s">
        <v>20</v>
      </c>
      <c r="C772">
        <v>9.6999999999999993</v>
      </c>
      <c r="D772">
        <v>0</v>
      </c>
      <c r="E772">
        <v>407.45</v>
      </c>
      <c r="F772" t="s">
        <v>6</v>
      </c>
      <c r="G7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77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772">
        <f>IF(Table1[[#This Row],[is_ups_overcharge]]="ups overcharged",Table1[[#This Row],[ups ship charge]]-Table1[[#This Row],[ada ship charge]],0)</f>
        <v>0</v>
      </c>
    </row>
    <row r="773" spans="1:9" x14ac:dyDescent="0.2">
      <c r="A773">
        <v>1012415</v>
      </c>
      <c r="B773" t="s">
        <v>20</v>
      </c>
      <c r="C773">
        <v>12.81</v>
      </c>
      <c r="D773">
        <v>0</v>
      </c>
      <c r="E773">
        <v>248.75</v>
      </c>
      <c r="F773" t="s">
        <v>9</v>
      </c>
      <c r="G7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77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773">
        <f>IF(Table1[[#This Row],[is_ups_overcharge]]="ups overcharged",Table1[[#This Row],[ups ship charge]]-Table1[[#This Row],[ada ship charge]],0)</f>
        <v>0</v>
      </c>
    </row>
    <row r="774" spans="1:9" x14ac:dyDescent="0.2">
      <c r="A774">
        <v>1012417</v>
      </c>
      <c r="B774" t="s">
        <v>20</v>
      </c>
      <c r="C774">
        <v>13.7</v>
      </c>
      <c r="D774">
        <v>13.76</v>
      </c>
      <c r="E774">
        <v>55.6</v>
      </c>
      <c r="F774" t="s">
        <v>9</v>
      </c>
      <c r="G7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74">
        <f>IF(Table1[[#This Row],[is_ups_overcharge]]="ups overcharged",Table1[[#This Row],[ups ship charge]]-Table1[[#This Row],[ada ship charge]],0)</f>
        <v>0</v>
      </c>
    </row>
    <row r="775" spans="1:9" x14ac:dyDescent="0.2">
      <c r="A775">
        <v>1012464</v>
      </c>
      <c r="B775" t="s">
        <v>20</v>
      </c>
      <c r="C775">
        <v>13.7</v>
      </c>
      <c r="D775">
        <v>13.75</v>
      </c>
      <c r="E775">
        <v>99.95</v>
      </c>
      <c r="F775" t="s">
        <v>9</v>
      </c>
      <c r="G7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75">
        <f>IF(Table1[[#This Row],[is_ups_overcharge]]="ups overcharged",Table1[[#This Row],[ups ship charge]]-Table1[[#This Row],[ada ship charge]],0)</f>
        <v>0</v>
      </c>
    </row>
    <row r="776" spans="1:9" x14ac:dyDescent="0.2">
      <c r="A776">
        <v>1012471</v>
      </c>
      <c r="B776" t="s">
        <v>20</v>
      </c>
      <c r="C776">
        <v>12.35</v>
      </c>
      <c r="D776">
        <v>12.4</v>
      </c>
      <c r="E776">
        <v>30.8</v>
      </c>
      <c r="F776" t="s">
        <v>13</v>
      </c>
      <c r="G7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76">
        <f>IF(Table1[[#This Row],[is_ups_overcharge]]="ups overcharged",Table1[[#This Row],[ups ship charge]]-Table1[[#This Row],[ada ship charge]],0)</f>
        <v>0</v>
      </c>
    </row>
    <row r="777" spans="1:9" x14ac:dyDescent="0.2">
      <c r="A777">
        <v>1012493</v>
      </c>
      <c r="B777" t="s">
        <v>20</v>
      </c>
      <c r="C777">
        <v>9.6999999999999993</v>
      </c>
      <c r="D777">
        <v>13.75</v>
      </c>
      <c r="E777">
        <v>5.95</v>
      </c>
      <c r="F777" t="s">
        <v>6</v>
      </c>
      <c r="G7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77">
        <f>IF(Table1[[#This Row],[is_ups_overcharge]]="ups overcharged",Table1[[#This Row],[ups ship charge]]-Table1[[#This Row],[ada ship charge]],0)</f>
        <v>0</v>
      </c>
    </row>
    <row r="778" spans="1:9" x14ac:dyDescent="0.2">
      <c r="A778">
        <v>1012529</v>
      </c>
      <c r="B778" t="s">
        <v>20</v>
      </c>
      <c r="C778">
        <v>12.81</v>
      </c>
      <c r="D778">
        <v>12.86</v>
      </c>
      <c r="E778">
        <v>127.8</v>
      </c>
      <c r="F778" t="s">
        <v>9</v>
      </c>
      <c r="G7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78">
        <f>IF(Table1[[#This Row],[is_ups_overcharge]]="ups overcharged",Table1[[#This Row],[ups ship charge]]-Table1[[#This Row],[ada ship charge]],0)</f>
        <v>0</v>
      </c>
    </row>
    <row r="779" spans="1:9" x14ac:dyDescent="0.2">
      <c r="A779">
        <v>1012530</v>
      </c>
      <c r="B779" t="s">
        <v>20</v>
      </c>
      <c r="C779">
        <v>13.7</v>
      </c>
      <c r="D779">
        <v>13.75</v>
      </c>
      <c r="E779">
        <v>40.75</v>
      </c>
      <c r="F779" t="s">
        <v>9</v>
      </c>
      <c r="G7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79">
        <f>IF(Table1[[#This Row],[is_ups_overcharge]]="ups overcharged",Table1[[#This Row],[ups ship charge]]-Table1[[#This Row],[ada ship charge]],0)</f>
        <v>0</v>
      </c>
    </row>
    <row r="780" spans="1:9" x14ac:dyDescent="0.2">
      <c r="A780">
        <v>1012562</v>
      </c>
      <c r="B780" t="s">
        <v>20</v>
      </c>
      <c r="C780">
        <v>12.81</v>
      </c>
      <c r="D780">
        <v>12.86</v>
      </c>
      <c r="E780">
        <v>29.95</v>
      </c>
      <c r="F780" t="s">
        <v>9</v>
      </c>
      <c r="G7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80">
        <f>IF(Table1[[#This Row],[is_ups_overcharge]]="ups overcharged",Table1[[#This Row],[ups ship charge]]-Table1[[#This Row],[ada ship charge]],0)</f>
        <v>0</v>
      </c>
    </row>
    <row r="781" spans="1:9" x14ac:dyDescent="0.2">
      <c r="A781">
        <v>1012569</v>
      </c>
      <c r="B781" t="s">
        <v>20</v>
      </c>
      <c r="C781">
        <v>9.6999999999999993</v>
      </c>
      <c r="D781">
        <v>0</v>
      </c>
      <c r="E781">
        <v>313.45</v>
      </c>
      <c r="F781" t="s">
        <v>6</v>
      </c>
      <c r="G7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78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781">
        <f>IF(Table1[[#This Row],[is_ups_overcharge]]="ups overcharged",Table1[[#This Row],[ups ship charge]]-Table1[[#This Row],[ada ship charge]],0)</f>
        <v>0</v>
      </c>
    </row>
    <row r="782" spans="1:9" x14ac:dyDescent="0.2">
      <c r="A782">
        <v>1012589</v>
      </c>
      <c r="B782" t="s">
        <v>20</v>
      </c>
      <c r="C782">
        <v>12.81</v>
      </c>
      <c r="D782">
        <v>12.86</v>
      </c>
      <c r="E782">
        <v>5.95</v>
      </c>
      <c r="F782" t="s">
        <v>9</v>
      </c>
      <c r="G7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82">
        <f>IF(Table1[[#This Row],[is_ups_overcharge]]="ups overcharged",Table1[[#This Row],[ups ship charge]]-Table1[[#This Row],[ada ship charge]],0)</f>
        <v>0</v>
      </c>
    </row>
    <row r="783" spans="1:9" x14ac:dyDescent="0.2">
      <c r="A783">
        <v>1012606</v>
      </c>
      <c r="B783" t="s">
        <v>20</v>
      </c>
      <c r="C783">
        <v>14.15</v>
      </c>
      <c r="D783">
        <v>14.77</v>
      </c>
      <c r="E783">
        <v>102.65</v>
      </c>
      <c r="F783" t="s">
        <v>9</v>
      </c>
      <c r="G7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83">
        <f>IF(Table1[[#This Row],[is_ups_overcharge]]="ups overcharged",Table1[[#This Row],[ups ship charge]]-Table1[[#This Row],[ada ship charge]],0)</f>
        <v>0</v>
      </c>
    </row>
    <row r="784" spans="1:9" x14ac:dyDescent="0.2">
      <c r="A784">
        <v>1012647</v>
      </c>
      <c r="B784" t="s">
        <v>20</v>
      </c>
      <c r="C784">
        <v>9.6999999999999993</v>
      </c>
      <c r="D784">
        <v>9.76</v>
      </c>
      <c r="E784">
        <v>51.8</v>
      </c>
      <c r="F784" t="s">
        <v>6</v>
      </c>
      <c r="G7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84">
        <f>IF(Table1[[#This Row],[is_ups_overcharge]]="ups overcharged",Table1[[#This Row],[ups ship charge]]-Table1[[#This Row],[ada ship charge]],0)</f>
        <v>0</v>
      </c>
    </row>
    <row r="785" spans="1:9" x14ac:dyDescent="0.2">
      <c r="A785">
        <v>1012652</v>
      </c>
      <c r="B785" t="s">
        <v>20</v>
      </c>
      <c r="C785">
        <v>15.13</v>
      </c>
      <c r="D785">
        <v>15.18</v>
      </c>
      <c r="E785">
        <v>33.700000000000003</v>
      </c>
      <c r="F785" t="s">
        <v>12</v>
      </c>
      <c r="G7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85">
        <f>IF(Table1[[#This Row],[is_ups_overcharge]]="ups overcharged",Table1[[#This Row],[ups ship charge]]-Table1[[#This Row],[ada ship charge]],0)</f>
        <v>0</v>
      </c>
    </row>
    <row r="786" spans="1:9" x14ac:dyDescent="0.2">
      <c r="A786">
        <v>1012684</v>
      </c>
      <c r="B786" t="s">
        <v>20</v>
      </c>
      <c r="C786">
        <v>14.04</v>
      </c>
      <c r="D786">
        <v>14.09</v>
      </c>
      <c r="E786">
        <v>7.85</v>
      </c>
      <c r="F786" t="s">
        <v>16</v>
      </c>
      <c r="G7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86">
        <f>IF(Table1[[#This Row],[is_ups_overcharge]]="ups overcharged",Table1[[#This Row],[ups ship charge]]-Table1[[#This Row],[ada ship charge]],0)</f>
        <v>0</v>
      </c>
    </row>
    <row r="787" spans="1:9" x14ac:dyDescent="0.2">
      <c r="A787">
        <v>1012716</v>
      </c>
      <c r="B787" t="s">
        <v>20</v>
      </c>
      <c r="C787">
        <v>9.6999999999999993</v>
      </c>
      <c r="D787">
        <v>9.75</v>
      </c>
      <c r="E787">
        <v>45.95</v>
      </c>
      <c r="F787" t="s">
        <v>6</v>
      </c>
      <c r="G7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87">
        <f>IF(Table1[[#This Row],[is_ups_overcharge]]="ups overcharged",Table1[[#This Row],[ups ship charge]]-Table1[[#This Row],[ada ship charge]],0)</f>
        <v>0</v>
      </c>
    </row>
    <row r="788" spans="1:9" x14ac:dyDescent="0.2">
      <c r="A788">
        <v>1012725</v>
      </c>
      <c r="B788" t="s">
        <v>20</v>
      </c>
      <c r="C788">
        <v>12.81</v>
      </c>
      <c r="D788">
        <v>12.86</v>
      </c>
      <c r="E788">
        <v>117.25</v>
      </c>
      <c r="F788" t="s">
        <v>9</v>
      </c>
      <c r="G7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88">
        <f>IF(Table1[[#This Row],[is_ups_overcharge]]="ups overcharged",Table1[[#This Row],[ups ship charge]]-Table1[[#This Row],[ada ship charge]],0)</f>
        <v>0</v>
      </c>
    </row>
    <row r="789" spans="1:9" x14ac:dyDescent="0.2">
      <c r="A789">
        <v>1012744</v>
      </c>
      <c r="B789" t="s">
        <v>20</v>
      </c>
      <c r="C789">
        <v>12.81</v>
      </c>
      <c r="D789">
        <v>12.86</v>
      </c>
      <c r="E789">
        <v>59.9</v>
      </c>
      <c r="F789" t="s">
        <v>9</v>
      </c>
      <c r="G7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89">
        <f>IF(Table1[[#This Row],[is_ups_overcharge]]="ups overcharged",Table1[[#This Row],[ups ship charge]]-Table1[[#This Row],[ada ship charge]],0)</f>
        <v>0</v>
      </c>
    </row>
    <row r="790" spans="1:9" x14ac:dyDescent="0.2">
      <c r="A790">
        <v>1012750</v>
      </c>
      <c r="B790" t="s">
        <v>20</v>
      </c>
      <c r="C790">
        <v>9.6999999999999993</v>
      </c>
      <c r="D790">
        <v>9.75</v>
      </c>
      <c r="E790">
        <v>99.95</v>
      </c>
      <c r="F790" t="s">
        <v>6</v>
      </c>
      <c r="G7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90">
        <f>IF(Table1[[#This Row],[is_ups_overcharge]]="ups overcharged",Table1[[#This Row],[ups ship charge]]-Table1[[#This Row],[ada ship charge]],0)</f>
        <v>0</v>
      </c>
    </row>
    <row r="791" spans="1:9" x14ac:dyDescent="0.2">
      <c r="A791">
        <v>1012774</v>
      </c>
      <c r="B791" t="s">
        <v>20</v>
      </c>
      <c r="C791">
        <v>12.45</v>
      </c>
      <c r="D791">
        <v>14.36</v>
      </c>
      <c r="E791">
        <v>141.75</v>
      </c>
      <c r="F791" t="s">
        <v>13</v>
      </c>
      <c r="G7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91">
        <f>IF(Table1[[#This Row],[is_ups_overcharge]]="ups overcharged",Table1[[#This Row],[ups ship charge]]-Table1[[#This Row],[ada ship charge]],0)</f>
        <v>0</v>
      </c>
    </row>
    <row r="792" spans="1:9" x14ac:dyDescent="0.2">
      <c r="A792">
        <v>1012777</v>
      </c>
      <c r="B792" t="s">
        <v>20</v>
      </c>
      <c r="C792">
        <v>12.81</v>
      </c>
      <c r="D792">
        <v>12.86</v>
      </c>
      <c r="E792">
        <v>135</v>
      </c>
      <c r="F792" t="s">
        <v>9</v>
      </c>
      <c r="G7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92">
        <f>IF(Table1[[#This Row],[is_ups_overcharge]]="ups overcharged",Table1[[#This Row],[ups ship charge]]-Table1[[#This Row],[ada ship charge]],0)</f>
        <v>0</v>
      </c>
    </row>
    <row r="793" spans="1:9" x14ac:dyDescent="0.2">
      <c r="A793">
        <v>1012778</v>
      </c>
      <c r="B793" t="s">
        <v>20</v>
      </c>
      <c r="C793">
        <v>19.22</v>
      </c>
      <c r="D793">
        <v>19.27</v>
      </c>
      <c r="E793">
        <v>74.849999999999994</v>
      </c>
      <c r="F793" t="s">
        <v>16</v>
      </c>
      <c r="G7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93">
        <f>IF(Table1[[#This Row],[is_ups_overcharge]]="ups overcharged",Table1[[#This Row],[ups ship charge]]-Table1[[#This Row],[ada ship charge]],0)</f>
        <v>0</v>
      </c>
    </row>
    <row r="794" spans="1:9" x14ac:dyDescent="0.2">
      <c r="A794">
        <v>1012790</v>
      </c>
      <c r="B794" t="s">
        <v>20</v>
      </c>
      <c r="C794">
        <v>23.53</v>
      </c>
      <c r="D794">
        <v>22.07</v>
      </c>
      <c r="E794">
        <v>350.88</v>
      </c>
      <c r="F794" t="s">
        <v>16</v>
      </c>
      <c r="G7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9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794">
        <f>IF(Table1[[#This Row],[is_ups_overcharge]]="ups overcharged",Table1[[#This Row],[ups ship charge]]-Table1[[#This Row],[ada ship charge]],0)</f>
        <v>1.4600000000000009</v>
      </c>
    </row>
    <row r="795" spans="1:9" x14ac:dyDescent="0.2">
      <c r="A795">
        <v>1012835</v>
      </c>
      <c r="B795" t="s">
        <v>20</v>
      </c>
      <c r="C795">
        <v>12.81</v>
      </c>
      <c r="D795">
        <v>12.86</v>
      </c>
      <c r="E795">
        <v>7.5</v>
      </c>
      <c r="F795" t="s">
        <v>9</v>
      </c>
      <c r="G7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95">
        <f>IF(Table1[[#This Row],[is_ups_overcharge]]="ups overcharged",Table1[[#This Row],[ups ship charge]]-Table1[[#This Row],[ada ship charge]],0)</f>
        <v>0</v>
      </c>
    </row>
    <row r="796" spans="1:9" x14ac:dyDescent="0.2">
      <c r="A796">
        <v>1012856</v>
      </c>
      <c r="B796" t="s">
        <v>20</v>
      </c>
      <c r="C796">
        <v>9.6999999999999993</v>
      </c>
      <c r="D796">
        <v>13.76</v>
      </c>
      <c r="E796">
        <v>59.95</v>
      </c>
      <c r="F796" t="s">
        <v>6</v>
      </c>
      <c r="G7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96">
        <f>IF(Table1[[#This Row],[is_ups_overcharge]]="ups overcharged",Table1[[#This Row],[ups ship charge]]-Table1[[#This Row],[ada ship charge]],0)</f>
        <v>0</v>
      </c>
    </row>
    <row r="797" spans="1:9" x14ac:dyDescent="0.2">
      <c r="A797">
        <v>1012869</v>
      </c>
      <c r="B797" t="s">
        <v>20</v>
      </c>
      <c r="C797">
        <v>16.059999999999999</v>
      </c>
      <c r="D797">
        <v>17.690000000000001</v>
      </c>
      <c r="E797">
        <v>79.95</v>
      </c>
      <c r="F797" t="s">
        <v>13</v>
      </c>
      <c r="G7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97">
        <f>IF(Table1[[#This Row],[is_ups_overcharge]]="ups overcharged",Table1[[#This Row],[ups ship charge]]-Table1[[#This Row],[ada ship charge]],0)</f>
        <v>0</v>
      </c>
    </row>
    <row r="798" spans="1:9" x14ac:dyDescent="0.2">
      <c r="A798">
        <v>1012870</v>
      </c>
      <c r="B798" t="s">
        <v>20</v>
      </c>
      <c r="C798">
        <v>16.77</v>
      </c>
      <c r="D798">
        <v>16.82</v>
      </c>
      <c r="E798">
        <v>9.75</v>
      </c>
      <c r="F798" t="s">
        <v>10</v>
      </c>
      <c r="G7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98">
        <f>IF(Table1[[#This Row],[is_ups_overcharge]]="ups overcharged",Table1[[#This Row],[ups ship charge]]-Table1[[#This Row],[ada ship charge]],0)</f>
        <v>0</v>
      </c>
    </row>
    <row r="799" spans="1:9" x14ac:dyDescent="0.2">
      <c r="A799">
        <v>1012881</v>
      </c>
      <c r="B799" t="s">
        <v>20</v>
      </c>
      <c r="C799">
        <v>9.6999999999999993</v>
      </c>
      <c r="D799">
        <v>9.75</v>
      </c>
      <c r="E799">
        <v>149.19999999999999</v>
      </c>
      <c r="F799" t="s">
        <v>6</v>
      </c>
      <c r="G7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7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799">
        <f>IF(Table1[[#This Row],[is_ups_overcharge]]="ups overcharged",Table1[[#This Row],[ups ship charge]]-Table1[[#This Row],[ada ship charge]],0)</f>
        <v>0</v>
      </c>
    </row>
    <row r="800" spans="1:9" x14ac:dyDescent="0.2">
      <c r="A800">
        <v>1012882</v>
      </c>
      <c r="B800" t="s">
        <v>20</v>
      </c>
      <c r="C800">
        <v>13.7</v>
      </c>
      <c r="D800">
        <v>13.75</v>
      </c>
      <c r="E800">
        <v>69.900000000000006</v>
      </c>
      <c r="F800" t="s">
        <v>9</v>
      </c>
      <c r="G8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00">
        <f>IF(Table1[[#This Row],[is_ups_overcharge]]="ups overcharged",Table1[[#This Row],[ups ship charge]]-Table1[[#This Row],[ada ship charge]],0)</f>
        <v>0</v>
      </c>
    </row>
    <row r="801" spans="1:9" x14ac:dyDescent="0.2">
      <c r="A801">
        <v>1012913</v>
      </c>
      <c r="B801" t="s">
        <v>20</v>
      </c>
      <c r="C801">
        <v>13.7</v>
      </c>
      <c r="D801">
        <v>13.79</v>
      </c>
      <c r="E801">
        <v>99.95</v>
      </c>
      <c r="F801" t="s">
        <v>9</v>
      </c>
      <c r="G8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01">
        <f>IF(Table1[[#This Row],[is_ups_overcharge]]="ups overcharged",Table1[[#This Row],[ups ship charge]]-Table1[[#This Row],[ada ship charge]],0)</f>
        <v>0</v>
      </c>
    </row>
    <row r="802" spans="1:9" x14ac:dyDescent="0.2">
      <c r="A802">
        <v>1012918</v>
      </c>
      <c r="B802" t="s">
        <v>20</v>
      </c>
      <c r="C802">
        <v>13.7</v>
      </c>
      <c r="D802">
        <v>13.75</v>
      </c>
      <c r="E802">
        <v>42.95</v>
      </c>
      <c r="F802" t="s">
        <v>9</v>
      </c>
      <c r="G8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02">
        <f>IF(Table1[[#This Row],[is_ups_overcharge]]="ups overcharged",Table1[[#This Row],[ups ship charge]]-Table1[[#This Row],[ada ship charge]],0)</f>
        <v>0</v>
      </c>
    </row>
    <row r="803" spans="1:9" x14ac:dyDescent="0.2">
      <c r="A803">
        <v>1012929</v>
      </c>
      <c r="B803" t="s">
        <v>20</v>
      </c>
      <c r="C803">
        <v>16.46</v>
      </c>
      <c r="D803">
        <v>16.510000000000002</v>
      </c>
      <c r="E803">
        <v>2.5</v>
      </c>
      <c r="F803" t="s">
        <v>10</v>
      </c>
      <c r="G8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03">
        <f>IF(Table1[[#This Row],[is_ups_overcharge]]="ups overcharged",Table1[[#This Row],[ups ship charge]]-Table1[[#This Row],[ada ship charge]],0)</f>
        <v>0</v>
      </c>
    </row>
    <row r="804" spans="1:9" x14ac:dyDescent="0.2">
      <c r="A804">
        <v>1012935</v>
      </c>
      <c r="B804" t="s">
        <v>20</v>
      </c>
      <c r="C804">
        <v>12.81</v>
      </c>
      <c r="D804">
        <v>12.86</v>
      </c>
      <c r="E804">
        <v>38.299999999999997</v>
      </c>
      <c r="F804" t="s">
        <v>9</v>
      </c>
      <c r="G8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04">
        <f>IF(Table1[[#This Row],[is_ups_overcharge]]="ups overcharged",Table1[[#This Row],[ups ship charge]]-Table1[[#This Row],[ada ship charge]],0)</f>
        <v>0</v>
      </c>
    </row>
    <row r="805" spans="1:9" x14ac:dyDescent="0.2">
      <c r="A805">
        <v>1012985</v>
      </c>
      <c r="B805" t="s">
        <v>20</v>
      </c>
      <c r="C805">
        <v>13.7</v>
      </c>
      <c r="D805">
        <v>13.79</v>
      </c>
      <c r="E805">
        <v>61.75</v>
      </c>
      <c r="F805" t="s">
        <v>9</v>
      </c>
      <c r="G8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05">
        <f>IF(Table1[[#This Row],[is_ups_overcharge]]="ups overcharged",Table1[[#This Row],[ups ship charge]]-Table1[[#This Row],[ada ship charge]],0)</f>
        <v>0</v>
      </c>
    </row>
    <row r="806" spans="1:9" x14ac:dyDescent="0.2">
      <c r="A806">
        <v>1013000</v>
      </c>
      <c r="B806" t="s">
        <v>20</v>
      </c>
      <c r="C806">
        <v>9.7100000000000009</v>
      </c>
      <c r="D806">
        <v>9.76</v>
      </c>
      <c r="E806">
        <v>22.85</v>
      </c>
      <c r="F806" t="s">
        <v>6</v>
      </c>
      <c r="G8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06">
        <f>IF(Table1[[#This Row],[is_ups_overcharge]]="ups overcharged",Table1[[#This Row],[ups ship charge]]-Table1[[#This Row],[ada ship charge]],0)</f>
        <v>0</v>
      </c>
    </row>
    <row r="807" spans="1:9" x14ac:dyDescent="0.2">
      <c r="A807">
        <v>1013014</v>
      </c>
      <c r="B807" t="s">
        <v>20</v>
      </c>
      <c r="C807">
        <v>12.81</v>
      </c>
      <c r="D807">
        <v>12.86</v>
      </c>
      <c r="E807">
        <v>154.80000000000001</v>
      </c>
      <c r="F807" t="s">
        <v>9</v>
      </c>
      <c r="G8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07">
        <f>IF(Table1[[#This Row],[is_ups_overcharge]]="ups overcharged",Table1[[#This Row],[ups ship charge]]-Table1[[#This Row],[ada ship charge]],0)</f>
        <v>0</v>
      </c>
    </row>
    <row r="808" spans="1:9" x14ac:dyDescent="0.2">
      <c r="A808">
        <v>1013020</v>
      </c>
      <c r="B808" t="s">
        <v>20</v>
      </c>
      <c r="C808">
        <v>12.81</v>
      </c>
      <c r="D808">
        <v>12.86</v>
      </c>
      <c r="E808">
        <v>53.8</v>
      </c>
      <c r="F808" t="s">
        <v>9</v>
      </c>
      <c r="G8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08">
        <f>IF(Table1[[#This Row],[is_ups_overcharge]]="ups overcharged",Table1[[#This Row],[ups ship charge]]-Table1[[#This Row],[ada ship charge]],0)</f>
        <v>0</v>
      </c>
    </row>
    <row r="809" spans="1:9" x14ac:dyDescent="0.2">
      <c r="A809">
        <v>1013049</v>
      </c>
      <c r="B809" t="s">
        <v>20</v>
      </c>
      <c r="C809">
        <v>9.6999999999999993</v>
      </c>
      <c r="D809">
        <v>9.75</v>
      </c>
      <c r="E809">
        <v>46</v>
      </c>
      <c r="F809" t="s">
        <v>6</v>
      </c>
      <c r="G8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09">
        <f>IF(Table1[[#This Row],[is_ups_overcharge]]="ups overcharged",Table1[[#This Row],[ups ship charge]]-Table1[[#This Row],[ada ship charge]],0)</f>
        <v>0</v>
      </c>
    </row>
    <row r="810" spans="1:9" x14ac:dyDescent="0.2">
      <c r="A810">
        <v>1013063</v>
      </c>
      <c r="B810" t="s">
        <v>20</v>
      </c>
      <c r="C810">
        <v>13.7</v>
      </c>
      <c r="D810">
        <v>13.75</v>
      </c>
      <c r="E810">
        <v>49.4</v>
      </c>
      <c r="F810" t="s">
        <v>9</v>
      </c>
      <c r="G8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10">
        <f>IF(Table1[[#This Row],[is_ups_overcharge]]="ups overcharged",Table1[[#This Row],[ups ship charge]]-Table1[[#This Row],[ada ship charge]],0)</f>
        <v>0</v>
      </c>
    </row>
    <row r="811" spans="1:9" x14ac:dyDescent="0.2">
      <c r="A811">
        <v>1013064</v>
      </c>
      <c r="B811" t="s">
        <v>20</v>
      </c>
      <c r="C811">
        <v>13.7</v>
      </c>
      <c r="D811">
        <v>13.76</v>
      </c>
      <c r="E811">
        <v>87.75</v>
      </c>
      <c r="F811" t="s">
        <v>9</v>
      </c>
      <c r="G8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11">
        <f>IF(Table1[[#This Row],[is_ups_overcharge]]="ups overcharged",Table1[[#This Row],[ups ship charge]]-Table1[[#This Row],[ada ship charge]],0)</f>
        <v>0</v>
      </c>
    </row>
    <row r="812" spans="1:9" x14ac:dyDescent="0.2">
      <c r="A812">
        <v>1013073</v>
      </c>
      <c r="B812" t="s">
        <v>20</v>
      </c>
      <c r="C812">
        <v>12.81</v>
      </c>
      <c r="D812">
        <v>12.86</v>
      </c>
      <c r="E812">
        <v>23.9</v>
      </c>
      <c r="F812" t="s">
        <v>9</v>
      </c>
      <c r="G8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12">
        <f>IF(Table1[[#This Row],[is_ups_overcharge]]="ups overcharged",Table1[[#This Row],[ups ship charge]]-Table1[[#This Row],[ada ship charge]],0)</f>
        <v>0</v>
      </c>
    </row>
    <row r="813" spans="1:9" x14ac:dyDescent="0.2">
      <c r="A813">
        <v>1013075</v>
      </c>
      <c r="B813" t="s">
        <v>20</v>
      </c>
      <c r="C813">
        <v>12.81</v>
      </c>
      <c r="D813">
        <v>12.86</v>
      </c>
      <c r="E813">
        <v>32.85</v>
      </c>
      <c r="F813" t="s">
        <v>9</v>
      </c>
      <c r="G8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13">
        <f>IF(Table1[[#This Row],[is_ups_overcharge]]="ups overcharged",Table1[[#This Row],[ups ship charge]]-Table1[[#This Row],[ada ship charge]],0)</f>
        <v>0</v>
      </c>
    </row>
    <row r="814" spans="1:9" x14ac:dyDescent="0.2">
      <c r="A814">
        <v>1013077</v>
      </c>
      <c r="B814" t="s">
        <v>20</v>
      </c>
      <c r="C814">
        <v>12.81</v>
      </c>
      <c r="D814">
        <v>12.86</v>
      </c>
      <c r="E814">
        <v>37.950000000000003</v>
      </c>
      <c r="F814" t="s">
        <v>9</v>
      </c>
      <c r="G8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14">
        <f>IF(Table1[[#This Row],[is_ups_overcharge]]="ups overcharged",Table1[[#This Row],[ups ship charge]]-Table1[[#This Row],[ada ship charge]],0)</f>
        <v>0</v>
      </c>
    </row>
    <row r="815" spans="1:9" x14ac:dyDescent="0.2">
      <c r="A815">
        <v>1013087</v>
      </c>
      <c r="B815" t="s">
        <v>20</v>
      </c>
      <c r="C815">
        <v>12.35</v>
      </c>
      <c r="D815">
        <v>12.4</v>
      </c>
      <c r="E815">
        <v>19.95</v>
      </c>
      <c r="F815" t="s">
        <v>13</v>
      </c>
      <c r="G8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15">
        <f>IF(Table1[[#This Row],[is_ups_overcharge]]="ups overcharged",Table1[[#This Row],[ups ship charge]]-Table1[[#This Row],[ada ship charge]],0)</f>
        <v>0</v>
      </c>
    </row>
    <row r="816" spans="1:9" x14ac:dyDescent="0.2">
      <c r="A816">
        <v>1013103</v>
      </c>
      <c r="B816" t="s">
        <v>20</v>
      </c>
      <c r="C816">
        <v>13.7</v>
      </c>
      <c r="D816">
        <v>13.75</v>
      </c>
      <c r="E816">
        <v>152.75</v>
      </c>
      <c r="F816" t="s">
        <v>9</v>
      </c>
      <c r="G8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16">
        <f>IF(Table1[[#This Row],[is_ups_overcharge]]="ups overcharged",Table1[[#This Row],[ups ship charge]]-Table1[[#This Row],[ada ship charge]],0)</f>
        <v>0</v>
      </c>
    </row>
    <row r="817" spans="1:9" x14ac:dyDescent="0.2">
      <c r="A817">
        <v>1013106</v>
      </c>
      <c r="B817" t="s">
        <v>20</v>
      </c>
      <c r="C817">
        <v>13.7</v>
      </c>
      <c r="D817">
        <v>13.75</v>
      </c>
      <c r="E817">
        <v>5.85</v>
      </c>
      <c r="F817" t="s">
        <v>9</v>
      </c>
      <c r="G8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17">
        <f>IF(Table1[[#This Row],[is_ups_overcharge]]="ups overcharged",Table1[[#This Row],[ups ship charge]]-Table1[[#This Row],[ada ship charge]],0)</f>
        <v>0</v>
      </c>
    </row>
    <row r="818" spans="1:9" x14ac:dyDescent="0.2">
      <c r="A818">
        <v>1013114</v>
      </c>
      <c r="B818" t="s">
        <v>20</v>
      </c>
      <c r="C818">
        <v>16.46</v>
      </c>
      <c r="D818">
        <v>16.510000000000002</v>
      </c>
      <c r="E818">
        <v>16.899999999999999</v>
      </c>
      <c r="F818" t="s">
        <v>10</v>
      </c>
      <c r="G8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18">
        <f>IF(Table1[[#This Row],[is_ups_overcharge]]="ups overcharged",Table1[[#This Row],[ups ship charge]]-Table1[[#This Row],[ada ship charge]],0)</f>
        <v>0</v>
      </c>
    </row>
    <row r="819" spans="1:9" x14ac:dyDescent="0.2">
      <c r="A819">
        <v>1013156</v>
      </c>
      <c r="B819" t="s">
        <v>20</v>
      </c>
      <c r="C819">
        <v>16.559999999999999</v>
      </c>
      <c r="D819">
        <v>18.47</v>
      </c>
      <c r="E819">
        <v>2.5</v>
      </c>
      <c r="F819" t="s">
        <v>10</v>
      </c>
      <c r="G8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19">
        <f>IF(Table1[[#This Row],[is_ups_overcharge]]="ups overcharged",Table1[[#This Row],[ups ship charge]]-Table1[[#This Row],[ada ship charge]],0)</f>
        <v>0</v>
      </c>
    </row>
    <row r="820" spans="1:9" x14ac:dyDescent="0.2">
      <c r="A820">
        <v>1013164</v>
      </c>
      <c r="B820" t="s">
        <v>20</v>
      </c>
      <c r="C820">
        <v>12.81</v>
      </c>
      <c r="D820">
        <v>13.37</v>
      </c>
      <c r="E820">
        <v>43.15</v>
      </c>
      <c r="F820" t="s">
        <v>9</v>
      </c>
      <c r="G8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20">
        <f>IF(Table1[[#This Row],[is_ups_overcharge]]="ups overcharged",Table1[[#This Row],[ups ship charge]]-Table1[[#This Row],[ada ship charge]],0)</f>
        <v>0</v>
      </c>
    </row>
    <row r="821" spans="1:9" x14ac:dyDescent="0.2">
      <c r="A821">
        <v>1013171</v>
      </c>
      <c r="B821" t="s">
        <v>20</v>
      </c>
      <c r="C821">
        <v>12.81</v>
      </c>
      <c r="D821">
        <v>0</v>
      </c>
      <c r="E821">
        <v>202.55</v>
      </c>
      <c r="F821" t="s">
        <v>9</v>
      </c>
      <c r="G8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82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821">
        <f>IF(Table1[[#This Row],[is_ups_overcharge]]="ups overcharged",Table1[[#This Row],[ups ship charge]]-Table1[[#This Row],[ada ship charge]],0)</f>
        <v>0</v>
      </c>
    </row>
    <row r="822" spans="1:9" x14ac:dyDescent="0.2">
      <c r="A822">
        <v>1013186</v>
      </c>
      <c r="B822" t="s">
        <v>20</v>
      </c>
      <c r="C822">
        <v>12.81</v>
      </c>
      <c r="D822">
        <v>12.86</v>
      </c>
      <c r="E822">
        <v>7.95</v>
      </c>
      <c r="F822" t="s">
        <v>9</v>
      </c>
      <c r="G8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22">
        <f>IF(Table1[[#This Row],[is_ups_overcharge]]="ups overcharged",Table1[[#This Row],[ups ship charge]]-Table1[[#This Row],[ada ship charge]],0)</f>
        <v>0</v>
      </c>
    </row>
    <row r="823" spans="1:9" x14ac:dyDescent="0.2">
      <c r="A823">
        <v>1013219</v>
      </c>
      <c r="B823" t="s">
        <v>20</v>
      </c>
      <c r="C823">
        <v>15.13</v>
      </c>
      <c r="D823">
        <v>15.18</v>
      </c>
      <c r="E823">
        <v>45.85</v>
      </c>
      <c r="F823" t="s">
        <v>12</v>
      </c>
      <c r="G8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23">
        <f>IF(Table1[[#This Row],[is_ups_overcharge]]="ups overcharged",Table1[[#This Row],[ups ship charge]]-Table1[[#This Row],[ada ship charge]],0)</f>
        <v>0</v>
      </c>
    </row>
    <row r="824" spans="1:9" x14ac:dyDescent="0.2">
      <c r="A824">
        <v>1013220</v>
      </c>
      <c r="B824" t="s">
        <v>20</v>
      </c>
      <c r="C824">
        <v>13.94</v>
      </c>
      <c r="D824">
        <v>0</v>
      </c>
      <c r="E824">
        <v>206.65</v>
      </c>
      <c r="F824" t="s">
        <v>9</v>
      </c>
      <c r="G8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82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824">
        <f>IF(Table1[[#This Row],[is_ups_overcharge]]="ups overcharged",Table1[[#This Row],[ups ship charge]]-Table1[[#This Row],[ada ship charge]],0)</f>
        <v>0</v>
      </c>
    </row>
    <row r="825" spans="1:9" x14ac:dyDescent="0.2">
      <c r="A825">
        <v>1013240</v>
      </c>
      <c r="B825" t="s">
        <v>20</v>
      </c>
      <c r="C825">
        <v>12.81</v>
      </c>
      <c r="D825">
        <v>13.88</v>
      </c>
      <c r="E825">
        <v>136.44999999999999</v>
      </c>
      <c r="F825" t="s">
        <v>9</v>
      </c>
      <c r="G8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25">
        <f>IF(Table1[[#This Row],[is_ups_overcharge]]="ups overcharged",Table1[[#This Row],[ups ship charge]]-Table1[[#This Row],[ada ship charge]],0)</f>
        <v>0</v>
      </c>
    </row>
    <row r="826" spans="1:9" x14ac:dyDescent="0.2">
      <c r="A826">
        <v>1013249</v>
      </c>
      <c r="B826" t="s">
        <v>20</v>
      </c>
      <c r="C826">
        <v>13.7</v>
      </c>
      <c r="D826">
        <v>13.83</v>
      </c>
      <c r="E826">
        <v>73.2</v>
      </c>
      <c r="F826" t="s">
        <v>9</v>
      </c>
      <c r="G8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26">
        <f>IF(Table1[[#This Row],[is_ups_overcharge]]="ups overcharged",Table1[[#This Row],[ups ship charge]]-Table1[[#This Row],[ada ship charge]],0)</f>
        <v>0</v>
      </c>
    </row>
    <row r="827" spans="1:9" x14ac:dyDescent="0.2">
      <c r="A827">
        <v>1013293</v>
      </c>
      <c r="B827" t="s">
        <v>20</v>
      </c>
      <c r="C827">
        <v>12.81</v>
      </c>
      <c r="D827">
        <v>12.86</v>
      </c>
      <c r="E827">
        <v>49.9</v>
      </c>
      <c r="F827" t="s">
        <v>9</v>
      </c>
      <c r="G8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27">
        <f>IF(Table1[[#This Row],[is_ups_overcharge]]="ups overcharged",Table1[[#This Row],[ups ship charge]]-Table1[[#This Row],[ada ship charge]],0)</f>
        <v>0</v>
      </c>
    </row>
    <row r="828" spans="1:9" x14ac:dyDescent="0.2">
      <c r="A828">
        <v>1013323</v>
      </c>
      <c r="B828" t="s">
        <v>20</v>
      </c>
      <c r="C828">
        <v>12.81</v>
      </c>
      <c r="D828">
        <v>12.86</v>
      </c>
      <c r="E828">
        <v>2.95</v>
      </c>
      <c r="F828" t="s">
        <v>9</v>
      </c>
      <c r="G8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28">
        <f>IF(Table1[[#This Row],[is_ups_overcharge]]="ups overcharged",Table1[[#This Row],[ups ship charge]]-Table1[[#This Row],[ada ship charge]],0)</f>
        <v>0</v>
      </c>
    </row>
    <row r="829" spans="1:9" x14ac:dyDescent="0.2">
      <c r="A829">
        <v>1013327</v>
      </c>
      <c r="B829" t="s">
        <v>20</v>
      </c>
      <c r="C829">
        <v>16.46</v>
      </c>
      <c r="D829">
        <v>16.510000000000002</v>
      </c>
      <c r="E829">
        <v>29</v>
      </c>
      <c r="F829" t="s">
        <v>10</v>
      </c>
      <c r="G8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29">
        <f>IF(Table1[[#This Row],[is_ups_overcharge]]="ups overcharged",Table1[[#This Row],[ups ship charge]]-Table1[[#This Row],[ada ship charge]],0)</f>
        <v>0</v>
      </c>
    </row>
    <row r="830" spans="1:9" x14ac:dyDescent="0.2">
      <c r="A830">
        <v>1013334</v>
      </c>
      <c r="B830" t="s">
        <v>20</v>
      </c>
      <c r="C830">
        <v>12.81</v>
      </c>
      <c r="D830">
        <v>12.86</v>
      </c>
      <c r="E830">
        <v>0.95</v>
      </c>
      <c r="F830" t="s">
        <v>9</v>
      </c>
      <c r="G8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30">
        <f>IF(Table1[[#This Row],[is_ups_overcharge]]="ups overcharged",Table1[[#This Row],[ups ship charge]]-Table1[[#This Row],[ada ship charge]],0)</f>
        <v>0</v>
      </c>
    </row>
    <row r="831" spans="1:9" x14ac:dyDescent="0.2">
      <c r="A831">
        <v>1013335</v>
      </c>
      <c r="B831" t="s">
        <v>20</v>
      </c>
      <c r="C831">
        <v>13.08</v>
      </c>
      <c r="D831">
        <v>0</v>
      </c>
      <c r="E831">
        <v>1139.4000000000001</v>
      </c>
      <c r="F831" t="s">
        <v>6</v>
      </c>
      <c r="G8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83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831">
        <f>IF(Table1[[#This Row],[is_ups_overcharge]]="ups overcharged",Table1[[#This Row],[ups ship charge]]-Table1[[#This Row],[ada ship charge]],0)</f>
        <v>0</v>
      </c>
    </row>
    <row r="832" spans="1:9" x14ac:dyDescent="0.2">
      <c r="A832">
        <v>1013338</v>
      </c>
      <c r="B832" t="s">
        <v>20</v>
      </c>
      <c r="C832">
        <v>12.81</v>
      </c>
      <c r="D832">
        <v>12.86</v>
      </c>
      <c r="E832">
        <v>31.8</v>
      </c>
      <c r="F832" t="s">
        <v>9</v>
      </c>
      <c r="G8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32">
        <f>IF(Table1[[#This Row],[is_ups_overcharge]]="ups overcharged",Table1[[#This Row],[ups ship charge]]-Table1[[#This Row],[ada ship charge]],0)</f>
        <v>0</v>
      </c>
    </row>
    <row r="833" spans="1:9" x14ac:dyDescent="0.2">
      <c r="A833">
        <v>1013342</v>
      </c>
      <c r="B833" t="s">
        <v>20</v>
      </c>
      <c r="C833">
        <v>13.7</v>
      </c>
      <c r="D833">
        <v>13.75</v>
      </c>
      <c r="E833">
        <v>28.5</v>
      </c>
      <c r="F833" t="s">
        <v>9</v>
      </c>
      <c r="G8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33">
        <f>IF(Table1[[#This Row],[is_ups_overcharge]]="ups overcharged",Table1[[#This Row],[ups ship charge]]-Table1[[#This Row],[ada ship charge]],0)</f>
        <v>0</v>
      </c>
    </row>
    <row r="834" spans="1:9" x14ac:dyDescent="0.2">
      <c r="A834">
        <v>1013354</v>
      </c>
      <c r="B834" t="s">
        <v>20</v>
      </c>
      <c r="C834">
        <v>12.81</v>
      </c>
      <c r="D834">
        <v>12.86</v>
      </c>
      <c r="E834">
        <v>59.9</v>
      </c>
      <c r="F834" t="s">
        <v>9</v>
      </c>
      <c r="G8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34">
        <f>IF(Table1[[#This Row],[is_ups_overcharge]]="ups overcharged",Table1[[#This Row],[ups ship charge]]-Table1[[#This Row],[ada ship charge]],0)</f>
        <v>0</v>
      </c>
    </row>
    <row r="835" spans="1:9" x14ac:dyDescent="0.2">
      <c r="A835">
        <v>1013367</v>
      </c>
      <c r="B835" t="s">
        <v>20</v>
      </c>
      <c r="C835">
        <v>12.56</v>
      </c>
      <c r="D835">
        <v>0</v>
      </c>
      <c r="E835">
        <v>1096.47</v>
      </c>
      <c r="F835" t="s">
        <v>6</v>
      </c>
      <c r="G8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83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835">
        <f>IF(Table1[[#This Row],[is_ups_overcharge]]="ups overcharged",Table1[[#This Row],[ups ship charge]]-Table1[[#This Row],[ada ship charge]],0)</f>
        <v>0</v>
      </c>
    </row>
    <row r="836" spans="1:9" x14ac:dyDescent="0.2">
      <c r="A836">
        <v>1013370</v>
      </c>
      <c r="B836" t="s">
        <v>20</v>
      </c>
      <c r="C836">
        <v>27.44</v>
      </c>
      <c r="D836">
        <v>27.49</v>
      </c>
      <c r="E836">
        <v>203.74</v>
      </c>
      <c r="F836" t="s">
        <v>15</v>
      </c>
      <c r="G8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36">
        <f>IF(Table1[[#This Row],[is_ups_overcharge]]="ups overcharged",Table1[[#This Row],[ups ship charge]]-Table1[[#This Row],[ada ship charge]],0)</f>
        <v>0</v>
      </c>
    </row>
    <row r="837" spans="1:9" x14ac:dyDescent="0.2">
      <c r="A837">
        <v>1013381</v>
      </c>
      <c r="B837" t="s">
        <v>20</v>
      </c>
      <c r="C837">
        <v>12.81</v>
      </c>
      <c r="D837">
        <v>12.86</v>
      </c>
      <c r="E837">
        <v>19.899999999999999</v>
      </c>
      <c r="F837" t="s">
        <v>9</v>
      </c>
      <c r="G8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37">
        <f>IF(Table1[[#This Row],[is_ups_overcharge]]="ups overcharged",Table1[[#This Row],[ups ship charge]]-Table1[[#This Row],[ada ship charge]],0)</f>
        <v>0</v>
      </c>
    </row>
    <row r="838" spans="1:9" x14ac:dyDescent="0.2">
      <c r="A838">
        <v>1013397</v>
      </c>
      <c r="B838" t="s">
        <v>20</v>
      </c>
      <c r="C838">
        <v>13.6</v>
      </c>
      <c r="D838">
        <v>13.65</v>
      </c>
      <c r="E838">
        <v>85.85</v>
      </c>
      <c r="F838" t="s">
        <v>16</v>
      </c>
      <c r="G8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38">
        <f>IF(Table1[[#This Row],[is_ups_overcharge]]="ups overcharged",Table1[[#This Row],[ups ship charge]]-Table1[[#This Row],[ada ship charge]],0)</f>
        <v>0</v>
      </c>
    </row>
    <row r="839" spans="1:9" x14ac:dyDescent="0.2">
      <c r="A839">
        <v>1013413</v>
      </c>
      <c r="B839" t="s">
        <v>20</v>
      </c>
      <c r="C839">
        <v>9.6999999999999993</v>
      </c>
      <c r="D839">
        <v>9.75</v>
      </c>
      <c r="E839">
        <v>34.99</v>
      </c>
      <c r="F839" t="s">
        <v>6</v>
      </c>
      <c r="G8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39">
        <f>IF(Table1[[#This Row],[is_ups_overcharge]]="ups overcharged",Table1[[#This Row],[ups ship charge]]-Table1[[#This Row],[ada ship charge]],0)</f>
        <v>0</v>
      </c>
    </row>
    <row r="840" spans="1:9" x14ac:dyDescent="0.2">
      <c r="A840">
        <v>1013417</v>
      </c>
      <c r="B840" t="s">
        <v>20</v>
      </c>
      <c r="C840">
        <v>9.6999999999999993</v>
      </c>
      <c r="D840">
        <v>12.86</v>
      </c>
      <c r="E840">
        <v>69.95</v>
      </c>
      <c r="F840" t="s">
        <v>6</v>
      </c>
      <c r="G8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40">
        <f>IF(Table1[[#This Row],[is_ups_overcharge]]="ups overcharged",Table1[[#This Row],[ups ship charge]]-Table1[[#This Row],[ada ship charge]],0)</f>
        <v>0</v>
      </c>
    </row>
    <row r="841" spans="1:9" x14ac:dyDescent="0.2">
      <c r="A841">
        <v>1013424</v>
      </c>
      <c r="B841" t="s">
        <v>20</v>
      </c>
      <c r="C841">
        <v>12.81</v>
      </c>
      <c r="D841">
        <v>0</v>
      </c>
      <c r="E841">
        <v>368.9</v>
      </c>
      <c r="F841" t="s">
        <v>9</v>
      </c>
      <c r="G8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84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841">
        <f>IF(Table1[[#This Row],[is_ups_overcharge]]="ups overcharged",Table1[[#This Row],[ups ship charge]]-Table1[[#This Row],[ada ship charge]],0)</f>
        <v>0</v>
      </c>
    </row>
    <row r="842" spans="1:9" x14ac:dyDescent="0.2">
      <c r="A842">
        <v>1013449</v>
      </c>
      <c r="B842" t="s">
        <v>20</v>
      </c>
      <c r="C842">
        <v>12.81</v>
      </c>
      <c r="D842">
        <v>0</v>
      </c>
      <c r="E842">
        <v>276</v>
      </c>
      <c r="F842" t="s">
        <v>9</v>
      </c>
      <c r="G8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84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842">
        <f>IF(Table1[[#This Row],[is_ups_overcharge]]="ups overcharged",Table1[[#This Row],[ups ship charge]]-Table1[[#This Row],[ada ship charge]],0)</f>
        <v>0</v>
      </c>
    </row>
    <row r="843" spans="1:9" x14ac:dyDescent="0.2">
      <c r="A843">
        <v>1013475</v>
      </c>
      <c r="B843" t="s">
        <v>20</v>
      </c>
      <c r="C843">
        <v>13.7</v>
      </c>
      <c r="D843">
        <v>13.75</v>
      </c>
      <c r="E843">
        <v>13.9</v>
      </c>
      <c r="F843" t="s">
        <v>9</v>
      </c>
      <c r="G8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43">
        <f>IF(Table1[[#This Row],[is_ups_overcharge]]="ups overcharged",Table1[[#This Row],[ups ship charge]]-Table1[[#This Row],[ada ship charge]],0)</f>
        <v>0</v>
      </c>
    </row>
    <row r="844" spans="1:9" x14ac:dyDescent="0.2">
      <c r="A844">
        <v>1013493</v>
      </c>
      <c r="B844" t="s">
        <v>20</v>
      </c>
      <c r="C844">
        <v>9.6999999999999993</v>
      </c>
      <c r="D844">
        <v>9.75</v>
      </c>
      <c r="E844">
        <v>11.85</v>
      </c>
      <c r="F844" t="s">
        <v>6</v>
      </c>
      <c r="G8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44">
        <f>IF(Table1[[#This Row],[is_ups_overcharge]]="ups overcharged",Table1[[#This Row],[ups ship charge]]-Table1[[#This Row],[ada ship charge]],0)</f>
        <v>0</v>
      </c>
    </row>
    <row r="845" spans="1:9" x14ac:dyDescent="0.2">
      <c r="A845">
        <v>1013496</v>
      </c>
      <c r="B845" t="s">
        <v>20</v>
      </c>
      <c r="C845">
        <v>12.81</v>
      </c>
      <c r="D845">
        <v>13.02</v>
      </c>
      <c r="E845">
        <v>9.9499999999999993</v>
      </c>
      <c r="F845" t="s">
        <v>9</v>
      </c>
      <c r="G8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45">
        <f>IF(Table1[[#This Row],[is_ups_overcharge]]="ups overcharged",Table1[[#This Row],[ups ship charge]]-Table1[[#This Row],[ada ship charge]],0)</f>
        <v>0</v>
      </c>
    </row>
    <row r="846" spans="1:9" x14ac:dyDescent="0.2">
      <c r="A846">
        <v>1013512</v>
      </c>
      <c r="B846" t="s">
        <v>20</v>
      </c>
      <c r="C846">
        <v>12.81</v>
      </c>
      <c r="D846">
        <v>12.86</v>
      </c>
      <c r="E846">
        <v>4.95</v>
      </c>
      <c r="F846" t="s">
        <v>9</v>
      </c>
      <c r="G8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46">
        <f>IF(Table1[[#This Row],[is_ups_overcharge]]="ups overcharged",Table1[[#This Row],[ups ship charge]]-Table1[[#This Row],[ada ship charge]],0)</f>
        <v>0</v>
      </c>
    </row>
    <row r="847" spans="1:9" x14ac:dyDescent="0.2">
      <c r="A847">
        <v>1013529</v>
      </c>
      <c r="B847" t="s">
        <v>20</v>
      </c>
      <c r="C847">
        <v>12.81</v>
      </c>
      <c r="D847">
        <v>12.86</v>
      </c>
      <c r="E847">
        <v>5.95</v>
      </c>
      <c r="F847" t="s">
        <v>9</v>
      </c>
      <c r="G8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47">
        <f>IF(Table1[[#This Row],[is_ups_overcharge]]="ups overcharged",Table1[[#This Row],[ups ship charge]]-Table1[[#This Row],[ada ship charge]],0)</f>
        <v>0</v>
      </c>
    </row>
    <row r="848" spans="1:9" x14ac:dyDescent="0.2">
      <c r="A848">
        <v>1013532</v>
      </c>
      <c r="B848" t="s">
        <v>20</v>
      </c>
      <c r="C848">
        <v>13.7</v>
      </c>
      <c r="D848">
        <v>13.75</v>
      </c>
      <c r="E848">
        <v>9.9</v>
      </c>
      <c r="F848" t="s">
        <v>9</v>
      </c>
      <c r="G8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48">
        <f>IF(Table1[[#This Row],[is_ups_overcharge]]="ups overcharged",Table1[[#This Row],[ups ship charge]]-Table1[[#This Row],[ada ship charge]],0)</f>
        <v>0</v>
      </c>
    </row>
    <row r="849" spans="1:9" x14ac:dyDescent="0.2">
      <c r="A849">
        <v>1013533</v>
      </c>
      <c r="B849" t="s">
        <v>20</v>
      </c>
      <c r="C849">
        <v>18.46</v>
      </c>
      <c r="D849">
        <v>18.510000000000002</v>
      </c>
      <c r="E849">
        <v>34.950000000000003</v>
      </c>
      <c r="F849" t="s">
        <v>15</v>
      </c>
      <c r="G8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49">
        <f>IF(Table1[[#This Row],[is_ups_overcharge]]="ups overcharged",Table1[[#This Row],[ups ship charge]]-Table1[[#This Row],[ada ship charge]],0)</f>
        <v>0</v>
      </c>
    </row>
    <row r="850" spans="1:9" x14ac:dyDescent="0.2">
      <c r="A850">
        <v>1013536</v>
      </c>
      <c r="B850" t="s">
        <v>20</v>
      </c>
      <c r="C850">
        <v>13.7</v>
      </c>
      <c r="D850">
        <v>13.75</v>
      </c>
      <c r="E850">
        <v>32.700000000000003</v>
      </c>
      <c r="F850" t="s">
        <v>9</v>
      </c>
      <c r="G8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50">
        <f>IF(Table1[[#This Row],[is_ups_overcharge]]="ups overcharged",Table1[[#This Row],[ups ship charge]]-Table1[[#This Row],[ada ship charge]],0)</f>
        <v>0</v>
      </c>
    </row>
    <row r="851" spans="1:9" x14ac:dyDescent="0.2">
      <c r="A851">
        <v>1013538</v>
      </c>
      <c r="B851" t="s">
        <v>20</v>
      </c>
      <c r="C851">
        <v>13.7</v>
      </c>
      <c r="D851">
        <v>13.75</v>
      </c>
      <c r="E851">
        <v>18</v>
      </c>
      <c r="F851" t="s">
        <v>9</v>
      </c>
      <c r="G8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51">
        <f>IF(Table1[[#This Row],[is_ups_overcharge]]="ups overcharged",Table1[[#This Row],[ups ship charge]]-Table1[[#This Row],[ada ship charge]],0)</f>
        <v>0</v>
      </c>
    </row>
    <row r="852" spans="1:9" x14ac:dyDescent="0.2">
      <c r="A852">
        <v>1013555</v>
      </c>
      <c r="B852" t="s">
        <v>20</v>
      </c>
      <c r="C852">
        <v>12.81</v>
      </c>
      <c r="D852">
        <v>12.86</v>
      </c>
      <c r="E852">
        <v>34.950000000000003</v>
      </c>
      <c r="F852" t="s">
        <v>9</v>
      </c>
      <c r="G8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52">
        <f>IF(Table1[[#This Row],[is_ups_overcharge]]="ups overcharged",Table1[[#This Row],[ups ship charge]]-Table1[[#This Row],[ada ship charge]],0)</f>
        <v>0</v>
      </c>
    </row>
    <row r="853" spans="1:9" x14ac:dyDescent="0.2">
      <c r="A853">
        <v>1013558</v>
      </c>
      <c r="B853" t="s">
        <v>20</v>
      </c>
      <c r="C853">
        <v>12.81</v>
      </c>
      <c r="D853">
        <v>12.86</v>
      </c>
      <c r="E853">
        <v>6.4</v>
      </c>
      <c r="F853" t="s">
        <v>9</v>
      </c>
      <c r="G8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53">
        <f>IF(Table1[[#This Row],[is_ups_overcharge]]="ups overcharged",Table1[[#This Row],[ups ship charge]]-Table1[[#This Row],[ada ship charge]],0)</f>
        <v>0</v>
      </c>
    </row>
    <row r="854" spans="1:9" x14ac:dyDescent="0.2">
      <c r="A854">
        <v>1013588</v>
      </c>
      <c r="B854" t="s">
        <v>20</v>
      </c>
      <c r="C854">
        <v>26.81</v>
      </c>
      <c r="D854">
        <v>22.97</v>
      </c>
      <c r="E854">
        <v>208.5</v>
      </c>
      <c r="F854" t="s">
        <v>15</v>
      </c>
      <c r="G8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5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854">
        <f>IF(Table1[[#This Row],[is_ups_overcharge]]="ups overcharged",Table1[[#This Row],[ups ship charge]]-Table1[[#This Row],[ada ship charge]],0)</f>
        <v>3.84</v>
      </c>
    </row>
    <row r="855" spans="1:9" x14ac:dyDescent="0.2">
      <c r="A855">
        <v>1013594</v>
      </c>
      <c r="B855" t="s">
        <v>20</v>
      </c>
      <c r="C855">
        <v>13.7</v>
      </c>
      <c r="D855">
        <v>13.75</v>
      </c>
      <c r="E855">
        <v>58.1</v>
      </c>
      <c r="F855" t="s">
        <v>9</v>
      </c>
      <c r="G8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55">
        <f>IF(Table1[[#This Row],[is_ups_overcharge]]="ups overcharged",Table1[[#This Row],[ups ship charge]]-Table1[[#This Row],[ada ship charge]],0)</f>
        <v>0</v>
      </c>
    </row>
    <row r="856" spans="1:9" x14ac:dyDescent="0.2">
      <c r="A856">
        <v>1013617</v>
      </c>
      <c r="B856" t="s">
        <v>20</v>
      </c>
      <c r="C856">
        <v>20.45</v>
      </c>
      <c r="D856">
        <v>20.5</v>
      </c>
      <c r="E856">
        <v>244.5</v>
      </c>
      <c r="F856" t="s">
        <v>10</v>
      </c>
      <c r="G8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56">
        <f>IF(Table1[[#This Row],[is_ups_overcharge]]="ups overcharged",Table1[[#This Row],[ups ship charge]]-Table1[[#This Row],[ada ship charge]],0)</f>
        <v>0</v>
      </c>
    </row>
    <row r="857" spans="1:9" x14ac:dyDescent="0.2">
      <c r="A857">
        <v>1013621</v>
      </c>
      <c r="B857" t="s">
        <v>20</v>
      </c>
      <c r="C857">
        <v>9.6999999999999993</v>
      </c>
      <c r="D857">
        <v>9.76</v>
      </c>
      <c r="E857">
        <v>99.65</v>
      </c>
      <c r="F857" t="s">
        <v>6</v>
      </c>
      <c r="G8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57">
        <f>IF(Table1[[#This Row],[is_ups_overcharge]]="ups overcharged",Table1[[#This Row],[ups ship charge]]-Table1[[#This Row],[ada ship charge]],0)</f>
        <v>0</v>
      </c>
    </row>
    <row r="858" spans="1:9" x14ac:dyDescent="0.2">
      <c r="A858">
        <v>1013643</v>
      </c>
      <c r="B858" t="s">
        <v>20</v>
      </c>
      <c r="C858">
        <v>9.6999999999999993</v>
      </c>
      <c r="D858">
        <v>9.75</v>
      </c>
      <c r="E858">
        <v>29.95</v>
      </c>
      <c r="F858" t="s">
        <v>6</v>
      </c>
      <c r="G8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58">
        <f>IF(Table1[[#This Row],[is_ups_overcharge]]="ups overcharged",Table1[[#This Row],[ups ship charge]]-Table1[[#This Row],[ada ship charge]],0)</f>
        <v>0</v>
      </c>
    </row>
    <row r="859" spans="1:9" x14ac:dyDescent="0.2">
      <c r="A859">
        <v>1013655</v>
      </c>
      <c r="B859" t="s">
        <v>20</v>
      </c>
      <c r="C859">
        <v>13.09</v>
      </c>
      <c r="D859">
        <v>13.13</v>
      </c>
      <c r="E859">
        <v>29.95</v>
      </c>
      <c r="F859" t="s">
        <v>9</v>
      </c>
      <c r="G8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59">
        <f>IF(Table1[[#This Row],[is_ups_overcharge]]="ups overcharged",Table1[[#This Row],[ups ship charge]]-Table1[[#This Row],[ada ship charge]],0)</f>
        <v>0</v>
      </c>
    </row>
    <row r="860" spans="1:9" x14ac:dyDescent="0.2">
      <c r="A860">
        <v>1013661</v>
      </c>
      <c r="B860" t="s">
        <v>20</v>
      </c>
      <c r="C860">
        <v>9.7100000000000009</v>
      </c>
      <c r="D860">
        <v>9.76</v>
      </c>
      <c r="E860">
        <v>35</v>
      </c>
      <c r="F860" t="s">
        <v>6</v>
      </c>
      <c r="G8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60">
        <f>IF(Table1[[#This Row],[is_ups_overcharge]]="ups overcharged",Table1[[#This Row],[ups ship charge]]-Table1[[#This Row],[ada ship charge]],0)</f>
        <v>0</v>
      </c>
    </row>
    <row r="861" spans="1:9" x14ac:dyDescent="0.2">
      <c r="A861">
        <v>1013676</v>
      </c>
      <c r="B861" t="s">
        <v>20</v>
      </c>
      <c r="C861">
        <v>12.81</v>
      </c>
      <c r="D861">
        <v>12.86</v>
      </c>
      <c r="E861">
        <v>80.2</v>
      </c>
      <c r="F861" t="s">
        <v>9</v>
      </c>
      <c r="G8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61">
        <f>IF(Table1[[#This Row],[is_ups_overcharge]]="ups overcharged",Table1[[#This Row],[ups ship charge]]-Table1[[#This Row],[ada ship charge]],0)</f>
        <v>0</v>
      </c>
    </row>
    <row r="862" spans="1:9" x14ac:dyDescent="0.2">
      <c r="A862">
        <v>1013678</v>
      </c>
      <c r="B862" t="s">
        <v>20</v>
      </c>
      <c r="C862">
        <v>13.7</v>
      </c>
      <c r="D862">
        <v>13.76</v>
      </c>
      <c r="E862">
        <v>37.4</v>
      </c>
      <c r="F862" t="s">
        <v>9</v>
      </c>
      <c r="G8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62">
        <f>IF(Table1[[#This Row],[is_ups_overcharge]]="ups overcharged",Table1[[#This Row],[ups ship charge]]-Table1[[#This Row],[ada ship charge]],0)</f>
        <v>0</v>
      </c>
    </row>
    <row r="863" spans="1:9" x14ac:dyDescent="0.2">
      <c r="A863">
        <v>1013686</v>
      </c>
      <c r="B863" t="s">
        <v>20</v>
      </c>
      <c r="C863">
        <v>9.6999999999999993</v>
      </c>
      <c r="D863">
        <v>12.86</v>
      </c>
      <c r="E863">
        <v>69.98</v>
      </c>
      <c r="F863" t="s">
        <v>6</v>
      </c>
      <c r="G8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63">
        <f>IF(Table1[[#This Row],[is_ups_overcharge]]="ups overcharged",Table1[[#This Row],[ups ship charge]]-Table1[[#This Row],[ada ship charge]],0)</f>
        <v>0</v>
      </c>
    </row>
    <row r="864" spans="1:9" x14ac:dyDescent="0.2">
      <c r="A864">
        <v>1013705</v>
      </c>
      <c r="B864" t="s">
        <v>20</v>
      </c>
      <c r="C864">
        <v>13.74</v>
      </c>
      <c r="D864">
        <v>0</v>
      </c>
      <c r="E864">
        <v>262.35000000000002</v>
      </c>
      <c r="F864" t="s">
        <v>9</v>
      </c>
      <c r="G8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86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864">
        <f>IF(Table1[[#This Row],[is_ups_overcharge]]="ups overcharged",Table1[[#This Row],[ups ship charge]]-Table1[[#This Row],[ada ship charge]],0)</f>
        <v>0</v>
      </c>
    </row>
    <row r="865" spans="1:9" x14ac:dyDescent="0.2">
      <c r="A865">
        <v>1013716</v>
      </c>
      <c r="B865" t="s">
        <v>20</v>
      </c>
      <c r="C865">
        <v>12.35</v>
      </c>
      <c r="D865">
        <v>12.4</v>
      </c>
      <c r="E865">
        <v>51</v>
      </c>
      <c r="F865" t="s">
        <v>13</v>
      </c>
      <c r="G8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65">
        <f>IF(Table1[[#This Row],[is_ups_overcharge]]="ups overcharged",Table1[[#This Row],[ups ship charge]]-Table1[[#This Row],[ada ship charge]],0)</f>
        <v>0</v>
      </c>
    </row>
    <row r="866" spans="1:9" x14ac:dyDescent="0.2">
      <c r="A866">
        <v>1013718</v>
      </c>
      <c r="B866" t="s">
        <v>20</v>
      </c>
      <c r="C866">
        <v>12.81</v>
      </c>
      <c r="D866">
        <v>12.86</v>
      </c>
      <c r="E866">
        <v>88.6</v>
      </c>
      <c r="F866" t="s">
        <v>9</v>
      </c>
      <c r="G8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66">
        <f>IF(Table1[[#This Row],[is_ups_overcharge]]="ups overcharged",Table1[[#This Row],[ups ship charge]]-Table1[[#This Row],[ada ship charge]],0)</f>
        <v>0</v>
      </c>
    </row>
    <row r="867" spans="1:9" x14ac:dyDescent="0.2">
      <c r="A867">
        <v>1013729</v>
      </c>
      <c r="B867" t="s">
        <v>20</v>
      </c>
      <c r="C867">
        <v>9.6999999999999993</v>
      </c>
      <c r="D867">
        <v>9.75</v>
      </c>
      <c r="E867">
        <v>53.55</v>
      </c>
      <c r="F867" t="s">
        <v>6</v>
      </c>
      <c r="G8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67">
        <f>IF(Table1[[#This Row],[is_ups_overcharge]]="ups overcharged",Table1[[#This Row],[ups ship charge]]-Table1[[#This Row],[ada ship charge]],0)</f>
        <v>0</v>
      </c>
    </row>
    <row r="868" spans="1:9" x14ac:dyDescent="0.2">
      <c r="A868">
        <v>1013748</v>
      </c>
      <c r="B868" t="s">
        <v>20</v>
      </c>
      <c r="C868">
        <v>9.6999999999999993</v>
      </c>
      <c r="D868">
        <v>12.86</v>
      </c>
      <c r="E868">
        <v>63.35</v>
      </c>
      <c r="F868" t="s">
        <v>6</v>
      </c>
      <c r="G8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68">
        <f>IF(Table1[[#This Row],[is_ups_overcharge]]="ups overcharged",Table1[[#This Row],[ups ship charge]]-Table1[[#This Row],[ada ship charge]],0)</f>
        <v>0</v>
      </c>
    </row>
    <row r="869" spans="1:9" x14ac:dyDescent="0.2">
      <c r="A869">
        <v>1013770</v>
      </c>
      <c r="B869" t="s">
        <v>20</v>
      </c>
      <c r="C869">
        <v>13.7</v>
      </c>
      <c r="D869">
        <v>13.75</v>
      </c>
      <c r="E869">
        <v>14.85</v>
      </c>
      <c r="F869" t="s">
        <v>9</v>
      </c>
      <c r="G8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69">
        <f>IF(Table1[[#This Row],[is_ups_overcharge]]="ups overcharged",Table1[[#This Row],[ups ship charge]]-Table1[[#This Row],[ada ship charge]],0)</f>
        <v>0</v>
      </c>
    </row>
    <row r="870" spans="1:9" x14ac:dyDescent="0.2">
      <c r="A870">
        <v>1013773</v>
      </c>
      <c r="B870" t="s">
        <v>20</v>
      </c>
      <c r="C870">
        <v>16.46</v>
      </c>
      <c r="D870">
        <v>16.510000000000002</v>
      </c>
      <c r="E870">
        <v>99.25</v>
      </c>
      <c r="F870" t="s">
        <v>10</v>
      </c>
      <c r="G8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70">
        <f>IF(Table1[[#This Row],[is_ups_overcharge]]="ups overcharged",Table1[[#This Row],[ups ship charge]]-Table1[[#This Row],[ada ship charge]],0)</f>
        <v>0</v>
      </c>
    </row>
    <row r="871" spans="1:9" x14ac:dyDescent="0.2">
      <c r="A871">
        <v>1013793</v>
      </c>
      <c r="B871" t="s">
        <v>20</v>
      </c>
      <c r="C871">
        <v>9.6999999999999993</v>
      </c>
      <c r="D871">
        <v>9.75</v>
      </c>
      <c r="E871">
        <v>5.9</v>
      </c>
      <c r="F871" t="s">
        <v>6</v>
      </c>
      <c r="G8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71">
        <f>IF(Table1[[#This Row],[is_ups_overcharge]]="ups overcharged",Table1[[#This Row],[ups ship charge]]-Table1[[#This Row],[ada ship charge]],0)</f>
        <v>0</v>
      </c>
    </row>
    <row r="872" spans="1:9" x14ac:dyDescent="0.2">
      <c r="A872">
        <v>1013801</v>
      </c>
      <c r="B872" t="s">
        <v>20</v>
      </c>
      <c r="C872">
        <v>9.7100000000000009</v>
      </c>
      <c r="D872">
        <v>0</v>
      </c>
      <c r="E872">
        <v>20.36</v>
      </c>
      <c r="F872" t="s">
        <v>6</v>
      </c>
      <c r="G8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72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872">
        <f>IF(Table1[[#This Row],[is_ups_overcharge]]="ups overcharged",Table1[[#This Row],[ups ship charge]]-Table1[[#This Row],[ada ship charge]],0)</f>
        <v>9.7100000000000009</v>
      </c>
    </row>
    <row r="873" spans="1:9" x14ac:dyDescent="0.2">
      <c r="A873">
        <v>1013811</v>
      </c>
      <c r="B873" t="s">
        <v>20</v>
      </c>
      <c r="C873">
        <v>11.02</v>
      </c>
      <c r="D873">
        <v>11.07</v>
      </c>
      <c r="E873">
        <v>89.6</v>
      </c>
      <c r="F873" t="s">
        <v>14</v>
      </c>
      <c r="G8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73">
        <f>IF(Table1[[#This Row],[is_ups_overcharge]]="ups overcharged",Table1[[#This Row],[ups ship charge]]-Table1[[#This Row],[ada ship charge]],0)</f>
        <v>0</v>
      </c>
    </row>
    <row r="874" spans="1:9" x14ac:dyDescent="0.2">
      <c r="A874">
        <v>1013827</v>
      </c>
      <c r="B874" t="s">
        <v>20</v>
      </c>
      <c r="C874">
        <v>13.7</v>
      </c>
      <c r="D874">
        <v>13.76</v>
      </c>
      <c r="E874">
        <v>7.95</v>
      </c>
      <c r="F874" t="s">
        <v>9</v>
      </c>
      <c r="G8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74">
        <f>IF(Table1[[#This Row],[is_ups_overcharge]]="ups overcharged",Table1[[#This Row],[ups ship charge]]-Table1[[#This Row],[ada ship charge]],0)</f>
        <v>0</v>
      </c>
    </row>
    <row r="875" spans="1:9" x14ac:dyDescent="0.2">
      <c r="A875">
        <v>1013828</v>
      </c>
      <c r="B875" t="s">
        <v>20</v>
      </c>
      <c r="C875">
        <v>12.81</v>
      </c>
      <c r="D875">
        <v>12.86</v>
      </c>
      <c r="E875">
        <v>44.35</v>
      </c>
      <c r="F875" t="s">
        <v>9</v>
      </c>
      <c r="G8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75">
        <f>IF(Table1[[#This Row],[is_ups_overcharge]]="ups overcharged",Table1[[#This Row],[ups ship charge]]-Table1[[#This Row],[ada ship charge]],0)</f>
        <v>0</v>
      </c>
    </row>
    <row r="876" spans="1:9" x14ac:dyDescent="0.2">
      <c r="A876">
        <v>1013860</v>
      </c>
      <c r="B876" t="s">
        <v>20</v>
      </c>
      <c r="C876">
        <v>12.55</v>
      </c>
      <c r="D876">
        <v>0</v>
      </c>
      <c r="E876">
        <v>740.45</v>
      </c>
      <c r="F876" t="s">
        <v>6</v>
      </c>
      <c r="G8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87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876">
        <f>IF(Table1[[#This Row],[is_ups_overcharge]]="ups overcharged",Table1[[#This Row],[ups ship charge]]-Table1[[#This Row],[ada ship charge]],0)</f>
        <v>0</v>
      </c>
    </row>
    <row r="877" spans="1:9" x14ac:dyDescent="0.2">
      <c r="A877">
        <v>1013862</v>
      </c>
      <c r="B877" t="s">
        <v>20</v>
      </c>
      <c r="C877">
        <v>12.81</v>
      </c>
      <c r="D877">
        <v>12.86</v>
      </c>
      <c r="E877">
        <v>18.8</v>
      </c>
      <c r="F877" t="s">
        <v>9</v>
      </c>
      <c r="G8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77">
        <f>IF(Table1[[#This Row],[is_ups_overcharge]]="ups overcharged",Table1[[#This Row],[ups ship charge]]-Table1[[#This Row],[ada ship charge]],0)</f>
        <v>0</v>
      </c>
    </row>
    <row r="878" spans="1:9" x14ac:dyDescent="0.2">
      <c r="A878">
        <v>1013869</v>
      </c>
      <c r="B878" t="s">
        <v>20</v>
      </c>
      <c r="C878">
        <v>9.6999999999999993</v>
      </c>
      <c r="D878">
        <v>9.75</v>
      </c>
      <c r="E878">
        <v>81.7</v>
      </c>
      <c r="F878" t="s">
        <v>6</v>
      </c>
      <c r="G8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78">
        <f>IF(Table1[[#This Row],[is_ups_overcharge]]="ups overcharged",Table1[[#This Row],[ups ship charge]]-Table1[[#This Row],[ada ship charge]],0)</f>
        <v>0</v>
      </c>
    </row>
    <row r="879" spans="1:9" x14ac:dyDescent="0.2">
      <c r="A879">
        <v>1013878</v>
      </c>
      <c r="B879" t="s">
        <v>20</v>
      </c>
      <c r="C879">
        <v>9.6999999999999993</v>
      </c>
      <c r="D879">
        <v>12.86</v>
      </c>
      <c r="E879">
        <v>77.7</v>
      </c>
      <c r="F879" t="s">
        <v>6</v>
      </c>
      <c r="G8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79">
        <f>IF(Table1[[#This Row],[is_ups_overcharge]]="ups overcharged",Table1[[#This Row],[ups ship charge]]-Table1[[#This Row],[ada ship charge]],0)</f>
        <v>0</v>
      </c>
    </row>
    <row r="880" spans="1:9" x14ac:dyDescent="0.2">
      <c r="A880">
        <v>1013880</v>
      </c>
      <c r="B880" t="s">
        <v>20</v>
      </c>
      <c r="C880">
        <v>20.100000000000001</v>
      </c>
      <c r="D880">
        <v>22.46</v>
      </c>
      <c r="E880">
        <v>50.4</v>
      </c>
      <c r="F880" t="s">
        <v>16</v>
      </c>
      <c r="G8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80">
        <f>IF(Table1[[#This Row],[is_ups_overcharge]]="ups overcharged",Table1[[#This Row],[ups ship charge]]-Table1[[#This Row],[ada ship charge]],0)</f>
        <v>0</v>
      </c>
    </row>
    <row r="881" spans="1:9" x14ac:dyDescent="0.2">
      <c r="A881">
        <v>1013891</v>
      </c>
      <c r="B881" t="s">
        <v>20</v>
      </c>
      <c r="C881">
        <v>12.81</v>
      </c>
      <c r="D881">
        <v>12.86</v>
      </c>
      <c r="E881">
        <v>173.6</v>
      </c>
      <c r="F881" t="s">
        <v>9</v>
      </c>
      <c r="G8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81">
        <f>IF(Table1[[#This Row],[is_ups_overcharge]]="ups overcharged",Table1[[#This Row],[ups ship charge]]-Table1[[#This Row],[ada ship charge]],0)</f>
        <v>0</v>
      </c>
    </row>
    <row r="882" spans="1:9" x14ac:dyDescent="0.2">
      <c r="A882">
        <v>1013901</v>
      </c>
      <c r="B882" t="s">
        <v>20</v>
      </c>
      <c r="C882">
        <v>13.7</v>
      </c>
      <c r="D882">
        <v>13.75</v>
      </c>
      <c r="E882">
        <v>5.95</v>
      </c>
      <c r="F882" t="s">
        <v>9</v>
      </c>
      <c r="G8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82">
        <f>IF(Table1[[#This Row],[is_ups_overcharge]]="ups overcharged",Table1[[#This Row],[ups ship charge]]-Table1[[#This Row],[ada ship charge]],0)</f>
        <v>0</v>
      </c>
    </row>
    <row r="883" spans="1:9" x14ac:dyDescent="0.2">
      <c r="A883">
        <v>1013904</v>
      </c>
      <c r="B883" t="s">
        <v>20</v>
      </c>
      <c r="C883">
        <v>13.7</v>
      </c>
      <c r="D883">
        <v>13.75</v>
      </c>
      <c r="E883">
        <v>13.95</v>
      </c>
      <c r="F883" t="s">
        <v>9</v>
      </c>
      <c r="G8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83">
        <f>IF(Table1[[#This Row],[is_ups_overcharge]]="ups overcharged",Table1[[#This Row],[ups ship charge]]-Table1[[#This Row],[ada ship charge]],0)</f>
        <v>0</v>
      </c>
    </row>
    <row r="884" spans="1:9" x14ac:dyDescent="0.2">
      <c r="A884">
        <v>1013927</v>
      </c>
      <c r="B884" t="s">
        <v>20</v>
      </c>
      <c r="C884">
        <v>12.45</v>
      </c>
      <c r="D884">
        <v>12.5</v>
      </c>
      <c r="E884">
        <v>27.5</v>
      </c>
      <c r="F884" t="s">
        <v>13</v>
      </c>
      <c r="G8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84">
        <f>IF(Table1[[#This Row],[is_ups_overcharge]]="ups overcharged",Table1[[#This Row],[ups ship charge]]-Table1[[#This Row],[ada ship charge]],0)</f>
        <v>0</v>
      </c>
    </row>
    <row r="885" spans="1:9" x14ac:dyDescent="0.2">
      <c r="A885">
        <v>1013943</v>
      </c>
      <c r="B885" t="s">
        <v>20</v>
      </c>
      <c r="C885">
        <v>16.77</v>
      </c>
      <c r="D885">
        <v>16.82</v>
      </c>
      <c r="E885">
        <v>26.25</v>
      </c>
      <c r="F885" t="s">
        <v>10</v>
      </c>
      <c r="G8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85">
        <f>IF(Table1[[#This Row],[is_ups_overcharge]]="ups overcharged",Table1[[#This Row],[ups ship charge]]-Table1[[#This Row],[ada ship charge]],0)</f>
        <v>0</v>
      </c>
    </row>
    <row r="886" spans="1:9" x14ac:dyDescent="0.2">
      <c r="A886">
        <v>1013945</v>
      </c>
      <c r="B886" t="s">
        <v>20</v>
      </c>
      <c r="C886">
        <v>12.55</v>
      </c>
      <c r="D886">
        <v>0</v>
      </c>
      <c r="E886">
        <v>1100</v>
      </c>
      <c r="F886" t="s">
        <v>6</v>
      </c>
      <c r="G8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88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886">
        <f>IF(Table1[[#This Row],[is_ups_overcharge]]="ups overcharged",Table1[[#This Row],[ups ship charge]]-Table1[[#This Row],[ada ship charge]],0)</f>
        <v>0</v>
      </c>
    </row>
    <row r="887" spans="1:9" x14ac:dyDescent="0.2">
      <c r="A887">
        <v>1013953</v>
      </c>
      <c r="B887" t="s">
        <v>20</v>
      </c>
      <c r="C887">
        <v>13.7</v>
      </c>
      <c r="D887">
        <v>13.79</v>
      </c>
      <c r="E887">
        <v>34.6</v>
      </c>
      <c r="F887" t="s">
        <v>9</v>
      </c>
      <c r="G8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87">
        <f>IF(Table1[[#This Row],[is_ups_overcharge]]="ups overcharged",Table1[[#This Row],[ups ship charge]]-Table1[[#This Row],[ada ship charge]],0)</f>
        <v>0</v>
      </c>
    </row>
    <row r="888" spans="1:9" x14ac:dyDescent="0.2">
      <c r="A888">
        <v>1013963</v>
      </c>
      <c r="B888" t="s">
        <v>20</v>
      </c>
      <c r="C888">
        <v>12.86</v>
      </c>
      <c r="D888">
        <v>13.37</v>
      </c>
      <c r="E888">
        <v>45.31</v>
      </c>
      <c r="F888" t="s">
        <v>9</v>
      </c>
      <c r="G8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88">
        <f>IF(Table1[[#This Row],[is_ups_overcharge]]="ups overcharged",Table1[[#This Row],[ups ship charge]]-Table1[[#This Row],[ada ship charge]],0)</f>
        <v>0</v>
      </c>
    </row>
    <row r="889" spans="1:9" x14ac:dyDescent="0.2">
      <c r="A889">
        <v>1013964</v>
      </c>
      <c r="B889" t="s">
        <v>20</v>
      </c>
      <c r="C889">
        <v>12.81</v>
      </c>
      <c r="D889">
        <v>12.86</v>
      </c>
      <c r="E889">
        <v>8.9</v>
      </c>
      <c r="F889" t="s">
        <v>9</v>
      </c>
      <c r="G8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89">
        <f>IF(Table1[[#This Row],[is_ups_overcharge]]="ups overcharged",Table1[[#This Row],[ups ship charge]]-Table1[[#This Row],[ada ship charge]],0)</f>
        <v>0</v>
      </c>
    </row>
    <row r="890" spans="1:9" x14ac:dyDescent="0.2">
      <c r="A890">
        <v>1013988</v>
      </c>
      <c r="B890" t="s">
        <v>20</v>
      </c>
      <c r="C890">
        <v>9.6999999999999993</v>
      </c>
      <c r="D890">
        <v>9.75</v>
      </c>
      <c r="E890">
        <v>8.9</v>
      </c>
      <c r="F890" t="s">
        <v>6</v>
      </c>
      <c r="G8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90">
        <f>IF(Table1[[#This Row],[is_ups_overcharge]]="ups overcharged",Table1[[#This Row],[ups ship charge]]-Table1[[#This Row],[ada ship charge]],0)</f>
        <v>0</v>
      </c>
    </row>
    <row r="891" spans="1:9" x14ac:dyDescent="0.2">
      <c r="A891">
        <v>1014018</v>
      </c>
      <c r="B891" t="s">
        <v>20</v>
      </c>
      <c r="C891">
        <v>13.7</v>
      </c>
      <c r="D891">
        <v>13.76</v>
      </c>
      <c r="E891">
        <v>143.75</v>
      </c>
      <c r="F891" t="s">
        <v>9</v>
      </c>
      <c r="G8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91">
        <f>IF(Table1[[#This Row],[is_ups_overcharge]]="ups overcharged",Table1[[#This Row],[ups ship charge]]-Table1[[#This Row],[ada ship charge]],0)</f>
        <v>0</v>
      </c>
    </row>
    <row r="892" spans="1:9" x14ac:dyDescent="0.2">
      <c r="A892">
        <v>1014031</v>
      </c>
      <c r="B892" t="s">
        <v>20</v>
      </c>
      <c r="C892">
        <v>13.7</v>
      </c>
      <c r="D892">
        <v>13.75</v>
      </c>
      <c r="E892">
        <v>67.8</v>
      </c>
      <c r="F892" t="s">
        <v>9</v>
      </c>
      <c r="G8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92">
        <f>IF(Table1[[#This Row],[is_ups_overcharge]]="ups overcharged",Table1[[#This Row],[ups ship charge]]-Table1[[#This Row],[ada ship charge]],0)</f>
        <v>0</v>
      </c>
    </row>
    <row r="893" spans="1:9" x14ac:dyDescent="0.2">
      <c r="A893">
        <v>1014037</v>
      </c>
      <c r="B893" t="s">
        <v>20</v>
      </c>
      <c r="C893">
        <v>27.81</v>
      </c>
      <c r="D893">
        <v>28.8</v>
      </c>
      <c r="E893">
        <v>203.4</v>
      </c>
      <c r="F893" t="s">
        <v>13</v>
      </c>
      <c r="G8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93">
        <f>IF(Table1[[#This Row],[is_ups_overcharge]]="ups overcharged",Table1[[#This Row],[ups ship charge]]-Table1[[#This Row],[ada ship charge]],0)</f>
        <v>0</v>
      </c>
    </row>
    <row r="894" spans="1:9" x14ac:dyDescent="0.2">
      <c r="A894">
        <v>1014055</v>
      </c>
      <c r="B894" t="s">
        <v>20</v>
      </c>
      <c r="C894">
        <v>13.71</v>
      </c>
      <c r="D894">
        <v>13.76</v>
      </c>
      <c r="E894">
        <v>99.95</v>
      </c>
      <c r="F894" t="s">
        <v>9</v>
      </c>
      <c r="G8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94">
        <f>IF(Table1[[#This Row],[is_ups_overcharge]]="ups overcharged",Table1[[#This Row],[ups ship charge]]-Table1[[#This Row],[ada ship charge]],0)</f>
        <v>0</v>
      </c>
    </row>
    <row r="895" spans="1:9" x14ac:dyDescent="0.2">
      <c r="A895">
        <v>1014080</v>
      </c>
      <c r="B895" t="s">
        <v>20</v>
      </c>
      <c r="C895">
        <v>9.7100000000000009</v>
      </c>
      <c r="D895">
        <v>9.76</v>
      </c>
      <c r="E895">
        <v>37.85</v>
      </c>
      <c r="F895" t="s">
        <v>6</v>
      </c>
      <c r="G8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95">
        <f>IF(Table1[[#This Row],[is_ups_overcharge]]="ups overcharged",Table1[[#This Row],[ups ship charge]]-Table1[[#This Row],[ada ship charge]],0)</f>
        <v>0</v>
      </c>
    </row>
    <row r="896" spans="1:9" x14ac:dyDescent="0.2">
      <c r="A896">
        <v>1014110</v>
      </c>
      <c r="B896" t="s">
        <v>20</v>
      </c>
      <c r="C896">
        <v>12.81</v>
      </c>
      <c r="D896">
        <v>12.86</v>
      </c>
      <c r="E896">
        <v>22.5</v>
      </c>
      <c r="F896" t="s">
        <v>9</v>
      </c>
      <c r="G8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96">
        <f>IF(Table1[[#This Row],[is_ups_overcharge]]="ups overcharged",Table1[[#This Row],[ups ship charge]]-Table1[[#This Row],[ada ship charge]],0)</f>
        <v>0</v>
      </c>
    </row>
    <row r="897" spans="1:9" x14ac:dyDescent="0.2">
      <c r="A897">
        <v>1014117</v>
      </c>
      <c r="B897" t="s">
        <v>20</v>
      </c>
      <c r="C897">
        <v>10.32</v>
      </c>
      <c r="D897">
        <v>0</v>
      </c>
      <c r="E897">
        <v>490</v>
      </c>
      <c r="F897" t="s">
        <v>6</v>
      </c>
      <c r="G8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89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897">
        <f>IF(Table1[[#This Row],[is_ups_overcharge]]="ups overcharged",Table1[[#This Row],[ups ship charge]]-Table1[[#This Row],[ada ship charge]],0)</f>
        <v>0</v>
      </c>
    </row>
    <row r="898" spans="1:9" x14ac:dyDescent="0.2">
      <c r="A898">
        <v>1014129</v>
      </c>
      <c r="B898" t="s">
        <v>20</v>
      </c>
      <c r="C898">
        <v>12.81</v>
      </c>
      <c r="D898">
        <v>12.86</v>
      </c>
      <c r="E898">
        <v>70.2</v>
      </c>
      <c r="F898" t="s">
        <v>9</v>
      </c>
      <c r="G8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98">
        <f>IF(Table1[[#This Row],[is_ups_overcharge]]="ups overcharged",Table1[[#This Row],[ups ship charge]]-Table1[[#This Row],[ada ship charge]],0)</f>
        <v>0</v>
      </c>
    </row>
    <row r="899" spans="1:9" x14ac:dyDescent="0.2">
      <c r="A899">
        <v>1014142</v>
      </c>
      <c r="B899" t="s">
        <v>20</v>
      </c>
      <c r="C899">
        <v>67.25</v>
      </c>
      <c r="D899">
        <v>67.3</v>
      </c>
      <c r="E899">
        <v>417.55</v>
      </c>
      <c r="F899" t="s">
        <v>8</v>
      </c>
      <c r="G8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8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899">
        <f>IF(Table1[[#This Row],[is_ups_overcharge]]="ups overcharged",Table1[[#This Row],[ups ship charge]]-Table1[[#This Row],[ada ship charge]],0)</f>
        <v>0</v>
      </c>
    </row>
    <row r="900" spans="1:9" x14ac:dyDescent="0.2">
      <c r="A900">
        <v>1014143</v>
      </c>
      <c r="B900" t="s">
        <v>20</v>
      </c>
      <c r="C900">
        <v>9.6999999999999993</v>
      </c>
      <c r="D900">
        <v>12.86</v>
      </c>
      <c r="E900">
        <v>100.55</v>
      </c>
      <c r="F900" t="s">
        <v>6</v>
      </c>
      <c r="G9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00">
        <f>IF(Table1[[#This Row],[is_ups_overcharge]]="ups overcharged",Table1[[#This Row],[ups ship charge]]-Table1[[#This Row],[ada ship charge]],0)</f>
        <v>0</v>
      </c>
    </row>
    <row r="901" spans="1:9" x14ac:dyDescent="0.2">
      <c r="A901">
        <v>1014147</v>
      </c>
      <c r="B901" t="s">
        <v>20</v>
      </c>
      <c r="C901">
        <v>13.7</v>
      </c>
      <c r="D901">
        <v>13.75</v>
      </c>
      <c r="E901">
        <v>18.850000000000001</v>
      </c>
      <c r="F901" t="s">
        <v>9</v>
      </c>
      <c r="G9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01">
        <f>IF(Table1[[#This Row],[is_ups_overcharge]]="ups overcharged",Table1[[#This Row],[ups ship charge]]-Table1[[#This Row],[ada ship charge]],0)</f>
        <v>0</v>
      </c>
    </row>
    <row r="902" spans="1:9" x14ac:dyDescent="0.2">
      <c r="A902">
        <v>1014155</v>
      </c>
      <c r="B902" t="s">
        <v>20</v>
      </c>
      <c r="C902">
        <v>18.010000000000002</v>
      </c>
      <c r="D902">
        <v>18.07</v>
      </c>
      <c r="E902">
        <v>99.95</v>
      </c>
      <c r="F902" t="s">
        <v>15</v>
      </c>
      <c r="G9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02">
        <f>IF(Table1[[#This Row],[is_ups_overcharge]]="ups overcharged",Table1[[#This Row],[ups ship charge]]-Table1[[#This Row],[ada ship charge]],0)</f>
        <v>0</v>
      </c>
    </row>
    <row r="903" spans="1:9" x14ac:dyDescent="0.2">
      <c r="A903">
        <v>1014160</v>
      </c>
      <c r="B903" t="s">
        <v>20</v>
      </c>
      <c r="C903">
        <v>12.81</v>
      </c>
      <c r="D903">
        <v>12.86</v>
      </c>
      <c r="E903">
        <v>154.25</v>
      </c>
      <c r="F903" t="s">
        <v>9</v>
      </c>
      <c r="G9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03">
        <f>IF(Table1[[#This Row],[is_ups_overcharge]]="ups overcharged",Table1[[#This Row],[ups ship charge]]-Table1[[#This Row],[ada ship charge]],0)</f>
        <v>0</v>
      </c>
    </row>
    <row r="904" spans="1:9" x14ac:dyDescent="0.2">
      <c r="A904">
        <v>1014164</v>
      </c>
      <c r="B904" t="s">
        <v>20</v>
      </c>
      <c r="C904">
        <v>13.7</v>
      </c>
      <c r="D904">
        <v>13.76</v>
      </c>
      <c r="E904">
        <v>59.9</v>
      </c>
      <c r="F904" t="s">
        <v>9</v>
      </c>
      <c r="G9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04">
        <f>IF(Table1[[#This Row],[is_ups_overcharge]]="ups overcharged",Table1[[#This Row],[ups ship charge]]-Table1[[#This Row],[ada ship charge]],0)</f>
        <v>0</v>
      </c>
    </row>
    <row r="905" spans="1:9" x14ac:dyDescent="0.2">
      <c r="A905">
        <v>1014174</v>
      </c>
      <c r="B905" t="s">
        <v>20</v>
      </c>
      <c r="C905">
        <v>12.81</v>
      </c>
      <c r="D905">
        <v>12.86</v>
      </c>
      <c r="E905">
        <v>67.8</v>
      </c>
      <c r="F905" t="s">
        <v>9</v>
      </c>
      <c r="G9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05">
        <f>IF(Table1[[#This Row],[is_ups_overcharge]]="ups overcharged",Table1[[#This Row],[ups ship charge]]-Table1[[#This Row],[ada ship charge]],0)</f>
        <v>0</v>
      </c>
    </row>
    <row r="906" spans="1:9" x14ac:dyDescent="0.2">
      <c r="A906">
        <v>1014175</v>
      </c>
      <c r="B906" t="s">
        <v>20</v>
      </c>
      <c r="C906">
        <v>21.55</v>
      </c>
      <c r="D906">
        <v>21.6</v>
      </c>
      <c r="E906">
        <v>19.95</v>
      </c>
      <c r="F906" t="s">
        <v>15</v>
      </c>
      <c r="G9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06">
        <f>IF(Table1[[#This Row],[is_ups_overcharge]]="ups overcharged",Table1[[#This Row],[ups ship charge]]-Table1[[#This Row],[ada ship charge]],0)</f>
        <v>0</v>
      </c>
    </row>
    <row r="907" spans="1:9" x14ac:dyDescent="0.2">
      <c r="A907">
        <v>1014180</v>
      </c>
      <c r="B907" t="s">
        <v>20</v>
      </c>
      <c r="C907">
        <v>13.7</v>
      </c>
      <c r="D907">
        <v>13.75</v>
      </c>
      <c r="E907">
        <v>35.65</v>
      </c>
      <c r="F907" t="s">
        <v>9</v>
      </c>
      <c r="G9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07">
        <f>IF(Table1[[#This Row],[is_ups_overcharge]]="ups overcharged",Table1[[#This Row],[ups ship charge]]-Table1[[#This Row],[ada ship charge]],0)</f>
        <v>0</v>
      </c>
    </row>
    <row r="908" spans="1:9" x14ac:dyDescent="0.2">
      <c r="A908">
        <v>1014184</v>
      </c>
      <c r="B908" t="s">
        <v>20</v>
      </c>
      <c r="C908">
        <v>15.13</v>
      </c>
      <c r="D908">
        <v>15.18</v>
      </c>
      <c r="E908">
        <v>98.9</v>
      </c>
      <c r="F908" t="s">
        <v>12</v>
      </c>
      <c r="G9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08">
        <f>IF(Table1[[#This Row],[is_ups_overcharge]]="ups overcharged",Table1[[#This Row],[ups ship charge]]-Table1[[#This Row],[ada ship charge]],0)</f>
        <v>0</v>
      </c>
    </row>
    <row r="909" spans="1:9" x14ac:dyDescent="0.2">
      <c r="A909">
        <v>1014188</v>
      </c>
      <c r="B909" t="s">
        <v>20</v>
      </c>
      <c r="C909">
        <v>13.19</v>
      </c>
      <c r="D909">
        <v>0</v>
      </c>
      <c r="E909">
        <v>554.9</v>
      </c>
      <c r="F909" t="s">
        <v>6</v>
      </c>
      <c r="G9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90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909">
        <f>IF(Table1[[#This Row],[is_ups_overcharge]]="ups overcharged",Table1[[#This Row],[ups ship charge]]-Table1[[#This Row],[ada ship charge]],0)</f>
        <v>0</v>
      </c>
    </row>
    <row r="910" spans="1:9" x14ac:dyDescent="0.2">
      <c r="A910">
        <v>1014189</v>
      </c>
      <c r="B910" t="s">
        <v>20</v>
      </c>
      <c r="C910">
        <v>26.83</v>
      </c>
      <c r="D910">
        <v>26.88</v>
      </c>
      <c r="E910">
        <v>57.9</v>
      </c>
      <c r="F910" t="s">
        <v>15</v>
      </c>
      <c r="G9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10">
        <f>IF(Table1[[#This Row],[is_ups_overcharge]]="ups overcharged",Table1[[#This Row],[ups ship charge]]-Table1[[#This Row],[ada ship charge]],0)</f>
        <v>0</v>
      </c>
    </row>
    <row r="911" spans="1:9" x14ac:dyDescent="0.2">
      <c r="A911">
        <v>1014193</v>
      </c>
      <c r="B911" t="s">
        <v>20</v>
      </c>
      <c r="C911">
        <v>9.7100000000000009</v>
      </c>
      <c r="D911">
        <v>9.75</v>
      </c>
      <c r="E911">
        <v>46.55</v>
      </c>
      <c r="F911" t="s">
        <v>6</v>
      </c>
      <c r="G9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11">
        <f>IF(Table1[[#This Row],[is_ups_overcharge]]="ups overcharged",Table1[[#This Row],[ups ship charge]]-Table1[[#This Row],[ada ship charge]],0)</f>
        <v>0</v>
      </c>
    </row>
    <row r="912" spans="1:9" x14ac:dyDescent="0.2">
      <c r="A912">
        <v>1014211</v>
      </c>
      <c r="B912" t="s">
        <v>20</v>
      </c>
      <c r="C912">
        <v>14.21</v>
      </c>
      <c r="D912">
        <v>0</v>
      </c>
      <c r="E912">
        <v>210.15</v>
      </c>
      <c r="F912" t="s">
        <v>9</v>
      </c>
      <c r="G9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91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912">
        <f>IF(Table1[[#This Row],[is_ups_overcharge]]="ups overcharged",Table1[[#This Row],[ups ship charge]]-Table1[[#This Row],[ada ship charge]],0)</f>
        <v>0</v>
      </c>
    </row>
    <row r="913" spans="1:9" x14ac:dyDescent="0.2">
      <c r="A913">
        <v>1014247</v>
      </c>
      <c r="B913" t="s">
        <v>20</v>
      </c>
      <c r="C913">
        <v>12.81</v>
      </c>
      <c r="D913">
        <v>13.37</v>
      </c>
      <c r="E913">
        <v>111.35</v>
      </c>
      <c r="F913" t="s">
        <v>9</v>
      </c>
      <c r="G9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13">
        <f>IF(Table1[[#This Row],[is_ups_overcharge]]="ups overcharged",Table1[[#This Row],[ups ship charge]]-Table1[[#This Row],[ada ship charge]],0)</f>
        <v>0</v>
      </c>
    </row>
    <row r="914" spans="1:9" x14ac:dyDescent="0.2">
      <c r="A914">
        <v>1014254</v>
      </c>
      <c r="B914" t="s">
        <v>20</v>
      </c>
      <c r="C914">
        <v>13.7</v>
      </c>
      <c r="D914">
        <v>13.75</v>
      </c>
      <c r="E914">
        <v>29.9</v>
      </c>
      <c r="F914" t="s">
        <v>9</v>
      </c>
      <c r="G9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14">
        <f>IF(Table1[[#This Row],[is_ups_overcharge]]="ups overcharged",Table1[[#This Row],[ups ship charge]]-Table1[[#This Row],[ada ship charge]],0)</f>
        <v>0</v>
      </c>
    </row>
    <row r="915" spans="1:9" x14ac:dyDescent="0.2">
      <c r="A915">
        <v>1014260</v>
      </c>
      <c r="B915" t="s">
        <v>20</v>
      </c>
      <c r="C915">
        <v>13.29</v>
      </c>
      <c r="D915">
        <v>13.34</v>
      </c>
      <c r="E915">
        <v>142.94999999999999</v>
      </c>
      <c r="F915" t="s">
        <v>9</v>
      </c>
      <c r="G9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15">
        <f>IF(Table1[[#This Row],[is_ups_overcharge]]="ups overcharged",Table1[[#This Row],[ups ship charge]]-Table1[[#This Row],[ada ship charge]],0)</f>
        <v>0</v>
      </c>
    </row>
    <row r="916" spans="1:9" x14ac:dyDescent="0.2">
      <c r="A916">
        <v>1014278</v>
      </c>
      <c r="B916" t="s">
        <v>20</v>
      </c>
      <c r="C916">
        <v>13.7</v>
      </c>
      <c r="D916">
        <v>14.27</v>
      </c>
      <c r="E916">
        <v>44.55</v>
      </c>
      <c r="F916" t="s">
        <v>9</v>
      </c>
      <c r="G9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16">
        <f>IF(Table1[[#This Row],[is_ups_overcharge]]="ups overcharged",Table1[[#This Row],[ups ship charge]]-Table1[[#This Row],[ada ship charge]],0)</f>
        <v>0</v>
      </c>
    </row>
    <row r="917" spans="1:9" x14ac:dyDescent="0.2">
      <c r="A917">
        <v>1014280</v>
      </c>
      <c r="B917" t="s">
        <v>20</v>
      </c>
      <c r="C917">
        <v>13.7</v>
      </c>
      <c r="D917">
        <v>13.75</v>
      </c>
      <c r="E917">
        <v>64.95</v>
      </c>
      <c r="F917" t="s">
        <v>9</v>
      </c>
      <c r="G9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17">
        <f>IF(Table1[[#This Row],[is_ups_overcharge]]="ups overcharged",Table1[[#This Row],[ups ship charge]]-Table1[[#This Row],[ada ship charge]],0)</f>
        <v>0</v>
      </c>
    </row>
    <row r="918" spans="1:9" x14ac:dyDescent="0.2">
      <c r="A918">
        <v>1014282</v>
      </c>
      <c r="B918" t="s">
        <v>20</v>
      </c>
      <c r="C918">
        <v>9.6999999999999993</v>
      </c>
      <c r="D918">
        <v>9.76</v>
      </c>
      <c r="E918">
        <v>73.2</v>
      </c>
      <c r="F918" t="s">
        <v>6</v>
      </c>
      <c r="G9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18">
        <f>IF(Table1[[#This Row],[is_ups_overcharge]]="ups overcharged",Table1[[#This Row],[ups ship charge]]-Table1[[#This Row],[ada ship charge]],0)</f>
        <v>0</v>
      </c>
    </row>
    <row r="919" spans="1:9" x14ac:dyDescent="0.2">
      <c r="A919">
        <v>1014284</v>
      </c>
      <c r="B919" t="s">
        <v>20</v>
      </c>
      <c r="C919">
        <v>13.7</v>
      </c>
      <c r="D919">
        <v>13.75</v>
      </c>
      <c r="E919">
        <v>79.8</v>
      </c>
      <c r="F919" t="s">
        <v>9</v>
      </c>
      <c r="G9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19">
        <f>IF(Table1[[#This Row],[is_ups_overcharge]]="ups overcharged",Table1[[#This Row],[ups ship charge]]-Table1[[#This Row],[ada ship charge]],0)</f>
        <v>0</v>
      </c>
    </row>
    <row r="920" spans="1:9" x14ac:dyDescent="0.2">
      <c r="A920">
        <v>1014301</v>
      </c>
      <c r="B920" t="s">
        <v>20</v>
      </c>
      <c r="C920">
        <v>12.81</v>
      </c>
      <c r="D920">
        <v>12.86</v>
      </c>
      <c r="E920">
        <v>25.4</v>
      </c>
      <c r="F920" t="s">
        <v>9</v>
      </c>
      <c r="G9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20">
        <f>IF(Table1[[#This Row],[is_ups_overcharge]]="ups overcharged",Table1[[#This Row],[ups ship charge]]-Table1[[#This Row],[ada ship charge]],0)</f>
        <v>0</v>
      </c>
    </row>
    <row r="921" spans="1:9" x14ac:dyDescent="0.2">
      <c r="A921">
        <v>1014316</v>
      </c>
      <c r="B921" t="s">
        <v>20</v>
      </c>
      <c r="C921">
        <v>13.71</v>
      </c>
      <c r="D921">
        <v>13.75</v>
      </c>
      <c r="E921">
        <v>80.849999999999994</v>
      </c>
      <c r="F921" t="s">
        <v>9</v>
      </c>
      <c r="G9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21">
        <f>IF(Table1[[#This Row],[is_ups_overcharge]]="ups overcharged",Table1[[#This Row],[ups ship charge]]-Table1[[#This Row],[ada ship charge]],0)</f>
        <v>0</v>
      </c>
    </row>
    <row r="922" spans="1:9" x14ac:dyDescent="0.2">
      <c r="A922">
        <v>1014332</v>
      </c>
      <c r="B922" t="s">
        <v>20</v>
      </c>
      <c r="C922">
        <v>16.87</v>
      </c>
      <c r="D922">
        <v>16.920000000000002</v>
      </c>
      <c r="E922">
        <v>86.75</v>
      </c>
      <c r="F922" t="s">
        <v>10</v>
      </c>
      <c r="G9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22">
        <f>IF(Table1[[#This Row],[is_ups_overcharge]]="ups overcharged",Table1[[#This Row],[ups ship charge]]-Table1[[#This Row],[ada ship charge]],0)</f>
        <v>0</v>
      </c>
    </row>
    <row r="923" spans="1:9" x14ac:dyDescent="0.2">
      <c r="A923">
        <v>1014354</v>
      </c>
      <c r="B923" t="s">
        <v>20</v>
      </c>
      <c r="C923">
        <v>67.459999999999994</v>
      </c>
      <c r="D923">
        <v>67.510000000000005</v>
      </c>
      <c r="E923">
        <v>74.75</v>
      </c>
      <c r="F923" t="s">
        <v>8</v>
      </c>
      <c r="G9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23">
        <f>IF(Table1[[#This Row],[is_ups_overcharge]]="ups overcharged",Table1[[#This Row],[ups ship charge]]-Table1[[#This Row],[ada ship charge]],0)</f>
        <v>0</v>
      </c>
    </row>
    <row r="924" spans="1:9" x14ac:dyDescent="0.2">
      <c r="A924">
        <v>1014364</v>
      </c>
      <c r="B924" t="s">
        <v>20</v>
      </c>
      <c r="C924">
        <v>13.7</v>
      </c>
      <c r="D924">
        <v>13.75</v>
      </c>
      <c r="E924">
        <v>15.8</v>
      </c>
      <c r="F924" t="s">
        <v>9</v>
      </c>
      <c r="G9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24">
        <f>IF(Table1[[#This Row],[is_ups_overcharge]]="ups overcharged",Table1[[#This Row],[ups ship charge]]-Table1[[#This Row],[ada ship charge]],0)</f>
        <v>0</v>
      </c>
    </row>
    <row r="925" spans="1:9" x14ac:dyDescent="0.2">
      <c r="A925">
        <v>1014369</v>
      </c>
      <c r="B925" t="s">
        <v>20</v>
      </c>
      <c r="C925">
        <v>67.459999999999994</v>
      </c>
      <c r="D925">
        <v>67.510000000000005</v>
      </c>
      <c r="E925">
        <v>404.7</v>
      </c>
      <c r="F925" t="s">
        <v>8</v>
      </c>
      <c r="G9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25">
        <f>IF(Table1[[#This Row],[is_ups_overcharge]]="ups overcharged",Table1[[#This Row],[ups ship charge]]-Table1[[#This Row],[ada ship charge]],0)</f>
        <v>0</v>
      </c>
    </row>
    <row r="926" spans="1:9" x14ac:dyDescent="0.2">
      <c r="A926">
        <v>1014382</v>
      </c>
      <c r="B926" t="s">
        <v>20</v>
      </c>
      <c r="C926">
        <v>12.81</v>
      </c>
      <c r="D926">
        <v>12.86</v>
      </c>
      <c r="E926">
        <v>30.4</v>
      </c>
      <c r="F926" t="s">
        <v>9</v>
      </c>
      <c r="G9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26">
        <f>IF(Table1[[#This Row],[is_ups_overcharge]]="ups overcharged",Table1[[#This Row],[ups ship charge]]-Table1[[#This Row],[ada ship charge]],0)</f>
        <v>0</v>
      </c>
    </row>
    <row r="927" spans="1:9" x14ac:dyDescent="0.2">
      <c r="A927">
        <v>1014389</v>
      </c>
      <c r="B927" t="s">
        <v>20</v>
      </c>
      <c r="C927">
        <v>12.81</v>
      </c>
      <c r="D927">
        <v>12.86</v>
      </c>
      <c r="E927">
        <v>174.85</v>
      </c>
      <c r="F927" t="s">
        <v>9</v>
      </c>
      <c r="G9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27">
        <f>IF(Table1[[#This Row],[is_ups_overcharge]]="ups overcharged",Table1[[#This Row],[ups ship charge]]-Table1[[#This Row],[ada ship charge]],0)</f>
        <v>0</v>
      </c>
    </row>
    <row r="928" spans="1:9" x14ac:dyDescent="0.2">
      <c r="A928">
        <v>1014423</v>
      </c>
      <c r="B928" t="s">
        <v>20</v>
      </c>
      <c r="C928">
        <v>12.81</v>
      </c>
      <c r="D928">
        <v>12.86</v>
      </c>
      <c r="E928">
        <v>99.95</v>
      </c>
      <c r="F928" t="s">
        <v>9</v>
      </c>
      <c r="G9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28">
        <f>IF(Table1[[#This Row],[is_ups_overcharge]]="ups overcharged",Table1[[#This Row],[ups ship charge]]-Table1[[#This Row],[ada ship charge]],0)</f>
        <v>0</v>
      </c>
    </row>
    <row r="929" spans="1:9" x14ac:dyDescent="0.2">
      <c r="A929">
        <v>1014427</v>
      </c>
      <c r="B929" t="s">
        <v>20</v>
      </c>
      <c r="C929">
        <v>12.81</v>
      </c>
      <c r="D929">
        <v>12.86</v>
      </c>
      <c r="E929">
        <v>15</v>
      </c>
      <c r="F929" t="s">
        <v>9</v>
      </c>
      <c r="G9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29">
        <f>IF(Table1[[#This Row],[is_ups_overcharge]]="ups overcharged",Table1[[#This Row],[ups ship charge]]-Table1[[#This Row],[ada ship charge]],0)</f>
        <v>0</v>
      </c>
    </row>
    <row r="930" spans="1:9" x14ac:dyDescent="0.2">
      <c r="A930">
        <v>1014445</v>
      </c>
      <c r="B930" t="s">
        <v>20</v>
      </c>
      <c r="C930">
        <v>16.55</v>
      </c>
      <c r="D930">
        <v>0</v>
      </c>
      <c r="E930">
        <v>599.95000000000005</v>
      </c>
      <c r="F930" t="s">
        <v>9</v>
      </c>
      <c r="G9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93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930">
        <f>IF(Table1[[#This Row],[is_ups_overcharge]]="ups overcharged",Table1[[#This Row],[ups ship charge]]-Table1[[#This Row],[ada ship charge]],0)</f>
        <v>0</v>
      </c>
    </row>
    <row r="931" spans="1:9" x14ac:dyDescent="0.2">
      <c r="A931">
        <v>1014469</v>
      </c>
      <c r="B931" t="s">
        <v>20</v>
      </c>
      <c r="C931">
        <v>9.6999999999999993</v>
      </c>
      <c r="D931">
        <v>9.75</v>
      </c>
      <c r="E931">
        <v>11.25</v>
      </c>
      <c r="F931" t="s">
        <v>6</v>
      </c>
      <c r="G9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31">
        <f>IF(Table1[[#This Row],[is_ups_overcharge]]="ups overcharged",Table1[[#This Row],[ups ship charge]]-Table1[[#This Row],[ada ship charge]],0)</f>
        <v>0</v>
      </c>
    </row>
    <row r="932" spans="1:9" x14ac:dyDescent="0.2">
      <c r="A932">
        <v>1014476</v>
      </c>
      <c r="B932" t="s">
        <v>20</v>
      </c>
      <c r="C932">
        <v>12.81</v>
      </c>
      <c r="D932">
        <v>12.86</v>
      </c>
      <c r="E932">
        <v>22.5</v>
      </c>
      <c r="F932" t="s">
        <v>9</v>
      </c>
      <c r="G9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32">
        <f>IF(Table1[[#This Row],[is_ups_overcharge]]="ups overcharged",Table1[[#This Row],[ups ship charge]]-Table1[[#This Row],[ada ship charge]],0)</f>
        <v>0</v>
      </c>
    </row>
    <row r="933" spans="1:9" x14ac:dyDescent="0.2">
      <c r="A933">
        <v>1014492</v>
      </c>
      <c r="B933" t="s">
        <v>20</v>
      </c>
      <c r="C933">
        <v>9.6999999999999993</v>
      </c>
      <c r="D933">
        <v>9.75</v>
      </c>
      <c r="E933">
        <v>21.12</v>
      </c>
      <c r="F933" t="s">
        <v>6</v>
      </c>
      <c r="G9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33">
        <f>IF(Table1[[#This Row],[is_ups_overcharge]]="ups overcharged",Table1[[#This Row],[ups ship charge]]-Table1[[#This Row],[ada ship charge]],0)</f>
        <v>0</v>
      </c>
    </row>
    <row r="934" spans="1:9" x14ac:dyDescent="0.2">
      <c r="A934">
        <v>1014508</v>
      </c>
      <c r="B934" t="s">
        <v>20</v>
      </c>
      <c r="C934">
        <v>12.35</v>
      </c>
      <c r="D934">
        <v>12.4</v>
      </c>
      <c r="E934">
        <v>25.95</v>
      </c>
      <c r="F934" t="s">
        <v>13</v>
      </c>
      <c r="G9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34">
        <f>IF(Table1[[#This Row],[is_ups_overcharge]]="ups overcharged",Table1[[#This Row],[ups ship charge]]-Table1[[#This Row],[ada ship charge]],0)</f>
        <v>0</v>
      </c>
    </row>
    <row r="935" spans="1:9" x14ac:dyDescent="0.2">
      <c r="A935">
        <v>1014519</v>
      </c>
      <c r="B935" t="s">
        <v>20</v>
      </c>
      <c r="C935">
        <v>14.04</v>
      </c>
      <c r="D935">
        <v>14.09</v>
      </c>
      <c r="E935">
        <v>50</v>
      </c>
      <c r="F935" t="s">
        <v>16</v>
      </c>
      <c r="G9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35">
        <f>IF(Table1[[#This Row],[is_ups_overcharge]]="ups overcharged",Table1[[#This Row],[ups ship charge]]-Table1[[#This Row],[ada ship charge]],0)</f>
        <v>0</v>
      </c>
    </row>
    <row r="936" spans="1:9" x14ac:dyDescent="0.2">
      <c r="A936">
        <v>1014547</v>
      </c>
      <c r="B936" t="s">
        <v>20</v>
      </c>
      <c r="C936">
        <v>11.02</v>
      </c>
      <c r="D936">
        <v>15.49</v>
      </c>
      <c r="E936">
        <v>74.400000000000006</v>
      </c>
      <c r="F936" t="s">
        <v>14</v>
      </c>
      <c r="G9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36">
        <f>IF(Table1[[#This Row],[is_ups_overcharge]]="ups overcharged",Table1[[#This Row],[ups ship charge]]-Table1[[#This Row],[ada ship charge]],0)</f>
        <v>0</v>
      </c>
    </row>
    <row r="937" spans="1:9" x14ac:dyDescent="0.2">
      <c r="A937">
        <v>1014554</v>
      </c>
      <c r="B937" t="s">
        <v>20</v>
      </c>
      <c r="C937">
        <v>74.86</v>
      </c>
      <c r="D937">
        <v>44.01</v>
      </c>
      <c r="E937">
        <v>254.9</v>
      </c>
      <c r="F937" t="s">
        <v>11</v>
      </c>
      <c r="G9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37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937">
        <f>IF(Table1[[#This Row],[is_ups_overcharge]]="ups overcharged",Table1[[#This Row],[ups ship charge]]-Table1[[#This Row],[ada ship charge]],0)</f>
        <v>30.85</v>
      </c>
    </row>
    <row r="938" spans="1:9" x14ac:dyDescent="0.2">
      <c r="A938">
        <v>1014556</v>
      </c>
      <c r="B938" t="s">
        <v>20</v>
      </c>
      <c r="C938">
        <v>13.7</v>
      </c>
      <c r="D938">
        <v>13.75</v>
      </c>
      <c r="E938">
        <v>44.85</v>
      </c>
      <c r="F938" t="s">
        <v>9</v>
      </c>
      <c r="G9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38">
        <f>IF(Table1[[#This Row],[is_ups_overcharge]]="ups overcharged",Table1[[#This Row],[ups ship charge]]-Table1[[#This Row],[ada ship charge]],0)</f>
        <v>0</v>
      </c>
    </row>
    <row r="939" spans="1:9" x14ac:dyDescent="0.2">
      <c r="A939">
        <v>1014559</v>
      </c>
      <c r="B939" t="s">
        <v>20</v>
      </c>
      <c r="C939">
        <v>11.02</v>
      </c>
      <c r="D939">
        <v>11.07</v>
      </c>
      <c r="E939">
        <v>48.45</v>
      </c>
      <c r="F939" t="s">
        <v>14</v>
      </c>
      <c r="G9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39">
        <f>IF(Table1[[#This Row],[is_ups_overcharge]]="ups overcharged",Table1[[#This Row],[ups ship charge]]-Table1[[#This Row],[ada ship charge]],0)</f>
        <v>0</v>
      </c>
    </row>
    <row r="940" spans="1:9" x14ac:dyDescent="0.2">
      <c r="A940">
        <v>1014573</v>
      </c>
      <c r="B940" t="s">
        <v>20</v>
      </c>
      <c r="C940">
        <v>9.6999999999999993</v>
      </c>
      <c r="D940">
        <v>9.75</v>
      </c>
      <c r="E940">
        <v>34.950000000000003</v>
      </c>
      <c r="F940" t="s">
        <v>6</v>
      </c>
      <c r="G9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40">
        <f>IF(Table1[[#This Row],[is_ups_overcharge]]="ups overcharged",Table1[[#This Row],[ups ship charge]]-Table1[[#This Row],[ada ship charge]],0)</f>
        <v>0</v>
      </c>
    </row>
    <row r="941" spans="1:9" x14ac:dyDescent="0.2">
      <c r="A941">
        <v>1014582</v>
      </c>
      <c r="B941" t="s">
        <v>20</v>
      </c>
      <c r="C941">
        <v>16.87</v>
      </c>
      <c r="D941">
        <v>16.920000000000002</v>
      </c>
      <c r="E941">
        <v>29.95</v>
      </c>
      <c r="F941" t="s">
        <v>10</v>
      </c>
      <c r="G9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41">
        <f>IF(Table1[[#This Row],[is_ups_overcharge]]="ups overcharged",Table1[[#This Row],[ups ship charge]]-Table1[[#This Row],[ada ship charge]],0)</f>
        <v>0</v>
      </c>
    </row>
    <row r="942" spans="1:9" x14ac:dyDescent="0.2">
      <c r="A942">
        <v>1014596</v>
      </c>
      <c r="B942" t="s">
        <v>20</v>
      </c>
      <c r="C942">
        <v>9.7100000000000009</v>
      </c>
      <c r="D942">
        <v>9.76</v>
      </c>
      <c r="E942">
        <v>11.8</v>
      </c>
      <c r="F942" t="s">
        <v>6</v>
      </c>
      <c r="G9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42">
        <f>IF(Table1[[#This Row],[is_ups_overcharge]]="ups overcharged",Table1[[#This Row],[ups ship charge]]-Table1[[#This Row],[ada ship charge]],0)</f>
        <v>0</v>
      </c>
    </row>
    <row r="943" spans="1:9" x14ac:dyDescent="0.2">
      <c r="A943">
        <v>1014613</v>
      </c>
      <c r="B943" t="s">
        <v>20</v>
      </c>
      <c r="C943">
        <v>9.7100000000000009</v>
      </c>
      <c r="D943">
        <v>12.86</v>
      </c>
      <c r="E943">
        <v>53.4</v>
      </c>
      <c r="F943" t="s">
        <v>6</v>
      </c>
      <c r="G9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43">
        <f>IF(Table1[[#This Row],[is_ups_overcharge]]="ups overcharged",Table1[[#This Row],[ups ship charge]]-Table1[[#This Row],[ada ship charge]],0)</f>
        <v>0</v>
      </c>
    </row>
    <row r="944" spans="1:9" x14ac:dyDescent="0.2">
      <c r="A944">
        <v>1014615</v>
      </c>
      <c r="B944" t="s">
        <v>20</v>
      </c>
      <c r="C944">
        <v>12.81</v>
      </c>
      <c r="D944">
        <v>12.86</v>
      </c>
      <c r="E944">
        <v>21.85</v>
      </c>
      <c r="F944" t="s">
        <v>9</v>
      </c>
      <c r="G9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44">
        <f>IF(Table1[[#This Row],[is_ups_overcharge]]="ups overcharged",Table1[[#This Row],[ups ship charge]]-Table1[[#This Row],[ada ship charge]],0)</f>
        <v>0</v>
      </c>
    </row>
    <row r="945" spans="1:9" x14ac:dyDescent="0.2">
      <c r="A945">
        <v>1014617</v>
      </c>
      <c r="B945" t="s">
        <v>20</v>
      </c>
      <c r="C945">
        <v>13.7</v>
      </c>
      <c r="D945">
        <v>13.75</v>
      </c>
      <c r="E945">
        <v>15.9</v>
      </c>
      <c r="F945" t="s">
        <v>9</v>
      </c>
      <c r="G9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45">
        <f>IF(Table1[[#This Row],[is_ups_overcharge]]="ups overcharged",Table1[[#This Row],[ups ship charge]]-Table1[[#This Row],[ada ship charge]],0)</f>
        <v>0</v>
      </c>
    </row>
    <row r="946" spans="1:9" x14ac:dyDescent="0.2">
      <c r="A946">
        <v>1014624</v>
      </c>
      <c r="B946" t="s">
        <v>20</v>
      </c>
      <c r="C946">
        <v>13.7</v>
      </c>
      <c r="D946">
        <v>13.75</v>
      </c>
      <c r="E946">
        <v>19.5</v>
      </c>
      <c r="F946" t="s">
        <v>9</v>
      </c>
      <c r="G9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46">
        <f>IF(Table1[[#This Row],[is_ups_overcharge]]="ups overcharged",Table1[[#This Row],[ups ship charge]]-Table1[[#This Row],[ada ship charge]],0)</f>
        <v>0</v>
      </c>
    </row>
    <row r="947" spans="1:9" x14ac:dyDescent="0.2">
      <c r="A947">
        <v>1014634</v>
      </c>
      <c r="B947" t="s">
        <v>20</v>
      </c>
      <c r="C947">
        <v>12.81</v>
      </c>
      <c r="D947">
        <v>12.86</v>
      </c>
      <c r="E947">
        <v>90.1</v>
      </c>
      <c r="F947" t="s">
        <v>9</v>
      </c>
      <c r="G9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47">
        <f>IF(Table1[[#This Row],[is_ups_overcharge]]="ups overcharged",Table1[[#This Row],[ups ship charge]]-Table1[[#This Row],[ada ship charge]],0)</f>
        <v>0</v>
      </c>
    </row>
    <row r="948" spans="1:9" x14ac:dyDescent="0.2">
      <c r="A948">
        <v>1014641</v>
      </c>
      <c r="B948" t="s">
        <v>20</v>
      </c>
      <c r="C948">
        <v>12.81</v>
      </c>
      <c r="D948">
        <v>12.86</v>
      </c>
      <c r="E948">
        <v>32.65</v>
      </c>
      <c r="F948" t="s">
        <v>9</v>
      </c>
      <c r="G9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48">
        <f>IF(Table1[[#This Row],[is_ups_overcharge]]="ups overcharged",Table1[[#This Row],[ups ship charge]]-Table1[[#This Row],[ada ship charge]],0)</f>
        <v>0</v>
      </c>
    </row>
    <row r="949" spans="1:9" x14ac:dyDescent="0.2">
      <c r="A949">
        <v>1014677</v>
      </c>
      <c r="B949" t="s">
        <v>20</v>
      </c>
      <c r="C949">
        <v>12.81</v>
      </c>
      <c r="D949">
        <v>12.86</v>
      </c>
      <c r="E949">
        <v>45.25</v>
      </c>
      <c r="F949" t="s">
        <v>9</v>
      </c>
      <c r="G9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49">
        <f>IF(Table1[[#This Row],[is_ups_overcharge]]="ups overcharged",Table1[[#This Row],[ups ship charge]]-Table1[[#This Row],[ada ship charge]],0)</f>
        <v>0</v>
      </c>
    </row>
    <row r="950" spans="1:9" x14ac:dyDescent="0.2">
      <c r="A950">
        <v>1014684</v>
      </c>
      <c r="B950" t="s">
        <v>20</v>
      </c>
      <c r="C950">
        <v>9.6999999999999993</v>
      </c>
      <c r="D950">
        <v>13.75</v>
      </c>
      <c r="E950">
        <v>53.52</v>
      </c>
      <c r="F950" t="s">
        <v>6</v>
      </c>
      <c r="G9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50">
        <f>IF(Table1[[#This Row],[is_ups_overcharge]]="ups overcharged",Table1[[#This Row],[ups ship charge]]-Table1[[#This Row],[ada ship charge]],0)</f>
        <v>0</v>
      </c>
    </row>
    <row r="951" spans="1:9" x14ac:dyDescent="0.2">
      <c r="A951">
        <v>1014690</v>
      </c>
      <c r="B951" t="s">
        <v>20</v>
      </c>
      <c r="C951">
        <v>9.6999999999999993</v>
      </c>
      <c r="D951">
        <v>9.75</v>
      </c>
      <c r="E951">
        <v>74.95</v>
      </c>
      <c r="F951" t="s">
        <v>6</v>
      </c>
      <c r="G9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51">
        <f>IF(Table1[[#This Row],[is_ups_overcharge]]="ups overcharged",Table1[[#This Row],[ups ship charge]]-Table1[[#This Row],[ada ship charge]],0)</f>
        <v>0</v>
      </c>
    </row>
    <row r="952" spans="1:9" x14ac:dyDescent="0.2">
      <c r="A952">
        <v>1014698</v>
      </c>
      <c r="B952" t="s">
        <v>20</v>
      </c>
      <c r="C952">
        <v>9.6999999999999993</v>
      </c>
      <c r="D952">
        <v>9.75</v>
      </c>
      <c r="E952">
        <v>4.95</v>
      </c>
      <c r="F952" t="s">
        <v>6</v>
      </c>
      <c r="G9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52">
        <f>IF(Table1[[#This Row],[is_ups_overcharge]]="ups overcharged",Table1[[#This Row],[ups ship charge]]-Table1[[#This Row],[ada ship charge]],0)</f>
        <v>0</v>
      </c>
    </row>
    <row r="953" spans="1:9" x14ac:dyDescent="0.2">
      <c r="A953">
        <v>1014701</v>
      </c>
      <c r="B953" t="s">
        <v>20</v>
      </c>
      <c r="C953">
        <v>17.149999999999999</v>
      </c>
      <c r="D953">
        <v>22.11</v>
      </c>
      <c r="E953">
        <v>125.45</v>
      </c>
      <c r="F953" t="s">
        <v>10</v>
      </c>
      <c r="G9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53">
        <f>IF(Table1[[#This Row],[is_ups_overcharge]]="ups overcharged",Table1[[#This Row],[ups ship charge]]-Table1[[#This Row],[ada ship charge]],0)</f>
        <v>0</v>
      </c>
    </row>
    <row r="954" spans="1:9" x14ac:dyDescent="0.2">
      <c r="A954">
        <v>1014703</v>
      </c>
      <c r="B954" t="s">
        <v>20</v>
      </c>
      <c r="C954">
        <v>12.81</v>
      </c>
      <c r="D954">
        <v>12.86</v>
      </c>
      <c r="E954">
        <v>40.85</v>
      </c>
      <c r="F954" t="s">
        <v>9</v>
      </c>
      <c r="G9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54">
        <f>IF(Table1[[#This Row],[is_ups_overcharge]]="ups overcharged",Table1[[#This Row],[ups ship charge]]-Table1[[#This Row],[ada ship charge]],0)</f>
        <v>0</v>
      </c>
    </row>
    <row r="955" spans="1:9" x14ac:dyDescent="0.2">
      <c r="A955">
        <v>1014713</v>
      </c>
      <c r="B955" t="s">
        <v>20</v>
      </c>
      <c r="C955">
        <v>12.81</v>
      </c>
      <c r="D955">
        <v>12.86</v>
      </c>
      <c r="E955">
        <v>59.95</v>
      </c>
      <c r="F955" t="s">
        <v>9</v>
      </c>
      <c r="G9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55">
        <f>IF(Table1[[#This Row],[is_ups_overcharge]]="ups overcharged",Table1[[#This Row],[ups ship charge]]-Table1[[#This Row],[ada ship charge]],0)</f>
        <v>0</v>
      </c>
    </row>
    <row r="956" spans="1:9" x14ac:dyDescent="0.2">
      <c r="A956">
        <v>1014719</v>
      </c>
      <c r="B956" t="s">
        <v>20</v>
      </c>
      <c r="C956">
        <v>13.7</v>
      </c>
      <c r="D956">
        <v>13.75</v>
      </c>
      <c r="E956">
        <v>25</v>
      </c>
      <c r="F956" t="s">
        <v>9</v>
      </c>
      <c r="G9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56">
        <f>IF(Table1[[#This Row],[is_ups_overcharge]]="ups overcharged",Table1[[#This Row],[ups ship charge]]-Table1[[#This Row],[ada ship charge]],0)</f>
        <v>0</v>
      </c>
    </row>
    <row r="957" spans="1:9" x14ac:dyDescent="0.2">
      <c r="A957">
        <v>1014722</v>
      </c>
      <c r="B957" t="s">
        <v>20</v>
      </c>
      <c r="C957">
        <v>9.6999999999999993</v>
      </c>
      <c r="D957">
        <v>0</v>
      </c>
      <c r="E957">
        <v>339.4</v>
      </c>
      <c r="F957" t="s">
        <v>6</v>
      </c>
      <c r="G9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95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957">
        <f>IF(Table1[[#This Row],[is_ups_overcharge]]="ups overcharged",Table1[[#This Row],[ups ship charge]]-Table1[[#This Row],[ada ship charge]],0)</f>
        <v>0</v>
      </c>
    </row>
    <row r="958" spans="1:9" x14ac:dyDescent="0.2">
      <c r="A958">
        <v>1014809</v>
      </c>
      <c r="B958" t="s">
        <v>20</v>
      </c>
      <c r="C958">
        <v>13.77</v>
      </c>
      <c r="D958">
        <v>0</v>
      </c>
      <c r="E958">
        <v>311.39999999999998</v>
      </c>
      <c r="F958" t="s">
        <v>9</v>
      </c>
      <c r="G9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95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958">
        <f>IF(Table1[[#This Row],[is_ups_overcharge]]="ups overcharged",Table1[[#This Row],[ups ship charge]]-Table1[[#This Row],[ada ship charge]],0)</f>
        <v>0</v>
      </c>
    </row>
    <row r="959" spans="1:9" x14ac:dyDescent="0.2">
      <c r="A959">
        <v>1014818</v>
      </c>
      <c r="B959" t="s">
        <v>20</v>
      </c>
      <c r="C959">
        <v>12.81</v>
      </c>
      <c r="D959">
        <v>12.86</v>
      </c>
      <c r="E959">
        <v>37.75</v>
      </c>
      <c r="F959" t="s">
        <v>9</v>
      </c>
      <c r="G9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59">
        <f>IF(Table1[[#This Row],[is_ups_overcharge]]="ups overcharged",Table1[[#This Row],[ups ship charge]]-Table1[[#This Row],[ada ship charge]],0)</f>
        <v>0</v>
      </c>
    </row>
    <row r="960" spans="1:9" x14ac:dyDescent="0.2">
      <c r="A960">
        <v>1014828</v>
      </c>
      <c r="B960" t="s">
        <v>20</v>
      </c>
      <c r="C960">
        <v>11.02</v>
      </c>
      <c r="D960">
        <v>11.07</v>
      </c>
      <c r="E960">
        <v>38.25</v>
      </c>
      <c r="F960" t="s">
        <v>14</v>
      </c>
      <c r="G9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60">
        <f>IF(Table1[[#This Row],[is_ups_overcharge]]="ups overcharged",Table1[[#This Row],[ups ship charge]]-Table1[[#This Row],[ada ship charge]],0)</f>
        <v>0</v>
      </c>
    </row>
    <row r="961" spans="1:9" x14ac:dyDescent="0.2">
      <c r="A961">
        <v>1014829</v>
      </c>
      <c r="B961" t="s">
        <v>20</v>
      </c>
      <c r="C961">
        <v>15.13</v>
      </c>
      <c r="D961">
        <v>15.18</v>
      </c>
      <c r="E961">
        <v>83.2</v>
      </c>
      <c r="F961" t="s">
        <v>12</v>
      </c>
      <c r="G9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61">
        <f>IF(Table1[[#This Row],[is_ups_overcharge]]="ups overcharged",Table1[[#This Row],[ups ship charge]]-Table1[[#This Row],[ada ship charge]],0)</f>
        <v>0</v>
      </c>
    </row>
    <row r="962" spans="1:9" x14ac:dyDescent="0.2">
      <c r="A962">
        <v>1014887</v>
      </c>
      <c r="B962" t="s">
        <v>20</v>
      </c>
      <c r="C962">
        <v>12.35</v>
      </c>
      <c r="D962">
        <v>12.4</v>
      </c>
      <c r="E962">
        <v>14.75</v>
      </c>
      <c r="F962" t="s">
        <v>13</v>
      </c>
      <c r="G9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62">
        <f>IF(Table1[[#This Row],[is_ups_overcharge]]="ups overcharged",Table1[[#This Row],[ups ship charge]]-Table1[[#This Row],[ada ship charge]],0)</f>
        <v>0</v>
      </c>
    </row>
    <row r="963" spans="1:9" x14ac:dyDescent="0.2">
      <c r="A963">
        <v>1014892</v>
      </c>
      <c r="B963" t="s">
        <v>20</v>
      </c>
      <c r="C963">
        <v>18.72</v>
      </c>
      <c r="D963">
        <v>20.5</v>
      </c>
      <c r="E963">
        <v>79.7</v>
      </c>
      <c r="F963" t="s">
        <v>10</v>
      </c>
      <c r="G9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63">
        <f>IF(Table1[[#This Row],[is_ups_overcharge]]="ups overcharged",Table1[[#This Row],[ups ship charge]]-Table1[[#This Row],[ada ship charge]],0)</f>
        <v>0</v>
      </c>
    </row>
    <row r="964" spans="1:9" x14ac:dyDescent="0.2">
      <c r="A964">
        <v>1014901</v>
      </c>
      <c r="B964" t="s">
        <v>20</v>
      </c>
      <c r="C964">
        <v>20.100000000000001</v>
      </c>
      <c r="D964">
        <v>20.149999999999999</v>
      </c>
      <c r="E964">
        <v>59.9</v>
      </c>
      <c r="F964" t="s">
        <v>16</v>
      </c>
      <c r="G9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64">
        <f>IF(Table1[[#This Row],[is_ups_overcharge]]="ups overcharged",Table1[[#This Row],[ups ship charge]]-Table1[[#This Row],[ada ship charge]],0)</f>
        <v>0</v>
      </c>
    </row>
    <row r="965" spans="1:9" x14ac:dyDescent="0.2">
      <c r="A965">
        <v>1014910</v>
      </c>
      <c r="B965" t="s">
        <v>20</v>
      </c>
      <c r="C965">
        <v>9.6999999999999993</v>
      </c>
      <c r="D965">
        <v>9.75</v>
      </c>
      <c r="E965">
        <v>23.9</v>
      </c>
      <c r="F965" t="s">
        <v>6</v>
      </c>
      <c r="G9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65">
        <f>IF(Table1[[#This Row],[is_ups_overcharge]]="ups overcharged",Table1[[#This Row],[ups ship charge]]-Table1[[#This Row],[ada ship charge]],0)</f>
        <v>0</v>
      </c>
    </row>
    <row r="966" spans="1:9" x14ac:dyDescent="0.2">
      <c r="A966">
        <v>1014915</v>
      </c>
      <c r="B966" t="s">
        <v>20</v>
      </c>
      <c r="C966">
        <v>15.13</v>
      </c>
      <c r="D966">
        <v>15.18</v>
      </c>
      <c r="E966">
        <v>21.9</v>
      </c>
      <c r="F966" t="s">
        <v>12</v>
      </c>
      <c r="G9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66">
        <f>IF(Table1[[#This Row],[is_ups_overcharge]]="ups overcharged",Table1[[#This Row],[ups ship charge]]-Table1[[#This Row],[ada ship charge]],0)</f>
        <v>0</v>
      </c>
    </row>
    <row r="967" spans="1:9" x14ac:dyDescent="0.2">
      <c r="A967">
        <v>1014927</v>
      </c>
      <c r="B967" t="s">
        <v>20</v>
      </c>
      <c r="C967">
        <v>9.6999999999999993</v>
      </c>
      <c r="D967">
        <v>9.75</v>
      </c>
      <c r="E967">
        <v>29.85</v>
      </c>
      <c r="F967" t="s">
        <v>6</v>
      </c>
      <c r="G9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67">
        <f>IF(Table1[[#This Row],[is_ups_overcharge]]="ups overcharged",Table1[[#This Row],[ups ship charge]]-Table1[[#This Row],[ada ship charge]],0)</f>
        <v>0</v>
      </c>
    </row>
    <row r="968" spans="1:9" x14ac:dyDescent="0.2">
      <c r="A968">
        <v>1014929</v>
      </c>
      <c r="B968" t="s">
        <v>20</v>
      </c>
      <c r="C968">
        <v>15.44</v>
      </c>
      <c r="D968">
        <v>15.49</v>
      </c>
      <c r="E968">
        <v>34.75</v>
      </c>
      <c r="F968" t="s">
        <v>12</v>
      </c>
      <c r="G9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68">
        <f>IF(Table1[[#This Row],[is_ups_overcharge]]="ups overcharged",Table1[[#This Row],[ups ship charge]]-Table1[[#This Row],[ada ship charge]],0)</f>
        <v>0</v>
      </c>
    </row>
    <row r="969" spans="1:9" x14ac:dyDescent="0.2">
      <c r="A969">
        <v>1014930</v>
      </c>
      <c r="B969" t="s">
        <v>20</v>
      </c>
      <c r="C969">
        <v>12.81</v>
      </c>
      <c r="D969">
        <v>12.86</v>
      </c>
      <c r="E969">
        <v>44.7</v>
      </c>
      <c r="F969" t="s">
        <v>9</v>
      </c>
      <c r="G9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69">
        <f>IF(Table1[[#This Row],[is_ups_overcharge]]="ups overcharged",Table1[[#This Row],[ups ship charge]]-Table1[[#This Row],[ada ship charge]],0)</f>
        <v>0</v>
      </c>
    </row>
    <row r="970" spans="1:9" x14ac:dyDescent="0.2">
      <c r="A970">
        <v>1014936</v>
      </c>
      <c r="B970" t="s">
        <v>20</v>
      </c>
      <c r="C970">
        <v>22.46</v>
      </c>
      <c r="D970">
        <v>22.51</v>
      </c>
      <c r="E970">
        <v>87.15</v>
      </c>
      <c r="F970" t="s">
        <v>16</v>
      </c>
      <c r="G9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70">
        <f>IF(Table1[[#This Row],[is_ups_overcharge]]="ups overcharged",Table1[[#This Row],[ups ship charge]]-Table1[[#This Row],[ada ship charge]],0)</f>
        <v>0</v>
      </c>
    </row>
    <row r="971" spans="1:9" x14ac:dyDescent="0.2">
      <c r="A971">
        <v>1014960</v>
      </c>
      <c r="B971" t="s">
        <v>20</v>
      </c>
      <c r="C971">
        <v>9.6999999999999993</v>
      </c>
      <c r="D971">
        <v>0</v>
      </c>
      <c r="E971">
        <v>251.4</v>
      </c>
      <c r="F971" t="s">
        <v>6</v>
      </c>
      <c r="G9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97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971">
        <f>IF(Table1[[#This Row],[is_ups_overcharge]]="ups overcharged",Table1[[#This Row],[ups ship charge]]-Table1[[#This Row],[ada ship charge]],0)</f>
        <v>0</v>
      </c>
    </row>
    <row r="972" spans="1:9" x14ac:dyDescent="0.2">
      <c r="A972">
        <v>1014968</v>
      </c>
      <c r="B972" t="s">
        <v>20</v>
      </c>
      <c r="C972">
        <v>18.149999999999999</v>
      </c>
      <c r="D972">
        <v>18.97</v>
      </c>
      <c r="E972">
        <v>72.349999999999994</v>
      </c>
      <c r="F972" t="s">
        <v>15</v>
      </c>
      <c r="G9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72">
        <f>IF(Table1[[#This Row],[is_ups_overcharge]]="ups overcharged",Table1[[#This Row],[ups ship charge]]-Table1[[#This Row],[ada ship charge]],0)</f>
        <v>0</v>
      </c>
    </row>
    <row r="973" spans="1:9" x14ac:dyDescent="0.2">
      <c r="A973">
        <v>1014999</v>
      </c>
      <c r="B973" t="s">
        <v>20</v>
      </c>
      <c r="C973">
        <v>12.81</v>
      </c>
      <c r="D973">
        <v>0</v>
      </c>
      <c r="E973">
        <v>317.85000000000002</v>
      </c>
      <c r="F973" t="s">
        <v>9</v>
      </c>
      <c r="G9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97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973">
        <f>IF(Table1[[#This Row],[is_ups_overcharge]]="ups overcharged",Table1[[#This Row],[ups ship charge]]-Table1[[#This Row],[ada ship charge]],0)</f>
        <v>0</v>
      </c>
    </row>
    <row r="974" spans="1:9" x14ac:dyDescent="0.2">
      <c r="A974">
        <v>1015003</v>
      </c>
      <c r="B974" t="s">
        <v>20</v>
      </c>
      <c r="C974">
        <v>13.7</v>
      </c>
      <c r="D974">
        <v>13.75</v>
      </c>
      <c r="E974">
        <v>9.9499999999999993</v>
      </c>
      <c r="F974" t="s">
        <v>9</v>
      </c>
      <c r="G9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74">
        <f>IF(Table1[[#This Row],[is_ups_overcharge]]="ups overcharged",Table1[[#This Row],[ups ship charge]]-Table1[[#This Row],[ada ship charge]],0)</f>
        <v>0</v>
      </c>
    </row>
    <row r="975" spans="1:9" x14ac:dyDescent="0.2">
      <c r="A975">
        <v>1015007</v>
      </c>
      <c r="B975" t="s">
        <v>20</v>
      </c>
      <c r="C975">
        <v>16.46</v>
      </c>
      <c r="D975">
        <v>16.510000000000002</v>
      </c>
      <c r="E975">
        <v>14.85</v>
      </c>
      <c r="F975" t="s">
        <v>10</v>
      </c>
      <c r="G9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75">
        <f>IF(Table1[[#This Row],[is_ups_overcharge]]="ups overcharged",Table1[[#This Row],[ups ship charge]]-Table1[[#This Row],[ada ship charge]],0)</f>
        <v>0</v>
      </c>
    </row>
    <row r="976" spans="1:9" x14ac:dyDescent="0.2">
      <c r="A976">
        <v>1015033</v>
      </c>
      <c r="B976" t="s">
        <v>20</v>
      </c>
      <c r="C976">
        <v>21.58</v>
      </c>
      <c r="D976">
        <v>0</v>
      </c>
      <c r="E976">
        <v>3496.5</v>
      </c>
      <c r="F976" t="s">
        <v>6</v>
      </c>
      <c r="G9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97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976">
        <f>IF(Table1[[#This Row],[is_ups_overcharge]]="ups overcharged",Table1[[#This Row],[ups ship charge]]-Table1[[#This Row],[ada ship charge]],0)</f>
        <v>0</v>
      </c>
    </row>
    <row r="977" spans="1:9" x14ac:dyDescent="0.2">
      <c r="A977">
        <v>1015056</v>
      </c>
      <c r="B977" t="s">
        <v>20</v>
      </c>
      <c r="C977">
        <v>29.37</v>
      </c>
      <c r="D977">
        <v>30.23</v>
      </c>
      <c r="E977">
        <v>114.85</v>
      </c>
      <c r="F977" t="s">
        <v>15</v>
      </c>
      <c r="G9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77">
        <f>IF(Table1[[#This Row],[is_ups_overcharge]]="ups overcharged",Table1[[#This Row],[ups ship charge]]-Table1[[#This Row],[ada ship charge]],0)</f>
        <v>0</v>
      </c>
    </row>
    <row r="978" spans="1:9" x14ac:dyDescent="0.2">
      <c r="A978">
        <v>1015074</v>
      </c>
      <c r="B978" t="s">
        <v>20</v>
      </c>
      <c r="C978">
        <v>15.44</v>
      </c>
      <c r="D978">
        <v>15.49</v>
      </c>
      <c r="E978">
        <v>29.95</v>
      </c>
      <c r="F978" t="s">
        <v>12</v>
      </c>
      <c r="G9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78">
        <f>IF(Table1[[#This Row],[is_ups_overcharge]]="ups overcharged",Table1[[#This Row],[ups ship charge]]-Table1[[#This Row],[ada ship charge]],0)</f>
        <v>0</v>
      </c>
    </row>
    <row r="979" spans="1:9" x14ac:dyDescent="0.2">
      <c r="A979">
        <v>1015075</v>
      </c>
      <c r="B979" t="s">
        <v>20</v>
      </c>
      <c r="C979">
        <v>17.760000000000002</v>
      </c>
      <c r="D979">
        <v>17.82</v>
      </c>
      <c r="E979">
        <v>49.9</v>
      </c>
      <c r="F979" t="s">
        <v>12</v>
      </c>
      <c r="G9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79">
        <f>IF(Table1[[#This Row],[is_ups_overcharge]]="ups overcharged",Table1[[#This Row],[ups ship charge]]-Table1[[#This Row],[ada ship charge]],0)</f>
        <v>0</v>
      </c>
    </row>
    <row r="980" spans="1:9" x14ac:dyDescent="0.2">
      <c r="A980">
        <v>1015096</v>
      </c>
      <c r="B980" t="s">
        <v>20</v>
      </c>
      <c r="C980">
        <v>12.81</v>
      </c>
      <c r="D980">
        <v>12.86</v>
      </c>
      <c r="E980">
        <v>99.95</v>
      </c>
      <c r="F980" t="s">
        <v>9</v>
      </c>
      <c r="G9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80">
        <f>IF(Table1[[#This Row],[is_ups_overcharge]]="ups overcharged",Table1[[#This Row],[ups ship charge]]-Table1[[#This Row],[ada ship charge]],0)</f>
        <v>0</v>
      </c>
    </row>
    <row r="981" spans="1:9" x14ac:dyDescent="0.2">
      <c r="A981">
        <v>1015115</v>
      </c>
      <c r="B981" t="s">
        <v>20</v>
      </c>
      <c r="C981">
        <v>16.46</v>
      </c>
      <c r="D981">
        <v>16.510000000000002</v>
      </c>
      <c r="E981">
        <v>125.5</v>
      </c>
      <c r="F981" t="s">
        <v>10</v>
      </c>
      <c r="G9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81">
        <f>IF(Table1[[#This Row],[is_ups_overcharge]]="ups overcharged",Table1[[#This Row],[ups ship charge]]-Table1[[#This Row],[ada ship charge]],0)</f>
        <v>0</v>
      </c>
    </row>
    <row r="982" spans="1:9" x14ac:dyDescent="0.2">
      <c r="A982">
        <v>1015122</v>
      </c>
      <c r="B982" t="s">
        <v>20</v>
      </c>
      <c r="C982">
        <v>12.81</v>
      </c>
      <c r="D982">
        <v>0</v>
      </c>
      <c r="E982">
        <v>208.45</v>
      </c>
      <c r="F982" t="s">
        <v>9</v>
      </c>
      <c r="G9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98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982">
        <f>IF(Table1[[#This Row],[is_ups_overcharge]]="ups overcharged",Table1[[#This Row],[ups ship charge]]-Table1[[#This Row],[ada ship charge]],0)</f>
        <v>0</v>
      </c>
    </row>
    <row r="983" spans="1:9" x14ac:dyDescent="0.2">
      <c r="A983">
        <v>1015124</v>
      </c>
      <c r="B983" t="s">
        <v>20</v>
      </c>
      <c r="C983">
        <v>12.81</v>
      </c>
      <c r="D983">
        <v>12.86</v>
      </c>
      <c r="E983">
        <v>44.9</v>
      </c>
      <c r="F983" t="s">
        <v>9</v>
      </c>
      <c r="G9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83">
        <f>IF(Table1[[#This Row],[is_ups_overcharge]]="ups overcharged",Table1[[#This Row],[ups ship charge]]-Table1[[#This Row],[ada ship charge]],0)</f>
        <v>0</v>
      </c>
    </row>
    <row r="984" spans="1:9" x14ac:dyDescent="0.2">
      <c r="A984">
        <v>1015129</v>
      </c>
      <c r="B984" t="s">
        <v>20</v>
      </c>
      <c r="C984">
        <v>16.46</v>
      </c>
      <c r="D984">
        <v>16.510000000000002</v>
      </c>
      <c r="E984">
        <v>16.95</v>
      </c>
      <c r="F984" t="s">
        <v>10</v>
      </c>
      <c r="G9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84">
        <f>IF(Table1[[#This Row],[is_ups_overcharge]]="ups overcharged",Table1[[#This Row],[ups ship charge]]-Table1[[#This Row],[ada ship charge]],0)</f>
        <v>0</v>
      </c>
    </row>
    <row r="985" spans="1:9" x14ac:dyDescent="0.2">
      <c r="A985">
        <v>1015130</v>
      </c>
      <c r="B985" t="s">
        <v>20</v>
      </c>
      <c r="C985">
        <v>9.6999999999999993</v>
      </c>
      <c r="D985">
        <v>13.75</v>
      </c>
      <c r="E985">
        <v>19.95</v>
      </c>
      <c r="F985" t="s">
        <v>6</v>
      </c>
      <c r="G9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85">
        <f>IF(Table1[[#This Row],[is_ups_overcharge]]="ups overcharged",Table1[[#This Row],[ups ship charge]]-Table1[[#This Row],[ada ship charge]],0)</f>
        <v>0</v>
      </c>
    </row>
    <row r="986" spans="1:9" x14ac:dyDescent="0.2">
      <c r="A986">
        <v>1015132</v>
      </c>
      <c r="B986" t="s">
        <v>20</v>
      </c>
      <c r="C986">
        <v>13.7</v>
      </c>
      <c r="D986">
        <v>13.75</v>
      </c>
      <c r="E986">
        <v>14.95</v>
      </c>
      <c r="F986" t="s">
        <v>9</v>
      </c>
      <c r="G9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86">
        <f>IF(Table1[[#This Row],[is_ups_overcharge]]="ups overcharged",Table1[[#This Row],[ups ship charge]]-Table1[[#This Row],[ada ship charge]],0)</f>
        <v>0</v>
      </c>
    </row>
    <row r="987" spans="1:9" x14ac:dyDescent="0.2">
      <c r="A987">
        <v>1015134</v>
      </c>
      <c r="B987" t="s">
        <v>20</v>
      </c>
      <c r="C987">
        <v>13.7</v>
      </c>
      <c r="D987">
        <v>13.76</v>
      </c>
      <c r="E987">
        <v>161.55000000000001</v>
      </c>
      <c r="F987" t="s">
        <v>9</v>
      </c>
      <c r="G9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87">
        <f>IF(Table1[[#This Row],[is_ups_overcharge]]="ups overcharged",Table1[[#This Row],[ups ship charge]]-Table1[[#This Row],[ada ship charge]],0)</f>
        <v>0</v>
      </c>
    </row>
    <row r="988" spans="1:9" x14ac:dyDescent="0.2">
      <c r="A988">
        <v>1015138</v>
      </c>
      <c r="B988" t="s">
        <v>20</v>
      </c>
      <c r="C988">
        <v>12.81</v>
      </c>
      <c r="D988">
        <v>12.86</v>
      </c>
      <c r="E988">
        <v>83.25</v>
      </c>
      <c r="F988" t="s">
        <v>9</v>
      </c>
      <c r="G9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88">
        <f>IF(Table1[[#This Row],[is_ups_overcharge]]="ups overcharged",Table1[[#This Row],[ups ship charge]]-Table1[[#This Row],[ada ship charge]],0)</f>
        <v>0</v>
      </c>
    </row>
    <row r="989" spans="1:9" x14ac:dyDescent="0.2">
      <c r="A989">
        <v>1015140</v>
      </c>
      <c r="B989" t="s">
        <v>20</v>
      </c>
      <c r="C989">
        <v>12.81</v>
      </c>
      <c r="D989">
        <v>12.86</v>
      </c>
      <c r="E989">
        <v>17.8</v>
      </c>
      <c r="F989" t="s">
        <v>9</v>
      </c>
      <c r="G9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89">
        <f>IF(Table1[[#This Row],[is_ups_overcharge]]="ups overcharged",Table1[[#This Row],[ups ship charge]]-Table1[[#This Row],[ada ship charge]],0)</f>
        <v>0</v>
      </c>
    </row>
    <row r="990" spans="1:9" x14ac:dyDescent="0.2">
      <c r="A990">
        <v>1015163</v>
      </c>
      <c r="B990" t="s">
        <v>20</v>
      </c>
      <c r="C990">
        <v>13.71</v>
      </c>
      <c r="D990">
        <v>13.76</v>
      </c>
      <c r="E990">
        <v>66.75</v>
      </c>
      <c r="F990" t="s">
        <v>9</v>
      </c>
      <c r="G9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90">
        <f>IF(Table1[[#This Row],[is_ups_overcharge]]="ups overcharged",Table1[[#This Row],[ups ship charge]]-Table1[[#This Row],[ada ship charge]],0)</f>
        <v>0</v>
      </c>
    </row>
    <row r="991" spans="1:9" x14ac:dyDescent="0.2">
      <c r="A991">
        <v>1015177</v>
      </c>
      <c r="B991" t="s">
        <v>20</v>
      </c>
      <c r="C991">
        <v>13.7</v>
      </c>
      <c r="D991">
        <v>13.75</v>
      </c>
      <c r="E991">
        <v>55</v>
      </c>
      <c r="F991" t="s">
        <v>9</v>
      </c>
      <c r="G9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91">
        <f>IF(Table1[[#This Row],[is_ups_overcharge]]="ups overcharged",Table1[[#This Row],[ups ship charge]]-Table1[[#This Row],[ada ship charge]],0)</f>
        <v>0</v>
      </c>
    </row>
    <row r="992" spans="1:9" x14ac:dyDescent="0.2">
      <c r="A992">
        <v>1015187</v>
      </c>
      <c r="B992" t="s">
        <v>20</v>
      </c>
      <c r="C992">
        <v>13.7</v>
      </c>
      <c r="D992">
        <v>13.75</v>
      </c>
      <c r="E992">
        <v>22.5</v>
      </c>
      <c r="F992" t="s">
        <v>9</v>
      </c>
      <c r="G9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92">
        <f>IF(Table1[[#This Row],[is_ups_overcharge]]="ups overcharged",Table1[[#This Row],[ups ship charge]]-Table1[[#This Row],[ada ship charge]],0)</f>
        <v>0</v>
      </c>
    </row>
    <row r="993" spans="1:9" x14ac:dyDescent="0.2">
      <c r="A993">
        <v>1015197</v>
      </c>
      <c r="B993" t="s">
        <v>20</v>
      </c>
      <c r="C993">
        <v>13.7</v>
      </c>
      <c r="D993">
        <v>13.76</v>
      </c>
      <c r="E993">
        <v>196.65</v>
      </c>
      <c r="F993" t="s">
        <v>9</v>
      </c>
      <c r="G9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93">
        <f>IF(Table1[[#This Row],[is_ups_overcharge]]="ups overcharged",Table1[[#This Row],[ups ship charge]]-Table1[[#This Row],[ada ship charge]],0)</f>
        <v>0</v>
      </c>
    </row>
    <row r="994" spans="1:9" x14ac:dyDescent="0.2">
      <c r="A994">
        <v>1015220</v>
      </c>
      <c r="B994" t="s">
        <v>20</v>
      </c>
      <c r="C994">
        <v>13.7</v>
      </c>
      <c r="D994">
        <v>13.76</v>
      </c>
      <c r="E994">
        <v>123.9</v>
      </c>
      <c r="F994" t="s">
        <v>9</v>
      </c>
      <c r="G9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94">
        <f>IF(Table1[[#This Row],[is_ups_overcharge]]="ups overcharged",Table1[[#This Row],[ups ship charge]]-Table1[[#This Row],[ada ship charge]],0)</f>
        <v>0</v>
      </c>
    </row>
    <row r="995" spans="1:9" x14ac:dyDescent="0.2">
      <c r="A995">
        <v>1015229</v>
      </c>
      <c r="B995" t="s">
        <v>20</v>
      </c>
      <c r="C995">
        <v>16.46</v>
      </c>
      <c r="D995">
        <v>16.510000000000002</v>
      </c>
      <c r="E995">
        <v>48.3</v>
      </c>
      <c r="F995" t="s">
        <v>10</v>
      </c>
      <c r="G9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95">
        <f>IF(Table1[[#This Row],[is_ups_overcharge]]="ups overcharged",Table1[[#This Row],[ups ship charge]]-Table1[[#This Row],[ada ship charge]],0)</f>
        <v>0</v>
      </c>
    </row>
    <row r="996" spans="1:9" x14ac:dyDescent="0.2">
      <c r="A996">
        <v>1015242</v>
      </c>
      <c r="B996" t="s">
        <v>20</v>
      </c>
      <c r="C996">
        <v>9.6999999999999993</v>
      </c>
      <c r="D996">
        <v>9.75</v>
      </c>
      <c r="E996">
        <v>14.85</v>
      </c>
      <c r="F996" t="s">
        <v>6</v>
      </c>
      <c r="G9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96">
        <f>IF(Table1[[#This Row],[is_ups_overcharge]]="ups overcharged",Table1[[#This Row],[ups ship charge]]-Table1[[#This Row],[ada ship charge]],0)</f>
        <v>0</v>
      </c>
    </row>
    <row r="997" spans="1:9" x14ac:dyDescent="0.2">
      <c r="A997">
        <v>1015252</v>
      </c>
      <c r="B997" t="s">
        <v>20</v>
      </c>
      <c r="C997">
        <v>15.45</v>
      </c>
      <c r="D997">
        <v>16.5</v>
      </c>
      <c r="E997">
        <v>101.85</v>
      </c>
      <c r="F997" t="s">
        <v>12</v>
      </c>
      <c r="G9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97">
        <f>IF(Table1[[#This Row],[is_ups_overcharge]]="ups overcharged",Table1[[#This Row],[ups ship charge]]-Table1[[#This Row],[ada ship charge]],0)</f>
        <v>0</v>
      </c>
    </row>
    <row r="998" spans="1:9" x14ac:dyDescent="0.2">
      <c r="A998">
        <v>1015258</v>
      </c>
      <c r="B998" t="s">
        <v>20</v>
      </c>
      <c r="C998">
        <v>12.81</v>
      </c>
      <c r="D998">
        <v>0</v>
      </c>
      <c r="E998">
        <v>232.75</v>
      </c>
      <c r="F998" t="s">
        <v>9</v>
      </c>
      <c r="G9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99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998">
        <f>IF(Table1[[#This Row],[is_ups_overcharge]]="ups overcharged",Table1[[#This Row],[ups ship charge]]-Table1[[#This Row],[ada ship charge]],0)</f>
        <v>0</v>
      </c>
    </row>
    <row r="999" spans="1:9" x14ac:dyDescent="0.2">
      <c r="A999">
        <v>1015265</v>
      </c>
      <c r="B999" t="s">
        <v>20</v>
      </c>
      <c r="C999">
        <v>18.149999999999999</v>
      </c>
      <c r="D999">
        <v>18.2</v>
      </c>
      <c r="E999">
        <v>11.95</v>
      </c>
      <c r="F999" t="s">
        <v>15</v>
      </c>
      <c r="G9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9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999">
        <f>IF(Table1[[#This Row],[is_ups_overcharge]]="ups overcharged",Table1[[#This Row],[ups ship charge]]-Table1[[#This Row],[ada ship charge]],0)</f>
        <v>0</v>
      </c>
    </row>
    <row r="1000" spans="1:9" x14ac:dyDescent="0.2">
      <c r="A1000">
        <v>1015283</v>
      </c>
      <c r="B1000" t="s">
        <v>20</v>
      </c>
      <c r="C1000">
        <v>16.46</v>
      </c>
      <c r="D1000">
        <v>16.510000000000002</v>
      </c>
      <c r="E1000">
        <v>24.95</v>
      </c>
      <c r="F1000" t="s">
        <v>10</v>
      </c>
      <c r="G10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00">
        <f>IF(Table1[[#This Row],[is_ups_overcharge]]="ups overcharged",Table1[[#This Row],[ups ship charge]]-Table1[[#This Row],[ada ship charge]],0)</f>
        <v>0</v>
      </c>
    </row>
    <row r="1001" spans="1:9" x14ac:dyDescent="0.2">
      <c r="A1001">
        <v>1015357</v>
      </c>
      <c r="B1001" t="s">
        <v>20</v>
      </c>
      <c r="C1001">
        <v>13.6</v>
      </c>
      <c r="D1001">
        <v>13.65</v>
      </c>
      <c r="E1001">
        <v>14.95</v>
      </c>
      <c r="F1001" t="s">
        <v>16</v>
      </c>
      <c r="G10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01">
        <f>IF(Table1[[#This Row],[is_ups_overcharge]]="ups overcharged",Table1[[#This Row],[ups ship charge]]-Table1[[#This Row],[ada ship charge]],0)</f>
        <v>0</v>
      </c>
    </row>
    <row r="1002" spans="1:9" x14ac:dyDescent="0.2">
      <c r="A1002">
        <v>1015367</v>
      </c>
      <c r="B1002" t="s">
        <v>20</v>
      </c>
      <c r="C1002">
        <v>15.44</v>
      </c>
      <c r="D1002">
        <v>15.49</v>
      </c>
      <c r="E1002">
        <v>41.9</v>
      </c>
      <c r="F1002" t="s">
        <v>12</v>
      </c>
      <c r="G10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02">
        <f>IF(Table1[[#This Row],[is_ups_overcharge]]="ups overcharged",Table1[[#This Row],[ups ship charge]]-Table1[[#This Row],[ada ship charge]],0)</f>
        <v>0</v>
      </c>
    </row>
    <row r="1003" spans="1:9" x14ac:dyDescent="0.2">
      <c r="A1003">
        <v>1015370</v>
      </c>
      <c r="B1003" t="s">
        <v>20</v>
      </c>
      <c r="C1003">
        <v>9.6999999999999993</v>
      </c>
      <c r="D1003">
        <v>0</v>
      </c>
      <c r="E1003">
        <v>214.45</v>
      </c>
      <c r="F1003" t="s">
        <v>6</v>
      </c>
      <c r="G10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0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03">
        <f>IF(Table1[[#This Row],[is_ups_overcharge]]="ups overcharged",Table1[[#This Row],[ups ship charge]]-Table1[[#This Row],[ada ship charge]],0)</f>
        <v>0</v>
      </c>
    </row>
    <row r="1004" spans="1:9" x14ac:dyDescent="0.2">
      <c r="A1004">
        <v>1015375</v>
      </c>
      <c r="B1004" t="s">
        <v>20</v>
      </c>
      <c r="C1004">
        <v>12.81</v>
      </c>
      <c r="D1004">
        <v>12.86</v>
      </c>
      <c r="E1004">
        <v>7.45</v>
      </c>
      <c r="F1004" t="s">
        <v>9</v>
      </c>
      <c r="G10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04">
        <f>IF(Table1[[#This Row],[is_ups_overcharge]]="ups overcharged",Table1[[#This Row],[ups ship charge]]-Table1[[#This Row],[ada ship charge]],0)</f>
        <v>0</v>
      </c>
    </row>
    <row r="1005" spans="1:9" x14ac:dyDescent="0.2">
      <c r="A1005">
        <v>1015383</v>
      </c>
      <c r="B1005" t="s">
        <v>20</v>
      </c>
      <c r="C1005">
        <v>9.7100000000000009</v>
      </c>
      <c r="D1005">
        <v>0</v>
      </c>
      <c r="E1005">
        <v>23.97</v>
      </c>
      <c r="F1005" t="s">
        <v>6</v>
      </c>
      <c r="G10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05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005">
        <f>IF(Table1[[#This Row],[is_ups_overcharge]]="ups overcharged",Table1[[#This Row],[ups ship charge]]-Table1[[#This Row],[ada ship charge]],0)</f>
        <v>9.7100000000000009</v>
      </c>
    </row>
    <row r="1006" spans="1:9" x14ac:dyDescent="0.2">
      <c r="A1006">
        <v>1015394</v>
      </c>
      <c r="B1006" t="s">
        <v>20</v>
      </c>
      <c r="C1006">
        <v>12.55</v>
      </c>
      <c r="D1006">
        <v>0</v>
      </c>
      <c r="E1006">
        <v>549.04999999999995</v>
      </c>
      <c r="F1006" t="s">
        <v>6</v>
      </c>
      <c r="G10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0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06">
        <f>IF(Table1[[#This Row],[is_ups_overcharge]]="ups overcharged",Table1[[#This Row],[ups ship charge]]-Table1[[#This Row],[ada ship charge]],0)</f>
        <v>0</v>
      </c>
    </row>
    <row r="1007" spans="1:9" x14ac:dyDescent="0.2">
      <c r="A1007">
        <v>1015395</v>
      </c>
      <c r="B1007" t="s">
        <v>20</v>
      </c>
      <c r="C1007">
        <v>13.7</v>
      </c>
      <c r="D1007">
        <v>13.75</v>
      </c>
      <c r="E1007">
        <v>93.85</v>
      </c>
      <c r="F1007" t="s">
        <v>9</v>
      </c>
      <c r="G10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07">
        <f>IF(Table1[[#This Row],[is_ups_overcharge]]="ups overcharged",Table1[[#This Row],[ups ship charge]]-Table1[[#This Row],[ada ship charge]],0)</f>
        <v>0</v>
      </c>
    </row>
    <row r="1008" spans="1:9" x14ac:dyDescent="0.2">
      <c r="A1008">
        <v>1015400</v>
      </c>
      <c r="B1008" t="s">
        <v>20</v>
      </c>
      <c r="C1008">
        <v>34.19</v>
      </c>
      <c r="D1008">
        <v>0</v>
      </c>
      <c r="E1008">
        <v>1299</v>
      </c>
      <c r="F1008" t="s">
        <v>6</v>
      </c>
      <c r="G10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0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08">
        <f>IF(Table1[[#This Row],[is_ups_overcharge]]="ups overcharged",Table1[[#This Row],[ups ship charge]]-Table1[[#This Row],[ada ship charge]],0)</f>
        <v>0</v>
      </c>
    </row>
    <row r="1009" spans="1:9" x14ac:dyDescent="0.2">
      <c r="A1009">
        <v>1015409</v>
      </c>
      <c r="B1009" t="s">
        <v>20</v>
      </c>
      <c r="C1009">
        <v>11.02</v>
      </c>
      <c r="D1009">
        <v>11.66</v>
      </c>
      <c r="E1009">
        <v>116.05</v>
      </c>
      <c r="F1009" t="s">
        <v>14</v>
      </c>
      <c r="G10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09">
        <f>IF(Table1[[#This Row],[is_ups_overcharge]]="ups overcharged",Table1[[#This Row],[ups ship charge]]-Table1[[#This Row],[ada ship charge]],0)</f>
        <v>0</v>
      </c>
    </row>
    <row r="1010" spans="1:9" x14ac:dyDescent="0.2">
      <c r="A1010">
        <v>1015419</v>
      </c>
      <c r="B1010" t="s">
        <v>20</v>
      </c>
      <c r="C1010">
        <v>12.81</v>
      </c>
      <c r="D1010">
        <v>12.86</v>
      </c>
      <c r="E1010">
        <v>72.599999999999994</v>
      </c>
      <c r="F1010" t="s">
        <v>9</v>
      </c>
      <c r="G10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10">
        <f>IF(Table1[[#This Row],[is_ups_overcharge]]="ups overcharged",Table1[[#This Row],[ups ship charge]]-Table1[[#This Row],[ada ship charge]],0)</f>
        <v>0</v>
      </c>
    </row>
    <row r="1011" spans="1:9" x14ac:dyDescent="0.2">
      <c r="A1011">
        <v>1015424</v>
      </c>
      <c r="B1011" t="s">
        <v>20</v>
      </c>
      <c r="C1011">
        <v>13.7</v>
      </c>
      <c r="D1011">
        <v>13.75</v>
      </c>
      <c r="E1011">
        <v>44.9</v>
      </c>
      <c r="F1011" t="s">
        <v>9</v>
      </c>
      <c r="G10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11">
        <f>IF(Table1[[#This Row],[is_ups_overcharge]]="ups overcharged",Table1[[#This Row],[ups ship charge]]-Table1[[#This Row],[ada ship charge]],0)</f>
        <v>0</v>
      </c>
    </row>
    <row r="1012" spans="1:9" x14ac:dyDescent="0.2">
      <c r="A1012">
        <v>1015426</v>
      </c>
      <c r="B1012" t="s">
        <v>20</v>
      </c>
      <c r="C1012">
        <v>9.7100000000000009</v>
      </c>
      <c r="D1012">
        <v>13.75</v>
      </c>
      <c r="E1012">
        <v>94.75</v>
      </c>
      <c r="F1012" t="s">
        <v>6</v>
      </c>
      <c r="G10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12">
        <f>IF(Table1[[#This Row],[is_ups_overcharge]]="ups overcharged",Table1[[#This Row],[ups ship charge]]-Table1[[#This Row],[ada ship charge]],0)</f>
        <v>0</v>
      </c>
    </row>
    <row r="1013" spans="1:9" x14ac:dyDescent="0.2">
      <c r="A1013">
        <v>1015440</v>
      </c>
      <c r="B1013" t="s">
        <v>20</v>
      </c>
      <c r="C1013">
        <v>16.77</v>
      </c>
      <c r="D1013">
        <v>16.82</v>
      </c>
      <c r="E1013">
        <v>63.75</v>
      </c>
      <c r="F1013" t="s">
        <v>10</v>
      </c>
      <c r="G10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13">
        <f>IF(Table1[[#This Row],[is_ups_overcharge]]="ups overcharged",Table1[[#This Row],[ups ship charge]]-Table1[[#This Row],[ada ship charge]],0)</f>
        <v>0</v>
      </c>
    </row>
    <row r="1014" spans="1:9" x14ac:dyDescent="0.2">
      <c r="A1014">
        <v>1015470</v>
      </c>
      <c r="B1014" t="s">
        <v>20</v>
      </c>
      <c r="C1014">
        <v>9.6999999999999993</v>
      </c>
      <c r="D1014">
        <v>13.76</v>
      </c>
      <c r="E1014">
        <v>70.849999999999994</v>
      </c>
      <c r="F1014" t="s">
        <v>6</v>
      </c>
      <c r="G10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14">
        <f>IF(Table1[[#This Row],[is_ups_overcharge]]="ups overcharged",Table1[[#This Row],[ups ship charge]]-Table1[[#This Row],[ada ship charge]],0)</f>
        <v>0</v>
      </c>
    </row>
    <row r="1015" spans="1:9" x14ac:dyDescent="0.2">
      <c r="A1015">
        <v>1015479</v>
      </c>
      <c r="B1015" t="s">
        <v>20</v>
      </c>
      <c r="C1015">
        <v>12.81</v>
      </c>
      <c r="D1015">
        <v>0</v>
      </c>
      <c r="E1015">
        <v>207.95</v>
      </c>
      <c r="F1015" t="s">
        <v>9</v>
      </c>
      <c r="G10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1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15">
        <f>IF(Table1[[#This Row],[is_ups_overcharge]]="ups overcharged",Table1[[#This Row],[ups ship charge]]-Table1[[#This Row],[ada ship charge]],0)</f>
        <v>0</v>
      </c>
    </row>
    <row r="1016" spans="1:9" x14ac:dyDescent="0.2">
      <c r="A1016">
        <v>1015513</v>
      </c>
      <c r="B1016" t="s">
        <v>20</v>
      </c>
      <c r="C1016">
        <v>12.81</v>
      </c>
      <c r="D1016">
        <v>0</v>
      </c>
      <c r="E1016">
        <v>208.9</v>
      </c>
      <c r="F1016" t="s">
        <v>9</v>
      </c>
      <c r="G10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1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16">
        <f>IF(Table1[[#This Row],[is_ups_overcharge]]="ups overcharged",Table1[[#This Row],[ups ship charge]]-Table1[[#This Row],[ada ship charge]],0)</f>
        <v>0</v>
      </c>
    </row>
    <row r="1017" spans="1:9" x14ac:dyDescent="0.2">
      <c r="A1017">
        <v>1015517</v>
      </c>
      <c r="B1017" t="s">
        <v>20</v>
      </c>
      <c r="C1017">
        <v>17.64</v>
      </c>
      <c r="D1017">
        <v>14.29</v>
      </c>
      <c r="E1017">
        <v>249.9</v>
      </c>
      <c r="F1017" t="s">
        <v>13</v>
      </c>
      <c r="G10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17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017">
        <f>IF(Table1[[#This Row],[is_ups_overcharge]]="ups overcharged",Table1[[#This Row],[ups ship charge]]-Table1[[#This Row],[ada ship charge]],0)</f>
        <v>3.3500000000000014</v>
      </c>
    </row>
    <row r="1018" spans="1:9" x14ac:dyDescent="0.2">
      <c r="A1018">
        <v>1015523</v>
      </c>
      <c r="B1018" t="s">
        <v>20</v>
      </c>
      <c r="C1018">
        <v>13.7</v>
      </c>
      <c r="D1018">
        <v>13.75</v>
      </c>
      <c r="E1018">
        <v>20.85</v>
      </c>
      <c r="F1018" t="s">
        <v>9</v>
      </c>
      <c r="G10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18">
        <f>IF(Table1[[#This Row],[is_ups_overcharge]]="ups overcharged",Table1[[#This Row],[ups ship charge]]-Table1[[#This Row],[ada ship charge]],0)</f>
        <v>0</v>
      </c>
    </row>
    <row r="1019" spans="1:9" x14ac:dyDescent="0.2">
      <c r="A1019">
        <v>1015524</v>
      </c>
      <c r="B1019" t="s">
        <v>20</v>
      </c>
      <c r="C1019">
        <v>13.7</v>
      </c>
      <c r="D1019">
        <v>13.91</v>
      </c>
      <c r="E1019">
        <v>23.75</v>
      </c>
      <c r="F1019" t="s">
        <v>9</v>
      </c>
      <c r="G10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19">
        <f>IF(Table1[[#This Row],[is_ups_overcharge]]="ups overcharged",Table1[[#This Row],[ups ship charge]]-Table1[[#This Row],[ada ship charge]],0)</f>
        <v>0</v>
      </c>
    </row>
    <row r="1020" spans="1:9" x14ac:dyDescent="0.2">
      <c r="A1020">
        <v>1015529</v>
      </c>
      <c r="B1020" t="s">
        <v>20</v>
      </c>
      <c r="C1020">
        <v>12.81</v>
      </c>
      <c r="D1020">
        <v>12.86</v>
      </c>
      <c r="E1020">
        <v>69.849999999999994</v>
      </c>
      <c r="F1020" t="s">
        <v>9</v>
      </c>
      <c r="G10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20">
        <f>IF(Table1[[#This Row],[is_ups_overcharge]]="ups overcharged",Table1[[#This Row],[ups ship charge]]-Table1[[#This Row],[ada ship charge]],0)</f>
        <v>0</v>
      </c>
    </row>
    <row r="1021" spans="1:9" x14ac:dyDescent="0.2">
      <c r="A1021">
        <v>1015551</v>
      </c>
      <c r="B1021" t="s">
        <v>20</v>
      </c>
      <c r="C1021">
        <v>24.88</v>
      </c>
      <c r="D1021">
        <v>27.49</v>
      </c>
      <c r="E1021">
        <v>121.2</v>
      </c>
      <c r="F1021" t="s">
        <v>15</v>
      </c>
      <c r="G10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21">
        <f>IF(Table1[[#This Row],[is_ups_overcharge]]="ups overcharged",Table1[[#This Row],[ups ship charge]]-Table1[[#This Row],[ada ship charge]],0)</f>
        <v>0</v>
      </c>
    </row>
    <row r="1022" spans="1:9" x14ac:dyDescent="0.2">
      <c r="A1022">
        <v>1015554</v>
      </c>
      <c r="B1022" t="s">
        <v>20</v>
      </c>
      <c r="C1022">
        <v>12.81</v>
      </c>
      <c r="D1022">
        <v>12.86</v>
      </c>
      <c r="E1022">
        <v>51.95</v>
      </c>
      <c r="F1022" t="s">
        <v>9</v>
      </c>
      <c r="G10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22">
        <f>IF(Table1[[#This Row],[is_ups_overcharge]]="ups overcharged",Table1[[#This Row],[ups ship charge]]-Table1[[#This Row],[ada ship charge]],0)</f>
        <v>0</v>
      </c>
    </row>
    <row r="1023" spans="1:9" x14ac:dyDescent="0.2">
      <c r="A1023">
        <v>1015555</v>
      </c>
      <c r="B1023" t="s">
        <v>20</v>
      </c>
      <c r="C1023">
        <v>12.81</v>
      </c>
      <c r="D1023">
        <v>12.86</v>
      </c>
      <c r="E1023">
        <v>29.85</v>
      </c>
      <c r="F1023" t="s">
        <v>9</v>
      </c>
      <c r="G10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23">
        <f>IF(Table1[[#This Row],[is_ups_overcharge]]="ups overcharged",Table1[[#This Row],[ups ship charge]]-Table1[[#This Row],[ada ship charge]],0)</f>
        <v>0</v>
      </c>
    </row>
    <row r="1024" spans="1:9" x14ac:dyDescent="0.2">
      <c r="A1024">
        <v>1015558</v>
      </c>
      <c r="B1024" t="s">
        <v>20</v>
      </c>
      <c r="C1024">
        <v>9.7100000000000009</v>
      </c>
      <c r="D1024">
        <v>0</v>
      </c>
      <c r="E1024">
        <v>276.10000000000002</v>
      </c>
      <c r="F1024" t="s">
        <v>6</v>
      </c>
      <c r="G10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2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24">
        <f>IF(Table1[[#This Row],[is_ups_overcharge]]="ups overcharged",Table1[[#This Row],[ups ship charge]]-Table1[[#This Row],[ada ship charge]],0)</f>
        <v>0</v>
      </c>
    </row>
    <row r="1025" spans="1:9" x14ac:dyDescent="0.2">
      <c r="A1025">
        <v>1015570</v>
      </c>
      <c r="B1025" t="s">
        <v>20</v>
      </c>
      <c r="C1025">
        <v>13.7</v>
      </c>
      <c r="D1025">
        <v>13.75</v>
      </c>
      <c r="E1025">
        <v>85.8</v>
      </c>
      <c r="F1025" t="s">
        <v>9</v>
      </c>
      <c r="G10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25">
        <f>IF(Table1[[#This Row],[is_ups_overcharge]]="ups overcharged",Table1[[#This Row],[ups ship charge]]-Table1[[#This Row],[ada ship charge]],0)</f>
        <v>0</v>
      </c>
    </row>
    <row r="1026" spans="1:9" x14ac:dyDescent="0.2">
      <c r="A1026">
        <v>1015588</v>
      </c>
      <c r="B1026" t="s">
        <v>20</v>
      </c>
      <c r="C1026">
        <v>9.6999999999999993</v>
      </c>
      <c r="D1026">
        <v>0</v>
      </c>
      <c r="E1026">
        <v>337.5</v>
      </c>
      <c r="F1026" t="s">
        <v>6</v>
      </c>
      <c r="G10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2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26">
        <f>IF(Table1[[#This Row],[is_ups_overcharge]]="ups overcharged",Table1[[#This Row],[ups ship charge]]-Table1[[#This Row],[ada ship charge]],0)</f>
        <v>0</v>
      </c>
    </row>
    <row r="1027" spans="1:9" x14ac:dyDescent="0.2">
      <c r="A1027">
        <v>1015592</v>
      </c>
      <c r="B1027" t="s">
        <v>20</v>
      </c>
      <c r="C1027">
        <v>15.13</v>
      </c>
      <c r="D1027">
        <v>15.18</v>
      </c>
      <c r="E1027">
        <v>21.95</v>
      </c>
      <c r="F1027" t="s">
        <v>12</v>
      </c>
      <c r="G10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27">
        <f>IF(Table1[[#This Row],[is_ups_overcharge]]="ups overcharged",Table1[[#This Row],[ups ship charge]]-Table1[[#This Row],[ada ship charge]],0)</f>
        <v>0</v>
      </c>
    </row>
    <row r="1028" spans="1:9" x14ac:dyDescent="0.2">
      <c r="A1028">
        <v>1015599</v>
      </c>
      <c r="B1028" t="s">
        <v>20</v>
      </c>
      <c r="C1028">
        <v>12.55</v>
      </c>
      <c r="D1028">
        <v>0</v>
      </c>
      <c r="E1028">
        <v>674.7</v>
      </c>
      <c r="F1028" t="s">
        <v>6</v>
      </c>
      <c r="G10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2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28">
        <f>IF(Table1[[#This Row],[is_ups_overcharge]]="ups overcharged",Table1[[#This Row],[ups ship charge]]-Table1[[#This Row],[ada ship charge]],0)</f>
        <v>0</v>
      </c>
    </row>
    <row r="1029" spans="1:9" x14ac:dyDescent="0.2">
      <c r="A1029">
        <v>1015623</v>
      </c>
      <c r="B1029" t="s">
        <v>20</v>
      </c>
      <c r="C1029">
        <v>13.7</v>
      </c>
      <c r="D1029">
        <v>13.75</v>
      </c>
      <c r="E1029">
        <v>89.85</v>
      </c>
      <c r="F1029" t="s">
        <v>9</v>
      </c>
      <c r="G10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29">
        <f>IF(Table1[[#This Row],[is_ups_overcharge]]="ups overcharged",Table1[[#This Row],[ups ship charge]]-Table1[[#This Row],[ada ship charge]],0)</f>
        <v>0</v>
      </c>
    </row>
    <row r="1030" spans="1:9" x14ac:dyDescent="0.2">
      <c r="A1030">
        <v>1015640</v>
      </c>
      <c r="B1030" t="s">
        <v>20</v>
      </c>
      <c r="C1030">
        <v>16.71</v>
      </c>
      <c r="D1030">
        <v>16.760000000000002</v>
      </c>
      <c r="E1030">
        <v>53.7</v>
      </c>
      <c r="F1030" t="s">
        <v>12</v>
      </c>
      <c r="G10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30">
        <f>IF(Table1[[#This Row],[is_ups_overcharge]]="ups overcharged",Table1[[#This Row],[ups ship charge]]-Table1[[#This Row],[ada ship charge]],0)</f>
        <v>0</v>
      </c>
    </row>
    <row r="1031" spans="1:9" x14ac:dyDescent="0.2">
      <c r="A1031">
        <v>1015641</v>
      </c>
      <c r="B1031" t="s">
        <v>20</v>
      </c>
      <c r="C1031">
        <v>12.81</v>
      </c>
      <c r="D1031">
        <v>13.31</v>
      </c>
      <c r="E1031">
        <v>69.95</v>
      </c>
      <c r="F1031" t="s">
        <v>9</v>
      </c>
      <c r="G10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31">
        <f>IF(Table1[[#This Row],[is_ups_overcharge]]="ups overcharged",Table1[[#This Row],[ups ship charge]]-Table1[[#This Row],[ada ship charge]],0)</f>
        <v>0</v>
      </c>
    </row>
    <row r="1032" spans="1:9" x14ac:dyDescent="0.2">
      <c r="A1032">
        <v>1015655</v>
      </c>
      <c r="B1032" t="s">
        <v>20</v>
      </c>
      <c r="C1032">
        <v>16.559999999999999</v>
      </c>
      <c r="D1032">
        <v>16.61</v>
      </c>
      <c r="E1032">
        <v>11.95</v>
      </c>
      <c r="F1032" t="s">
        <v>10</v>
      </c>
      <c r="G10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32">
        <f>IF(Table1[[#This Row],[is_ups_overcharge]]="ups overcharged",Table1[[#This Row],[ups ship charge]]-Table1[[#This Row],[ada ship charge]],0)</f>
        <v>0</v>
      </c>
    </row>
    <row r="1033" spans="1:9" x14ac:dyDescent="0.2">
      <c r="A1033">
        <v>1015666</v>
      </c>
      <c r="B1033" t="s">
        <v>20</v>
      </c>
      <c r="C1033">
        <v>22.92</v>
      </c>
      <c r="D1033">
        <v>22.97</v>
      </c>
      <c r="E1033">
        <v>132.80000000000001</v>
      </c>
      <c r="F1033" t="s">
        <v>15</v>
      </c>
      <c r="G10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33">
        <f>IF(Table1[[#This Row],[is_ups_overcharge]]="ups overcharged",Table1[[#This Row],[ups ship charge]]-Table1[[#This Row],[ada ship charge]],0)</f>
        <v>0</v>
      </c>
    </row>
    <row r="1034" spans="1:9" x14ac:dyDescent="0.2">
      <c r="A1034">
        <v>1015669</v>
      </c>
      <c r="B1034" t="s">
        <v>20</v>
      </c>
      <c r="C1034">
        <v>13.7</v>
      </c>
      <c r="D1034">
        <v>13.75</v>
      </c>
      <c r="E1034">
        <v>17.850000000000001</v>
      </c>
      <c r="F1034" t="s">
        <v>9</v>
      </c>
      <c r="G10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34">
        <f>IF(Table1[[#This Row],[is_ups_overcharge]]="ups overcharged",Table1[[#This Row],[ups ship charge]]-Table1[[#This Row],[ada ship charge]],0)</f>
        <v>0</v>
      </c>
    </row>
    <row r="1035" spans="1:9" x14ac:dyDescent="0.2">
      <c r="A1035">
        <v>1015675</v>
      </c>
      <c r="B1035" t="s">
        <v>20</v>
      </c>
      <c r="C1035">
        <v>13.7</v>
      </c>
      <c r="D1035">
        <v>13.79</v>
      </c>
      <c r="E1035">
        <v>34.9</v>
      </c>
      <c r="F1035" t="s">
        <v>9</v>
      </c>
      <c r="G10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35">
        <f>IF(Table1[[#This Row],[is_ups_overcharge]]="ups overcharged",Table1[[#This Row],[ups ship charge]]-Table1[[#This Row],[ada ship charge]],0)</f>
        <v>0</v>
      </c>
    </row>
    <row r="1036" spans="1:9" x14ac:dyDescent="0.2">
      <c r="A1036">
        <v>1015678</v>
      </c>
      <c r="B1036" t="s">
        <v>20</v>
      </c>
      <c r="C1036">
        <v>12.81</v>
      </c>
      <c r="D1036">
        <v>12.9</v>
      </c>
      <c r="E1036">
        <v>84.95</v>
      </c>
      <c r="F1036" t="s">
        <v>9</v>
      </c>
      <c r="G10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36">
        <f>IF(Table1[[#This Row],[is_ups_overcharge]]="ups overcharged",Table1[[#This Row],[ups ship charge]]-Table1[[#This Row],[ada ship charge]],0)</f>
        <v>0</v>
      </c>
    </row>
    <row r="1037" spans="1:9" x14ac:dyDescent="0.2">
      <c r="A1037">
        <v>1015699</v>
      </c>
      <c r="B1037" t="s">
        <v>20</v>
      </c>
      <c r="C1037">
        <v>13.7</v>
      </c>
      <c r="D1037">
        <v>13.75</v>
      </c>
      <c r="E1037">
        <v>10.35</v>
      </c>
      <c r="F1037" t="s">
        <v>9</v>
      </c>
      <c r="G10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37">
        <f>IF(Table1[[#This Row],[is_ups_overcharge]]="ups overcharged",Table1[[#This Row],[ups ship charge]]-Table1[[#This Row],[ada ship charge]],0)</f>
        <v>0</v>
      </c>
    </row>
    <row r="1038" spans="1:9" x14ac:dyDescent="0.2">
      <c r="A1038">
        <v>1015709</v>
      </c>
      <c r="B1038" t="s">
        <v>20</v>
      </c>
      <c r="C1038">
        <v>9.6999999999999993</v>
      </c>
      <c r="D1038">
        <v>12.86</v>
      </c>
      <c r="E1038">
        <v>84.9</v>
      </c>
      <c r="F1038" t="s">
        <v>6</v>
      </c>
      <c r="G10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38">
        <f>IF(Table1[[#This Row],[is_ups_overcharge]]="ups overcharged",Table1[[#This Row],[ups ship charge]]-Table1[[#This Row],[ada ship charge]],0)</f>
        <v>0</v>
      </c>
    </row>
    <row r="1039" spans="1:9" x14ac:dyDescent="0.2">
      <c r="A1039">
        <v>1015714</v>
      </c>
      <c r="B1039" t="s">
        <v>20</v>
      </c>
      <c r="C1039">
        <v>9.6999999999999993</v>
      </c>
      <c r="D1039">
        <v>9.76</v>
      </c>
      <c r="E1039">
        <v>126.45</v>
      </c>
      <c r="F1039" t="s">
        <v>6</v>
      </c>
      <c r="G10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39">
        <f>IF(Table1[[#This Row],[is_ups_overcharge]]="ups overcharged",Table1[[#This Row],[ups ship charge]]-Table1[[#This Row],[ada ship charge]],0)</f>
        <v>0</v>
      </c>
    </row>
    <row r="1040" spans="1:9" x14ac:dyDescent="0.2">
      <c r="A1040">
        <v>1015721</v>
      </c>
      <c r="B1040" t="s">
        <v>20</v>
      </c>
      <c r="C1040">
        <v>12.81</v>
      </c>
      <c r="D1040">
        <v>12.86</v>
      </c>
      <c r="E1040">
        <v>48.2</v>
      </c>
      <c r="F1040" t="s">
        <v>9</v>
      </c>
      <c r="G10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40">
        <f>IF(Table1[[#This Row],[is_ups_overcharge]]="ups overcharged",Table1[[#This Row],[ups ship charge]]-Table1[[#This Row],[ada ship charge]],0)</f>
        <v>0</v>
      </c>
    </row>
    <row r="1041" spans="1:9" x14ac:dyDescent="0.2">
      <c r="A1041">
        <v>1015722</v>
      </c>
      <c r="B1041" t="s">
        <v>20</v>
      </c>
      <c r="C1041">
        <v>12.81</v>
      </c>
      <c r="D1041">
        <v>12.86</v>
      </c>
      <c r="E1041">
        <v>29.95</v>
      </c>
      <c r="F1041" t="s">
        <v>9</v>
      </c>
      <c r="G10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41">
        <f>IF(Table1[[#This Row],[is_ups_overcharge]]="ups overcharged",Table1[[#This Row],[ups ship charge]]-Table1[[#This Row],[ada ship charge]],0)</f>
        <v>0</v>
      </c>
    </row>
    <row r="1042" spans="1:9" x14ac:dyDescent="0.2">
      <c r="A1042">
        <v>1015734</v>
      </c>
      <c r="B1042" t="s">
        <v>20</v>
      </c>
      <c r="C1042">
        <v>12.81</v>
      </c>
      <c r="D1042">
        <v>12.86</v>
      </c>
      <c r="E1042">
        <v>29.95</v>
      </c>
      <c r="F1042" t="s">
        <v>9</v>
      </c>
      <c r="G10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42">
        <f>IF(Table1[[#This Row],[is_ups_overcharge]]="ups overcharged",Table1[[#This Row],[ups ship charge]]-Table1[[#This Row],[ada ship charge]],0)</f>
        <v>0</v>
      </c>
    </row>
    <row r="1043" spans="1:9" x14ac:dyDescent="0.2">
      <c r="A1043">
        <v>1015741</v>
      </c>
      <c r="B1043" t="s">
        <v>20</v>
      </c>
      <c r="C1043">
        <v>15.13</v>
      </c>
      <c r="D1043">
        <v>15.18</v>
      </c>
      <c r="E1043">
        <v>19.95</v>
      </c>
      <c r="F1043" t="s">
        <v>12</v>
      </c>
      <c r="G10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43">
        <f>IF(Table1[[#This Row],[is_ups_overcharge]]="ups overcharged",Table1[[#This Row],[ups ship charge]]-Table1[[#This Row],[ada ship charge]],0)</f>
        <v>0</v>
      </c>
    </row>
    <row r="1044" spans="1:9" x14ac:dyDescent="0.2">
      <c r="A1044">
        <v>1015744</v>
      </c>
      <c r="B1044" t="s">
        <v>20</v>
      </c>
      <c r="C1044">
        <v>9.7100000000000009</v>
      </c>
      <c r="D1044">
        <v>9.75</v>
      </c>
      <c r="E1044">
        <v>34.85</v>
      </c>
      <c r="F1044" t="s">
        <v>6</v>
      </c>
      <c r="G10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44">
        <f>IF(Table1[[#This Row],[is_ups_overcharge]]="ups overcharged",Table1[[#This Row],[ups ship charge]]-Table1[[#This Row],[ada ship charge]],0)</f>
        <v>0</v>
      </c>
    </row>
    <row r="1045" spans="1:9" x14ac:dyDescent="0.2">
      <c r="A1045">
        <v>1015751</v>
      </c>
      <c r="B1045" t="s">
        <v>20</v>
      </c>
      <c r="C1045">
        <v>12.81</v>
      </c>
      <c r="D1045">
        <v>12.86</v>
      </c>
      <c r="E1045">
        <v>37.700000000000003</v>
      </c>
      <c r="F1045" t="s">
        <v>9</v>
      </c>
      <c r="G10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45">
        <f>IF(Table1[[#This Row],[is_ups_overcharge]]="ups overcharged",Table1[[#This Row],[ups ship charge]]-Table1[[#This Row],[ada ship charge]],0)</f>
        <v>0</v>
      </c>
    </row>
    <row r="1046" spans="1:9" x14ac:dyDescent="0.2">
      <c r="A1046">
        <v>1015757</v>
      </c>
      <c r="B1046" t="s">
        <v>20</v>
      </c>
      <c r="C1046">
        <v>13.7</v>
      </c>
      <c r="D1046">
        <v>13.75</v>
      </c>
      <c r="E1046">
        <v>21.9</v>
      </c>
      <c r="F1046" t="s">
        <v>9</v>
      </c>
      <c r="G10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46">
        <f>IF(Table1[[#This Row],[is_ups_overcharge]]="ups overcharged",Table1[[#This Row],[ups ship charge]]-Table1[[#This Row],[ada ship charge]],0)</f>
        <v>0</v>
      </c>
    </row>
    <row r="1047" spans="1:9" x14ac:dyDescent="0.2">
      <c r="A1047">
        <v>1015775</v>
      </c>
      <c r="B1047" t="s">
        <v>20</v>
      </c>
      <c r="C1047">
        <v>9.6999999999999993</v>
      </c>
      <c r="D1047">
        <v>9.75</v>
      </c>
      <c r="E1047">
        <v>90.15</v>
      </c>
      <c r="F1047" t="s">
        <v>6</v>
      </c>
      <c r="G10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47">
        <f>IF(Table1[[#This Row],[is_ups_overcharge]]="ups overcharged",Table1[[#This Row],[ups ship charge]]-Table1[[#This Row],[ada ship charge]],0)</f>
        <v>0</v>
      </c>
    </row>
    <row r="1048" spans="1:9" x14ac:dyDescent="0.2">
      <c r="A1048">
        <v>1015789</v>
      </c>
      <c r="B1048" t="s">
        <v>20</v>
      </c>
      <c r="C1048">
        <v>9.6999999999999993</v>
      </c>
      <c r="D1048">
        <v>0</v>
      </c>
      <c r="E1048">
        <v>300.85000000000002</v>
      </c>
      <c r="F1048" t="s">
        <v>6</v>
      </c>
      <c r="G10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4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48">
        <f>IF(Table1[[#This Row],[is_ups_overcharge]]="ups overcharged",Table1[[#This Row],[ups ship charge]]-Table1[[#This Row],[ada ship charge]],0)</f>
        <v>0</v>
      </c>
    </row>
    <row r="1049" spans="1:9" x14ac:dyDescent="0.2">
      <c r="A1049">
        <v>1015814</v>
      </c>
      <c r="B1049" t="s">
        <v>20</v>
      </c>
      <c r="C1049">
        <v>13.7</v>
      </c>
      <c r="D1049">
        <v>13.76</v>
      </c>
      <c r="E1049">
        <v>62</v>
      </c>
      <c r="F1049" t="s">
        <v>9</v>
      </c>
      <c r="G10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49">
        <f>IF(Table1[[#This Row],[is_ups_overcharge]]="ups overcharged",Table1[[#This Row],[ups ship charge]]-Table1[[#This Row],[ada ship charge]],0)</f>
        <v>0</v>
      </c>
    </row>
    <row r="1050" spans="1:9" x14ac:dyDescent="0.2">
      <c r="A1050">
        <v>1015815</v>
      </c>
      <c r="B1050" t="s">
        <v>20</v>
      </c>
      <c r="C1050">
        <v>13.71</v>
      </c>
      <c r="D1050">
        <v>13.75</v>
      </c>
      <c r="E1050">
        <v>137.85</v>
      </c>
      <c r="F1050" t="s">
        <v>9</v>
      </c>
      <c r="G10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50">
        <f>IF(Table1[[#This Row],[is_ups_overcharge]]="ups overcharged",Table1[[#This Row],[ups ship charge]]-Table1[[#This Row],[ada ship charge]],0)</f>
        <v>0</v>
      </c>
    </row>
    <row r="1051" spans="1:9" x14ac:dyDescent="0.2">
      <c r="A1051">
        <v>1015846</v>
      </c>
      <c r="B1051" t="s">
        <v>20</v>
      </c>
      <c r="C1051">
        <v>9.6999999999999993</v>
      </c>
      <c r="D1051">
        <v>9.75</v>
      </c>
      <c r="E1051">
        <v>19.95</v>
      </c>
      <c r="F1051" t="s">
        <v>6</v>
      </c>
      <c r="G10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51">
        <f>IF(Table1[[#This Row],[is_ups_overcharge]]="ups overcharged",Table1[[#This Row],[ups ship charge]]-Table1[[#This Row],[ada ship charge]],0)</f>
        <v>0</v>
      </c>
    </row>
    <row r="1052" spans="1:9" x14ac:dyDescent="0.2">
      <c r="A1052">
        <v>1015853</v>
      </c>
      <c r="B1052" t="s">
        <v>20</v>
      </c>
      <c r="C1052">
        <v>12.81</v>
      </c>
      <c r="D1052">
        <v>12.86</v>
      </c>
      <c r="E1052">
        <v>29.95</v>
      </c>
      <c r="F1052" t="s">
        <v>9</v>
      </c>
      <c r="G10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52">
        <f>IF(Table1[[#This Row],[is_ups_overcharge]]="ups overcharged",Table1[[#This Row],[ups ship charge]]-Table1[[#This Row],[ada ship charge]],0)</f>
        <v>0</v>
      </c>
    </row>
    <row r="1053" spans="1:9" x14ac:dyDescent="0.2">
      <c r="A1053">
        <v>1015878</v>
      </c>
      <c r="B1053" t="s">
        <v>20</v>
      </c>
      <c r="C1053">
        <v>12.55</v>
      </c>
      <c r="D1053">
        <v>0</v>
      </c>
      <c r="E1053">
        <v>504.1</v>
      </c>
      <c r="F1053" t="s">
        <v>6</v>
      </c>
      <c r="G10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5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53">
        <f>IF(Table1[[#This Row],[is_ups_overcharge]]="ups overcharged",Table1[[#This Row],[ups ship charge]]-Table1[[#This Row],[ada ship charge]],0)</f>
        <v>0</v>
      </c>
    </row>
    <row r="1054" spans="1:9" x14ac:dyDescent="0.2">
      <c r="A1054">
        <v>1015881</v>
      </c>
      <c r="B1054" t="s">
        <v>20</v>
      </c>
      <c r="C1054">
        <v>16.46</v>
      </c>
      <c r="D1054">
        <v>16.510000000000002</v>
      </c>
      <c r="E1054">
        <v>3.95</v>
      </c>
      <c r="F1054" t="s">
        <v>10</v>
      </c>
      <c r="G10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54">
        <f>IF(Table1[[#This Row],[is_ups_overcharge]]="ups overcharged",Table1[[#This Row],[ups ship charge]]-Table1[[#This Row],[ada ship charge]],0)</f>
        <v>0</v>
      </c>
    </row>
    <row r="1055" spans="1:9" x14ac:dyDescent="0.2">
      <c r="A1055">
        <v>1015882</v>
      </c>
      <c r="B1055" t="s">
        <v>20</v>
      </c>
      <c r="C1055">
        <v>35.07</v>
      </c>
      <c r="D1055">
        <v>0</v>
      </c>
      <c r="E1055">
        <v>1299</v>
      </c>
      <c r="F1055" t="s">
        <v>6</v>
      </c>
      <c r="G10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5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55">
        <f>IF(Table1[[#This Row],[is_ups_overcharge]]="ups overcharged",Table1[[#This Row],[ups ship charge]]-Table1[[#This Row],[ada ship charge]],0)</f>
        <v>0</v>
      </c>
    </row>
    <row r="1056" spans="1:9" x14ac:dyDescent="0.2">
      <c r="A1056">
        <v>1015890</v>
      </c>
      <c r="B1056" t="s">
        <v>20</v>
      </c>
      <c r="C1056">
        <v>12.45</v>
      </c>
      <c r="D1056">
        <v>16.61</v>
      </c>
      <c r="E1056">
        <v>29.9</v>
      </c>
      <c r="F1056" t="s">
        <v>13</v>
      </c>
      <c r="G10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56">
        <f>IF(Table1[[#This Row],[is_ups_overcharge]]="ups overcharged",Table1[[#This Row],[ups ship charge]]-Table1[[#This Row],[ada ship charge]],0)</f>
        <v>0</v>
      </c>
    </row>
    <row r="1057" spans="1:9" x14ac:dyDescent="0.2">
      <c r="A1057">
        <v>1015902</v>
      </c>
      <c r="B1057" t="s">
        <v>20</v>
      </c>
      <c r="C1057">
        <v>12.81</v>
      </c>
      <c r="D1057">
        <v>12.86</v>
      </c>
      <c r="E1057">
        <v>7.95</v>
      </c>
      <c r="F1057" t="s">
        <v>9</v>
      </c>
      <c r="G10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57">
        <f>IF(Table1[[#This Row],[is_ups_overcharge]]="ups overcharged",Table1[[#This Row],[ups ship charge]]-Table1[[#This Row],[ada ship charge]],0)</f>
        <v>0</v>
      </c>
    </row>
    <row r="1058" spans="1:9" x14ac:dyDescent="0.2">
      <c r="A1058">
        <v>1015903</v>
      </c>
      <c r="B1058" t="s">
        <v>20</v>
      </c>
      <c r="C1058">
        <v>12.81</v>
      </c>
      <c r="D1058">
        <v>12.86</v>
      </c>
      <c r="E1058">
        <v>7.9</v>
      </c>
      <c r="F1058" t="s">
        <v>9</v>
      </c>
      <c r="G10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58">
        <f>IF(Table1[[#This Row],[is_ups_overcharge]]="ups overcharged",Table1[[#This Row],[ups ship charge]]-Table1[[#This Row],[ada ship charge]],0)</f>
        <v>0</v>
      </c>
    </row>
    <row r="1059" spans="1:9" x14ac:dyDescent="0.2">
      <c r="A1059">
        <v>1015920</v>
      </c>
      <c r="B1059" t="s">
        <v>20</v>
      </c>
      <c r="C1059">
        <v>10.07</v>
      </c>
      <c r="D1059">
        <v>0</v>
      </c>
      <c r="E1059">
        <v>209.7</v>
      </c>
      <c r="F1059" t="s">
        <v>6</v>
      </c>
      <c r="G10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5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59">
        <f>IF(Table1[[#This Row],[is_ups_overcharge]]="ups overcharged",Table1[[#This Row],[ups ship charge]]-Table1[[#This Row],[ada ship charge]],0)</f>
        <v>0</v>
      </c>
    </row>
    <row r="1060" spans="1:9" x14ac:dyDescent="0.2">
      <c r="A1060">
        <v>1015950</v>
      </c>
      <c r="B1060" t="s">
        <v>20</v>
      </c>
      <c r="C1060">
        <v>12.81</v>
      </c>
      <c r="D1060">
        <v>13.31</v>
      </c>
      <c r="E1060">
        <v>23.65</v>
      </c>
      <c r="F1060" t="s">
        <v>9</v>
      </c>
      <c r="G10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60">
        <f>IF(Table1[[#This Row],[is_ups_overcharge]]="ups overcharged",Table1[[#This Row],[ups ship charge]]-Table1[[#This Row],[ada ship charge]],0)</f>
        <v>0</v>
      </c>
    </row>
    <row r="1061" spans="1:9" x14ac:dyDescent="0.2">
      <c r="A1061">
        <v>1015982</v>
      </c>
      <c r="B1061" t="s">
        <v>20</v>
      </c>
      <c r="C1061">
        <v>13.7</v>
      </c>
      <c r="D1061">
        <v>13.76</v>
      </c>
      <c r="E1061">
        <v>43.3</v>
      </c>
      <c r="F1061" t="s">
        <v>9</v>
      </c>
      <c r="G10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61">
        <f>IF(Table1[[#This Row],[is_ups_overcharge]]="ups overcharged",Table1[[#This Row],[ups ship charge]]-Table1[[#This Row],[ada ship charge]],0)</f>
        <v>0</v>
      </c>
    </row>
    <row r="1062" spans="1:9" x14ac:dyDescent="0.2">
      <c r="A1062">
        <v>1016016</v>
      </c>
      <c r="B1062" t="s">
        <v>20</v>
      </c>
      <c r="C1062">
        <v>9.6999999999999993</v>
      </c>
      <c r="D1062">
        <v>9.75</v>
      </c>
      <c r="E1062">
        <v>89.1</v>
      </c>
      <c r="F1062" t="s">
        <v>6</v>
      </c>
      <c r="G10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62">
        <f>IF(Table1[[#This Row],[is_ups_overcharge]]="ups overcharged",Table1[[#This Row],[ups ship charge]]-Table1[[#This Row],[ada ship charge]],0)</f>
        <v>0</v>
      </c>
    </row>
    <row r="1063" spans="1:9" x14ac:dyDescent="0.2">
      <c r="A1063">
        <v>1016019</v>
      </c>
      <c r="B1063" t="s">
        <v>20</v>
      </c>
      <c r="C1063">
        <v>16.77</v>
      </c>
      <c r="D1063">
        <v>16.82</v>
      </c>
      <c r="E1063">
        <v>56.55</v>
      </c>
      <c r="F1063" t="s">
        <v>10</v>
      </c>
      <c r="G10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63">
        <f>IF(Table1[[#This Row],[is_ups_overcharge]]="ups overcharged",Table1[[#This Row],[ups ship charge]]-Table1[[#This Row],[ada ship charge]],0)</f>
        <v>0</v>
      </c>
    </row>
    <row r="1064" spans="1:9" x14ac:dyDescent="0.2">
      <c r="A1064">
        <v>1016021</v>
      </c>
      <c r="B1064" t="s">
        <v>20</v>
      </c>
      <c r="C1064">
        <v>12.81</v>
      </c>
      <c r="D1064">
        <v>12.86</v>
      </c>
      <c r="E1064">
        <v>46.25</v>
      </c>
      <c r="F1064" t="s">
        <v>9</v>
      </c>
      <c r="G10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64">
        <f>IF(Table1[[#This Row],[is_ups_overcharge]]="ups overcharged",Table1[[#This Row],[ups ship charge]]-Table1[[#This Row],[ada ship charge]],0)</f>
        <v>0</v>
      </c>
    </row>
    <row r="1065" spans="1:9" x14ac:dyDescent="0.2">
      <c r="A1065">
        <v>1016081</v>
      </c>
      <c r="B1065" t="s">
        <v>20</v>
      </c>
      <c r="C1065">
        <v>13.7</v>
      </c>
      <c r="D1065">
        <v>13.75</v>
      </c>
      <c r="E1065">
        <v>24.6</v>
      </c>
      <c r="F1065" t="s">
        <v>9</v>
      </c>
      <c r="G10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65">
        <f>IF(Table1[[#This Row],[is_ups_overcharge]]="ups overcharged",Table1[[#This Row],[ups ship charge]]-Table1[[#This Row],[ada ship charge]],0)</f>
        <v>0</v>
      </c>
    </row>
    <row r="1066" spans="1:9" x14ac:dyDescent="0.2">
      <c r="A1066">
        <v>1016104</v>
      </c>
      <c r="B1066" t="s">
        <v>20</v>
      </c>
      <c r="C1066">
        <v>12.81</v>
      </c>
      <c r="D1066">
        <v>14.28</v>
      </c>
      <c r="E1066">
        <v>124.9</v>
      </c>
      <c r="F1066" t="s">
        <v>9</v>
      </c>
      <c r="G10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66">
        <f>IF(Table1[[#This Row],[is_ups_overcharge]]="ups overcharged",Table1[[#This Row],[ups ship charge]]-Table1[[#This Row],[ada ship charge]],0)</f>
        <v>0</v>
      </c>
    </row>
    <row r="1067" spans="1:9" x14ac:dyDescent="0.2">
      <c r="A1067">
        <v>1016105</v>
      </c>
      <c r="B1067" t="s">
        <v>20</v>
      </c>
      <c r="C1067">
        <v>16.87</v>
      </c>
      <c r="D1067">
        <v>20.5</v>
      </c>
      <c r="E1067">
        <v>156.80000000000001</v>
      </c>
      <c r="F1067" t="s">
        <v>10</v>
      </c>
      <c r="G10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67">
        <f>IF(Table1[[#This Row],[is_ups_overcharge]]="ups overcharged",Table1[[#This Row],[ups ship charge]]-Table1[[#This Row],[ada ship charge]],0)</f>
        <v>0</v>
      </c>
    </row>
    <row r="1068" spans="1:9" x14ac:dyDescent="0.2">
      <c r="A1068">
        <v>1016121</v>
      </c>
      <c r="B1068" t="s">
        <v>20</v>
      </c>
      <c r="C1068">
        <v>12.81</v>
      </c>
      <c r="D1068">
        <v>12.86</v>
      </c>
      <c r="E1068">
        <v>19.899999999999999</v>
      </c>
      <c r="F1068" t="s">
        <v>9</v>
      </c>
      <c r="G10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68">
        <f>IF(Table1[[#This Row],[is_ups_overcharge]]="ups overcharged",Table1[[#This Row],[ups ship charge]]-Table1[[#This Row],[ada ship charge]],0)</f>
        <v>0</v>
      </c>
    </row>
    <row r="1069" spans="1:9" x14ac:dyDescent="0.2">
      <c r="A1069">
        <v>1016131</v>
      </c>
      <c r="B1069" t="s">
        <v>20</v>
      </c>
      <c r="C1069">
        <v>9.6999999999999993</v>
      </c>
      <c r="D1069">
        <v>0</v>
      </c>
      <c r="E1069">
        <v>259.2</v>
      </c>
      <c r="F1069" t="s">
        <v>6</v>
      </c>
      <c r="G10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6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69">
        <f>IF(Table1[[#This Row],[is_ups_overcharge]]="ups overcharged",Table1[[#This Row],[ups ship charge]]-Table1[[#This Row],[ada ship charge]],0)</f>
        <v>0</v>
      </c>
    </row>
    <row r="1070" spans="1:9" x14ac:dyDescent="0.2">
      <c r="A1070">
        <v>1016132</v>
      </c>
      <c r="B1070" t="s">
        <v>20</v>
      </c>
      <c r="C1070">
        <v>13.78</v>
      </c>
      <c r="D1070">
        <v>13.96</v>
      </c>
      <c r="E1070">
        <v>154.30000000000001</v>
      </c>
      <c r="F1070" t="s">
        <v>9</v>
      </c>
      <c r="G10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70">
        <f>IF(Table1[[#This Row],[is_ups_overcharge]]="ups overcharged",Table1[[#This Row],[ups ship charge]]-Table1[[#This Row],[ada ship charge]],0)</f>
        <v>0</v>
      </c>
    </row>
    <row r="1071" spans="1:9" x14ac:dyDescent="0.2">
      <c r="A1071">
        <v>1016149</v>
      </c>
      <c r="B1071" t="s">
        <v>20</v>
      </c>
      <c r="C1071">
        <v>12.81</v>
      </c>
      <c r="D1071">
        <v>12.86</v>
      </c>
      <c r="E1071">
        <v>192.96</v>
      </c>
      <c r="F1071" t="s">
        <v>9</v>
      </c>
      <c r="G10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71">
        <f>IF(Table1[[#This Row],[is_ups_overcharge]]="ups overcharged",Table1[[#This Row],[ups ship charge]]-Table1[[#This Row],[ada ship charge]],0)</f>
        <v>0</v>
      </c>
    </row>
    <row r="1072" spans="1:9" x14ac:dyDescent="0.2">
      <c r="A1072">
        <v>1016157</v>
      </c>
      <c r="B1072" t="s">
        <v>20</v>
      </c>
      <c r="C1072">
        <v>12.81</v>
      </c>
      <c r="D1072">
        <v>12.86</v>
      </c>
      <c r="E1072">
        <v>34.950000000000003</v>
      </c>
      <c r="F1072" t="s">
        <v>9</v>
      </c>
      <c r="G10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72">
        <f>IF(Table1[[#This Row],[is_ups_overcharge]]="ups overcharged",Table1[[#This Row],[ups ship charge]]-Table1[[#This Row],[ada ship charge]],0)</f>
        <v>0</v>
      </c>
    </row>
    <row r="1073" spans="1:9" x14ac:dyDescent="0.2">
      <c r="A1073">
        <v>1016187</v>
      </c>
      <c r="B1073" t="s">
        <v>20</v>
      </c>
      <c r="C1073">
        <v>13.7</v>
      </c>
      <c r="D1073">
        <v>13.75</v>
      </c>
      <c r="E1073">
        <v>80.3</v>
      </c>
      <c r="F1073" t="s">
        <v>9</v>
      </c>
      <c r="G10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73">
        <f>IF(Table1[[#This Row],[is_ups_overcharge]]="ups overcharged",Table1[[#This Row],[ups ship charge]]-Table1[[#This Row],[ada ship charge]],0)</f>
        <v>0</v>
      </c>
    </row>
    <row r="1074" spans="1:9" x14ac:dyDescent="0.2">
      <c r="A1074">
        <v>1016241</v>
      </c>
      <c r="B1074" t="s">
        <v>20</v>
      </c>
      <c r="C1074">
        <v>14.22</v>
      </c>
      <c r="D1074">
        <v>14.47</v>
      </c>
      <c r="E1074">
        <v>95.95</v>
      </c>
      <c r="F1074" t="s">
        <v>9</v>
      </c>
      <c r="G10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74">
        <f>IF(Table1[[#This Row],[is_ups_overcharge]]="ups overcharged",Table1[[#This Row],[ups ship charge]]-Table1[[#This Row],[ada ship charge]],0)</f>
        <v>0</v>
      </c>
    </row>
    <row r="1075" spans="1:9" x14ac:dyDescent="0.2">
      <c r="A1075">
        <v>1016246</v>
      </c>
      <c r="B1075" t="s">
        <v>20</v>
      </c>
      <c r="C1075">
        <v>13.7</v>
      </c>
      <c r="D1075">
        <v>13.79</v>
      </c>
      <c r="E1075">
        <v>88</v>
      </c>
      <c r="F1075" t="s">
        <v>9</v>
      </c>
      <c r="G10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75">
        <f>IF(Table1[[#This Row],[is_ups_overcharge]]="ups overcharged",Table1[[#This Row],[ups ship charge]]-Table1[[#This Row],[ada ship charge]],0)</f>
        <v>0</v>
      </c>
    </row>
    <row r="1076" spans="1:9" x14ac:dyDescent="0.2">
      <c r="A1076">
        <v>1016248</v>
      </c>
      <c r="B1076" t="s">
        <v>20</v>
      </c>
      <c r="C1076">
        <v>13.7</v>
      </c>
      <c r="D1076">
        <v>13.75</v>
      </c>
      <c r="E1076">
        <v>49.75</v>
      </c>
      <c r="F1076" t="s">
        <v>9</v>
      </c>
      <c r="G10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76">
        <f>IF(Table1[[#This Row],[is_ups_overcharge]]="ups overcharged",Table1[[#This Row],[ups ship charge]]-Table1[[#This Row],[ada ship charge]],0)</f>
        <v>0</v>
      </c>
    </row>
    <row r="1077" spans="1:9" x14ac:dyDescent="0.2">
      <c r="A1077">
        <v>1016277</v>
      </c>
      <c r="B1077" t="s">
        <v>20</v>
      </c>
      <c r="C1077">
        <v>30.63</v>
      </c>
      <c r="D1077">
        <v>31.62</v>
      </c>
      <c r="E1077">
        <v>101</v>
      </c>
      <c r="F1077" t="s">
        <v>10</v>
      </c>
      <c r="G10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77">
        <f>IF(Table1[[#This Row],[is_ups_overcharge]]="ups overcharged",Table1[[#This Row],[ups ship charge]]-Table1[[#This Row],[ada ship charge]],0)</f>
        <v>0</v>
      </c>
    </row>
    <row r="1078" spans="1:9" x14ac:dyDescent="0.2">
      <c r="A1078">
        <v>1016295</v>
      </c>
      <c r="B1078" t="s">
        <v>20</v>
      </c>
      <c r="C1078">
        <v>15.13</v>
      </c>
      <c r="D1078">
        <v>15.18</v>
      </c>
      <c r="E1078">
        <v>19.75</v>
      </c>
      <c r="F1078" t="s">
        <v>12</v>
      </c>
      <c r="G10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78">
        <f>IF(Table1[[#This Row],[is_ups_overcharge]]="ups overcharged",Table1[[#This Row],[ups ship charge]]-Table1[[#This Row],[ada ship charge]],0)</f>
        <v>0</v>
      </c>
    </row>
    <row r="1079" spans="1:9" x14ac:dyDescent="0.2">
      <c r="A1079">
        <v>1016307</v>
      </c>
      <c r="B1079" t="s">
        <v>20</v>
      </c>
      <c r="C1079">
        <v>13.7</v>
      </c>
      <c r="D1079">
        <v>13.79</v>
      </c>
      <c r="E1079">
        <v>14.95</v>
      </c>
      <c r="F1079" t="s">
        <v>9</v>
      </c>
      <c r="G10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79">
        <f>IF(Table1[[#This Row],[is_ups_overcharge]]="ups overcharged",Table1[[#This Row],[ups ship charge]]-Table1[[#This Row],[ada ship charge]],0)</f>
        <v>0</v>
      </c>
    </row>
    <row r="1080" spans="1:9" x14ac:dyDescent="0.2">
      <c r="A1080">
        <v>1016318</v>
      </c>
      <c r="B1080" t="s">
        <v>20</v>
      </c>
      <c r="C1080">
        <v>13.7</v>
      </c>
      <c r="D1080">
        <v>13.75</v>
      </c>
      <c r="E1080">
        <v>36.549999999999997</v>
      </c>
      <c r="F1080" t="s">
        <v>9</v>
      </c>
      <c r="G10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80">
        <f>IF(Table1[[#This Row],[is_ups_overcharge]]="ups overcharged",Table1[[#This Row],[ups ship charge]]-Table1[[#This Row],[ada ship charge]],0)</f>
        <v>0</v>
      </c>
    </row>
    <row r="1081" spans="1:9" x14ac:dyDescent="0.2">
      <c r="A1081">
        <v>1016326</v>
      </c>
      <c r="B1081" t="s">
        <v>20</v>
      </c>
      <c r="C1081">
        <v>13.7</v>
      </c>
      <c r="D1081">
        <v>13.75</v>
      </c>
      <c r="E1081">
        <v>13.05</v>
      </c>
      <c r="F1081" t="s">
        <v>9</v>
      </c>
      <c r="G10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81">
        <f>IF(Table1[[#This Row],[is_ups_overcharge]]="ups overcharged",Table1[[#This Row],[ups ship charge]]-Table1[[#This Row],[ada ship charge]],0)</f>
        <v>0</v>
      </c>
    </row>
    <row r="1082" spans="1:9" x14ac:dyDescent="0.2">
      <c r="A1082">
        <v>1016329</v>
      </c>
      <c r="B1082" t="s">
        <v>20</v>
      </c>
      <c r="C1082">
        <v>27.44</v>
      </c>
      <c r="D1082">
        <v>24.92</v>
      </c>
      <c r="E1082">
        <v>155</v>
      </c>
      <c r="F1082" t="s">
        <v>15</v>
      </c>
      <c r="G10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82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082">
        <f>IF(Table1[[#This Row],[is_ups_overcharge]]="ups overcharged",Table1[[#This Row],[ups ship charge]]-Table1[[#This Row],[ada ship charge]],0)</f>
        <v>2.5199999999999996</v>
      </c>
    </row>
    <row r="1083" spans="1:9" x14ac:dyDescent="0.2">
      <c r="A1083">
        <v>1016345</v>
      </c>
      <c r="B1083" t="s">
        <v>20</v>
      </c>
      <c r="C1083">
        <v>15.13</v>
      </c>
      <c r="D1083">
        <v>15.18</v>
      </c>
      <c r="E1083">
        <v>0.95</v>
      </c>
      <c r="F1083" t="s">
        <v>12</v>
      </c>
      <c r="G10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83">
        <f>IF(Table1[[#This Row],[is_ups_overcharge]]="ups overcharged",Table1[[#This Row],[ups ship charge]]-Table1[[#This Row],[ada ship charge]],0)</f>
        <v>0</v>
      </c>
    </row>
    <row r="1084" spans="1:9" x14ac:dyDescent="0.2">
      <c r="A1084">
        <v>1016354</v>
      </c>
      <c r="B1084" t="s">
        <v>20</v>
      </c>
      <c r="C1084">
        <v>13.29</v>
      </c>
      <c r="D1084">
        <v>0</v>
      </c>
      <c r="E1084">
        <v>342.6</v>
      </c>
      <c r="F1084" t="s">
        <v>9</v>
      </c>
      <c r="G10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8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84">
        <f>IF(Table1[[#This Row],[is_ups_overcharge]]="ups overcharged",Table1[[#This Row],[ups ship charge]]-Table1[[#This Row],[ada ship charge]],0)</f>
        <v>0</v>
      </c>
    </row>
    <row r="1085" spans="1:9" x14ac:dyDescent="0.2">
      <c r="A1085">
        <v>1016356</v>
      </c>
      <c r="B1085" t="s">
        <v>20</v>
      </c>
      <c r="C1085">
        <v>13.7</v>
      </c>
      <c r="D1085">
        <v>13.75</v>
      </c>
      <c r="E1085">
        <v>11.95</v>
      </c>
      <c r="F1085" t="s">
        <v>9</v>
      </c>
      <c r="G10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85">
        <f>IF(Table1[[#This Row],[is_ups_overcharge]]="ups overcharged",Table1[[#This Row],[ups ship charge]]-Table1[[#This Row],[ada ship charge]],0)</f>
        <v>0</v>
      </c>
    </row>
    <row r="1086" spans="1:9" x14ac:dyDescent="0.2">
      <c r="A1086">
        <v>1016362</v>
      </c>
      <c r="B1086" t="s">
        <v>20</v>
      </c>
      <c r="C1086">
        <v>12.81</v>
      </c>
      <c r="D1086">
        <v>12.86</v>
      </c>
      <c r="E1086">
        <v>14.85</v>
      </c>
      <c r="F1086" t="s">
        <v>9</v>
      </c>
      <c r="G10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86">
        <f>IF(Table1[[#This Row],[is_ups_overcharge]]="ups overcharged",Table1[[#This Row],[ups ship charge]]-Table1[[#This Row],[ada ship charge]],0)</f>
        <v>0</v>
      </c>
    </row>
    <row r="1087" spans="1:9" x14ac:dyDescent="0.2">
      <c r="A1087">
        <v>1016366</v>
      </c>
      <c r="B1087" t="s">
        <v>20</v>
      </c>
      <c r="C1087">
        <v>12.81</v>
      </c>
      <c r="D1087">
        <v>12.86</v>
      </c>
      <c r="E1087">
        <v>86.6</v>
      </c>
      <c r="F1087" t="s">
        <v>9</v>
      </c>
      <c r="G10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87">
        <f>IF(Table1[[#This Row],[is_ups_overcharge]]="ups overcharged",Table1[[#This Row],[ups ship charge]]-Table1[[#This Row],[ada ship charge]],0)</f>
        <v>0</v>
      </c>
    </row>
    <row r="1088" spans="1:9" x14ac:dyDescent="0.2">
      <c r="A1088">
        <v>1016382</v>
      </c>
      <c r="B1088" t="s">
        <v>20</v>
      </c>
      <c r="C1088">
        <v>13.7</v>
      </c>
      <c r="D1088">
        <v>14.52</v>
      </c>
      <c r="E1088">
        <v>89.9</v>
      </c>
      <c r="F1088" t="s">
        <v>9</v>
      </c>
      <c r="G10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88">
        <f>IF(Table1[[#This Row],[is_ups_overcharge]]="ups overcharged",Table1[[#This Row],[ups ship charge]]-Table1[[#This Row],[ada ship charge]],0)</f>
        <v>0</v>
      </c>
    </row>
    <row r="1089" spans="1:9" x14ac:dyDescent="0.2">
      <c r="A1089">
        <v>1016383</v>
      </c>
      <c r="B1089" t="s">
        <v>20</v>
      </c>
      <c r="C1089">
        <v>12.81</v>
      </c>
      <c r="D1089">
        <v>12.86</v>
      </c>
      <c r="E1089">
        <v>90.4</v>
      </c>
      <c r="F1089" t="s">
        <v>9</v>
      </c>
      <c r="G10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89">
        <f>IF(Table1[[#This Row],[is_ups_overcharge]]="ups overcharged",Table1[[#This Row],[ups ship charge]]-Table1[[#This Row],[ada ship charge]],0)</f>
        <v>0</v>
      </c>
    </row>
    <row r="1090" spans="1:9" x14ac:dyDescent="0.2">
      <c r="A1090">
        <v>1016386</v>
      </c>
      <c r="B1090" t="s">
        <v>20</v>
      </c>
      <c r="C1090">
        <v>12.81</v>
      </c>
      <c r="D1090">
        <v>12.86</v>
      </c>
      <c r="E1090">
        <v>4.95</v>
      </c>
      <c r="F1090" t="s">
        <v>9</v>
      </c>
      <c r="G10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90">
        <f>IF(Table1[[#This Row],[is_ups_overcharge]]="ups overcharged",Table1[[#This Row],[ups ship charge]]-Table1[[#This Row],[ada ship charge]],0)</f>
        <v>0</v>
      </c>
    </row>
    <row r="1091" spans="1:9" x14ac:dyDescent="0.2">
      <c r="A1091">
        <v>1016389</v>
      </c>
      <c r="B1091" t="s">
        <v>20</v>
      </c>
      <c r="C1091">
        <v>15.45</v>
      </c>
      <c r="D1091">
        <v>15.5</v>
      </c>
      <c r="E1091">
        <v>56.5</v>
      </c>
      <c r="F1091" t="s">
        <v>12</v>
      </c>
      <c r="G10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91">
        <f>IF(Table1[[#This Row],[is_ups_overcharge]]="ups overcharged",Table1[[#This Row],[ups ship charge]]-Table1[[#This Row],[ada ship charge]],0)</f>
        <v>0</v>
      </c>
    </row>
    <row r="1092" spans="1:9" x14ac:dyDescent="0.2">
      <c r="A1092">
        <v>1016402</v>
      </c>
      <c r="B1092" t="s">
        <v>20</v>
      </c>
      <c r="C1092">
        <v>12.35</v>
      </c>
      <c r="D1092">
        <v>12.4</v>
      </c>
      <c r="E1092">
        <v>44.95</v>
      </c>
      <c r="F1092" t="s">
        <v>13</v>
      </c>
      <c r="G10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92">
        <f>IF(Table1[[#This Row],[is_ups_overcharge]]="ups overcharged",Table1[[#This Row],[ups ship charge]]-Table1[[#This Row],[ada ship charge]],0)</f>
        <v>0</v>
      </c>
    </row>
    <row r="1093" spans="1:9" x14ac:dyDescent="0.2">
      <c r="A1093">
        <v>1016406</v>
      </c>
      <c r="B1093" t="s">
        <v>20</v>
      </c>
      <c r="C1093">
        <v>13.7</v>
      </c>
      <c r="D1093">
        <v>13.76</v>
      </c>
      <c r="E1093">
        <v>111.15</v>
      </c>
      <c r="F1093" t="s">
        <v>9</v>
      </c>
      <c r="G10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93">
        <f>IF(Table1[[#This Row],[is_ups_overcharge]]="ups overcharged",Table1[[#This Row],[ups ship charge]]-Table1[[#This Row],[ada ship charge]],0)</f>
        <v>0</v>
      </c>
    </row>
    <row r="1094" spans="1:9" x14ac:dyDescent="0.2">
      <c r="A1094">
        <v>1016415</v>
      </c>
      <c r="B1094" t="s">
        <v>20</v>
      </c>
      <c r="C1094">
        <v>12.81</v>
      </c>
      <c r="D1094">
        <v>12.86</v>
      </c>
      <c r="E1094">
        <v>16.899999999999999</v>
      </c>
      <c r="F1094" t="s">
        <v>9</v>
      </c>
      <c r="G10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94">
        <f>IF(Table1[[#This Row],[is_ups_overcharge]]="ups overcharged",Table1[[#This Row],[ups ship charge]]-Table1[[#This Row],[ada ship charge]],0)</f>
        <v>0</v>
      </c>
    </row>
    <row r="1095" spans="1:9" x14ac:dyDescent="0.2">
      <c r="A1095">
        <v>1016416</v>
      </c>
      <c r="B1095" t="s">
        <v>20</v>
      </c>
      <c r="C1095">
        <v>15.13</v>
      </c>
      <c r="D1095">
        <v>15.18</v>
      </c>
      <c r="E1095">
        <v>22.9</v>
      </c>
      <c r="F1095" t="s">
        <v>12</v>
      </c>
      <c r="G10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95">
        <f>IF(Table1[[#This Row],[is_ups_overcharge]]="ups overcharged",Table1[[#This Row],[ups ship charge]]-Table1[[#This Row],[ada ship charge]],0)</f>
        <v>0</v>
      </c>
    </row>
    <row r="1096" spans="1:9" x14ac:dyDescent="0.2">
      <c r="A1096">
        <v>1016418</v>
      </c>
      <c r="B1096" t="s">
        <v>20</v>
      </c>
      <c r="C1096">
        <v>13.7</v>
      </c>
      <c r="D1096">
        <v>0</v>
      </c>
      <c r="E1096">
        <v>202.55</v>
      </c>
      <c r="F1096" t="s">
        <v>9</v>
      </c>
      <c r="G10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9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96">
        <f>IF(Table1[[#This Row],[is_ups_overcharge]]="ups overcharged",Table1[[#This Row],[ups ship charge]]-Table1[[#This Row],[ada ship charge]],0)</f>
        <v>0</v>
      </c>
    </row>
    <row r="1097" spans="1:9" x14ac:dyDescent="0.2">
      <c r="A1097">
        <v>1016419</v>
      </c>
      <c r="B1097" t="s">
        <v>20</v>
      </c>
      <c r="C1097">
        <v>13.74</v>
      </c>
      <c r="D1097">
        <v>13.79</v>
      </c>
      <c r="E1097">
        <v>148.65</v>
      </c>
      <c r="F1097" t="s">
        <v>9</v>
      </c>
      <c r="G10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97">
        <f>IF(Table1[[#This Row],[is_ups_overcharge]]="ups overcharged",Table1[[#This Row],[ups ship charge]]-Table1[[#This Row],[ada ship charge]],0)</f>
        <v>0</v>
      </c>
    </row>
    <row r="1098" spans="1:9" x14ac:dyDescent="0.2">
      <c r="A1098">
        <v>1016424</v>
      </c>
      <c r="B1098" t="s">
        <v>20</v>
      </c>
      <c r="C1098">
        <v>13.7</v>
      </c>
      <c r="D1098">
        <v>0</v>
      </c>
      <c r="E1098">
        <v>202.9</v>
      </c>
      <c r="F1098" t="s">
        <v>9</v>
      </c>
      <c r="G10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09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098">
        <f>IF(Table1[[#This Row],[is_ups_overcharge]]="ups overcharged",Table1[[#This Row],[ups ship charge]]-Table1[[#This Row],[ada ship charge]],0)</f>
        <v>0</v>
      </c>
    </row>
    <row r="1099" spans="1:9" x14ac:dyDescent="0.2">
      <c r="A1099">
        <v>1016428</v>
      </c>
      <c r="B1099" t="s">
        <v>20</v>
      </c>
      <c r="C1099">
        <v>16.46</v>
      </c>
      <c r="D1099">
        <v>16.510000000000002</v>
      </c>
      <c r="E1099">
        <v>155.15</v>
      </c>
      <c r="F1099" t="s">
        <v>10</v>
      </c>
      <c r="G10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0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099">
        <f>IF(Table1[[#This Row],[is_ups_overcharge]]="ups overcharged",Table1[[#This Row],[ups ship charge]]-Table1[[#This Row],[ada ship charge]],0)</f>
        <v>0</v>
      </c>
    </row>
    <row r="1100" spans="1:9" x14ac:dyDescent="0.2">
      <c r="A1100">
        <v>1016463</v>
      </c>
      <c r="B1100" t="s">
        <v>20</v>
      </c>
      <c r="C1100">
        <v>15.44</v>
      </c>
      <c r="D1100">
        <v>15.49</v>
      </c>
      <c r="E1100">
        <v>71.7</v>
      </c>
      <c r="F1100" t="s">
        <v>12</v>
      </c>
      <c r="G11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00">
        <f>IF(Table1[[#This Row],[is_ups_overcharge]]="ups overcharged",Table1[[#This Row],[ups ship charge]]-Table1[[#This Row],[ada ship charge]],0)</f>
        <v>0</v>
      </c>
    </row>
    <row r="1101" spans="1:9" x14ac:dyDescent="0.2">
      <c r="A1101">
        <v>1016471</v>
      </c>
      <c r="B1101" t="s">
        <v>20</v>
      </c>
      <c r="C1101">
        <v>9.7100000000000009</v>
      </c>
      <c r="D1101">
        <v>12.86</v>
      </c>
      <c r="E1101">
        <v>44.95</v>
      </c>
      <c r="F1101" t="s">
        <v>6</v>
      </c>
      <c r="G11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01">
        <f>IF(Table1[[#This Row],[is_ups_overcharge]]="ups overcharged",Table1[[#This Row],[ups ship charge]]-Table1[[#This Row],[ada ship charge]],0)</f>
        <v>0</v>
      </c>
    </row>
    <row r="1102" spans="1:9" x14ac:dyDescent="0.2">
      <c r="A1102">
        <v>1016493</v>
      </c>
      <c r="B1102" t="s">
        <v>20</v>
      </c>
      <c r="C1102">
        <v>12.81</v>
      </c>
      <c r="D1102">
        <v>12.86</v>
      </c>
      <c r="E1102">
        <v>62.45</v>
      </c>
      <c r="F1102" t="s">
        <v>9</v>
      </c>
      <c r="G11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02">
        <f>IF(Table1[[#This Row],[is_ups_overcharge]]="ups overcharged",Table1[[#This Row],[ups ship charge]]-Table1[[#This Row],[ada ship charge]],0)</f>
        <v>0</v>
      </c>
    </row>
    <row r="1103" spans="1:9" x14ac:dyDescent="0.2">
      <c r="A1103">
        <v>1016502</v>
      </c>
      <c r="B1103" t="s">
        <v>20</v>
      </c>
      <c r="C1103">
        <v>13.7</v>
      </c>
      <c r="D1103">
        <v>13.75</v>
      </c>
      <c r="E1103">
        <v>47.9</v>
      </c>
      <c r="F1103" t="s">
        <v>9</v>
      </c>
      <c r="G11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03">
        <f>IF(Table1[[#This Row],[is_ups_overcharge]]="ups overcharged",Table1[[#This Row],[ups ship charge]]-Table1[[#This Row],[ada ship charge]],0)</f>
        <v>0</v>
      </c>
    </row>
    <row r="1104" spans="1:9" x14ac:dyDescent="0.2">
      <c r="A1104">
        <v>1016509</v>
      </c>
      <c r="B1104" t="s">
        <v>20</v>
      </c>
      <c r="C1104">
        <v>16.77</v>
      </c>
      <c r="D1104">
        <v>16.82</v>
      </c>
      <c r="E1104">
        <v>42.9</v>
      </c>
      <c r="F1104" t="s">
        <v>10</v>
      </c>
      <c r="G11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04">
        <f>IF(Table1[[#This Row],[is_ups_overcharge]]="ups overcharged",Table1[[#This Row],[ups ship charge]]-Table1[[#This Row],[ada ship charge]],0)</f>
        <v>0</v>
      </c>
    </row>
    <row r="1105" spans="1:9" x14ac:dyDescent="0.2">
      <c r="A1105">
        <v>1016510</v>
      </c>
      <c r="B1105" t="s">
        <v>20</v>
      </c>
      <c r="C1105">
        <v>13.7</v>
      </c>
      <c r="D1105">
        <v>13.75</v>
      </c>
      <c r="E1105">
        <v>23.85</v>
      </c>
      <c r="F1105" t="s">
        <v>9</v>
      </c>
      <c r="G11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05">
        <f>IF(Table1[[#This Row],[is_ups_overcharge]]="ups overcharged",Table1[[#This Row],[ups ship charge]]-Table1[[#This Row],[ada ship charge]],0)</f>
        <v>0</v>
      </c>
    </row>
    <row r="1106" spans="1:9" x14ac:dyDescent="0.2">
      <c r="A1106">
        <v>1016514</v>
      </c>
      <c r="B1106" t="s">
        <v>20</v>
      </c>
      <c r="C1106">
        <v>12.56</v>
      </c>
      <c r="D1106">
        <v>0</v>
      </c>
      <c r="E1106">
        <v>600</v>
      </c>
      <c r="F1106" t="s">
        <v>6</v>
      </c>
      <c r="G11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10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106">
        <f>IF(Table1[[#This Row],[is_ups_overcharge]]="ups overcharged",Table1[[#This Row],[ups ship charge]]-Table1[[#This Row],[ada ship charge]],0)</f>
        <v>0</v>
      </c>
    </row>
    <row r="1107" spans="1:9" x14ac:dyDescent="0.2">
      <c r="A1107">
        <v>1016520</v>
      </c>
      <c r="B1107" t="s">
        <v>20</v>
      </c>
      <c r="C1107">
        <v>13.7</v>
      </c>
      <c r="D1107">
        <v>13.76</v>
      </c>
      <c r="E1107">
        <v>15.95</v>
      </c>
      <c r="F1107" t="s">
        <v>9</v>
      </c>
      <c r="G11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07">
        <f>IF(Table1[[#This Row],[is_ups_overcharge]]="ups overcharged",Table1[[#This Row],[ups ship charge]]-Table1[[#This Row],[ada ship charge]],0)</f>
        <v>0</v>
      </c>
    </row>
    <row r="1108" spans="1:9" x14ac:dyDescent="0.2">
      <c r="A1108">
        <v>1016538</v>
      </c>
      <c r="B1108" t="s">
        <v>20</v>
      </c>
      <c r="C1108">
        <v>9.6999999999999993</v>
      </c>
      <c r="D1108">
        <v>9.76</v>
      </c>
      <c r="E1108">
        <v>110.4</v>
      </c>
      <c r="F1108" t="s">
        <v>6</v>
      </c>
      <c r="G11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08">
        <f>IF(Table1[[#This Row],[is_ups_overcharge]]="ups overcharged",Table1[[#This Row],[ups ship charge]]-Table1[[#This Row],[ada ship charge]],0)</f>
        <v>0</v>
      </c>
    </row>
    <row r="1109" spans="1:9" x14ac:dyDescent="0.2">
      <c r="A1109">
        <v>1016542</v>
      </c>
      <c r="B1109" t="s">
        <v>20</v>
      </c>
      <c r="C1109">
        <v>15.13</v>
      </c>
      <c r="D1109">
        <v>15.18</v>
      </c>
      <c r="E1109">
        <v>73.25</v>
      </c>
      <c r="F1109" t="s">
        <v>12</v>
      </c>
      <c r="G11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09">
        <f>IF(Table1[[#This Row],[is_ups_overcharge]]="ups overcharged",Table1[[#This Row],[ups ship charge]]-Table1[[#This Row],[ada ship charge]],0)</f>
        <v>0</v>
      </c>
    </row>
    <row r="1110" spans="1:9" x14ac:dyDescent="0.2">
      <c r="A1110">
        <v>1016548</v>
      </c>
      <c r="B1110" t="s">
        <v>20</v>
      </c>
      <c r="C1110">
        <v>12.81</v>
      </c>
      <c r="D1110">
        <v>12.86</v>
      </c>
      <c r="E1110">
        <v>15.4</v>
      </c>
      <c r="F1110" t="s">
        <v>9</v>
      </c>
      <c r="G11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10">
        <f>IF(Table1[[#This Row],[is_ups_overcharge]]="ups overcharged",Table1[[#This Row],[ups ship charge]]-Table1[[#This Row],[ada ship charge]],0)</f>
        <v>0</v>
      </c>
    </row>
    <row r="1111" spans="1:9" x14ac:dyDescent="0.2">
      <c r="A1111">
        <v>1016559</v>
      </c>
      <c r="B1111" t="s">
        <v>20</v>
      </c>
      <c r="C1111">
        <v>15.44</v>
      </c>
      <c r="D1111">
        <v>15.49</v>
      </c>
      <c r="E1111">
        <v>31</v>
      </c>
      <c r="F1111" t="s">
        <v>12</v>
      </c>
      <c r="G11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11">
        <f>IF(Table1[[#This Row],[is_ups_overcharge]]="ups overcharged",Table1[[#This Row],[ups ship charge]]-Table1[[#This Row],[ada ship charge]],0)</f>
        <v>0</v>
      </c>
    </row>
    <row r="1112" spans="1:9" x14ac:dyDescent="0.2">
      <c r="A1112">
        <v>1016564</v>
      </c>
      <c r="B1112" t="s">
        <v>20</v>
      </c>
      <c r="C1112">
        <v>16.84</v>
      </c>
      <c r="D1112">
        <v>18.41</v>
      </c>
      <c r="E1112">
        <v>116.8</v>
      </c>
      <c r="F1112" t="s">
        <v>10</v>
      </c>
      <c r="G11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12">
        <f>IF(Table1[[#This Row],[is_ups_overcharge]]="ups overcharged",Table1[[#This Row],[ups ship charge]]-Table1[[#This Row],[ada ship charge]],0)</f>
        <v>0</v>
      </c>
    </row>
    <row r="1113" spans="1:9" x14ac:dyDescent="0.2">
      <c r="A1113">
        <v>1016567</v>
      </c>
      <c r="B1113" t="s">
        <v>20</v>
      </c>
      <c r="C1113">
        <v>13.7</v>
      </c>
      <c r="D1113">
        <v>13.75</v>
      </c>
      <c r="E1113">
        <v>28.9</v>
      </c>
      <c r="F1113" t="s">
        <v>9</v>
      </c>
      <c r="G11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13">
        <f>IF(Table1[[#This Row],[is_ups_overcharge]]="ups overcharged",Table1[[#This Row],[ups ship charge]]-Table1[[#This Row],[ada ship charge]],0)</f>
        <v>0</v>
      </c>
    </row>
    <row r="1114" spans="1:9" x14ac:dyDescent="0.2">
      <c r="A1114">
        <v>1016568</v>
      </c>
      <c r="B1114" t="s">
        <v>20</v>
      </c>
      <c r="C1114">
        <v>13.7</v>
      </c>
      <c r="D1114">
        <v>13.75</v>
      </c>
      <c r="E1114">
        <v>69.400000000000006</v>
      </c>
      <c r="F1114" t="s">
        <v>9</v>
      </c>
      <c r="G11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14">
        <f>IF(Table1[[#This Row],[is_ups_overcharge]]="ups overcharged",Table1[[#This Row],[ups ship charge]]-Table1[[#This Row],[ada ship charge]],0)</f>
        <v>0</v>
      </c>
    </row>
    <row r="1115" spans="1:9" x14ac:dyDescent="0.2">
      <c r="A1115">
        <v>1016572</v>
      </c>
      <c r="B1115" t="s">
        <v>20</v>
      </c>
      <c r="C1115">
        <v>13.7</v>
      </c>
      <c r="D1115">
        <v>13.75</v>
      </c>
      <c r="E1115">
        <v>8.9</v>
      </c>
      <c r="F1115" t="s">
        <v>9</v>
      </c>
      <c r="G11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15">
        <f>IF(Table1[[#This Row],[is_ups_overcharge]]="ups overcharged",Table1[[#This Row],[ups ship charge]]-Table1[[#This Row],[ada ship charge]],0)</f>
        <v>0</v>
      </c>
    </row>
    <row r="1116" spans="1:9" x14ac:dyDescent="0.2">
      <c r="A1116">
        <v>1016586</v>
      </c>
      <c r="B1116" t="s">
        <v>20</v>
      </c>
      <c r="C1116">
        <v>15.44</v>
      </c>
      <c r="D1116">
        <v>15.49</v>
      </c>
      <c r="E1116">
        <v>29.95</v>
      </c>
      <c r="F1116" t="s">
        <v>12</v>
      </c>
      <c r="G11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16">
        <f>IF(Table1[[#This Row],[is_ups_overcharge]]="ups overcharged",Table1[[#This Row],[ups ship charge]]-Table1[[#This Row],[ada ship charge]],0)</f>
        <v>0</v>
      </c>
    </row>
    <row r="1117" spans="1:9" x14ac:dyDescent="0.2">
      <c r="A1117">
        <v>1016588</v>
      </c>
      <c r="B1117" t="s">
        <v>20</v>
      </c>
      <c r="C1117">
        <v>14.22</v>
      </c>
      <c r="D1117">
        <v>0</v>
      </c>
      <c r="E1117">
        <v>315.55</v>
      </c>
      <c r="F1117" t="s">
        <v>9</v>
      </c>
      <c r="G11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11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117">
        <f>IF(Table1[[#This Row],[is_ups_overcharge]]="ups overcharged",Table1[[#This Row],[ups ship charge]]-Table1[[#This Row],[ada ship charge]],0)</f>
        <v>0</v>
      </c>
    </row>
    <row r="1118" spans="1:9" x14ac:dyDescent="0.2">
      <c r="A1118">
        <v>1016591</v>
      </c>
      <c r="B1118" t="s">
        <v>20</v>
      </c>
      <c r="C1118">
        <v>13.7</v>
      </c>
      <c r="D1118">
        <v>13.75</v>
      </c>
      <c r="E1118">
        <v>19.95</v>
      </c>
      <c r="F1118" t="s">
        <v>9</v>
      </c>
      <c r="G11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18">
        <f>IF(Table1[[#This Row],[is_ups_overcharge]]="ups overcharged",Table1[[#This Row],[ups ship charge]]-Table1[[#This Row],[ada ship charge]],0)</f>
        <v>0</v>
      </c>
    </row>
    <row r="1119" spans="1:9" x14ac:dyDescent="0.2">
      <c r="A1119">
        <v>1016626</v>
      </c>
      <c r="B1119" t="s">
        <v>20</v>
      </c>
      <c r="C1119">
        <v>17.7</v>
      </c>
      <c r="D1119">
        <v>17.760000000000002</v>
      </c>
      <c r="E1119">
        <v>65.2</v>
      </c>
      <c r="F1119" t="s">
        <v>15</v>
      </c>
      <c r="G11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19">
        <f>IF(Table1[[#This Row],[is_ups_overcharge]]="ups overcharged",Table1[[#This Row],[ups ship charge]]-Table1[[#This Row],[ada ship charge]],0)</f>
        <v>0</v>
      </c>
    </row>
    <row r="1120" spans="1:9" x14ac:dyDescent="0.2">
      <c r="A1120">
        <v>1016648</v>
      </c>
      <c r="B1120" t="s">
        <v>20</v>
      </c>
      <c r="C1120">
        <v>9.6999999999999993</v>
      </c>
      <c r="D1120">
        <v>9.75</v>
      </c>
      <c r="E1120">
        <v>117.55</v>
      </c>
      <c r="F1120" t="s">
        <v>6</v>
      </c>
      <c r="G11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20">
        <f>IF(Table1[[#This Row],[is_ups_overcharge]]="ups overcharged",Table1[[#This Row],[ups ship charge]]-Table1[[#This Row],[ada ship charge]],0)</f>
        <v>0</v>
      </c>
    </row>
    <row r="1121" spans="1:9" x14ac:dyDescent="0.2">
      <c r="A1121">
        <v>1016649</v>
      </c>
      <c r="B1121" t="s">
        <v>20</v>
      </c>
      <c r="C1121">
        <v>12.81</v>
      </c>
      <c r="D1121">
        <v>12.86</v>
      </c>
      <c r="E1121">
        <v>59.9</v>
      </c>
      <c r="F1121" t="s">
        <v>9</v>
      </c>
      <c r="G11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21">
        <f>IF(Table1[[#This Row],[is_ups_overcharge]]="ups overcharged",Table1[[#This Row],[ups ship charge]]-Table1[[#This Row],[ada ship charge]],0)</f>
        <v>0</v>
      </c>
    </row>
    <row r="1122" spans="1:9" x14ac:dyDescent="0.2">
      <c r="A1122">
        <v>1016685</v>
      </c>
      <c r="B1122" t="s">
        <v>20</v>
      </c>
      <c r="C1122">
        <v>12.81</v>
      </c>
      <c r="D1122">
        <v>12.86</v>
      </c>
      <c r="E1122">
        <v>79.349999999999994</v>
      </c>
      <c r="F1122" t="s">
        <v>9</v>
      </c>
      <c r="G11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22">
        <f>IF(Table1[[#This Row],[is_ups_overcharge]]="ups overcharged",Table1[[#This Row],[ups ship charge]]-Table1[[#This Row],[ada ship charge]],0)</f>
        <v>0</v>
      </c>
    </row>
    <row r="1123" spans="1:9" x14ac:dyDescent="0.2">
      <c r="A1123">
        <v>1016711</v>
      </c>
      <c r="B1123" t="s">
        <v>20</v>
      </c>
      <c r="C1123">
        <v>12.81</v>
      </c>
      <c r="D1123">
        <v>13.31</v>
      </c>
      <c r="E1123">
        <v>15.9</v>
      </c>
      <c r="F1123" t="s">
        <v>9</v>
      </c>
      <c r="G11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23">
        <f>IF(Table1[[#This Row],[is_ups_overcharge]]="ups overcharged",Table1[[#This Row],[ups ship charge]]-Table1[[#This Row],[ada ship charge]],0)</f>
        <v>0</v>
      </c>
    </row>
    <row r="1124" spans="1:9" x14ac:dyDescent="0.2">
      <c r="A1124">
        <v>1016751</v>
      </c>
      <c r="B1124" t="s">
        <v>20</v>
      </c>
      <c r="C1124">
        <v>12.81</v>
      </c>
      <c r="D1124">
        <v>12.86</v>
      </c>
      <c r="E1124">
        <v>6.95</v>
      </c>
      <c r="F1124" t="s">
        <v>9</v>
      </c>
      <c r="G11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24">
        <f>IF(Table1[[#This Row],[is_ups_overcharge]]="ups overcharged",Table1[[#This Row],[ups ship charge]]-Table1[[#This Row],[ada ship charge]],0)</f>
        <v>0</v>
      </c>
    </row>
    <row r="1125" spans="1:9" x14ac:dyDescent="0.2">
      <c r="A1125">
        <v>1016755</v>
      </c>
      <c r="B1125" t="s">
        <v>20</v>
      </c>
      <c r="C1125">
        <v>12.81</v>
      </c>
      <c r="D1125">
        <v>12.86</v>
      </c>
      <c r="E1125">
        <v>27.9</v>
      </c>
      <c r="F1125" t="s">
        <v>9</v>
      </c>
      <c r="G11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25">
        <f>IF(Table1[[#This Row],[is_ups_overcharge]]="ups overcharged",Table1[[#This Row],[ups ship charge]]-Table1[[#This Row],[ada ship charge]],0)</f>
        <v>0</v>
      </c>
    </row>
    <row r="1126" spans="1:9" x14ac:dyDescent="0.2">
      <c r="A1126">
        <v>1016787</v>
      </c>
      <c r="B1126" t="s">
        <v>20</v>
      </c>
      <c r="C1126">
        <v>12.81</v>
      </c>
      <c r="D1126">
        <v>12.86</v>
      </c>
      <c r="E1126">
        <v>39</v>
      </c>
      <c r="F1126" t="s">
        <v>9</v>
      </c>
      <c r="G11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26">
        <f>IF(Table1[[#This Row],[is_ups_overcharge]]="ups overcharged",Table1[[#This Row],[ups ship charge]]-Table1[[#This Row],[ada ship charge]],0)</f>
        <v>0</v>
      </c>
    </row>
    <row r="1127" spans="1:9" x14ac:dyDescent="0.2">
      <c r="A1127">
        <v>1016804</v>
      </c>
      <c r="B1127" t="s">
        <v>20</v>
      </c>
      <c r="C1127">
        <v>12.81</v>
      </c>
      <c r="D1127">
        <v>12.86</v>
      </c>
      <c r="E1127">
        <v>78.3</v>
      </c>
      <c r="F1127" t="s">
        <v>9</v>
      </c>
      <c r="G11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27">
        <f>IF(Table1[[#This Row],[is_ups_overcharge]]="ups overcharged",Table1[[#This Row],[ups ship charge]]-Table1[[#This Row],[ada ship charge]],0)</f>
        <v>0</v>
      </c>
    </row>
    <row r="1128" spans="1:9" x14ac:dyDescent="0.2">
      <c r="A1128">
        <v>1016829</v>
      </c>
      <c r="B1128" t="s">
        <v>20</v>
      </c>
      <c r="C1128">
        <v>16.46</v>
      </c>
      <c r="D1128">
        <v>16.510000000000002</v>
      </c>
      <c r="E1128">
        <v>27.55</v>
      </c>
      <c r="F1128" t="s">
        <v>10</v>
      </c>
      <c r="G11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28">
        <f>IF(Table1[[#This Row],[is_ups_overcharge]]="ups overcharged",Table1[[#This Row],[ups ship charge]]-Table1[[#This Row],[ada ship charge]],0)</f>
        <v>0</v>
      </c>
    </row>
    <row r="1129" spans="1:9" x14ac:dyDescent="0.2">
      <c r="A1129">
        <v>1016854</v>
      </c>
      <c r="B1129" t="s">
        <v>20</v>
      </c>
      <c r="C1129">
        <v>13.7</v>
      </c>
      <c r="D1129">
        <v>0</v>
      </c>
      <c r="E1129">
        <v>282.7</v>
      </c>
      <c r="F1129" t="s">
        <v>9</v>
      </c>
      <c r="G11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12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129">
        <f>IF(Table1[[#This Row],[is_ups_overcharge]]="ups overcharged",Table1[[#This Row],[ups ship charge]]-Table1[[#This Row],[ada ship charge]],0)</f>
        <v>0</v>
      </c>
    </row>
    <row r="1130" spans="1:9" x14ac:dyDescent="0.2">
      <c r="A1130">
        <v>1016862</v>
      </c>
      <c r="B1130" t="s">
        <v>20</v>
      </c>
      <c r="C1130">
        <v>16.77</v>
      </c>
      <c r="D1130">
        <v>16.82</v>
      </c>
      <c r="E1130">
        <v>169.6</v>
      </c>
      <c r="F1130" t="s">
        <v>10</v>
      </c>
      <c r="G11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30">
        <f>IF(Table1[[#This Row],[is_ups_overcharge]]="ups overcharged",Table1[[#This Row],[ups ship charge]]-Table1[[#This Row],[ada ship charge]],0)</f>
        <v>0</v>
      </c>
    </row>
    <row r="1131" spans="1:9" x14ac:dyDescent="0.2">
      <c r="A1131">
        <v>1016876</v>
      </c>
      <c r="B1131" t="s">
        <v>20</v>
      </c>
      <c r="C1131">
        <v>12.81</v>
      </c>
      <c r="D1131">
        <v>12.86</v>
      </c>
      <c r="E1131">
        <v>7.95</v>
      </c>
      <c r="F1131" t="s">
        <v>9</v>
      </c>
      <c r="G11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31">
        <f>IF(Table1[[#This Row],[is_ups_overcharge]]="ups overcharged",Table1[[#This Row],[ups ship charge]]-Table1[[#This Row],[ada ship charge]],0)</f>
        <v>0</v>
      </c>
    </row>
    <row r="1132" spans="1:9" x14ac:dyDescent="0.2">
      <c r="A1132">
        <v>1016886</v>
      </c>
      <c r="B1132" t="s">
        <v>20</v>
      </c>
      <c r="C1132">
        <v>12.81</v>
      </c>
      <c r="D1132">
        <v>12.86</v>
      </c>
      <c r="E1132">
        <v>3.9</v>
      </c>
      <c r="F1132" t="s">
        <v>9</v>
      </c>
      <c r="G11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32">
        <f>IF(Table1[[#This Row],[is_ups_overcharge]]="ups overcharged",Table1[[#This Row],[ups ship charge]]-Table1[[#This Row],[ada ship charge]],0)</f>
        <v>0</v>
      </c>
    </row>
    <row r="1133" spans="1:9" x14ac:dyDescent="0.2">
      <c r="A1133">
        <v>1016905</v>
      </c>
      <c r="B1133" t="s">
        <v>20</v>
      </c>
      <c r="C1133">
        <v>13.7</v>
      </c>
      <c r="D1133">
        <v>13.75</v>
      </c>
      <c r="E1133">
        <v>20.7</v>
      </c>
      <c r="F1133" t="s">
        <v>9</v>
      </c>
      <c r="G11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33">
        <f>IF(Table1[[#This Row],[is_ups_overcharge]]="ups overcharged",Table1[[#This Row],[ups ship charge]]-Table1[[#This Row],[ada ship charge]],0)</f>
        <v>0</v>
      </c>
    </row>
    <row r="1134" spans="1:9" x14ac:dyDescent="0.2">
      <c r="A1134">
        <v>1016918</v>
      </c>
      <c r="B1134" t="s">
        <v>20</v>
      </c>
      <c r="C1134">
        <v>18.920000000000002</v>
      </c>
      <c r="D1134">
        <v>18.97</v>
      </c>
      <c r="E1134">
        <v>123.55</v>
      </c>
      <c r="F1134" t="s">
        <v>15</v>
      </c>
      <c r="G11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34">
        <f>IF(Table1[[#This Row],[is_ups_overcharge]]="ups overcharged",Table1[[#This Row],[ups ship charge]]-Table1[[#This Row],[ada ship charge]],0)</f>
        <v>0</v>
      </c>
    </row>
    <row r="1135" spans="1:9" x14ac:dyDescent="0.2">
      <c r="A1135">
        <v>1016921</v>
      </c>
      <c r="B1135" t="s">
        <v>20</v>
      </c>
      <c r="C1135">
        <v>13.7</v>
      </c>
      <c r="D1135">
        <v>14.56</v>
      </c>
      <c r="E1135">
        <v>94.85</v>
      </c>
      <c r="F1135" t="s">
        <v>9</v>
      </c>
      <c r="G11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35">
        <f>IF(Table1[[#This Row],[is_ups_overcharge]]="ups overcharged",Table1[[#This Row],[ups ship charge]]-Table1[[#This Row],[ada ship charge]],0)</f>
        <v>0</v>
      </c>
    </row>
    <row r="1136" spans="1:9" x14ac:dyDescent="0.2">
      <c r="A1136">
        <v>1016924</v>
      </c>
      <c r="B1136" t="s">
        <v>20</v>
      </c>
      <c r="C1136">
        <v>16.77</v>
      </c>
      <c r="D1136">
        <v>16.82</v>
      </c>
      <c r="E1136">
        <v>9.9</v>
      </c>
      <c r="F1136" t="s">
        <v>10</v>
      </c>
      <c r="G11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36">
        <f>IF(Table1[[#This Row],[is_ups_overcharge]]="ups overcharged",Table1[[#This Row],[ups ship charge]]-Table1[[#This Row],[ada ship charge]],0)</f>
        <v>0</v>
      </c>
    </row>
    <row r="1137" spans="1:9" x14ac:dyDescent="0.2">
      <c r="A1137">
        <v>1016935</v>
      </c>
      <c r="B1137" t="s">
        <v>20</v>
      </c>
      <c r="C1137">
        <v>15.44</v>
      </c>
      <c r="D1137">
        <v>15.49</v>
      </c>
      <c r="E1137">
        <v>83.65</v>
      </c>
      <c r="F1137" t="s">
        <v>12</v>
      </c>
      <c r="G11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37">
        <f>IF(Table1[[#This Row],[is_ups_overcharge]]="ups overcharged",Table1[[#This Row],[ups ship charge]]-Table1[[#This Row],[ada ship charge]],0)</f>
        <v>0</v>
      </c>
    </row>
    <row r="1138" spans="1:9" x14ac:dyDescent="0.2">
      <c r="A1138">
        <v>1016943</v>
      </c>
      <c r="B1138" t="s">
        <v>20</v>
      </c>
      <c r="C1138">
        <v>13.7</v>
      </c>
      <c r="D1138">
        <v>13.76</v>
      </c>
      <c r="E1138">
        <v>99.2</v>
      </c>
      <c r="F1138" t="s">
        <v>9</v>
      </c>
      <c r="G11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38">
        <f>IF(Table1[[#This Row],[is_ups_overcharge]]="ups overcharged",Table1[[#This Row],[ups ship charge]]-Table1[[#This Row],[ada ship charge]],0)</f>
        <v>0</v>
      </c>
    </row>
    <row r="1139" spans="1:9" x14ac:dyDescent="0.2">
      <c r="A1139">
        <v>1016946</v>
      </c>
      <c r="B1139" t="s">
        <v>20</v>
      </c>
      <c r="C1139">
        <v>67.459999999999994</v>
      </c>
      <c r="D1139">
        <v>67.510000000000005</v>
      </c>
      <c r="E1139">
        <v>78.8</v>
      </c>
      <c r="F1139" t="s">
        <v>8</v>
      </c>
      <c r="G11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39">
        <f>IF(Table1[[#This Row],[is_ups_overcharge]]="ups overcharged",Table1[[#This Row],[ups ship charge]]-Table1[[#This Row],[ada ship charge]],0)</f>
        <v>0</v>
      </c>
    </row>
    <row r="1140" spans="1:9" x14ac:dyDescent="0.2">
      <c r="A1140">
        <v>1016965</v>
      </c>
      <c r="B1140" t="s">
        <v>20</v>
      </c>
      <c r="C1140">
        <v>12.81</v>
      </c>
      <c r="D1140">
        <v>12.86</v>
      </c>
      <c r="E1140">
        <v>138.85</v>
      </c>
      <c r="F1140" t="s">
        <v>9</v>
      </c>
      <c r="G11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40">
        <f>IF(Table1[[#This Row],[is_ups_overcharge]]="ups overcharged",Table1[[#This Row],[ups ship charge]]-Table1[[#This Row],[ada ship charge]],0)</f>
        <v>0</v>
      </c>
    </row>
    <row r="1141" spans="1:9" x14ac:dyDescent="0.2">
      <c r="A1141">
        <v>1016967</v>
      </c>
      <c r="B1141" t="s">
        <v>20</v>
      </c>
      <c r="C1141">
        <v>59.76</v>
      </c>
      <c r="D1141">
        <v>61.26</v>
      </c>
      <c r="E1141">
        <v>155.25</v>
      </c>
      <c r="F1141" t="s">
        <v>8</v>
      </c>
      <c r="G11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41">
        <f>IF(Table1[[#This Row],[is_ups_overcharge]]="ups overcharged",Table1[[#This Row],[ups ship charge]]-Table1[[#This Row],[ada ship charge]],0)</f>
        <v>0</v>
      </c>
    </row>
    <row r="1142" spans="1:9" x14ac:dyDescent="0.2">
      <c r="A1142">
        <v>1017003</v>
      </c>
      <c r="B1142" t="s">
        <v>20</v>
      </c>
      <c r="C1142">
        <v>12.81</v>
      </c>
      <c r="D1142">
        <v>12.86</v>
      </c>
      <c r="E1142">
        <v>29.95</v>
      </c>
      <c r="F1142" t="s">
        <v>9</v>
      </c>
      <c r="G11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42">
        <f>IF(Table1[[#This Row],[is_ups_overcharge]]="ups overcharged",Table1[[#This Row],[ups ship charge]]-Table1[[#This Row],[ada ship charge]],0)</f>
        <v>0</v>
      </c>
    </row>
    <row r="1143" spans="1:9" x14ac:dyDescent="0.2">
      <c r="A1143">
        <v>1017010</v>
      </c>
      <c r="B1143" t="s">
        <v>20</v>
      </c>
      <c r="C1143">
        <v>13.7</v>
      </c>
      <c r="D1143">
        <v>13.75</v>
      </c>
      <c r="E1143">
        <v>37.450000000000003</v>
      </c>
      <c r="F1143" t="s">
        <v>9</v>
      </c>
      <c r="G11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43">
        <f>IF(Table1[[#This Row],[is_ups_overcharge]]="ups overcharged",Table1[[#This Row],[ups ship charge]]-Table1[[#This Row],[ada ship charge]],0)</f>
        <v>0</v>
      </c>
    </row>
    <row r="1144" spans="1:9" x14ac:dyDescent="0.2">
      <c r="A1144">
        <v>1017021</v>
      </c>
      <c r="B1144" t="s">
        <v>20</v>
      </c>
      <c r="C1144">
        <v>12.81</v>
      </c>
      <c r="D1144">
        <v>12.86</v>
      </c>
      <c r="E1144">
        <v>118</v>
      </c>
      <c r="F1144" t="s">
        <v>9</v>
      </c>
      <c r="G11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44">
        <f>IF(Table1[[#This Row],[is_ups_overcharge]]="ups overcharged",Table1[[#This Row],[ups ship charge]]-Table1[[#This Row],[ada ship charge]],0)</f>
        <v>0</v>
      </c>
    </row>
    <row r="1145" spans="1:9" x14ac:dyDescent="0.2">
      <c r="A1145">
        <v>1017022</v>
      </c>
      <c r="B1145" t="s">
        <v>20</v>
      </c>
      <c r="C1145">
        <v>9.6999999999999993</v>
      </c>
      <c r="D1145">
        <v>12.9</v>
      </c>
      <c r="E1145">
        <v>116.9</v>
      </c>
      <c r="F1145" t="s">
        <v>6</v>
      </c>
      <c r="G11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45">
        <f>IF(Table1[[#This Row],[is_ups_overcharge]]="ups overcharged",Table1[[#This Row],[ups ship charge]]-Table1[[#This Row],[ada ship charge]],0)</f>
        <v>0</v>
      </c>
    </row>
    <row r="1146" spans="1:9" x14ac:dyDescent="0.2">
      <c r="A1146">
        <v>1017023</v>
      </c>
      <c r="B1146" t="s">
        <v>20</v>
      </c>
      <c r="C1146">
        <v>13.7</v>
      </c>
      <c r="D1146">
        <v>13.75</v>
      </c>
      <c r="E1146">
        <v>34.950000000000003</v>
      </c>
      <c r="F1146" t="s">
        <v>9</v>
      </c>
      <c r="G11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46">
        <f>IF(Table1[[#This Row],[is_ups_overcharge]]="ups overcharged",Table1[[#This Row],[ups ship charge]]-Table1[[#This Row],[ada ship charge]],0)</f>
        <v>0</v>
      </c>
    </row>
    <row r="1147" spans="1:9" x14ac:dyDescent="0.2">
      <c r="A1147">
        <v>1017033</v>
      </c>
      <c r="B1147" t="s">
        <v>20</v>
      </c>
      <c r="C1147">
        <v>12.81</v>
      </c>
      <c r="D1147">
        <v>12.86</v>
      </c>
      <c r="E1147">
        <v>140.55000000000001</v>
      </c>
      <c r="F1147" t="s">
        <v>9</v>
      </c>
      <c r="G11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47">
        <f>IF(Table1[[#This Row],[is_ups_overcharge]]="ups overcharged",Table1[[#This Row],[ups ship charge]]-Table1[[#This Row],[ada ship charge]],0)</f>
        <v>0</v>
      </c>
    </row>
    <row r="1148" spans="1:9" x14ac:dyDescent="0.2">
      <c r="A1148">
        <v>1017036</v>
      </c>
      <c r="B1148" t="s">
        <v>20</v>
      </c>
      <c r="C1148">
        <v>15.44</v>
      </c>
      <c r="D1148">
        <v>15.49</v>
      </c>
      <c r="E1148">
        <v>8.85</v>
      </c>
      <c r="F1148" t="s">
        <v>12</v>
      </c>
      <c r="G11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48">
        <f>IF(Table1[[#This Row],[is_ups_overcharge]]="ups overcharged",Table1[[#This Row],[ups ship charge]]-Table1[[#This Row],[ada ship charge]],0)</f>
        <v>0</v>
      </c>
    </row>
    <row r="1149" spans="1:9" x14ac:dyDescent="0.2">
      <c r="A1149">
        <v>1017038</v>
      </c>
      <c r="B1149" t="s">
        <v>20</v>
      </c>
      <c r="C1149">
        <v>16.46</v>
      </c>
      <c r="D1149">
        <v>16.510000000000002</v>
      </c>
      <c r="E1149">
        <v>29.7</v>
      </c>
      <c r="F1149" t="s">
        <v>10</v>
      </c>
      <c r="G11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49">
        <f>IF(Table1[[#This Row],[is_ups_overcharge]]="ups overcharged",Table1[[#This Row],[ups ship charge]]-Table1[[#This Row],[ada ship charge]],0)</f>
        <v>0</v>
      </c>
    </row>
    <row r="1150" spans="1:9" x14ac:dyDescent="0.2">
      <c r="A1150">
        <v>1017062</v>
      </c>
      <c r="B1150" t="s">
        <v>20</v>
      </c>
      <c r="C1150">
        <v>12.81</v>
      </c>
      <c r="D1150">
        <v>12.86</v>
      </c>
      <c r="E1150">
        <v>39.950000000000003</v>
      </c>
      <c r="F1150" t="s">
        <v>9</v>
      </c>
      <c r="G11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50">
        <f>IF(Table1[[#This Row],[is_ups_overcharge]]="ups overcharged",Table1[[#This Row],[ups ship charge]]-Table1[[#This Row],[ada ship charge]],0)</f>
        <v>0</v>
      </c>
    </row>
    <row r="1151" spans="1:9" x14ac:dyDescent="0.2">
      <c r="A1151">
        <v>1017101</v>
      </c>
      <c r="B1151" t="s">
        <v>20</v>
      </c>
      <c r="C1151">
        <v>12.81</v>
      </c>
      <c r="D1151">
        <v>12.86</v>
      </c>
      <c r="E1151">
        <v>89.85</v>
      </c>
      <c r="F1151" t="s">
        <v>9</v>
      </c>
      <c r="G11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51">
        <f>IF(Table1[[#This Row],[is_ups_overcharge]]="ups overcharged",Table1[[#This Row],[ups ship charge]]-Table1[[#This Row],[ada ship charge]],0)</f>
        <v>0</v>
      </c>
    </row>
    <row r="1152" spans="1:9" x14ac:dyDescent="0.2">
      <c r="A1152">
        <v>1017103</v>
      </c>
      <c r="B1152" t="s">
        <v>20</v>
      </c>
      <c r="C1152">
        <v>12.81</v>
      </c>
      <c r="D1152">
        <v>12.86</v>
      </c>
      <c r="E1152">
        <v>40.200000000000003</v>
      </c>
      <c r="F1152" t="s">
        <v>9</v>
      </c>
      <c r="G11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52">
        <f>IF(Table1[[#This Row],[is_ups_overcharge]]="ups overcharged",Table1[[#This Row],[ups ship charge]]-Table1[[#This Row],[ada ship charge]],0)</f>
        <v>0</v>
      </c>
    </row>
    <row r="1153" spans="1:9" x14ac:dyDescent="0.2">
      <c r="A1153">
        <v>1017130</v>
      </c>
      <c r="B1153" t="s">
        <v>20</v>
      </c>
      <c r="C1153">
        <v>13.83</v>
      </c>
      <c r="D1153">
        <v>12.86</v>
      </c>
      <c r="E1153">
        <v>81.8</v>
      </c>
      <c r="F1153" t="s">
        <v>9</v>
      </c>
      <c r="G11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53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153">
        <f>IF(Table1[[#This Row],[is_ups_overcharge]]="ups overcharged",Table1[[#This Row],[ups ship charge]]-Table1[[#This Row],[ada ship charge]],0)</f>
        <v>0.97000000000000064</v>
      </c>
    </row>
    <row r="1154" spans="1:9" x14ac:dyDescent="0.2">
      <c r="A1154">
        <v>1017136</v>
      </c>
      <c r="B1154" t="s">
        <v>20</v>
      </c>
      <c r="C1154">
        <v>9.6999999999999993</v>
      </c>
      <c r="D1154">
        <v>0</v>
      </c>
      <c r="E1154">
        <v>226.55</v>
      </c>
      <c r="F1154" t="s">
        <v>6</v>
      </c>
      <c r="G11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15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154">
        <f>IF(Table1[[#This Row],[is_ups_overcharge]]="ups overcharged",Table1[[#This Row],[ups ship charge]]-Table1[[#This Row],[ada ship charge]],0)</f>
        <v>0</v>
      </c>
    </row>
    <row r="1155" spans="1:9" x14ac:dyDescent="0.2">
      <c r="A1155">
        <v>1017143</v>
      </c>
      <c r="B1155" t="s">
        <v>20</v>
      </c>
      <c r="C1155">
        <v>12.81</v>
      </c>
      <c r="D1155">
        <v>12.86</v>
      </c>
      <c r="E1155">
        <v>5.95</v>
      </c>
      <c r="F1155" t="s">
        <v>9</v>
      </c>
      <c r="G11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55">
        <f>IF(Table1[[#This Row],[is_ups_overcharge]]="ups overcharged",Table1[[#This Row],[ups ship charge]]-Table1[[#This Row],[ada ship charge]],0)</f>
        <v>0</v>
      </c>
    </row>
    <row r="1156" spans="1:9" x14ac:dyDescent="0.2">
      <c r="A1156">
        <v>1017165</v>
      </c>
      <c r="B1156" t="s">
        <v>20</v>
      </c>
      <c r="C1156">
        <v>13.7</v>
      </c>
      <c r="D1156">
        <v>13.75</v>
      </c>
      <c r="E1156">
        <v>25</v>
      </c>
      <c r="F1156" t="s">
        <v>9</v>
      </c>
      <c r="G11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56">
        <f>IF(Table1[[#This Row],[is_ups_overcharge]]="ups overcharged",Table1[[#This Row],[ups ship charge]]-Table1[[#This Row],[ada ship charge]],0)</f>
        <v>0</v>
      </c>
    </row>
    <row r="1157" spans="1:9" x14ac:dyDescent="0.2">
      <c r="A1157">
        <v>1017167</v>
      </c>
      <c r="B1157" t="s">
        <v>20</v>
      </c>
      <c r="C1157">
        <v>12.81</v>
      </c>
      <c r="D1157">
        <v>12.86</v>
      </c>
      <c r="E1157">
        <v>106.55</v>
      </c>
      <c r="F1157" t="s">
        <v>9</v>
      </c>
      <c r="G11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57">
        <f>IF(Table1[[#This Row],[is_ups_overcharge]]="ups overcharged",Table1[[#This Row],[ups ship charge]]-Table1[[#This Row],[ada ship charge]],0)</f>
        <v>0</v>
      </c>
    </row>
    <row r="1158" spans="1:9" x14ac:dyDescent="0.2">
      <c r="A1158">
        <v>1017191</v>
      </c>
      <c r="B1158" t="s">
        <v>20</v>
      </c>
      <c r="C1158">
        <v>13.7</v>
      </c>
      <c r="D1158">
        <v>13.83</v>
      </c>
      <c r="E1158">
        <v>69.400000000000006</v>
      </c>
      <c r="F1158" t="s">
        <v>9</v>
      </c>
      <c r="G11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58">
        <f>IF(Table1[[#This Row],[is_ups_overcharge]]="ups overcharged",Table1[[#This Row],[ups ship charge]]-Table1[[#This Row],[ada ship charge]],0)</f>
        <v>0</v>
      </c>
    </row>
    <row r="1159" spans="1:9" x14ac:dyDescent="0.2">
      <c r="A1159">
        <v>1017212</v>
      </c>
      <c r="B1159" t="s">
        <v>20</v>
      </c>
      <c r="C1159">
        <v>16.940000000000001</v>
      </c>
      <c r="D1159">
        <v>0</v>
      </c>
      <c r="E1159">
        <v>503.9</v>
      </c>
      <c r="F1159" t="s">
        <v>9</v>
      </c>
      <c r="G11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15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159">
        <f>IF(Table1[[#This Row],[is_ups_overcharge]]="ups overcharged",Table1[[#This Row],[ups ship charge]]-Table1[[#This Row],[ada ship charge]],0)</f>
        <v>0</v>
      </c>
    </row>
    <row r="1160" spans="1:9" x14ac:dyDescent="0.2">
      <c r="A1160">
        <v>1017228</v>
      </c>
      <c r="B1160" t="s">
        <v>20</v>
      </c>
      <c r="C1160">
        <v>13.7</v>
      </c>
      <c r="D1160">
        <v>13.75</v>
      </c>
      <c r="E1160">
        <v>32.799999999999997</v>
      </c>
      <c r="F1160" t="s">
        <v>9</v>
      </c>
      <c r="G11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60">
        <f>IF(Table1[[#This Row],[is_ups_overcharge]]="ups overcharged",Table1[[#This Row],[ups ship charge]]-Table1[[#This Row],[ada ship charge]],0)</f>
        <v>0</v>
      </c>
    </row>
    <row r="1161" spans="1:9" x14ac:dyDescent="0.2">
      <c r="A1161">
        <v>1017233</v>
      </c>
      <c r="B1161" t="s">
        <v>20</v>
      </c>
      <c r="C1161">
        <v>19.920000000000002</v>
      </c>
      <c r="D1161">
        <v>21.81</v>
      </c>
      <c r="E1161">
        <v>129.9</v>
      </c>
      <c r="F1161" t="s">
        <v>10</v>
      </c>
      <c r="G11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61">
        <f>IF(Table1[[#This Row],[is_ups_overcharge]]="ups overcharged",Table1[[#This Row],[ups ship charge]]-Table1[[#This Row],[ada ship charge]],0)</f>
        <v>0</v>
      </c>
    </row>
    <row r="1162" spans="1:9" x14ac:dyDescent="0.2">
      <c r="A1162">
        <v>1017238</v>
      </c>
      <c r="B1162" t="s">
        <v>20</v>
      </c>
      <c r="C1162">
        <v>22.46</v>
      </c>
      <c r="D1162">
        <v>22.51</v>
      </c>
      <c r="E1162">
        <v>78.7</v>
      </c>
      <c r="F1162" t="s">
        <v>16</v>
      </c>
      <c r="G11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62">
        <f>IF(Table1[[#This Row],[is_ups_overcharge]]="ups overcharged",Table1[[#This Row],[ups ship charge]]-Table1[[#This Row],[ada ship charge]],0)</f>
        <v>0</v>
      </c>
    </row>
    <row r="1163" spans="1:9" x14ac:dyDescent="0.2">
      <c r="A1163">
        <v>1017240</v>
      </c>
      <c r="B1163" t="s">
        <v>20</v>
      </c>
      <c r="C1163">
        <v>13.7</v>
      </c>
      <c r="D1163">
        <v>13.75</v>
      </c>
      <c r="E1163">
        <v>89.95</v>
      </c>
      <c r="F1163" t="s">
        <v>9</v>
      </c>
      <c r="G11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63">
        <f>IF(Table1[[#This Row],[is_ups_overcharge]]="ups overcharged",Table1[[#This Row],[ups ship charge]]-Table1[[#This Row],[ada ship charge]],0)</f>
        <v>0</v>
      </c>
    </row>
    <row r="1164" spans="1:9" x14ac:dyDescent="0.2">
      <c r="A1164">
        <v>1017241</v>
      </c>
      <c r="B1164" t="s">
        <v>20</v>
      </c>
      <c r="C1164">
        <v>13.7</v>
      </c>
      <c r="D1164">
        <v>13.75</v>
      </c>
      <c r="E1164">
        <v>39.950000000000003</v>
      </c>
      <c r="F1164" t="s">
        <v>9</v>
      </c>
      <c r="G11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64">
        <f>IF(Table1[[#This Row],[is_ups_overcharge]]="ups overcharged",Table1[[#This Row],[ups ship charge]]-Table1[[#This Row],[ada ship charge]],0)</f>
        <v>0</v>
      </c>
    </row>
    <row r="1165" spans="1:9" x14ac:dyDescent="0.2">
      <c r="A1165">
        <v>1017251</v>
      </c>
      <c r="B1165" t="s">
        <v>20</v>
      </c>
      <c r="C1165">
        <v>12.81</v>
      </c>
      <c r="D1165">
        <v>14.28</v>
      </c>
      <c r="E1165">
        <v>136.75</v>
      </c>
      <c r="F1165" t="s">
        <v>9</v>
      </c>
      <c r="G11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65">
        <f>IF(Table1[[#This Row],[is_ups_overcharge]]="ups overcharged",Table1[[#This Row],[ups ship charge]]-Table1[[#This Row],[ada ship charge]],0)</f>
        <v>0</v>
      </c>
    </row>
    <row r="1166" spans="1:9" x14ac:dyDescent="0.2">
      <c r="A1166">
        <v>1017255</v>
      </c>
      <c r="B1166" t="s">
        <v>20</v>
      </c>
      <c r="C1166">
        <v>16.46</v>
      </c>
      <c r="D1166">
        <v>16.510000000000002</v>
      </c>
      <c r="E1166">
        <v>69.900000000000006</v>
      </c>
      <c r="F1166" t="s">
        <v>10</v>
      </c>
      <c r="G11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66">
        <f>IF(Table1[[#This Row],[is_ups_overcharge]]="ups overcharged",Table1[[#This Row],[ups ship charge]]-Table1[[#This Row],[ada ship charge]],0)</f>
        <v>0</v>
      </c>
    </row>
    <row r="1167" spans="1:9" x14ac:dyDescent="0.2">
      <c r="A1167">
        <v>1017256</v>
      </c>
      <c r="B1167" t="s">
        <v>20</v>
      </c>
      <c r="C1167">
        <v>12.81</v>
      </c>
      <c r="D1167">
        <v>12.86</v>
      </c>
      <c r="E1167">
        <v>101.4</v>
      </c>
      <c r="F1167" t="s">
        <v>9</v>
      </c>
      <c r="G11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67">
        <f>IF(Table1[[#This Row],[is_ups_overcharge]]="ups overcharged",Table1[[#This Row],[ups ship charge]]-Table1[[#This Row],[ada ship charge]],0)</f>
        <v>0</v>
      </c>
    </row>
    <row r="1168" spans="1:9" x14ac:dyDescent="0.2">
      <c r="A1168">
        <v>1017267</v>
      </c>
      <c r="B1168" t="s">
        <v>20</v>
      </c>
      <c r="C1168">
        <v>12.81</v>
      </c>
      <c r="D1168">
        <v>12.86</v>
      </c>
      <c r="E1168">
        <v>27.95</v>
      </c>
      <c r="F1168" t="s">
        <v>9</v>
      </c>
      <c r="G11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68">
        <f>IF(Table1[[#This Row],[is_ups_overcharge]]="ups overcharged",Table1[[#This Row],[ups ship charge]]-Table1[[#This Row],[ada ship charge]],0)</f>
        <v>0</v>
      </c>
    </row>
    <row r="1169" spans="1:9" x14ac:dyDescent="0.2">
      <c r="A1169">
        <v>1017268</v>
      </c>
      <c r="B1169" t="s">
        <v>20</v>
      </c>
      <c r="C1169">
        <v>12.81</v>
      </c>
      <c r="D1169">
        <v>12.86</v>
      </c>
      <c r="E1169">
        <v>23.8</v>
      </c>
      <c r="F1169" t="s">
        <v>9</v>
      </c>
      <c r="G11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69">
        <f>IF(Table1[[#This Row],[is_ups_overcharge]]="ups overcharged",Table1[[#This Row],[ups ship charge]]-Table1[[#This Row],[ada ship charge]],0)</f>
        <v>0</v>
      </c>
    </row>
    <row r="1170" spans="1:9" x14ac:dyDescent="0.2">
      <c r="A1170">
        <v>1017270</v>
      </c>
      <c r="B1170" t="s">
        <v>20</v>
      </c>
      <c r="C1170">
        <v>12.81</v>
      </c>
      <c r="D1170">
        <v>12.86</v>
      </c>
      <c r="E1170">
        <v>7.95</v>
      </c>
      <c r="F1170" t="s">
        <v>9</v>
      </c>
      <c r="G11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70">
        <f>IF(Table1[[#This Row],[is_ups_overcharge]]="ups overcharged",Table1[[#This Row],[ups ship charge]]-Table1[[#This Row],[ada ship charge]],0)</f>
        <v>0</v>
      </c>
    </row>
    <row r="1171" spans="1:9" x14ac:dyDescent="0.2">
      <c r="A1171">
        <v>1017283</v>
      </c>
      <c r="B1171" t="s">
        <v>20</v>
      </c>
      <c r="C1171">
        <v>13.7</v>
      </c>
      <c r="D1171">
        <v>13.76</v>
      </c>
      <c r="E1171">
        <v>134.24</v>
      </c>
      <c r="F1171" t="s">
        <v>9</v>
      </c>
      <c r="G11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71">
        <f>IF(Table1[[#This Row],[is_ups_overcharge]]="ups overcharged",Table1[[#This Row],[ups ship charge]]-Table1[[#This Row],[ada ship charge]],0)</f>
        <v>0</v>
      </c>
    </row>
    <row r="1172" spans="1:9" x14ac:dyDescent="0.2">
      <c r="A1172">
        <v>1017291</v>
      </c>
      <c r="B1172" t="s">
        <v>20</v>
      </c>
      <c r="C1172">
        <v>12.81</v>
      </c>
      <c r="D1172">
        <v>12.86</v>
      </c>
      <c r="E1172">
        <v>18.75</v>
      </c>
      <c r="F1172" t="s">
        <v>9</v>
      </c>
      <c r="G11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72">
        <f>IF(Table1[[#This Row],[is_ups_overcharge]]="ups overcharged",Table1[[#This Row],[ups ship charge]]-Table1[[#This Row],[ada ship charge]],0)</f>
        <v>0</v>
      </c>
    </row>
    <row r="1173" spans="1:9" x14ac:dyDescent="0.2">
      <c r="A1173">
        <v>1017298</v>
      </c>
      <c r="B1173" t="s">
        <v>20</v>
      </c>
      <c r="C1173">
        <v>12.81</v>
      </c>
      <c r="D1173">
        <v>12.86</v>
      </c>
      <c r="E1173">
        <v>110.25</v>
      </c>
      <c r="F1173" t="s">
        <v>9</v>
      </c>
      <c r="G11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73">
        <f>IF(Table1[[#This Row],[is_ups_overcharge]]="ups overcharged",Table1[[#This Row],[ups ship charge]]-Table1[[#This Row],[ada ship charge]],0)</f>
        <v>0</v>
      </c>
    </row>
    <row r="1174" spans="1:9" x14ac:dyDescent="0.2">
      <c r="A1174">
        <v>1017312</v>
      </c>
      <c r="B1174" t="s">
        <v>20</v>
      </c>
      <c r="C1174">
        <v>12.81</v>
      </c>
      <c r="D1174">
        <v>13.88</v>
      </c>
      <c r="E1174">
        <v>54.8</v>
      </c>
      <c r="F1174" t="s">
        <v>9</v>
      </c>
      <c r="G11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74">
        <f>IF(Table1[[#This Row],[is_ups_overcharge]]="ups overcharged",Table1[[#This Row],[ups ship charge]]-Table1[[#This Row],[ada ship charge]],0)</f>
        <v>0</v>
      </c>
    </row>
    <row r="1175" spans="1:9" x14ac:dyDescent="0.2">
      <c r="A1175">
        <v>1017330</v>
      </c>
      <c r="B1175" t="s">
        <v>20</v>
      </c>
      <c r="C1175">
        <v>12.81</v>
      </c>
      <c r="D1175">
        <v>12.86</v>
      </c>
      <c r="E1175">
        <v>19.95</v>
      </c>
      <c r="F1175" t="s">
        <v>9</v>
      </c>
      <c r="G11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75">
        <f>IF(Table1[[#This Row],[is_ups_overcharge]]="ups overcharged",Table1[[#This Row],[ups ship charge]]-Table1[[#This Row],[ada ship charge]],0)</f>
        <v>0</v>
      </c>
    </row>
    <row r="1176" spans="1:9" x14ac:dyDescent="0.2">
      <c r="A1176">
        <v>1017347</v>
      </c>
      <c r="B1176" t="s">
        <v>20</v>
      </c>
      <c r="C1176">
        <v>12.81</v>
      </c>
      <c r="D1176">
        <v>12.86</v>
      </c>
      <c r="E1176">
        <v>40.9</v>
      </c>
      <c r="F1176" t="s">
        <v>9</v>
      </c>
      <c r="G11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76">
        <f>IF(Table1[[#This Row],[is_ups_overcharge]]="ups overcharged",Table1[[#This Row],[ups ship charge]]-Table1[[#This Row],[ada ship charge]],0)</f>
        <v>0</v>
      </c>
    </row>
    <row r="1177" spans="1:9" x14ac:dyDescent="0.2">
      <c r="A1177">
        <v>1017376</v>
      </c>
      <c r="B1177" t="s">
        <v>20</v>
      </c>
      <c r="C1177">
        <v>12.81</v>
      </c>
      <c r="D1177">
        <v>12.86</v>
      </c>
      <c r="E1177">
        <v>12.5</v>
      </c>
      <c r="F1177" t="s">
        <v>9</v>
      </c>
      <c r="G11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77">
        <f>IF(Table1[[#This Row],[is_ups_overcharge]]="ups overcharged",Table1[[#This Row],[ups ship charge]]-Table1[[#This Row],[ada ship charge]],0)</f>
        <v>0</v>
      </c>
    </row>
    <row r="1178" spans="1:9" x14ac:dyDescent="0.2">
      <c r="A1178">
        <v>1017378</v>
      </c>
      <c r="B1178" t="s">
        <v>20</v>
      </c>
      <c r="C1178">
        <v>13.7</v>
      </c>
      <c r="D1178">
        <v>13.75</v>
      </c>
      <c r="E1178">
        <v>58.8</v>
      </c>
      <c r="F1178" t="s">
        <v>9</v>
      </c>
      <c r="G11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78">
        <f>IF(Table1[[#This Row],[is_ups_overcharge]]="ups overcharged",Table1[[#This Row],[ups ship charge]]-Table1[[#This Row],[ada ship charge]],0)</f>
        <v>0</v>
      </c>
    </row>
    <row r="1179" spans="1:9" x14ac:dyDescent="0.2">
      <c r="A1179">
        <v>1017401</v>
      </c>
      <c r="B1179" t="s">
        <v>20</v>
      </c>
      <c r="C1179">
        <v>13.7</v>
      </c>
      <c r="D1179">
        <v>13.75</v>
      </c>
      <c r="E1179">
        <v>8</v>
      </c>
      <c r="F1179" t="s">
        <v>9</v>
      </c>
      <c r="G11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79">
        <f>IF(Table1[[#This Row],[is_ups_overcharge]]="ups overcharged",Table1[[#This Row],[ups ship charge]]-Table1[[#This Row],[ada ship charge]],0)</f>
        <v>0</v>
      </c>
    </row>
    <row r="1180" spans="1:9" x14ac:dyDescent="0.2">
      <c r="A1180">
        <v>1017403</v>
      </c>
      <c r="B1180" t="s">
        <v>20</v>
      </c>
      <c r="C1180">
        <v>13.7</v>
      </c>
      <c r="D1180">
        <v>13.75</v>
      </c>
      <c r="E1180">
        <v>39.950000000000003</v>
      </c>
      <c r="F1180" t="s">
        <v>9</v>
      </c>
      <c r="G11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80">
        <f>IF(Table1[[#This Row],[is_ups_overcharge]]="ups overcharged",Table1[[#This Row],[ups ship charge]]-Table1[[#This Row],[ada ship charge]],0)</f>
        <v>0</v>
      </c>
    </row>
    <row r="1181" spans="1:9" x14ac:dyDescent="0.2">
      <c r="A1181">
        <v>1017407</v>
      </c>
      <c r="B1181" t="s">
        <v>20</v>
      </c>
      <c r="C1181">
        <v>12.81</v>
      </c>
      <c r="D1181">
        <v>12.86</v>
      </c>
      <c r="E1181">
        <v>65.95</v>
      </c>
      <c r="F1181" t="s">
        <v>9</v>
      </c>
      <c r="G11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81">
        <f>IF(Table1[[#This Row],[is_ups_overcharge]]="ups overcharged",Table1[[#This Row],[ups ship charge]]-Table1[[#This Row],[ada ship charge]],0)</f>
        <v>0</v>
      </c>
    </row>
    <row r="1182" spans="1:9" x14ac:dyDescent="0.2">
      <c r="A1182">
        <v>1017416</v>
      </c>
      <c r="B1182" t="s">
        <v>20</v>
      </c>
      <c r="C1182">
        <v>12.81</v>
      </c>
      <c r="D1182">
        <v>12.86</v>
      </c>
      <c r="E1182">
        <v>24.9</v>
      </c>
      <c r="F1182" t="s">
        <v>9</v>
      </c>
      <c r="G11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82">
        <f>IF(Table1[[#This Row],[is_ups_overcharge]]="ups overcharged",Table1[[#This Row],[ups ship charge]]-Table1[[#This Row],[ada ship charge]],0)</f>
        <v>0</v>
      </c>
    </row>
    <row r="1183" spans="1:9" x14ac:dyDescent="0.2">
      <c r="A1183">
        <v>1017438</v>
      </c>
      <c r="B1183" t="s">
        <v>20</v>
      </c>
      <c r="C1183">
        <v>12.81</v>
      </c>
      <c r="D1183">
        <v>0</v>
      </c>
      <c r="E1183">
        <v>300.10000000000002</v>
      </c>
      <c r="F1183" t="s">
        <v>9</v>
      </c>
      <c r="G11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18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183">
        <f>IF(Table1[[#This Row],[is_ups_overcharge]]="ups overcharged",Table1[[#This Row],[ups ship charge]]-Table1[[#This Row],[ada ship charge]],0)</f>
        <v>0</v>
      </c>
    </row>
    <row r="1184" spans="1:9" x14ac:dyDescent="0.2">
      <c r="A1184">
        <v>1017449</v>
      </c>
      <c r="B1184" t="s">
        <v>20</v>
      </c>
      <c r="C1184">
        <v>13.7</v>
      </c>
      <c r="D1184">
        <v>13.75</v>
      </c>
      <c r="E1184">
        <v>17.399999999999999</v>
      </c>
      <c r="F1184" t="s">
        <v>9</v>
      </c>
      <c r="G11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84">
        <f>IF(Table1[[#This Row],[is_ups_overcharge]]="ups overcharged",Table1[[#This Row],[ups ship charge]]-Table1[[#This Row],[ada ship charge]],0)</f>
        <v>0</v>
      </c>
    </row>
    <row r="1185" spans="1:9" x14ac:dyDescent="0.2">
      <c r="A1185">
        <v>1017458</v>
      </c>
      <c r="B1185" t="s">
        <v>20</v>
      </c>
      <c r="C1185">
        <v>16.87</v>
      </c>
      <c r="D1185">
        <v>16.920000000000002</v>
      </c>
      <c r="E1185">
        <v>9.4600000000000009</v>
      </c>
      <c r="F1185" t="s">
        <v>10</v>
      </c>
      <c r="G11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85">
        <f>IF(Table1[[#This Row],[is_ups_overcharge]]="ups overcharged",Table1[[#This Row],[ups ship charge]]-Table1[[#This Row],[ada ship charge]],0)</f>
        <v>0</v>
      </c>
    </row>
    <row r="1186" spans="1:9" x14ac:dyDescent="0.2">
      <c r="A1186">
        <v>1017462</v>
      </c>
      <c r="B1186" t="s">
        <v>20</v>
      </c>
      <c r="C1186">
        <v>30.97</v>
      </c>
      <c r="D1186">
        <v>28.94</v>
      </c>
      <c r="E1186">
        <v>489.6</v>
      </c>
      <c r="F1186" t="s">
        <v>15</v>
      </c>
      <c r="G11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86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186">
        <f>IF(Table1[[#This Row],[is_ups_overcharge]]="ups overcharged",Table1[[#This Row],[ups ship charge]]-Table1[[#This Row],[ada ship charge]],0)</f>
        <v>2.0299999999999976</v>
      </c>
    </row>
    <row r="1187" spans="1:9" x14ac:dyDescent="0.2">
      <c r="A1187">
        <v>1017500</v>
      </c>
      <c r="B1187" t="s">
        <v>20</v>
      </c>
      <c r="C1187">
        <v>12.45</v>
      </c>
      <c r="D1187">
        <v>14.36</v>
      </c>
      <c r="E1187">
        <v>99</v>
      </c>
      <c r="F1187" t="s">
        <v>13</v>
      </c>
      <c r="G11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87">
        <f>IF(Table1[[#This Row],[is_ups_overcharge]]="ups overcharged",Table1[[#This Row],[ups ship charge]]-Table1[[#This Row],[ada ship charge]],0)</f>
        <v>0</v>
      </c>
    </row>
    <row r="1188" spans="1:9" x14ac:dyDescent="0.2">
      <c r="A1188">
        <v>1017506</v>
      </c>
      <c r="B1188" t="s">
        <v>20</v>
      </c>
      <c r="C1188">
        <v>13.7</v>
      </c>
      <c r="D1188">
        <v>13.75</v>
      </c>
      <c r="E1188">
        <v>49.95</v>
      </c>
      <c r="F1188" t="s">
        <v>9</v>
      </c>
      <c r="G11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88">
        <f>IF(Table1[[#This Row],[is_ups_overcharge]]="ups overcharged",Table1[[#This Row],[ups ship charge]]-Table1[[#This Row],[ada ship charge]],0)</f>
        <v>0</v>
      </c>
    </row>
    <row r="1189" spans="1:9" x14ac:dyDescent="0.2">
      <c r="A1189">
        <v>1017513</v>
      </c>
      <c r="B1189" t="s">
        <v>20</v>
      </c>
      <c r="C1189">
        <v>12.81</v>
      </c>
      <c r="D1189">
        <v>12.86</v>
      </c>
      <c r="E1189">
        <v>13.9</v>
      </c>
      <c r="F1189" t="s">
        <v>9</v>
      </c>
      <c r="G11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89">
        <f>IF(Table1[[#This Row],[is_ups_overcharge]]="ups overcharged",Table1[[#This Row],[ups ship charge]]-Table1[[#This Row],[ada ship charge]],0)</f>
        <v>0</v>
      </c>
    </row>
    <row r="1190" spans="1:9" x14ac:dyDescent="0.2">
      <c r="A1190">
        <v>1017532</v>
      </c>
      <c r="B1190" t="s">
        <v>20</v>
      </c>
      <c r="C1190">
        <v>9.6999999999999993</v>
      </c>
      <c r="D1190">
        <v>0</v>
      </c>
      <c r="E1190">
        <v>229.7</v>
      </c>
      <c r="F1190" t="s">
        <v>6</v>
      </c>
      <c r="G11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19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190">
        <f>IF(Table1[[#This Row],[is_ups_overcharge]]="ups overcharged",Table1[[#This Row],[ups ship charge]]-Table1[[#This Row],[ada ship charge]],0)</f>
        <v>0</v>
      </c>
    </row>
    <row r="1191" spans="1:9" x14ac:dyDescent="0.2">
      <c r="A1191">
        <v>1017538</v>
      </c>
      <c r="B1191" t="s">
        <v>20</v>
      </c>
      <c r="C1191">
        <v>9.6999999999999993</v>
      </c>
      <c r="D1191">
        <v>0</v>
      </c>
      <c r="E1191">
        <v>222.54</v>
      </c>
      <c r="F1191" t="s">
        <v>6</v>
      </c>
      <c r="G11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19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191">
        <f>IF(Table1[[#This Row],[is_ups_overcharge]]="ups overcharged",Table1[[#This Row],[ups ship charge]]-Table1[[#This Row],[ada ship charge]],0)</f>
        <v>0</v>
      </c>
    </row>
    <row r="1192" spans="1:9" x14ac:dyDescent="0.2">
      <c r="A1192">
        <v>1017547</v>
      </c>
      <c r="B1192" t="s">
        <v>20</v>
      </c>
      <c r="C1192">
        <v>17.84</v>
      </c>
      <c r="D1192">
        <v>19.66</v>
      </c>
      <c r="E1192">
        <v>51.65</v>
      </c>
      <c r="F1192" t="s">
        <v>10</v>
      </c>
      <c r="G11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92">
        <f>IF(Table1[[#This Row],[is_ups_overcharge]]="ups overcharged",Table1[[#This Row],[ups ship charge]]-Table1[[#This Row],[ada ship charge]],0)</f>
        <v>0</v>
      </c>
    </row>
    <row r="1193" spans="1:9" x14ac:dyDescent="0.2">
      <c r="A1193">
        <v>1017548</v>
      </c>
      <c r="B1193" t="s">
        <v>20</v>
      </c>
      <c r="C1193">
        <v>13.7</v>
      </c>
      <c r="D1193">
        <v>13.75</v>
      </c>
      <c r="E1193">
        <v>63.8</v>
      </c>
      <c r="F1193" t="s">
        <v>9</v>
      </c>
      <c r="G11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93">
        <f>IF(Table1[[#This Row],[is_ups_overcharge]]="ups overcharged",Table1[[#This Row],[ups ship charge]]-Table1[[#This Row],[ada ship charge]],0)</f>
        <v>0</v>
      </c>
    </row>
    <row r="1194" spans="1:9" x14ac:dyDescent="0.2">
      <c r="A1194">
        <v>1017570</v>
      </c>
      <c r="B1194" t="s">
        <v>20</v>
      </c>
      <c r="C1194">
        <v>26.34</v>
      </c>
      <c r="D1194">
        <v>27.72</v>
      </c>
      <c r="E1194">
        <v>139.85</v>
      </c>
      <c r="F1194" t="s">
        <v>15</v>
      </c>
      <c r="G11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94">
        <f>IF(Table1[[#This Row],[is_ups_overcharge]]="ups overcharged",Table1[[#This Row],[ups ship charge]]-Table1[[#This Row],[ada ship charge]],0)</f>
        <v>0</v>
      </c>
    </row>
    <row r="1195" spans="1:9" x14ac:dyDescent="0.2">
      <c r="A1195">
        <v>1017592</v>
      </c>
      <c r="B1195" t="s">
        <v>20</v>
      </c>
      <c r="C1195">
        <v>12.81</v>
      </c>
      <c r="D1195">
        <v>12.86</v>
      </c>
      <c r="E1195">
        <v>57.7</v>
      </c>
      <c r="F1195" t="s">
        <v>9</v>
      </c>
      <c r="G11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95">
        <f>IF(Table1[[#This Row],[is_ups_overcharge]]="ups overcharged",Table1[[#This Row],[ups ship charge]]-Table1[[#This Row],[ada ship charge]],0)</f>
        <v>0</v>
      </c>
    </row>
    <row r="1196" spans="1:9" x14ac:dyDescent="0.2">
      <c r="A1196">
        <v>1017606</v>
      </c>
      <c r="B1196" t="s">
        <v>20</v>
      </c>
      <c r="C1196">
        <v>76.67</v>
      </c>
      <c r="D1196">
        <v>79.569999999999993</v>
      </c>
      <c r="E1196">
        <v>263.7</v>
      </c>
      <c r="F1196" t="s">
        <v>8</v>
      </c>
      <c r="G11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96">
        <f>IF(Table1[[#This Row],[is_ups_overcharge]]="ups overcharged",Table1[[#This Row],[ups ship charge]]-Table1[[#This Row],[ada ship charge]],0)</f>
        <v>0</v>
      </c>
    </row>
    <row r="1197" spans="1:9" x14ac:dyDescent="0.2">
      <c r="A1197">
        <v>1017613</v>
      </c>
      <c r="B1197" t="s">
        <v>20</v>
      </c>
      <c r="C1197">
        <v>9.86</v>
      </c>
      <c r="D1197">
        <v>0</v>
      </c>
      <c r="E1197">
        <v>340</v>
      </c>
      <c r="F1197" t="s">
        <v>6</v>
      </c>
      <c r="G11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19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197">
        <f>IF(Table1[[#This Row],[is_ups_overcharge]]="ups overcharged",Table1[[#This Row],[ups ship charge]]-Table1[[#This Row],[ada ship charge]],0)</f>
        <v>0</v>
      </c>
    </row>
    <row r="1198" spans="1:9" x14ac:dyDescent="0.2">
      <c r="A1198">
        <v>1017634</v>
      </c>
      <c r="B1198" t="s">
        <v>20</v>
      </c>
      <c r="C1198">
        <v>12.81</v>
      </c>
      <c r="D1198">
        <v>13.26</v>
      </c>
      <c r="E1198">
        <v>114.95</v>
      </c>
      <c r="F1198" t="s">
        <v>9</v>
      </c>
      <c r="G11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98">
        <f>IF(Table1[[#This Row],[is_ups_overcharge]]="ups overcharged",Table1[[#This Row],[ups ship charge]]-Table1[[#This Row],[ada ship charge]],0)</f>
        <v>0</v>
      </c>
    </row>
    <row r="1199" spans="1:9" x14ac:dyDescent="0.2">
      <c r="A1199">
        <v>1017638</v>
      </c>
      <c r="B1199" t="s">
        <v>20</v>
      </c>
      <c r="C1199">
        <v>9.6999999999999993</v>
      </c>
      <c r="D1199">
        <v>9.75</v>
      </c>
      <c r="E1199">
        <v>57.15</v>
      </c>
      <c r="F1199" t="s">
        <v>6</v>
      </c>
      <c r="G11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1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199">
        <f>IF(Table1[[#This Row],[is_ups_overcharge]]="ups overcharged",Table1[[#This Row],[ups ship charge]]-Table1[[#This Row],[ada ship charge]],0)</f>
        <v>0</v>
      </c>
    </row>
    <row r="1200" spans="1:9" x14ac:dyDescent="0.2">
      <c r="A1200">
        <v>1017649</v>
      </c>
      <c r="B1200" t="s">
        <v>20</v>
      </c>
      <c r="C1200">
        <v>19.22</v>
      </c>
      <c r="D1200">
        <v>19.27</v>
      </c>
      <c r="E1200">
        <v>3.95</v>
      </c>
      <c r="F1200" t="s">
        <v>16</v>
      </c>
      <c r="G12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00">
        <f>IF(Table1[[#This Row],[is_ups_overcharge]]="ups overcharged",Table1[[#This Row],[ups ship charge]]-Table1[[#This Row],[ada ship charge]],0)</f>
        <v>0</v>
      </c>
    </row>
    <row r="1201" spans="1:9" x14ac:dyDescent="0.2">
      <c r="A1201">
        <v>1017656</v>
      </c>
      <c r="B1201" t="s">
        <v>20</v>
      </c>
      <c r="C1201">
        <v>9.6999999999999993</v>
      </c>
      <c r="D1201">
        <v>9.75</v>
      </c>
      <c r="E1201">
        <v>99.15</v>
      </c>
      <c r="F1201" t="s">
        <v>6</v>
      </c>
      <c r="G12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01">
        <f>IF(Table1[[#This Row],[is_ups_overcharge]]="ups overcharged",Table1[[#This Row],[ups ship charge]]-Table1[[#This Row],[ada ship charge]],0)</f>
        <v>0</v>
      </c>
    </row>
    <row r="1202" spans="1:9" x14ac:dyDescent="0.2">
      <c r="A1202">
        <v>1017679</v>
      </c>
      <c r="B1202" t="s">
        <v>20</v>
      </c>
      <c r="C1202">
        <v>12.81</v>
      </c>
      <c r="D1202">
        <v>12.86</v>
      </c>
      <c r="E1202">
        <v>13.9</v>
      </c>
      <c r="F1202" t="s">
        <v>9</v>
      </c>
      <c r="G12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02">
        <f>IF(Table1[[#This Row],[is_ups_overcharge]]="ups overcharged",Table1[[#This Row],[ups ship charge]]-Table1[[#This Row],[ada ship charge]],0)</f>
        <v>0</v>
      </c>
    </row>
    <row r="1203" spans="1:9" x14ac:dyDescent="0.2">
      <c r="A1203">
        <v>1017685</v>
      </c>
      <c r="B1203" t="s">
        <v>20</v>
      </c>
      <c r="C1203">
        <v>21.55</v>
      </c>
      <c r="D1203">
        <v>21.6</v>
      </c>
      <c r="E1203">
        <v>14.95</v>
      </c>
      <c r="F1203" t="s">
        <v>15</v>
      </c>
      <c r="G12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03">
        <f>IF(Table1[[#This Row],[is_ups_overcharge]]="ups overcharged",Table1[[#This Row],[ups ship charge]]-Table1[[#This Row],[ada ship charge]],0)</f>
        <v>0</v>
      </c>
    </row>
    <row r="1204" spans="1:9" x14ac:dyDescent="0.2">
      <c r="A1204">
        <v>1017686</v>
      </c>
      <c r="B1204" t="s">
        <v>20</v>
      </c>
      <c r="C1204">
        <v>15.13</v>
      </c>
      <c r="D1204">
        <v>15.18</v>
      </c>
      <c r="E1204">
        <v>15.95</v>
      </c>
      <c r="F1204" t="s">
        <v>12</v>
      </c>
      <c r="G12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04">
        <f>IF(Table1[[#This Row],[is_ups_overcharge]]="ups overcharged",Table1[[#This Row],[ups ship charge]]-Table1[[#This Row],[ada ship charge]],0)</f>
        <v>0</v>
      </c>
    </row>
    <row r="1205" spans="1:9" x14ac:dyDescent="0.2">
      <c r="A1205">
        <v>1017688</v>
      </c>
      <c r="B1205" t="s">
        <v>20</v>
      </c>
      <c r="C1205">
        <v>9.7100000000000009</v>
      </c>
      <c r="D1205">
        <v>9.75</v>
      </c>
      <c r="E1205">
        <v>46.9</v>
      </c>
      <c r="F1205" t="s">
        <v>6</v>
      </c>
      <c r="G12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05">
        <f>IF(Table1[[#This Row],[is_ups_overcharge]]="ups overcharged",Table1[[#This Row],[ups ship charge]]-Table1[[#This Row],[ada ship charge]],0)</f>
        <v>0</v>
      </c>
    </row>
    <row r="1206" spans="1:9" x14ac:dyDescent="0.2">
      <c r="A1206">
        <v>1017695</v>
      </c>
      <c r="B1206" t="s">
        <v>20</v>
      </c>
      <c r="C1206">
        <v>12.35</v>
      </c>
      <c r="D1206">
        <v>12.4</v>
      </c>
      <c r="E1206">
        <v>7.6</v>
      </c>
      <c r="F1206" t="s">
        <v>13</v>
      </c>
      <c r="G12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06">
        <f>IF(Table1[[#This Row],[is_ups_overcharge]]="ups overcharged",Table1[[#This Row],[ups ship charge]]-Table1[[#This Row],[ada ship charge]],0)</f>
        <v>0</v>
      </c>
    </row>
    <row r="1207" spans="1:9" x14ac:dyDescent="0.2">
      <c r="A1207">
        <v>1017701</v>
      </c>
      <c r="B1207" t="s">
        <v>20</v>
      </c>
      <c r="C1207">
        <v>16.559999999999999</v>
      </c>
      <c r="D1207">
        <v>16.61</v>
      </c>
      <c r="E1207">
        <v>187.6</v>
      </c>
      <c r="F1207" t="s">
        <v>10</v>
      </c>
      <c r="G12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07">
        <f>IF(Table1[[#This Row],[is_ups_overcharge]]="ups overcharged",Table1[[#This Row],[ups ship charge]]-Table1[[#This Row],[ada ship charge]],0)</f>
        <v>0</v>
      </c>
    </row>
    <row r="1208" spans="1:9" x14ac:dyDescent="0.2">
      <c r="A1208">
        <v>1017715</v>
      </c>
      <c r="B1208" t="s">
        <v>20</v>
      </c>
      <c r="C1208">
        <v>18.920000000000002</v>
      </c>
      <c r="D1208">
        <v>18.2</v>
      </c>
      <c r="E1208">
        <v>144.35</v>
      </c>
      <c r="F1208" t="s">
        <v>15</v>
      </c>
      <c r="G12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0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208">
        <f>IF(Table1[[#This Row],[is_ups_overcharge]]="ups overcharged",Table1[[#This Row],[ups ship charge]]-Table1[[#This Row],[ada ship charge]],0)</f>
        <v>0.72000000000000242</v>
      </c>
    </row>
    <row r="1209" spans="1:9" x14ac:dyDescent="0.2">
      <c r="A1209">
        <v>1017717</v>
      </c>
      <c r="B1209" t="s">
        <v>20</v>
      </c>
      <c r="C1209">
        <v>12.81</v>
      </c>
      <c r="D1209">
        <v>0</v>
      </c>
      <c r="E1209">
        <v>202.3</v>
      </c>
      <c r="F1209" t="s">
        <v>9</v>
      </c>
      <c r="G12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0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09">
        <f>IF(Table1[[#This Row],[is_ups_overcharge]]="ups overcharged",Table1[[#This Row],[ups ship charge]]-Table1[[#This Row],[ada ship charge]],0)</f>
        <v>0</v>
      </c>
    </row>
    <row r="1210" spans="1:9" x14ac:dyDescent="0.2">
      <c r="A1210">
        <v>1017731</v>
      </c>
      <c r="B1210" t="s">
        <v>20</v>
      </c>
      <c r="C1210">
        <v>12.81</v>
      </c>
      <c r="D1210">
        <v>12.86</v>
      </c>
      <c r="E1210">
        <v>39.9</v>
      </c>
      <c r="F1210" t="s">
        <v>9</v>
      </c>
      <c r="G12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10">
        <f>IF(Table1[[#This Row],[is_ups_overcharge]]="ups overcharged",Table1[[#This Row],[ups ship charge]]-Table1[[#This Row],[ada ship charge]],0)</f>
        <v>0</v>
      </c>
    </row>
    <row r="1211" spans="1:9" x14ac:dyDescent="0.2">
      <c r="A1211">
        <v>1017735</v>
      </c>
      <c r="B1211" t="s">
        <v>20</v>
      </c>
      <c r="C1211">
        <v>12.45</v>
      </c>
      <c r="D1211">
        <v>12.5</v>
      </c>
      <c r="E1211">
        <v>34.950000000000003</v>
      </c>
      <c r="F1211" t="s">
        <v>13</v>
      </c>
      <c r="G12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11">
        <f>IF(Table1[[#This Row],[is_ups_overcharge]]="ups overcharged",Table1[[#This Row],[ups ship charge]]-Table1[[#This Row],[ada ship charge]],0)</f>
        <v>0</v>
      </c>
    </row>
    <row r="1212" spans="1:9" x14ac:dyDescent="0.2">
      <c r="A1212">
        <v>1017738</v>
      </c>
      <c r="B1212" t="s">
        <v>20</v>
      </c>
      <c r="C1212">
        <v>15.44</v>
      </c>
      <c r="D1212">
        <v>16.760000000000002</v>
      </c>
      <c r="E1212">
        <v>23.85</v>
      </c>
      <c r="F1212" t="s">
        <v>12</v>
      </c>
      <c r="G12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12">
        <f>IF(Table1[[#This Row],[is_ups_overcharge]]="ups overcharged",Table1[[#This Row],[ups ship charge]]-Table1[[#This Row],[ada ship charge]],0)</f>
        <v>0</v>
      </c>
    </row>
    <row r="1213" spans="1:9" x14ac:dyDescent="0.2">
      <c r="A1213">
        <v>1017744</v>
      </c>
      <c r="B1213" t="s">
        <v>20</v>
      </c>
      <c r="C1213">
        <v>34.82</v>
      </c>
      <c r="D1213">
        <v>45.64</v>
      </c>
      <c r="E1213">
        <v>251.6</v>
      </c>
      <c r="F1213" t="s">
        <v>16</v>
      </c>
      <c r="G12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13">
        <f>IF(Table1[[#This Row],[is_ups_overcharge]]="ups overcharged",Table1[[#This Row],[ups ship charge]]-Table1[[#This Row],[ada ship charge]],0)</f>
        <v>0</v>
      </c>
    </row>
    <row r="1214" spans="1:9" x14ac:dyDescent="0.2">
      <c r="A1214">
        <v>1017746</v>
      </c>
      <c r="B1214" t="s">
        <v>20</v>
      </c>
      <c r="C1214">
        <v>89.75</v>
      </c>
      <c r="D1214">
        <v>86.38</v>
      </c>
      <c r="E1214">
        <v>490.5</v>
      </c>
      <c r="F1214" t="s">
        <v>8</v>
      </c>
      <c r="G12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1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214">
        <f>IF(Table1[[#This Row],[is_ups_overcharge]]="ups overcharged",Table1[[#This Row],[ups ship charge]]-Table1[[#This Row],[ada ship charge]],0)</f>
        <v>3.3700000000000045</v>
      </c>
    </row>
    <row r="1215" spans="1:9" x14ac:dyDescent="0.2">
      <c r="A1215">
        <v>1017747</v>
      </c>
      <c r="B1215" t="s">
        <v>20</v>
      </c>
      <c r="C1215">
        <v>12.81</v>
      </c>
      <c r="D1215">
        <v>12.86</v>
      </c>
      <c r="E1215">
        <v>46.15</v>
      </c>
      <c r="F1215" t="s">
        <v>9</v>
      </c>
      <c r="G12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15">
        <f>IF(Table1[[#This Row],[is_ups_overcharge]]="ups overcharged",Table1[[#This Row],[ups ship charge]]-Table1[[#This Row],[ada ship charge]],0)</f>
        <v>0</v>
      </c>
    </row>
    <row r="1216" spans="1:9" x14ac:dyDescent="0.2">
      <c r="A1216">
        <v>1017788</v>
      </c>
      <c r="B1216" t="s">
        <v>20</v>
      </c>
      <c r="C1216">
        <v>11.02</v>
      </c>
      <c r="D1216">
        <v>11.07</v>
      </c>
      <c r="E1216">
        <v>9.9499999999999993</v>
      </c>
      <c r="F1216" t="s">
        <v>14</v>
      </c>
      <c r="G12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16">
        <f>IF(Table1[[#This Row],[is_ups_overcharge]]="ups overcharged",Table1[[#This Row],[ups ship charge]]-Table1[[#This Row],[ada ship charge]],0)</f>
        <v>0</v>
      </c>
    </row>
    <row r="1217" spans="1:9" x14ac:dyDescent="0.2">
      <c r="A1217">
        <v>1017806</v>
      </c>
      <c r="B1217" t="s">
        <v>20</v>
      </c>
      <c r="C1217">
        <v>12.81</v>
      </c>
      <c r="D1217">
        <v>12.86</v>
      </c>
      <c r="E1217">
        <v>42.65</v>
      </c>
      <c r="F1217" t="s">
        <v>9</v>
      </c>
      <c r="G12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17">
        <f>IF(Table1[[#This Row],[is_ups_overcharge]]="ups overcharged",Table1[[#This Row],[ups ship charge]]-Table1[[#This Row],[ada ship charge]],0)</f>
        <v>0</v>
      </c>
    </row>
    <row r="1218" spans="1:9" x14ac:dyDescent="0.2">
      <c r="A1218">
        <v>1017808</v>
      </c>
      <c r="B1218" t="s">
        <v>20</v>
      </c>
      <c r="C1218">
        <v>18.149999999999999</v>
      </c>
      <c r="D1218">
        <v>18.2</v>
      </c>
      <c r="E1218">
        <v>20.9</v>
      </c>
      <c r="F1218" t="s">
        <v>15</v>
      </c>
      <c r="G12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18">
        <f>IF(Table1[[#This Row],[is_ups_overcharge]]="ups overcharged",Table1[[#This Row],[ups ship charge]]-Table1[[#This Row],[ada ship charge]],0)</f>
        <v>0</v>
      </c>
    </row>
    <row r="1219" spans="1:9" x14ac:dyDescent="0.2">
      <c r="A1219">
        <v>1017816</v>
      </c>
      <c r="B1219" t="s">
        <v>20</v>
      </c>
      <c r="C1219">
        <v>12.81</v>
      </c>
      <c r="D1219">
        <v>12.86</v>
      </c>
      <c r="E1219">
        <v>29.95</v>
      </c>
      <c r="F1219" t="s">
        <v>9</v>
      </c>
      <c r="G12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19">
        <f>IF(Table1[[#This Row],[is_ups_overcharge]]="ups overcharged",Table1[[#This Row],[ups ship charge]]-Table1[[#This Row],[ada ship charge]],0)</f>
        <v>0</v>
      </c>
    </row>
    <row r="1220" spans="1:9" x14ac:dyDescent="0.2">
      <c r="A1220">
        <v>1017837</v>
      </c>
      <c r="B1220" t="s">
        <v>20</v>
      </c>
      <c r="C1220">
        <v>16.46</v>
      </c>
      <c r="D1220">
        <v>16.510000000000002</v>
      </c>
      <c r="E1220">
        <v>5</v>
      </c>
      <c r="F1220" t="s">
        <v>10</v>
      </c>
      <c r="G12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20">
        <f>IF(Table1[[#This Row],[is_ups_overcharge]]="ups overcharged",Table1[[#This Row],[ups ship charge]]-Table1[[#This Row],[ada ship charge]],0)</f>
        <v>0</v>
      </c>
    </row>
    <row r="1221" spans="1:9" x14ac:dyDescent="0.2">
      <c r="A1221">
        <v>1017838</v>
      </c>
      <c r="B1221" t="s">
        <v>20</v>
      </c>
      <c r="C1221">
        <v>13.05</v>
      </c>
      <c r="D1221">
        <v>0</v>
      </c>
      <c r="E1221">
        <v>213.7</v>
      </c>
      <c r="F1221" t="s">
        <v>9</v>
      </c>
      <c r="G12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2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21">
        <f>IF(Table1[[#This Row],[is_ups_overcharge]]="ups overcharged",Table1[[#This Row],[ups ship charge]]-Table1[[#This Row],[ada ship charge]],0)</f>
        <v>0</v>
      </c>
    </row>
    <row r="1222" spans="1:9" x14ac:dyDescent="0.2">
      <c r="A1222">
        <v>1017842</v>
      </c>
      <c r="B1222" t="s">
        <v>20</v>
      </c>
      <c r="C1222">
        <v>14.72</v>
      </c>
      <c r="D1222">
        <v>15.17</v>
      </c>
      <c r="E1222">
        <v>132.85</v>
      </c>
      <c r="F1222" t="s">
        <v>9</v>
      </c>
      <c r="G12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22">
        <f>IF(Table1[[#This Row],[is_ups_overcharge]]="ups overcharged",Table1[[#This Row],[ups ship charge]]-Table1[[#This Row],[ada ship charge]],0)</f>
        <v>0</v>
      </c>
    </row>
    <row r="1223" spans="1:9" x14ac:dyDescent="0.2">
      <c r="A1223">
        <v>1017844</v>
      </c>
      <c r="B1223" t="s">
        <v>20</v>
      </c>
      <c r="C1223">
        <v>14.41</v>
      </c>
      <c r="D1223">
        <v>0</v>
      </c>
      <c r="E1223">
        <v>206.94</v>
      </c>
      <c r="F1223" t="s">
        <v>9</v>
      </c>
      <c r="G12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2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23">
        <f>IF(Table1[[#This Row],[is_ups_overcharge]]="ups overcharged",Table1[[#This Row],[ups ship charge]]-Table1[[#This Row],[ada ship charge]],0)</f>
        <v>0</v>
      </c>
    </row>
    <row r="1224" spans="1:9" x14ac:dyDescent="0.2">
      <c r="A1224">
        <v>1017851</v>
      </c>
      <c r="B1224" t="s">
        <v>20</v>
      </c>
      <c r="C1224">
        <v>16.77</v>
      </c>
      <c r="D1224">
        <v>16.82</v>
      </c>
      <c r="E1224">
        <v>57.55</v>
      </c>
      <c r="F1224" t="s">
        <v>10</v>
      </c>
      <c r="G12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24">
        <f>IF(Table1[[#This Row],[is_ups_overcharge]]="ups overcharged",Table1[[#This Row],[ups ship charge]]-Table1[[#This Row],[ada ship charge]],0)</f>
        <v>0</v>
      </c>
    </row>
    <row r="1225" spans="1:9" x14ac:dyDescent="0.2">
      <c r="A1225">
        <v>1017886</v>
      </c>
      <c r="B1225" t="s">
        <v>20</v>
      </c>
      <c r="C1225">
        <v>12.81</v>
      </c>
      <c r="D1225">
        <v>13.09</v>
      </c>
      <c r="E1225">
        <v>114.95</v>
      </c>
      <c r="F1225" t="s">
        <v>9</v>
      </c>
      <c r="G12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25">
        <f>IF(Table1[[#This Row],[is_ups_overcharge]]="ups overcharged",Table1[[#This Row],[ups ship charge]]-Table1[[#This Row],[ada ship charge]],0)</f>
        <v>0</v>
      </c>
    </row>
    <row r="1226" spans="1:9" x14ac:dyDescent="0.2">
      <c r="A1226">
        <v>1017901</v>
      </c>
      <c r="B1226" t="s">
        <v>20</v>
      </c>
      <c r="C1226">
        <v>12.81</v>
      </c>
      <c r="D1226">
        <v>12.86</v>
      </c>
      <c r="E1226">
        <v>56.25</v>
      </c>
      <c r="F1226" t="s">
        <v>9</v>
      </c>
      <c r="G12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26">
        <f>IF(Table1[[#This Row],[is_ups_overcharge]]="ups overcharged",Table1[[#This Row],[ups ship charge]]-Table1[[#This Row],[ada ship charge]],0)</f>
        <v>0</v>
      </c>
    </row>
    <row r="1227" spans="1:9" x14ac:dyDescent="0.2">
      <c r="A1227">
        <v>1017908</v>
      </c>
      <c r="B1227" t="s">
        <v>20</v>
      </c>
      <c r="C1227">
        <v>9.6999999999999993</v>
      </c>
      <c r="D1227">
        <v>9.75</v>
      </c>
      <c r="E1227">
        <v>11.8</v>
      </c>
      <c r="F1227" t="s">
        <v>6</v>
      </c>
      <c r="G12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27">
        <f>IF(Table1[[#This Row],[is_ups_overcharge]]="ups overcharged",Table1[[#This Row],[ups ship charge]]-Table1[[#This Row],[ada ship charge]],0)</f>
        <v>0</v>
      </c>
    </row>
    <row r="1228" spans="1:9" x14ac:dyDescent="0.2">
      <c r="A1228">
        <v>1017926</v>
      </c>
      <c r="B1228" t="s">
        <v>20</v>
      </c>
      <c r="C1228">
        <v>12.81</v>
      </c>
      <c r="D1228">
        <v>12.86</v>
      </c>
      <c r="E1228">
        <v>31.75</v>
      </c>
      <c r="F1228" t="s">
        <v>9</v>
      </c>
      <c r="G12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28">
        <f>IF(Table1[[#This Row],[is_ups_overcharge]]="ups overcharged",Table1[[#This Row],[ups ship charge]]-Table1[[#This Row],[ada ship charge]],0)</f>
        <v>0</v>
      </c>
    </row>
    <row r="1229" spans="1:9" x14ac:dyDescent="0.2">
      <c r="A1229">
        <v>1017933</v>
      </c>
      <c r="B1229" t="s">
        <v>20</v>
      </c>
      <c r="C1229">
        <v>16.77</v>
      </c>
      <c r="D1229">
        <v>18.2</v>
      </c>
      <c r="E1229">
        <v>38.75</v>
      </c>
      <c r="F1229" t="s">
        <v>10</v>
      </c>
      <c r="G12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29">
        <f>IF(Table1[[#This Row],[is_ups_overcharge]]="ups overcharged",Table1[[#This Row],[ups ship charge]]-Table1[[#This Row],[ada ship charge]],0)</f>
        <v>0</v>
      </c>
    </row>
    <row r="1230" spans="1:9" x14ac:dyDescent="0.2">
      <c r="A1230">
        <v>1017952</v>
      </c>
      <c r="B1230" t="s">
        <v>20</v>
      </c>
      <c r="C1230">
        <v>9.6999999999999993</v>
      </c>
      <c r="D1230">
        <v>0</v>
      </c>
      <c r="E1230">
        <v>232.4</v>
      </c>
      <c r="F1230" t="s">
        <v>6</v>
      </c>
      <c r="G12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3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30">
        <f>IF(Table1[[#This Row],[is_ups_overcharge]]="ups overcharged",Table1[[#This Row],[ups ship charge]]-Table1[[#This Row],[ada ship charge]],0)</f>
        <v>0</v>
      </c>
    </row>
    <row r="1231" spans="1:9" x14ac:dyDescent="0.2">
      <c r="A1231">
        <v>1017961</v>
      </c>
      <c r="B1231" t="s">
        <v>20</v>
      </c>
      <c r="C1231">
        <v>9.6999999999999993</v>
      </c>
      <c r="D1231">
        <v>9.75</v>
      </c>
      <c r="E1231">
        <v>116.15</v>
      </c>
      <c r="F1231" t="s">
        <v>6</v>
      </c>
      <c r="G12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31">
        <f>IF(Table1[[#This Row],[is_ups_overcharge]]="ups overcharged",Table1[[#This Row],[ups ship charge]]-Table1[[#This Row],[ada ship charge]],0)</f>
        <v>0</v>
      </c>
    </row>
    <row r="1232" spans="1:9" x14ac:dyDescent="0.2">
      <c r="A1232">
        <v>1017968</v>
      </c>
      <c r="B1232" t="s">
        <v>20</v>
      </c>
      <c r="C1232">
        <v>13.7</v>
      </c>
      <c r="D1232">
        <v>13.75</v>
      </c>
      <c r="E1232">
        <v>30.75</v>
      </c>
      <c r="F1232" t="s">
        <v>9</v>
      </c>
      <c r="G12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32">
        <f>IF(Table1[[#This Row],[is_ups_overcharge]]="ups overcharged",Table1[[#This Row],[ups ship charge]]-Table1[[#This Row],[ada ship charge]],0)</f>
        <v>0</v>
      </c>
    </row>
    <row r="1233" spans="1:9" x14ac:dyDescent="0.2">
      <c r="A1233">
        <v>1017972</v>
      </c>
      <c r="B1233" t="s">
        <v>20</v>
      </c>
      <c r="C1233">
        <v>16.46</v>
      </c>
      <c r="D1233">
        <v>16.510000000000002</v>
      </c>
      <c r="E1233">
        <v>130.4</v>
      </c>
      <c r="F1233" t="s">
        <v>10</v>
      </c>
      <c r="G12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33">
        <f>IF(Table1[[#This Row],[is_ups_overcharge]]="ups overcharged",Table1[[#This Row],[ups ship charge]]-Table1[[#This Row],[ada ship charge]],0)</f>
        <v>0</v>
      </c>
    </row>
    <row r="1234" spans="1:9" x14ac:dyDescent="0.2">
      <c r="A1234">
        <v>1017979</v>
      </c>
      <c r="B1234" t="s">
        <v>20</v>
      </c>
      <c r="C1234">
        <v>13.7</v>
      </c>
      <c r="D1234">
        <v>13.75</v>
      </c>
      <c r="E1234">
        <v>89.6</v>
      </c>
      <c r="F1234" t="s">
        <v>9</v>
      </c>
      <c r="G12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34">
        <f>IF(Table1[[#This Row],[is_ups_overcharge]]="ups overcharged",Table1[[#This Row],[ups ship charge]]-Table1[[#This Row],[ada ship charge]],0)</f>
        <v>0</v>
      </c>
    </row>
    <row r="1235" spans="1:9" x14ac:dyDescent="0.2">
      <c r="A1235">
        <v>1017981</v>
      </c>
      <c r="B1235" t="s">
        <v>20</v>
      </c>
      <c r="C1235">
        <v>12.55</v>
      </c>
      <c r="D1235">
        <v>0</v>
      </c>
      <c r="E1235">
        <v>767.03</v>
      </c>
      <c r="F1235" t="s">
        <v>6</v>
      </c>
      <c r="G12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3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35">
        <f>IF(Table1[[#This Row],[is_ups_overcharge]]="ups overcharged",Table1[[#This Row],[ups ship charge]]-Table1[[#This Row],[ada ship charge]],0)</f>
        <v>0</v>
      </c>
    </row>
    <row r="1236" spans="1:9" x14ac:dyDescent="0.2">
      <c r="A1236">
        <v>1017990</v>
      </c>
      <c r="B1236" t="s">
        <v>20</v>
      </c>
      <c r="C1236">
        <v>9.6999999999999993</v>
      </c>
      <c r="D1236">
        <v>0</v>
      </c>
      <c r="E1236">
        <v>221.75</v>
      </c>
      <c r="F1236" t="s">
        <v>6</v>
      </c>
      <c r="G12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3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36">
        <f>IF(Table1[[#This Row],[is_ups_overcharge]]="ups overcharged",Table1[[#This Row],[ups ship charge]]-Table1[[#This Row],[ada ship charge]],0)</f>
        <v>0</v>
      </c>
    </row>
    <row r="1237" spans="1:9" x14ac:dyDescent="0.2">
      <c r="A1237">
        <v>1018007</v>
      </c>
      <c r="B1237" t="s">
        <v>20</v>
      </c>
      <c r="C1237">
        <v>12.81</v>
      </c>
      <c r="D1237">
        <v>12.86</v>
      </c>
      <c r="E1237">
        <v>89.3</v>
      </c>
      <c r="F1237" t="s">
        <v>9</v>
      </c>
      <c r="G12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37">
        <f>IF(Table1[[#This Row],[is_ups_overcharge]]="ups overcharged",Table1[[#This Row],[ups ship charge]]-Table1[[#This Row],[ada ship charge]],0)</f>
        <v>0</v>
      </c>
    </row>
    <row r="1238" spans="1:9" x14ac:dyDescent="0.2">
      <c r="A1238">
        <v>1018020</v>
      </c>
      <c r="B1238" t="s">
        <v>20</v>
      </c>
      <c r="C1238">
        <v>13.7</v>
      </c>
      <c r="D1238">
        <v>13.75</v>
      </c>
      <c r="E1238">
        <v>7.9</v>
      </c>
      <c r="F1238" t="s">
        <v>9</v>
      </c>
      <c r="G12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38">
        <f>IF(Table1[[#This Row],[is_ups_overcharge]]="ups overcharged",Table1[[#This Row],[ups ship charge]]-Table1[[#This Row],[ada ship charge]],0)</f>
        <v>0</v>
      </c>
    </row>
    <row r="1239" spans="1:9" x14ac:dyDescent="0.2">
      <c r="A1239">
        <v>1018027</v>
      </c>
      <c r="B1239" t="s">
        <v>20</v>
      </c>
      <c r="C1239">
        <v>13.7</v>
      </c>
      <c r="D1239">
        <v>13.75</v>
      </c>
      <c r="E1239">
        <v>48.9</v>
      </c>
      <c r="F1239" t="s">
        <v>9</v>
      </c>
      <c r="G12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39">
        <f>IF(Table1[[#This Row],[is_ups_overcharge]]="ups overcharged",Table1[[#This Row],[ups ship charge]]-Table1[[#This Row],[ada ship charge]],0)</f>
        <v>0</v>
      </c>
    </row>
    <row r="1240" spans="1:9" x14ac:dyDescent="0.2">
      <c r="A1240">
        <v>1018029</v>
      </c>
      <c r="B1240" t="s">
        <v>20</v>
      </c>
      <c r="C1240">
        <v>16.46</v>
      </c>
      <c r="D1240">
        <v>16.510000000000002</v>
      </c>
      <c r="E1240">
        <v>71.2</v>
      </c>
      <c r="F1240" t="s">
        <v>10</v>
      </c>
      <c r="G12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40">
        <f>IF(Table1[[#This Row],[is_ups_overcharge]]="ups overcharged",Table1[[#This Row],[ups ship charge]]-Table1[[#This Row],[ada ship charge]],0)</f>
        <v>0</v>
      </c>
    </row>
    <row r="1241" spans="1:9" x14ac:dyDescent="0.2">
      <c r="A1241">
        <v>1018032</v>
      </c>
      <c r="B1241" t="s">
        <v>20</v>
      </c>
      <c r="C1241">
        <v>12.81</v>
      </c>
      <c r="D1241">
        <v>12.86</v>
      </c>
      <c r="E1241">
        <v>13</v>
      </c>
      <c r="F1241" t="s">
        <v>9</v>
      </c>
      <c r="G12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41">
        <f>IF(Table1[[#This Row],[is_ups_overcharge]]="ups overcharged",Table1[[#This Row],[ups ship charge]]-Table1[[#This Row],[ada ship charge]],0)</f>
        <v>0</v>
      </c>
    </row>
    <row r="1242" spans="1:9" x14ac:dyDescent="0.2">
      <c r="A1242">
        <v>1018034</v>
      </c>
      <c r="B1242" t="s">
        <v>20</v>
      </c>
      <c r="C1242">
        <v>12.81</v>
      </c>
      <c r="D1242">
        <v>0</v>
      </c>
      <c r="E1242">
        <v>212.55</v>
      </c>
      <c r="F1242" t="s">
        <v>9</v>
      </c>
      <c r="G12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4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42">
        <f>IF(Table1[[#This Row],[is_ups_overcharge]]="ups overcharged",Table1[[#This Row],[ups ship charge]]-Table1[[#This Row],[ada ship charge]],0)</f>
        <v>0</v>
      </c>
    </row>
    <row r="1243" spans="1:9" x14ac:dyDescent="0.2">
      <c r="A1243">
        <v>1018042</v>
      </c>
      <c r="B1243" t="s">
        <v>20</v>
      </c>
      <c r="C1243">
        <v>13.7</v>
      </c>
      <c r="D1243">
        <v>13.75</v>
      </c>
      <c r="E1243">
        <v>41.35</v>
      </c>
      <c r="F1243" t="s">
        <v>9</v>
      </c>
      <c r="G12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43">
        <f>IF(Table1[[#This Row],[is_ups_overcharge]]="ups overcharged",Table1[[#This Row],[ups ship charge]]-Table1[[#This Row],[ada ship charge]],0)</f>
        <v>0</v>
      </c>
    </row>
    <row r="1244" spans="1:9" x14ac:dyDescent="0.2">
      <c r="A1244">
        <v>1018056</v>
      </c>
      <c r="B1244" t="s">
        <v>20</v>
      </c>
      <c r="C1244">
        <v>12.81</v>
      </c>
      <c r="D1244">
        <v>12.86</v>
      </c>
      <c r="E1244">
        <v>147.30000000000001</v>
      </c>
      <c r="F1244" t="s">
        <v>9</v>
      </c>
      <c r="G12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44">
        <f>IF(Table1[[#This Row],[is_ups_overcharge]]="ups overcharged",Table1[[#This Row],[ups ship charge]]-Table1[[#This Row],[ada ship charge]],0)</f>
        <v>0</v>
      </c>
    </row>
    <row r="1245" spans="1:9" x14ac:dyDescent="0.2">
      <c r="A1245">
        <v>1018057</v>
      </c>
      <c r="B1245" t="s">
        <v>20</v>
      </c>
      <c r="C1245">
        <v>12.81</v>
      </c>
      <c r="D1245">
        <v>12.86</v>
      </c>
      <c r="E1245">
        <v>39.950000000000003</v>
      </c>
      <c r="F1245" t="s">
        <v>9</v>
      </c>
      <c r="G12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45">
        <f>IF(Table1[[#This Row],[is_ups_overcharge]]="ups overcharged",Table1[[#This Row],[ups ship charge]]-Table1[[#This Row],[ada ship charge]],0)</f>
        <v>0</v>
      </c>
    </row>
    <row r="1246" spans="1:9" x14ac:dyDescent="0.2">
      <c r="A1246">
        <v>1018069</v>
      </c>
      <c r="B1246" t="s">
        <v>20</v>
      </c>
      <c r="C1246">
        <v>13.7</v>
      </c>
      <c r="D1246">
        <v>13.75</v>
      </c>
      <c r="E1246">
        <v>23.7</v>
      </c>
      <c r="F1246" t="s">
        <v>9</v>
      </c>
      <c r="G12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46">
        <f>IF(Table1[[#This Row],[is_ups_overcharge]]="ups overcharged",Table1[[#This Row],[ups ship charge]]-Table1[[#This Row],[ada ship charge]],0)</f>
        <v>0</v>
      </c>
    </row>
    <row r="1247" spans="1:9" x14ac:dyDescent="0.2">
      <c r="A1247">
        <v>1018083</v>
      </c>
      <c r="B1247" t="s">
        <v>20</v>
      </c>
      <c r="C1247">
        <v>12.35</v>
      </c>
      <c r="D1247">
        <v>12.4</v>
      </c>
      <c r="E1247">
        <v>142.30000000000001</v>
      </c>
      <c r="F1247" t="s">
        <v>13</v>
      </c>
      <c r="G12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47">
        <f>IF(Table1[[#This Row],[is_ups_overcharge]]="ups overcharged",Table1[[#This Row],[ups ship charge]]-Table1[[#This Row],[ada ship charge]],0)</f>
        <v>0</v>
      </c>
    </row>
    <row r="1248" spans="1:9" x14ac:dyDescent="0.2">
      <c r="A1248">
        <v>1018114</v>
      </c>
      <c r="B1248" t="s">
        <v>20</v>
      </c>
      <c r="C1248">
        <v>12.81</v>
      </c>
      <c r="D1248">
        <v>12.86</v>
      </c>
      <c r="E1248">
        <v>52.75</v>
      </c>
      <c r="F1248" t="s">
        <v>9</v>
      </c>
      <c r="G12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48">
        <f>IF(Table1[[#This Row],[is_ups_overcharge]]="ups overcharged",Table1[[#This Row],[ups ship charge]]-Table1[[#This Row],[ada ship charge]],0)</f>
        <v>0</v>
      </c>
    </row>
    <row r="1249" spans="1:9" x14ac:dyDescent="0.2">
      <c r="A1249">
        <v>1018141</v>
      </c>
      <c r="B1249" t="s">
        <v>20</v>
      </c>
      <c r="C1249">
        <v>13.7</v>
      </c>
      <c r="D1249">
        <v>13.75</v>
      </c>
      <c r="E1249">
        <v>63</v>
      </c>
      <c r="F1249" t="s">
        <v>9</v>
      </c>
      <c r="G12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49">
        <f>IF(Table1[[#This Row],[is_ups_overcharge]]="ups overcharged",Table1[[#This Row],[ups ship charge]]-Table1[[#This Row],[ada ship charge]],0)</f>
        <v>0</v>
      </c>
    </row>
    <row r="1250" spans="1:9" x14ac:dyDescent="0.2">
      <c r="A1250">
        <v>1018173</v>
      </c>
      <c r="B1250" t="s">
        <v>20</v>
      </c>
      <c r="C1250">
        <v>9.6999999999999993</v>
      </c>
      <c r="D1250">
        <v>12.86</v>
      </c>
      <c r="E1250">
        <v>79.900000000000006</v>
      </c>
      <c r="F1250" t="s">
        <v>6</v>
      </c>
      <c r="G12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50">
        <f>IF(Table1[[#This Row],[is_ups_overcharge]]="ups overcharged",Table1[[#This Row],[ups ship charge]]-Table1[[#This Row],[ada ship charge]],0)</f>
        <v>0</v>
      </c>
    </row>
    <row r="1251" spans="1:9" x14ac:dyDescent="0.2">
      <c r="A1251">
        <v>1018175</v>
      </c>
      <c r="B1251" t="s">
        <v>20</v>
      </c>
      <c r="C1251">
        <v>13.22</v>
      </c>
      <c r="D1251">
        <v>0</v>
      </c>
      <c r="E1251">
        <v>291.5</v>
      </c>
      <c r="F1251" t="s">
        <v>9</v>
      </c>
      <c r="G12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5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51">
        <f>IF(Table1[[#This Row],[is_ups_overcharge]]="ups overcharged",Table1[[#This Row],[ups ship charge]]-Table1[[#This Row],[ada ship charge]],0)</f>
        <v>0</v>
      </c>
    </row>
    <row r="1252" spans="1:9" x14ac:dyDescent="0.2">
      <c r="A1252">
        <v>1018179</v>
      </c>
      <c r="B1252" t="s">
        <v>20</v>
      </c>
      <c r="C1252">
        <v>13.75</v>
      </c>
      <c r="D1252">
        <v>0</v>
      </c>
      <c r="E1252">
        <v>1003.14</v>
      </c>
      <c r="F1252" t="s">
        <v>6</v>
      </c>
      <c r="G12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5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52">
        <f>IF(Table1[[#This Row],[is_ups_overcharge]]="ups overcharged",Table1[[#This Row],[ups ship charge]]-Table1[[#This Row],[ada ship charge]],0)</f>
        <v>0</v>
      </c>
    </row>
    <row r="1253" spans="1:9" x14ac:dyDescent="0.2">
      <c r="A1253">
        <v>1018190</v>
      </c>
      <c r="B1253" t="s">
        <v>20</v>
      </c>
      <c r="C1253">
        <v>13.7</v>
      </c>
      <c r="D1253">
        <v>0</v>
      </c>
      <c r="E1253">
        <v>201.6</v>
      </c>
      <c r="F1253" t="s">
        <v>9</v>
      </c>
      <c r="G12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5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53">
        <f>IF(Table1[[#This Row],[is_ups_overcharge]]="ups overcharged",Table1[[#This Row],[ups ship charge]]-Table1[[#This Row],[ada ship charge]],0)</f>
        <v>0</v>
      </c>
    </row>
    <row r="1254" spans="1:9" x14ac:dyDescent="0.2">
      <c r="A1254">
        <v>1018222</v>
      </c>
      <c r="B1254" t="s">
        <v>20</v>
      </c>
      <c r="C1254">
        <v>20.46</v>
      </c>
      <c r="D1254">
        <v>23.07</v>
      </c>
      <c r="E1254">
        <v>24.95</v>
      </c>
      <c r="F1254" t="s">
        <v>16</v>
      </c>
      <c r="G12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54">
        <f>IF(Table1[[#This Row],[is_ups_overcharge]]="ups overcharged",Table1[[#This Row],[ups ship charge]]-Table1[[#This Row],[ada ship charge]],0)</f>
        <v>0</v>
      </c>
    </row>
    <row r="1255" spans="1:9" x14ac:dyDescent="0.2">
      <c r="A1255">
        <v>1018228</v>
      </c>
      <c r="B1255" t="s">
        <v>20</v>
      </c>
      <c r="C1255">
        <v>12.81</v>
      </c>
      <c r="D1255">
        <v>12.86</v>
      </c>
      <c r="E1255">
        <v>3.95</v>
      </c>
      <c r="F1255" t="s">
        <v>9</v>
      </c>
      <c r="G12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55">
        <f>IF(Table1[[#This Row],[is_ups_overcharge]]="ups overcharged",Table1[[#This Row],[ups ship charge]]-Table1[[#This Row],[ada ship charge]],0)</f>
        <v>0</v>
      </c>
    </row>
    <row r="1256" spans="1:9" x14ac:dyDescent="0.2">
      <c r="A1256">
        <v>1018230</v>
      </c>
      <c r="B1256" t="s">
        <v>20</v>
      </c>
      <c r="C1256">
        <v>12.81</v>
      </c>
      <c r="D1256">
        <v>12.86</v>
      </c>
      <c r="E1256">
        <v>32.85</v>
      </c>
      <c r="F1256" t="s">
        <v>9</v>
      </c>
      <c r="G12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56">
        <f>IF(Table1[[#This Row],[is_ups_overcharge]]="ups overcharged",Table1[[#This Row],[ups ship charge]]-Table1[[#This Row],[ada ship charge]],0)</f>
        <v>0</v>
      </c>
    </row>
    <row r="1257" spans="1:9" x14ac:dyDescent="0.2">
      <c r="A1257">
        <v>1018255</v>
      </c>
      <c r="B1257" t="s">
        <v>20</v>
      </c>
      <c r="C1257">
        <v>15.44</v>
      </c>
      <c r="D1257">
        <v>15.49</v>
      </c>
      <c r="E1257">
        <v>101.8</v>
      </c>
      <c r="F1257" t="s">
        <v>12</v>
      </c>
      <c r="G12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57">
        <f>IF(Table1[[#This Row],[is_ups_overcharge]]="ups overcharged",Table1[[#This Row],[ups ship charge]]-Table1[[#This Row],[ada ship charge]],0)</f>
        <v>0</v>
      </c>
    </row>
    <row r="1258" spans="1:9" x14ac:dyDescent="0.2">
      <c r="A1258">
        <v>1018271</v>
      </c>
      <c r="B1258" t="s">
        <v>20</v>
      </c>
      <c r="C1258">
        <v>12.81</v>
      </c>
      <c r="D1258">
        <v>0</v>
      </c>
      <c r="E1258">
        <v>253.7</v>
      </c>
      <c r="F1258" t="s">
        <v>9</v>
      </c>
      <c r="G12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5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58">
        <f>IF(Table1[[#This Row],[is_ups_overcharge]]="ups overcharged",Table1[[#This Row],[ups ship charge]]-Table1[[#This Row],[ada ship charge]],0)</f>
        <v>0</v>
      </c>
    </row>
    <row r="1259" spans="1:9" x14ac:dyDescent="0.2">
      <c r="A1259">
        <v>1018292</v>
      </c>
      <c r="B1259" t="s">
        <v>20</v>
      </c>
      <c r="C1259">
        <v>12.45</v>
      </c>
      <c r="D1259">
        <v>12.5</v>
      </c>
      <c r="E1259">
        <v>47.8</v>
      </c>
      <c r="F1259" t="s">
        <v>13</v>
      </c>
      <c r="G12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59">
        <f>IF(Table1[[#This Row],[is_ups_overcharge]]="ups overcharged",Table1[[#This Row],[ups ship charge]]-Table1[[#This Row],[ada ship charge]],0)</f>
        <v>0</v>
      </c>
    </row>
    <row r="1260" spans="1:9" x14ac:dyDescent="0.2">
      <c r="A1260">
        <v>1018295</v>
      </c>
      <c r="B1260" t="s">
        <v>20</v>
      </c>
      <c r="C1260">
        <v>13.7</v>
      </c>
      <c r="D1260">
        <v>13.76</v>
      </c>
      <c r="E1260">
        <v>145.35</v>
      </c>
      <c r="F1260" t="s">
        <v>9</v>
      </c>
      <c r="G12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60">
        <f>IF(Table1[[#This Row],[is_ups_overcharge]]="ups overcharged",Table1[[#This Row],[ups ship charge]]-Table1[[#This Row],[ada ship charge]],0)</f>
        <v>0</v>
      </c>
    </row>
    <row r="1261" spans="1:9" x14ac:dyDescent="0.2">
      <c r="A1261">
        <v>1018311</v>
      </c>
      <c r="B1261" t="s">
        <v>20</v>
      </c>
      <c r="C1261">
        <v>13.7</v>
      </c>
      <c r="D1261">
        <v>0</v>
      </c>
      <c r="E1261">
        <v>218.3</v>
      </c>
      <c r="F1261" t="s">
        <v>9</v>
      </c>
      <c r="G12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6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61">
        <f>IF(Table1[[#This Row],[is_ups_overcharge]]="ups overcharged",Table1[[#This Row],[ups ship charge]]-Table1[[#This Row],[ada ship charge]],0)</f>
        <v>0</v>
      </c>
    </row>
    <row r="1262" spans="1:9" x14ac:dyDescent="0.2">
      <c r="A1262">
        <v>1018323</v>
      </c>
      <c r="B1262" t="s">
        <v>20</v>
      </c>
      <c r="C1262">
        <v>13.7</v>
      </c>
      <c r="D1262">
        <v>13.75</v>
      </c>
      <c r="E1262">
        <v>18.899999999999999</v>
      </c>
      <c r="F1262" t="s">
        <v>9</v>
      </c>
      <c r="G12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62">
        <f>IF(Table1[[#This Row],[is_ups_overcharge]]="ups overcharged",Table1[[#This Row],[ups ship charge]]-Table1[[#This Row],[ada ship charge]],0)</f>
        <v>0</v>
      </c>
    </row>
    <row r="1263" spans="1:9" x14ac:dyDescent="0.2">
      <c r="A1263">
        <v>1018327</v>
      </c>
      <c r="B1263" t="s">
        <v>20</v>
      </c>
      <c r="C1263">
        <v>15.44</v>
      </c>
      <c r="D1263">
        <v>15.49</v>
      </c>
      <c r="E1263">
        <v>24.9</v>
      </c>
      <c r="F1263" t="s">
        <v>12</v>
      </c>
      <c r="G12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63">
        <f>IF(Table1[[#This Row],[is_ups_overcharge]]="ups overcharged",Table1[[#This Row],[ups ship charge]]-Table1[[#This Row],[ada ship charge]],0)</f>
        <v>0</v>
      </c>
    </row>
    <row r="1264" spans="1:9" x14ac:dyDescent="0.2">
      <c r="A1264">
        <v>1018350</v>
      </c>
      <c r="B1264" t="s">
        <v>20</v>
      </c>
      <c r="C1264">
        <v>13.71</v>
      </c>
      <c r="D1264">
        <v>13.76</v>
      </c>
      <c r="E1264">
        <v>99.95</v>
      </c>
      <c r="F1264" t="s">
        <v>9</v>
      </c>
      <c r="G12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64">
        <f>IF(Table1[[#This Row],[is_ups_overcharge]]="ups overcharged",Table1[[#This Row],[ups ship charge]]-Table1[[#This Row],[ada ship charge]],0)</f>
        <v>0</v>
      </c>
    </row>
    <row r="1265" spans="1:9" x14ac:dyDescent="0.2">
      <c r="A1265">
        <v>1018351</v>
      </c>
      <c r="B1265" t="s">
        <v>20</v>
      </c>
      <c r="C1265">
        <v>12.81</v>
      </c>
      <c r="D1265">
        <v>12.86</v>
      </c>
      <c r="E1265">
        <v>57.15</v>
      </c>
      <c r="F1265" t="s">
        <v>9</v>
      </c>
      <c r="G12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65">
        <f>IF(Table1[[#This Row],[is_ups_overcharge]]="ups overcharged",Table1[[#This Row],[ups ship charge]]-Table1[[#This Row],[ada ship charge]],0)</f>
        <v>0</v>
      </c>
    </row>
    <row r="1266" spans="1:9" x14ac:dyDescent="0.2">
      <c r="A1266">
        <v>1018360</v>
      </c>
      <c r="B1266" t="s">
        <v>20</v>
      </c>
      <c r="C1266">
        <v>15.44</v>
      </c>
      <c r="D1266">
        <v>15.49</v>
      </c>
      <c r="E1266">
        <v>34.950000000000003</v>
      </c>
      <c r="F1266" t="s">
        <v>12</v>
      </c>
      <c r="G12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66">
        <f>IF(Table1[[#This Row],[is_ups_overcharge]]="ups overcharged",Table1[[#This Row],[ups ship charge]]-Table1[[#This Row],[ada ship charge]],0)</f>
        <v>0</v>
      </c>
    </row>
    <row r="1267" spans="1:9" x14ac:dyDescent="0.2">
      <c r="A1267">
        <v>1018364</v>
      </c>
      <c r="B1267" t="s">
        <v>20</v>
      </c>
      <c r="C1267">
        <v>13.71</v>
      </c>
      <c r="D1267">
        <v>13.76</v>
      </c>
      <c r="E1267">
        <v>87.4</v>
      </c>
      <c r="F1267" t="s">
        <v>9</v>
      </c>
      <c r="G12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67">
        <f>IF(Table1[[#This Row],[is_ups_overcharge]]="ups overcharged",Table1[[#This Row],[ups ship charge]]-Table1[[#This Row],[ada ship charge]],0)</f>
        <v>0</v>
      </c>
    </row>
    <row r="1268" spans="1:9" x14ac:dyDescent="0.2">
      <c r="A1268">
        <v>1018375</v>
      </c>
      <c r="B1268" t="s">
        <v>20</v>
      </c>
      <c r="C1268">
        <v>15.44</v>
      </c>
      <c r="D1268">
        <v>19.41</v>
      </c>
      <c r="E1268">
        <v>161.6</v>
      </c>
      <c r="F1268" t="s">
        <v>12</v>
      </c>
      <c r="G12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68">
        <f>IF(Table1[[#This Row],[is_ups_overcharge]]="ups overcharged",Table1[[#This Row],[ups ship charge]]-Table1[[#This Row],[ada ship charge]],0)</f>
        <v>0</v>
      </c>
    </row>
    <row r="1269" spans="1:9" x14ac:dyDescent="0.2">
      <c r="A1269">
        <v>1018379</v>
      </c>
      <c r="B1269" t="s">
        <v>20</v>
      </c>
      <c r="C1269">
        <v>16.46</v>
      </c>
      <c r="D1269">
        <v>16.510000000000002</v>
      </c>
      <c r="E1269">
        <v>82.8</v>
      </c>
      <c r="F1269" t="s">
        <v>10</v>
      </c>
      <c r="G12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69">
        <f>IF(Table1[[#This Row],[is_ups_overcharge]]="ups overcharged",Table1[[#This Row],[ups ship charge]]-Table1[[#This Row],[ada ship charge]],0)</f>
        <v>0</v>
      </c>
    </row>
    <row r="1270" spans="1:9" x14ac:dyDescent="0.2">
      <c r="A1270">
        <v>1018381</v>
      </c>
      <c r="B1270" t="s">
        <v>20</v>
      </c>
      <c r="C1270">
        <v>13.7</v>
      </c>
      <c r="D1270">
        <v>13.75</v>
      </c>
      <c r="E1270">
        <v>57.35</v>
      </c>
      <c r="F1270" t="s">
        <v>9</v>
      </c>
      <c r="G12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70">
        <f>IF(Table1[[#This Row],[is_ups_overcharge]]="ups overcharged",Table1[[#This Row],[ups ship charge]]-Table1[[#This Row],[ada ship charge]],0)</f>
        <v>0</v>
      </c>
    </row>
    <row r="1271" spans="1:9" x14ac:dyDescent="0.2">
      <c r="A1271">
        <v>1018414</v>
      </c>
      <c r="B1271" t="s">
        <v>20</v>
      </c>
      <c r="C1271">
        <v>18.97</v>
      </c>
      <c r="D1271">
        <v>19.010000000000002</v>
      </c>
      <c r="E1271">
        <v>108.65</v>
      </c>
      <c r="F1271" t="s">
        <v>12</v>
      </c>
      <c r="G12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71">
        <f>IF(Table1[[#This Row],[is_ups_overcharge]]="ups overcharged",Table1[[#This Row],[ups ship charge]]-Table1[[#This Row],[ada ship charge]],0)</f>
        <v>0</v>
      </c>
    </row>
    <row r="1272" spans="1:9" x14ac:dyDescent="0.2">
      <c r="A1272">
        <v>1018458</v>
      </c>
      <c r="B1272" t="s">
        <v>20</v>
      </c>
      <c r="C1272">
        <v>13.26</v>
      </c>
      <c r="D1272">
        <v>13.31</v>
      </c>
      <c r="E1272">
        <v>36.65</v>
      </c>
      <c r="F1272" t="s">
        <v>9</v>
      </c>
      <c r="G12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72">
        <f>IF(Table1[[#This Row],[is_ups_overcharge]]="ups overcharged",Table1[[#This Row],[ups ship charge]]-Table1[[#This Row],[ada ship charge]],0)</f>
        <v>0</v>
      </c>
    </row>
    <row r="1273" spans="1:9" x14ac:dyDescent="0.2">
      <c r="A1273">
        <v>1018468</v>
      </c>
      <c r="B1273" t="s">
        <v>20</v>
      </c>
      <c r="C1273">
        <v>13.7</v>
      </c>
      <c r="D1273">
        <v>13.76</v>
      </c>
      <c r="E1273">
        <v>17.45</v>
      </c>
      <c r="F1273" t="s">
        <v>9</v>
      </c>
      <c r="G12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73">
        <f>IF(Table1[[#This Row],[is_ups_overcharge]]="ups overcharged",Table1[[#This Row],[ups ship charge]]-Table1[[#This Row],[ada ship charge]],0)</f>
        <v>0</v>
      </c>
    </row>
    <row r="1274" spans="1:9" x14ac:dyDescent="0.2">
      <c r="A1274">
        <v>1018487</v>
      </c>
      <c r="B1274" t="s">
        <v>20</v>
      </c>
      <c r="C1274">
        <v>67.459999999999994</v>
      </c>
      <c r="D1274">
        <v>36.61</v>
      </c>
      <c r="E1274">
        <v>62.6</v>
      </c>
      <c r="F1274" t="s">
        <v>8</v>
      </c>
      <c r="G12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7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274">
        <f>IF(Table1[[#This Row],[is_ups_overcharge]]="ups overcharged",Table1[[#This Row],[ups ship charge]]-Table1[[#This Row],[ada ship charge]],0)</f>
        <v>30.849999999999994</v>
      </c>
    </row>
    <row r="1275" spans="1:9" x14ac:dyDescent="0.2">
      <c r="A1275">
        <v>1018492</v>
      </c>
      <c r="B1275" t="s">
        <v>20</v>
      </c>
      <c r="C1275">
        <v>19.940000000000001</v>
      </c>
      <c r="D1275">
        <v>19.989999999999998</v>
      </c>
      <c r="E1275">
        <v>158.5</v>
      </c>
      <c r="F1275" t="s">
        <v>15</v>
      </c>
      <c r="G12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75">
        <f>IF(Table1[[#This Row],[is_ups_overcharge]]="ups overcharged",Table1[[#This Row],[ups ship charge]]-Table1[[#This Row],[ada ship charge]],0)</f>
        <v>0</v>
      </c>
    </row>
    <row r="1276" spans="1:9" x14ac:dyDescent="0.2">
      <c r="A1276">
        <v>1018497</v>
      </c>
      <c r="B1276" t="s">
        <v>20</v>
      </c>
      <c r="C1276">
        <v>13.7</v>
      </c>
      <c r="D1276">
        <v>13.75</v>
      </c>
      <c r="E1276">
        <v>9</v>
      </c>
      <c r="F1276" t="s">
        <v>9</v>
      </c>
      <c r="G12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76">
        <f>IF(Table1[[#This Row],[is_ups_overcharge]]="ups overcharged",Table1[[#This Row],[ups ship charge]]-Table1[[#This Row],[ada ship charge]],0)</f>
        <v>0</v>
      </c>
    </row>
    <row r="1277" spans="1:9" x14ac:dyDescent="0.2">
      <c r="A1277">
        <v>1018498</v>
      </c>
      <c r="B1277" t="s">
        <v>20</v>
      </c>
      <c r="C1277">
        <v>20.100000000000001</v>
      </c>
      <c r="D1277">
        <v>24.62</v>
      </c>
      <c r="E1277">
        <v>281.39999999999998</v>
      </c>
      <c r="F1277" t="s">
        <v>16</v>
      </c>
      <c r="G12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77">
        <f>IF(Table1[[#This Row],[is_ups_overcharge]]="ups overcharged",Table1[[#This Row],[ups ship charge]]-Table1[[#This Row],[ada ship charge]],0)</f>
        <v>0</v>
      </c>
    </row>
    <row r="1278" spans="1:9" x14ac:dyDescent="0.2">
      <c r="A1278">
        <v>1018500</v>
      </c>
      <c r="B1278" t="s">
        <v>20</v>
      </c>
      <c r="C1278">
        <v>15.11</v>
      </c>
      <c r="D1278">
        <v>0</v>
      </c>
      <c r="E1278">
        <v>574.71</v>
      </c>
      <c r="F1278" t="s">
        <v>6</v>
      </c>
      <c r="G12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7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78">
        <f>IF(Table1[[#This Row],[is_ups_overcharge]]="ups overcharged",Table1[[#This Row],[ups ship charge]]-Table1[[#This Row],[ada ship charge]],0)</f>
        <v>0</v>
      </c>
    </row>
    <row r="1279" spans="1:9" x14ac:dyDescent="0.2">
      <c r="A1279">
        <v>1018501</v>
      </c>
      <c r="B1279" t="s">
        <v>20</v>
      </c>
      <c r="C1279">
        <v>16.46</v>
      </c>
      <c r="D1279">
        <v>16.510000000000002</v>
      </c>
      <c r="E1279">
        <v>36.549999999999997</v>
      </c>
      <c r="F1279" t="s">
        <v>10</v>
      </c>
      <c r="G12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79">
        <f>IF(Table1[[#This Row],[is_ups_overcharge]]="ups overcharged",Table1[[#This Row],[ups ship charge]]-Table1[[#This Row],[ada ship charge]],0)</f>
        <v>0</v>
      </c>
    </row>
    <row r="1280" spans="1:9" x14ac:dyDescent="0.2">
      <c r="A1280">
        <v>1018506</v>
      </c>
      <c r="B1280" t="s">
        <v>20</v>
      </c>
      <c r="C1280">
        <v>13.7</v>
      </c>
      <c r="D1280">
        <v>13.75</v>
      </c>
      <c r="E1280">
        <v>4.75</v>
      </c>
      <c r="F1280" t="s">
        <v>9</v>
      </c>
      <c r="G12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80">
        <f>IF(Table1[[#This Row],[is_ups_overcharge]]="ups overcharged",Table1[[#This Row],[ups ship charge]]-Table1[[#This Row],[ada ship charge]],0)</f>
        <v>0</v>
      </c>
    </row>
    <row r="1281" spans="1:9" x14ac:dyDescent="0.2">
      <c r="A1281">
        <v>1018522</v>
      </c>
      <c r="B1281" t="s">
        <v>20</v>
      </c>
      <c r="C1281">
        <v>18.149999999999999</v>
      </c>
      <c r="D1281">
        <v>18.2</v>
      </c>
      <c r="E1281">
        <v>8</v>
      </c>
      <c r="F1281" t="s">
        <v>15</v>
      </c>
      <c r="G12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81">
        <f>IF(Table1[[#This Row],[is_ups_overcharge]]="ups overcharged",Table1[[#This Row],[ups ship charge]]-Table1[[#This Row],[ada ship charge]],0)</f>
        <v>0</v>
      </c>
    </row>
    <row r="1282" spans="1:9" x14ac:dyDescent="0.2">
      <c r="A1282">
        <v>1018531</v>
      </c>
      <c r="B1282" t="s">
        <v>20</v>
      </c>
      <c r="C1282">
        <v>9.6999999999999993</v>
      </c>
      <c r="D1282">
        <v>9.75</v>
      </c>
      <c r="E1282">
        <v>159.9</v>
      </c>
      <c r="F1282" t="s">
        <v>6</v>
      </c>
      <c r="G12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82">
        <f>IF(Table1[[#This Row],[is_ups_overcharge]]="ups overcharged",Table1[[#This Row],[ups ship charge]]-Table1[[#This Row],[ada ship charge]],0)</f>
        <v>0</v>
      </c>
    </row>
    <row r="1283" spans="1:9" x14ac:dyDescent="0.2">
      <c r="A1283">
        <v>1018546</v>
      </c>
      <c r="B1283" t="s">
        <v>20</v>
      </c>
      <c r="C1283">
        <v>9.6999999999999993</v>
      </c>
      <c r="D1283">
        <v>9.75</v>
      </c>
      <c r="E1283">
        <v>117.75</v>
      </c>
      <c r="F1283" t="s">
        <v>6</v>
      </c>
      <c r="G12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83">
        <f>IF(Table1[[#This Row],[is_ups_overcharge]]="ups overcharged",Table1[[#This Row],[ups ship charge]]-Table1[[#This Row],[ada ship charge]],0)</f>
        <v>0</v>
      </c>
    </row>
    <row r="1284" spans="1:9" x14ac:dyDescent="0.2">
      <c r="A1284">
        <v>1018582</v>
      </c>
      <c r="B1284" t="s">
        <v>20</v>
      </c>
      <c r="C1284">
        <v>9.6999999999999993</v>
      </c>
      <c r="D1284">
        <v>9.75</v>
      </c>
      <c r="E1284">
        <v>3.95</v>
      </c>
      <c r="F1284" t="s">
        <v>6</v>
      </c>
      <c r="G12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84">
        <f>IF(Table1[[#This Row],[is_ups_overcharge]]="ups overcharged",Table1[[#This Row],[ups ship charge]]-Table1[[#This Row],[ada ship charge]],0)</f>
        <v>0</v>
      </c>
    </row>
    <row r="1285" spans="1:9" x14ac:dyDescent="0.2">
      <c r="A1285">
        <v>1018589</v>
      </c>
      <c r="B1285" t="s">
        <v>20</v>
      </c>
      <c r="C1285">
        <v>21.86</v>
      </c>
      <c r="D1285">
        <v>21.91</v>
      </c>
      <c r="E1285">
        <v>5.95</v>
      </c>
      <c r="F1285" t="s">
        <v>15</v>
      </c>
      <c r="G12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85">
        <f>IF(Table1[[#This Row],[is_ups_overcharge]]="ups overcharged",Table1[[#This Row],[ups ship charge]]-Table1[[#This Row],[ada ship charge]],0)</f>
        <v>0</v>
      </c>
    </row>
    <row r="1286" spans="1:9" x14ac:dyDescent="0.2">
      <c r="A1286">
        <v>1018590</v>
      </c>
      <c r="B1286" t="s">
        <v>20</v>
      </c>
      <c r="C1286">
        <v>15.13</v>
      </c>
      <c r="D1286">
        <v>15.77</v>
      </c>
      <c r="E1286">
        <v>49.75</v>
      </c>
      <c r="F1286" t="s">
        <v>12</v>
      </c>
      <c r="G12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86">
        <f>IF(Table1[[#This Row],[is_ups_overcharge]]="ups overcharged",Table1[[#This Row],[ups ship charge]]-Table1[[#This Row],[ada ship charge]],0)</f>
        <v>0</v>
      </c>
    </row>
    <row r="1287" spans="1:9" x14ac:dyDescent="0.2">
      <c r="A1287">
        <v>1018603</v>
      </c>
      <c r="B1287" t="s">
        <v>20</v>
      </c>
      <c r="C1287">
        <v>13.71</v>
      </c>
      <c r="D1287">
        <v>13.76</v>
      </c>
      <c r="E1287">
        <v>15.9</v>
      </c>
      <c r="F1287" t="s">
        <v>9</v>
      </c>
      <c r="G12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87">
        <f>IF(Table1[[#This Row],[is_ups_overcharge]]="ups overcharged",Table1[[#This Row],[ups ship charge]]-Table1[[#This Row],[ada ship charge]],0)</f>
        <v>0</v>
      </c>
    </row>
    <row r="1288" spans="1:9" x14ac:dyDescent="0.2">
      <c r="A1288">
        <v>1018610</v>
      </c>
      <c r="B1288" t="s">
        <v>20</v>
      </c>
      <c r="C1288">
        <v>18.46</v>
      </c>
      <c r="D1288">
        <v>18.510000000000002</v>
      </c>
      <c r="E1288">
        <v>19.5</v>
      </c>
      <c r="F1288" t="s">
        <v>15</v>
      </c>
      <c r="G12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88">
        <f>IF(Table1[[#This Row],[is_ups_overcharge]]="ups overcharged",Table1[[#This Row],[ups ship charge]]-Table1[[#This Row],[ada ship charge]],0)</f>
        <v>0</v>
      </c>
    </row>
    <row r="1289" spans="1:9" x14ac:dyDescent="0.2">
      <c r="A1289">
        <v>1018614</v>
      </c>
      <c r="B1289" t="s">
        <v>20</v>
      </c>
      <c r="C1289">
        <v>15.44</v>
      </c>
      <c r="D1289">
        <v>15.49</v>
      </c>
      <c r="E1289">
        <v>19.600000000000001</v>
      </c>
      <c r="F1289" t="s">
        <v>12</v>
      </c>
      <c r="G12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89">
        <f>IF(Table1[[#This Row],[is_ups_overcharge]]="ups overcharged",Table1[[#This Row],[ups ship charge]]-Table1[[#This Row],[ada ship charge]],0)</f>
        <v>0</v>
      </c>
    </row>
    <row r="1290" spans="1:9" x14ac:dyDescent="0.2">
      <c r="A1290">
        <v>1018627</v>
      </c>
      <c r="B1290" t="s">
        <v>20</v>
      </c>
      <c r="C1290">
        <v>13.49</v>
      </c>
      <c r="D1290">
        <v>0</v>
      </c>
      <c r="E1290">
        <v>561.6</v>
      </c>
      <c r="F1290" t="s">
        <v>6</v>
      </c>
      <c r="G12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29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290">
        <f>IF(Table1[[#This Row],[is_ups_overcharge]]="ups overcharged",Table1[[#This Row],[ups ship charge]]-Table1[[#This Row],[ada ship charge]],0)</f>
        <v>0</v>
      </c>
    </row>
    <row r="1291" spans="1:9" x14ac:dyDescent="0.2">
      <c r="A1291">
        <v>1018632</v>
      </c>
      <c r="B1291" t="s">
        <v>20</v>
      </c>
      <c r="C1291">
        <v>13.7</v>
      </c>
      <c r="D1291">
        <v>13.75</v>
      </c>
      <c r="E1291">
        <v>88.55</v>
      </c>
      <c r="F1291" t="s">
        <v>9</v>
      </c>
      <c r="G12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91">
        <f>IF(Table1[[#This Row],[is_ups_overcharge]]="ups overcharged",Table1[[#This Row],[ups ship charge]]-Table1[[#This Row],[ada ship charge]],0)</f>
        <v>0</v>
      </c>
    </row>
    <row r="1292" spans="1:9" x14ac:dyDescent="0.2">
      <c r="A1292">
        <v>1018639</v>
      </c>
      <c r="B1292" t="s">
        <v>20</v>
      </c>
      <c r="C1292">
        <v>12.81</v>
      </c>
      <c r="D1292">
        <v>12.86</v>
      </c>
      <c r="E1292">
        <v>51.85</v>
      </c>
      <c r="F1292" t="s">
        <v>9</v>
      </c>
      <c r="G12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92">
        <f>IF(Table1[[#This Row],[is_ups_overcharge]]="ups overcharged",Table1[[#This Row],[ups ship charge]]-Table1[[#This Row],[ada ship charge]],0)</f>
        <v>0</v>
      </c>
    </row>
    <row r="1293" spans="1:9" x14ac:dyDescent="0.2">
      <c r="A1293">
        <v>1018640</v>
      </c>
      <c r="B1293" t="s">
        <v>20</v>
      </c>
      <c r="C1293">
        <v>12.81</v>
      </c>
      <c r="D1293">
        <v>12.86</v>
      </c>
      <c r="E1293">
        <v>11.85</v>
      </c>
      <c r="F1293" t="s">
        <v>9</v>
      </c>
      <c r="G12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93">
        <f>IF(Table1[[#This Row],[is_ups_overcharge]]="ups overcharged",Table1[[#This Row],[ups ship charge]]-Table1[[#This Row],[ada ship charge]],0)</f>
        <v>0</v>
      </c>
    </row>
    <row r="1294" spans="1:9" x14ac:dyDescent="0.2">
      <c r="A1294">
        <v>1018646</v>
      </c>
      <c r="B1294" t="s">
        <v>20</v>
      </c>
      <c r="C1294">
        <v>13.26</v>
      </c>
      <c r="D1294">
        <v>14.15</v>
      </c>
      <c r="E1294">
        <v>118.5</v>
      </c>
      <c r="F1294" t="s">
        <v>9</v>
      </c>
      <c r="G12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94">
        <f>IF(Table1[[#This Row],[is_ups_overcharge]]="ups overcharged",Table1[[#This Row],[ups ship charge]]-Table1[[#This Row],[ada ship charge]],0)</f>
        <v>0</v>
      </c>
    </row>
    <row r="1295" spans="1:9" x14ac:dyDescent="0.2">
      <c r="A1295">
        <v>1018658</v>
      </c>
      <c r="B1295" t="s">
        <v>20</v>
      </c>
      <c r="C1295">
        <v>16.84</v>
      </c>
      <c r="D1295">
        <v>16.89</v>
      </c>
      <c r="E1295">
        <v>63.7</v>
      </c>
      <c r="F1295" t="s">
        <v>10</v>
      </c>
      <c r="G12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95">
        <f>IF(Table1[[#This Row],[is_ups_overcharge]]="ups overcharged",Table1[[#This Row],[ups ship charge]]-Table1[[#This Row],[ada ship charge]],0)</f>
        <v>0</v>
      </c>
    </row>
    <row r="1296" spans="1:9" x14ac:dyDescent="0.2">
      <c r="A1296">
        <v>1018692</v>
      </c>
      <c r="B1296" t="s">
        <v>20</v>
      </c>
      <c r="C1296">
        <v>15.45</v>
      </c>
      <c r="D1296">
        <v>16.5</v>
      </c>
      <c r="E1296">
        <v>221.55</v>
      </c>
      <c r="F1296" t="s">
        <v>12</v>
      </c>
      <c r="G12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96">
        <f>IF(Table1[[#This Row],[is_ups_overcharge]]="ups overcharged",Table1[[#This Row],[ups ship charge]]-Table1[[#This Row],[ada ship charge]],0)</f>
        <v>0</v>
      </c>
    </row>
    <row r="1297" spans="1:9" x14ac:dyDescent="0.2">
      <c r="A1297">
        <v>1018700</v>
      </c>
      <c r="B1297" t="s">
        <v>20</v>
      </c>
      <c r="C1297">
        <v>12.81</v>
      </c>
      <c r="D1297">
        <v>12.86</v>
      </c>
      <c r="E1297">
        <v>22.5</v>
      </c>
      <c r="F1297" t="s">
        <v>9</v>
      </c>
      <c r="G12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97">
        <f>IF(Table1[[#This Row],[is_ups_overcharge]]="ups overcharged",Table1[[#This Row],[ups ship charge]]-Table1[[#This Row],[ada ship charge]],0)</f>
        <v>0</v>
      </c>
    </row>
    <row r="1298" spans="1:9" x14ac:dyDescent="0.2">
      <c r="A1298">
        <v>1018702</v>
      </c>
      <c r="B1298" t="s">
        <v>20</v>
      </c>
      <c r="C1298">
        <v>18.809999999999999</v>
      </c>
      <c r="D1298">
        <v>18.86</v>
      </c>
      <c r="E1298">
        <v>197.6</v>
      </c>
      <c r="F1298" t="s">
        <v>16</v>
      </c>
      <c r="G12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98">
        <f>IF(Table1[[#This Row],[is_ups_overcharge]]="ups overcharged",Table1[[#This Row],[ups ship charge]]-Table1[[#This Row],[ada ship charge]],0)</f>
        <v>0</v>
      </c>
    </row>
    <row r="1299" spans="1:9" x14ac:dyDescent="0.2">
      <c r="A1299">
        <v>1018703</v>
      </c>
      <c r="B1299" t="s">
        <v>20</v>
      </c>
      <c r="C1299">
        <v>15.44</v>
      </c>
      <c r="D1299">
        <v>15.49</v>
      </c>
      <c r="E1299">
        <v>147.80000000000001</v>
      </c>
      <c r="F1299" t="s">
        <v>12</v>
      </c>
      <c r="G12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2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299">
        <f>IF(Table1[[#This Row],[is_ups_overcharge]]="ups overcharged",Table1[[#This Row],[ups ship charge]]-Table1[[#This Row],[ada ship charge]],0)</f>
        <v>0</v>
      </c>
    </row>
    <row r="1300" spans="1:9" x14ac:dyDescent="0.2">
      <c r="A1300">
        <v>1018728</v>
      </c>
      <c r="B1300" t="s">
        <v>20</v>
      </c>
      <c r="C1300">
        <v>12.81</v>
      </c>
      <c r="D1300">
        <v>0</v>
      </c>
      <c r="E1300">
        <v>393.7</v>
      </c>
      <c r="F1300" t="s">
        <v>9</v>
      </c>
      <c r="G13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30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300">
        <f>IF(Table1[[#This Row],[is_ups_overcharge]]="ups overcharged",Table1[[#This Row],[ups ship charge]]-Table1[[#This Row],[ada ship charge]],0)</f>
        <v>0</v>
      </c>
    </row>
    <row r="1301" spans="1:9" x14ac:dyDescent="0.2">
      <c r="A1301">
        <v>1018733</v>
      </c>
      <c r="B1301" t="s">
        <v>20</v>
      </c>
      <c r="C1301">
        <v>13.7</v>
      </c>
      <c r="D1301">
        <v>13.76</v>
      </c>
      <c r="E1301">
        <v>135.55000000000001</v>
      </c>
      <c r="F1301" t="s">
        <v>9</v>
      </c>
      <c r="G13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01">
        <f>IF(Table1[[#This Row],[is_ups_overcharge]]="ups overcharged",Table1[[#This Row],[ups ship charge]]-Table1[[#This Row],[ada ship charge]],0)</f>
        <v>0</v>
      </c>
    </row>
    <row r="1302" spans="1:9" x14ac:dyDescent="0.2">
      <c r="A1302">
        <v>1018745</v>
      </c>
      <c r="B1302" t="s">
        <v>20</v>
      </c>
      <c r="C1302">
        <v>13.7</v>
      </c>
      <c r="D1302">
        <v>13.76</v>
      </c>
      <c r="E1302">
        <v>15.95</v>
      </c>
      <c r="F1302" t="s">
        <v>9</v>
      </c>
      <c r="G13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02">
        <f>IF(Table1[[#This Row],[is_ups_overcharge]]="ups overcharged",Table1[[#This Row],[ups ship charge]]-Table1[[#This Row],[ada ship charge]],0)</f>
        <v>0</v>
      </c>
    </row>
    <row r="1303" spans="1:9" x14ac:dyDescent="0.2">
      <c r="A1303">
        <v>1018747</v>
      </c>
      <c r="B1303" t="s">
        <v>20</v>
      </c>
      <c r="C1303">
        <v>12.35</v>
      </c>
      <c r="D1303">
        <v>12.4</v>
      </c>
      <c r="E1303">
        <v>35.200000000000003</v>
      </c>
      <c r="F1303" t="s">
        <v>13</v>
      </c>
      <c r="G13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03">
        <f>IF(Table1[[#This Row],[is_ups_overcharge]]="ups overcharged",Table1[[#This Row],[ups ship charge]]-Table1[[#This Row],[ada ship charge]],0)</f>
        <v>0</v>
      </c>
    </row>
    <row r="1304" spans="1:9" x14ac:dyDescent="0.2">
      <c r="A1304">
        <v>1018769</v>
      </c>
      <c r="B1304" t="s">
        <v>20</v>
      </c>
      <c r="C1304">
        <v>16.46</v>
      </c>
      <c r="D1304">
        <v>16.510000000000002</v>
      </c>
      <c r="E1304">
        <v>131.6</v>
      </c>
      <c r="F1304" t="s">
        <v>10</v>
      </c>
      <c r="G13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04">
        <f>IF(Table1[[#This Row],[is_ups_overcharge]]="ups overcharged",Table1[[#This Row],[ups ship charge]]-Table1[[#This Row],[ada ship charge]],0)</f>
        <v>0</v>
      </c>
    </row>
    <row r="1305" spans="1:9" x14ac:dyDescent="0.2">
      <c r="A1305">
        <v>1018805</v>
      </c>
      <c r="B1305" t="s">
        <v>20</v>
      </c>
      <c r="C1305">
        <v>21.76</v>
      </c>
      <c r="D1305">
        <v>21.81</v>
      </c>
      <c r="E1305">
        <v>49.9</v>
      </c>
      <c r="F1305" t="s">
        <v>10</v>
      </c>
      <c r="G13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05">
        <f>IF(Table1[[#This Row],[is_ups_overcharge]]="ups overcharged",Table1[[#This Row],[ups ship charge]]-Table1[[#This Row],[ada ship charge]],0)</f>
        <v>0</v>
      </c>
    </row>
    <row r="1306" spans="1:9" x14ac:dyDescent="0.2">
      <c r="A1306">
        <v>1018809</v>
      </c>
      <c r="B1306" t="s">
        <v>20</v>
      </c>
      <c r="C1306">
        <v>13.7</v>
      </c>
      <c r="D1306">
        <v>13.75</v>
      </c>
      <c r="E1306">
        <v>16.8</v>
      </c>
      <c r="F1306" t="s">
        <v>9</v>
      </c>
      <c r="G13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06">
        <f>IF(Table1[[#This Row],[is_ups_overcharge]]="ups overcharged",Table1[[#This Row],[ups ship charge]]-Table1[[#This Row],[ada ship charge]],0)</f>
        <v>0</v>
      </c>
    </row>
    <row r="1307" spans="1:9" x14ac:dyDescent="0.2">
      <c r="A1307">
        <v>1018815</v>
      </c>
      <c r="B1307" t="s">
        <v>20</v>
      </c>
      <c r="C1307">
        <v>9.6999999999999993</v>
      </c>
      <c r="D1307">
        <v>9.75</v>
      </c>
      <c r="E1307">
        <v>10</v>
      </c>
      <c r="F1307" t="s">
        <v>6</v>
      </c>
      <c r="G13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07">
        <f>IF(Table1[[#This Row],[is_ups_overcharge]]="ups overcharged",Table1[[#This Row],[ups ship charge]]-Table1[[#This Row],[ada ship charge]],0)</f>
        <v>0</v>
      </c>
    </row>
    <row r="1308" spans="1:9" x14ac:dyDescent="0.2">
      <c r="A1308">
        <v>1018828</v>
      </c>
      <c r="B1308" t="s">
        <v>20</v>
      </c>
      <c r="C1308">
        <v>68.8</v>
      </c>
      <c r="D1308">
        <v>68.849999999999994</v>
      </c>
      <c r="E1308">
        <v>218.55</v>
      </c>
      <c r="F1308" t="s">
        <v>8</v>
      </c>
      <c r="G13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08">
        <f>IF(Table1[[#This Row],[is_ups_overcharge]]="ups overcharged",Table1[[#This Row],[ups ship charge]]-Table1[[#This Row],[ada ship charge]],0)</f>
        <v>0</v>
      </c>
    </row>
    <row r="1309" spans="1:9" x14ac:dyDescent="0.2">
      <c r="A1309">
        <v>1018834</v>
      </c>
      <c r="B1309" t="s">
        <v>20</v>
      </c>
      <c r="C1309">
        <v>12.81</v>
      </c>
      <c r="D1309">
        <v>13.31</v>
      </c>
      <c r="E1309">
        <v>98.25</v>
      </c>
      <c r="F1309" t="s">
        <v>9</v>
      </c>
      <c r="G13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09">
        <f>IF(Table1[[#This Row],[is_ups_overcharge]]="ups overcharged",Table1[[#This Row],[ups ship charge]]-Table1[[#This Row],[ada ship charge]],0)</f>
        <v>0</v>
      </c>
    </row>
    <row r="1310" spans="1:9" x14ac:dyDescent="0.2">
      <c r="A1310">
        <v>1018869</v>
      </c>
      <c r="B1310" t="s">
        <v>20</v>
      </c>
      <c r="C1310">
        <v>12.81</v>
      </c>
      <c r="D1310">
        <v>12.86</v>
      </c>
      <c r="E1310">
        <v>118.9</v>
      </c>
      <c r="F1310" t="s">
        <v>9</v>
      </c>
      <c r="G13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10">
        <f>IF(Table1[[#This Row],[is_ups_overcharge]]="ups overcharged",Table1[[#This Row],[ups ship charge]]-Table1[[#This Row],[ada ship charge]],0)</f>
        <v>0</v>
      </c>
    </row>
    <row r="1311" spans="1:9" x14ac:dyDescent="0.2">
      <c r="A1311">
        <v>1018902</v>
      </c>
      <c r="B1311" t="s">
        <v>20</v>
      </c>
      <c r="C1311">
        <v>20.46</v>
      </c>
      <c r="D1311">
        <v>23.07</v>
      </c>
      <c r="E1311">
        <v>58.8</v>
      </c>
      <c r="F1311" t="s">
        <v>16</v>
      </c>
      <c r="G13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11">
        <f>IF(Table1[[#This Row],[is_ups_overcharge]]="ups overcharged",Table1[[#This Row],[ups ship charge]]-Table1[[#This Row],[ada ship charge]],0)</f>
        <v>0</v>
      </c>
    </row>
    <row r="1312" spans="1:9" x14ac:dyDescent="0.2">
      <c r="A1312">
        <v>1018921</v>
      </c>
      <c r="B1312" t="s">
        <v>20</v>
      </c>
      <c r="C1312">
        <v>9.7100000000000009</v>
      </c>
      <c r="D1312">
        <v>0</v>
      </c>
      <c r="E1312">
        <v>50.03</v>
      </c>
      <c r="F1312" t="s">
        <v>6</v>
      </c>
      <c r="G13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12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312">
        <f>IF(Table1[[#This Row],[is_ups_overcharge]]="ups overcharged",Table1[[#This Row],[ups ship charge]]-Table1[[#This Row],[ada ship charge]],0)</f>
        <v>9.7100000000000009</v>
      </c>
    </row>
    <row r="1313" spans="1:9" x14ac:dyDescent="0.2">
      <c r="A1313">
        <v>1018925</v>
      </c>
      <c r="B1313" t="s">
        <v>20</v>
      </c>
      <c r="C1313">
        <v>11.02</v>
      </c>
      <c r="D1313">
        <v>11.07</v>
      </c>
      <c r="E1313">
        <v>14.95</v>
      </c>
      <c r="F1313" t="s">
        <v>14</v>
      </c>
      <c r="G13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13">
        <f>IF(Table1[[#This Row],[is_ups_overcharge]]="ups overcharged",Table1[[#This Row],[ups ship charge]]-Table1[[#This Row],[ada ship charge]],0)</f>
        <v>0</v>
      </c>
    </row>
    <row r="1314" spans="1:9" x14ac:dyDescent="0.2">
      <c r="A1314">
        <v>1018927</v>
      </c>
      <c r="B1314" t="s">
        <v>20</v>
      </c>
      <c r="C1314">
        <v>12.81</v>
      </c>
      <c r="D1314">
        <v>12.86</v>
      </c>
      <c r="E1314">
        <v>51.85</v>
      </c>
      <c r="F1314" t="s">
        <v>9</v>
      </c>
      <c r="G13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14">
        <f>IF(Table1[[#This Row],[is_ups_overcharge]]="ups overcharged",Table1[[#This Row],[ups ship charge]]-Table1[[#This Row],[ada ship charge]],0)</f>
        <v>0</v>
      </c>
    </row>
    <row r="1315" spans="1:9" x14ac:dyDescent="0.2">
      <c r="A1315">
        <v>1018970</v>
      </c>
      <c r="B1315" t="s">
        <v>20</v>
      </c>
      <c r="C1315">
        <v>12.81</v>
      </c>
      <c r="D1315">
        <v>12.86</v>
      </c>
      <c r="E1315">
        <v>22.5</v>
      </c>
      <c r="F1315" t="s">
        <v>9</v>
      </c>
      <c r="G13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15">
        <f>IF(Table1[[#This Row],[is_ups_overcharge]]="ups overcharged",Table1[[#This Row],[ups ship charge]]-Table1[[#This Row],[ada ship charge]],0)</f>
        <v>0</v>
      </c>
    </row>
    <row r="1316" spans="1:9" x14ac:dyDescent="0.2">
      <c r="A1316">
        <v>1018978</v>
      </c>
      <c r="B1316" t="s">
        <v>20</v>
      </c>
      <c r="C1316">
        <v>12.35</v>
      </c>
      <c r="D1316">
        <v>12.4</v>
      </c>
      <c r="E1316">
        <v>99.8</v>
      </c>
      <c r="F1316" t="s">
        <v>13</v>
      </c>
      <c r="G13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16">
        <f>IF(Table1[[#This Row],[is_ups_overcharge]]="ups overcharged",Table1[[#This Row],[ups ship charge]]-Table1[[#This Row],[ada ship charge]],0)</f>
        <v>0</v>
      </c>
    </row>
    <row r="1317" spans="1:9" x14ac:dyDescent="0.2">
      <c r="A1317">
        <v>1018979</v>
      </c>
      <c r="B1317" t="s">
        <v>20</v>
      </c>
      <c r="C1317">
        <v>13.7</v>
      </c>
      <c r="D1317">
        <v>13.75</v>
      </c>
      <c r="E1317">
        <v>37.85</v>
      </c>
      <c r="F1317" t="s">
        <v>9</v>
      </c>
      <c r="G13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17">
        <f>IF(Table1[[#This Row],[is_ups_overcharge]]="ups overcharged",Table1[[#This Row],[ups ship charge]]-Table1[[#This Row],[ada ship charge]],0)</f>
        <v>0</v>
      </c>
    </row>
    <row r="1318" spans="1:9" x14ac:dyDescent="0.2">
      <c r="A1318">
        <v>1018980</v>
      </c>
      <c r="B1318" t="s">
        <v>20</v>
      </c>
      <c r="C1318">
        <v>11.02</v>
      </c>
      <c r="D1318">
        <v>12.34</v>
      </c>
      <c r="E1318">
        <v>66.75</v>
      </c>
      <c r="F1318" t="s">
        <v>14</v>
      </c>
      <c r="G13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18">
        <f>IF(Table1[[#This Row],[is_ups_overcharge]]="ups overcharged",Table1[[#This Row],[ups ship charge]]-Table1[[#This Row],[ada ship charge]],0)</f>
        <v>0</v>
      </c>
    </row>
    <row r="1319" spans="1:9" x14ac:dyDescent="0.2">
      <c r="A1319">
        <v>1018990</v>
      </c>
      <c r="B1319" t="s">
        <v>20</v>
      </c>
      <c r="C1319">
        <v>12.81</v>
      </c>
      <c r="D1319">
        <v>12.86</v>
      </c>
      <c r="E1319">
        <v>105.75</v>
      </c>
      <c r="F1319" t="s">
        <v>9</v>
      </c>
      <c r="G13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19">
        <f>IF(Table1[[#This Row],[is_ups_overcharge]]="ups overcharged",Table1[[#This Row],[ups ship charge]]-Table1[[#This Row],[ada ship charge]],0)</f>
        <v>0</v>
      </c>
    </row>
    <row r="1320" spans="1:9" x14ac:dyDescent="0.2">
      <c r="A1320">
        <v>1018991</v>
      </c>
      <c r="B1320" t="s">
        <v>20</v>
      </c>
      <c r="C1320">
        <v>13.7</v>
      </c>
      <c r="D1320">
        <v>13.75</v>
      </c>
      <c r="E1320">
        <v>40.950000000000003</v>
      </c>
      <c r="F1320" t="s">
        <v>9</v>
      </c>
      <c r="G13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20">
        <f>IF(Table1[[#This Row],[is_ups_overcharge]]="ups overcharged",Table1[[#This Row],[ups ship charge]]-Table1[[#This Row],[ada ship charge]],0)</f>
        <v>0</v>
      </c>
    </row>
    <row r="1321" spans="1:9" x14ac:dyDescent="0.2">
      <c r="A1321">
        <v>1019007</v>
      </c>
      <c r="B1321" t="s">
        <v>20</v>
      </c>
      <c r="C1321">
        <v>12.81</v>
      </c>
      <c r="D1321">
        <v>12.86</v>
      </c>
      <c r="E1321">
        <v>55.1</v>
      </c>
      <c r="F1321" t="s">
        <v>9</v>
      </c>
      <c r="G13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21">
        <f>IF(Table1[[#This Row],[is_ups_overcharge]]="ups overcharged",Table1[[#This Row],[ups ship charge]]-Table1[[#This Row],[ada ship charge]],0)</f>
        <v>0</v>
      </c>
    </row>
    <row r="1322" spans="1:9" x14ac:dyDescent="0.2">
      <c r="A1322">
        <v>1019022</v>
      </c>
      <c r="B1322" t="s">
        <v>20</v>
      </c>
      <c r="C1322">
        <v>9.6999999999999993</v>
      </c>
      <c r="D1322">
        <v>9.75</v>
      </c>
      <c r="E1322">
        <v>13.9</v>
      </c>
      <c r="F1322" t="s">
        <v>6</v>
      </c>
      <c r="G13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22">
        <f>IF(Table1[[#This Row],[is_ups_overcharge]]="ups overcharged",Table1[[#This Row],[ups ship charge]]-Table1[[#This Row],[ada ship charge]],0)</f>
        <v>0</v>
      </c>
    </row>
    <row r="1323" spans="1:9" x14ac:dyDescent="0.2">
      <c r="A1323">
        <v>1019034</v>
      </c>
      <c r="B1323" t="s">
        <v>20</v>
      </c>
      <c r="C1323">
        <v>19.03</v>
      </c>
      <c r="D1323">
        <v>26.35</v>
      </c>
      <c r="E1323">
        <v>1407.2</v>
      </c>
      <c r="F1323" t="s">
        <v>16</v>
      </c>
      <c r="G13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23">
        <f>IF(Table1[[#This Row],[is_ups_overcharge]]="ups overcharged",Table1[[#This Row],[ups ship charge]]-Table1[[#This Row],[ada ship charge]],0)</f>
        <v>0</v>
      </c>
    </row>
    <row r="1324" spans="1:9" x14ac:dyDescent="0.2">
      <c r="A1324">
        <v>1019042</v>
      </c>
      <c r="B1324" t="s">
        <v>20</v>
      </c>
      <c r="C1324">
        <v>12.81</v>
      </c>
      <c r="D1324">
        <v>0</v>
      </c>
      <c r="E1324">
        <v>233.35</v>
      </c>
      <c r="F1324" t="s">
        <v>9</v>
      </c>
      <c r="G13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32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324">
        <f>IF(Table1[[#This Row],[is_ups_overcharge]]="ups overcharged",Table1[[#This Row],[ups ship charge]]-Table1[[#This Row],[ada ship charge]],0)</f>
        <v>0</v>
      </c>
    </row>
    <row r="1325" spans="1:9" x14ac:dyDescent="0.2">
      <c r="A1325">
        <v>1019048</v>
      </c>
      <c r="B1325" t="s">
        <v>20</v>
      </c>
      <c r="C1325">
        <v>12.81</v>
      </c>
      <c r="D1325">
        <v>12.86</v>
      </c>
      <c r="E1325">
        <v>42.9</v>
      </c>
      <c r="F1325" t="s">
        <v>9</v>
      </c>
      <c r="G13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25">
        <f>IF(Table1[[#This Row],[is_ups_overcharge]]="ups overcharged",Table1[[#This Row],[ups ship charge]]-Table1[[#This Row],[ada ship charge]],0)</f>
        <v>0</v>
      </c>
    </row>
    <row r="1326" spans="1:9" x14ac:dyDescent="0.2">
      <c r="A1326">
        <v>1019063</v>
      </c>
      <c r="B1326" t="s">
        <v>20</v>
      </c>
      <c r="C1326">
        <v>13.7</v>
      </c>
      <c r="D1326">
        <v>13.75</v>
      </c>
      <c r="E1326">
        <v>52.9</v>
      </c>
      <c r="F1326" t="s">
        <v>9</v>
      </c>
      <c r="G13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26">
        <f>IF(Table1[[#This Row],[is_ups_overcharge]]="ups overcharged",Table1[[#This Row],[ups ship charge]]-Table1[[#This Row],[ada ship charge]],0)</f>
        <v>0</v>
      </c>
    </row>
    <row r="1327" spans="1:9" x14ac:dyDescent="0.2">
      <c r="A1327">
        <v>1019086</v>
      </c>
      <c r="B1327" t="s">
        <v>20</v>
      </c>
      <c r="C1327">
        <v>12.81</v>
      </c>
      <c r="D1327">
        <v>12.86</v>
      </c>
      <c r="E1327">
        <v>14.95</v>
      </c>
      <c r="F1327" t="s">
        <v>9</v>
      </c>
      <c r="G13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27">
        <f>IF(Table1[[#This Row],[is_ups_overcharge]]="ups overcharged",Table1[[#This Row],[ups ship charge]]-Table1[[#This Row],[ada ship charge]],0)</f>
        <v>0</v>
      </c>
    </row>
    <row r="1328" spans="1:9" x14ac:dyDescent="0.2">
      <c r="A1328">
        <v>1019102</v>
      </c>
      <c r="B1328" t="s">
        <v>20</v>
      </c>
      <c r="C1328">
        <v>15.44</v>
      </c>
      <c r="D1328">
        <v>15.49</v>
      </c>
      <c r="E1328">
        <v>115.4</v>
      </c>
      <c r="F1328" t="s">
        <v>12</v>
      </c>
      <c r="G13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28">
        <f>IF(Table1[[#This Row],[is_ups_overcharge]]="ups overcharged",Table1[[#This Row],[ups ship charge]]-Table1[[#This Row],[ada ship charge]],0)</f>
        <v>0</v>
      </c>
    </row>
    <row r="1329" spans="1:9" x14ac:dyDescent="0.2">
      <c r="A1329">
        <v>1019103</v>
      </c>
      <c r="B1329" t="s">
        <v>20</v>
      </c>
      <c r="C1329">
        <v>13.7</v>
      </c>
      <c r="D1329">
        <v>13.96</v>
      </c>
      <c r="E1329">
        <v>17.2</v>
      </c>
      <c r="F1329" t="s">
        <v>9</v>
      </c>
      <c r="G13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29">
        <f>IF(Table1[[#This Row],[is_ups_overcharge]]="ups overcharged",Table1[[#This Row],[ups ship charge]]-Table1[[#This Row],[ada ship charge]],0)</f>
        <v>0</v>
      </c>
    </row>
    <row r="1330" spans="1:9" x14ac:dyDescent="0.2">
      <c r="A1330">
        <v>1019125</v>
      </c>
      <c r="B1330" t="s">
        <v>20</v>
      </c>
      <c r="C1330">
        <v>13.7</v>
      </c>
      <c r="D1330">
        <v>13.75</v>
      </c>
      <c r="E1330">
        <v>50.85</v>
      </c>
      <c r="F1330" t="s">
        <v>9</v>
      </c>
      <c r="G13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30">
        <f>IF(Table1[[#This Row],[is_ups_overcharge]]="ups overcharged",Table1[[#This Row],[ups ship charge]]-Table1[[#This Row],[ada ship charge]],0)</f>
        <v>0</v>
      </c>
    </row>
    <row r="1331" spans="1:9" x14ac:dyDescent="0.2">
      <c r="A1331">
        <v>1019130</v>
      </c>
      <c r="B1331" t="s">
        <v>20</v>
      </c>
      <c r="C1331">
        <v>13.7</v>
      </c>
      <c r="D1331">
        <v>13.75</v>
      </c>
      <c r="E1331">
        <v>35.700000000000003</v>
      </c>
      <c r="F1331" t="s">
        <v>9</v>
      </c>
      <c r="G13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31">
        <f>IF(Table1[[#This Row],[is_ups_overcharge]]="ups overcharged",Table1[[#This Row],[ups ship charge]]-Table1[[#This Row],[ada ship charge]],0)</f>
        <v>0</v>
      </c>
    </row>
    <row r="1332" spans="1:9" x14ac:dyDescent="0.2">
      <c r="A1332">
        <v>1019140</v>
      </c>
      <c r="B1332" t="s">
        <v>20</v>
      </c>
      <c r="C1332">
        <v>18.149999999999999</v>
      </c>
      <c r="D1332">
        <v>19.989999999999998</v>
      </c>
      <c r="E1332">
        <v>153.15</v>
      </c>
      <c r="F1332" t="s">
        <v>15</v>
      </c>
      <c r="G13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32">
        <f>IF(Table1[[#This Row],[is_ups_overcharge]]="ups overcharged",Table1[[#This Row],[ups ship charge]]-Table1[[#This Row],[ada ship charge]],0)</f>
        <v>0</v>
      </c>
    </row>
    <row r="1333" spans="1:9" x14ac:dyDescent="0.2">
      <c r="A1333">
        <v>1019165</v>
      </c>
      <c r="B1333" t="s">
        <v>20</v>
      </c>
      <c r="C1333">
        <v>9.7100000000000009</v>
      </c>
      <c r="D1333">
        <v>9.76</v>
      </c>
      <c r="E1333">
        <v>123.2</v>
      </c>
      <c r="F1333" t="s">
        <v>6</v>
      </c>
      <c r="G13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33">
        <f>IF(Table1[[#This Row],[is_ups_overcharge]]="ups overcharged",Table1[[#This Row],[ups ship charge]]-Table1[[#This Row],[ada ship charge]],0)</f>
        <v>0</v>
      </c>
    </row>
    <row r="1334" spans="1:9" x14ac:dyDescent="0.2">
      <c r="A1334">
        <v>1019185</v>
      </c>
      <c r="B1334" t="s">
        <v>20</v>
      </c>
      <c r="C1334">
        <v>9.6999999999999993</v>
      </c>
      <c r="D1334">
        <v>9.75</v>
      </c>
      <c r="E1334">
        <v>192.15</v>
      </c>
      <c r="F1334" t="s">
        <v>6</v>
      </c>
      <c r="G13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34">
        <f>IF(Table1[[#This Row],[is_ups_overcharge]]="ups overcharged",Table1[[#This Row],[ups ship charge]]-Table1[[#This Row],[ada ship charge]],0)</f>
        <v>0</v>
      </c>
    </row>
    <row r="1335" spans="1:9" x14ac:dyDescent="0.2">
      <c r="A1335">
        <v>1019189</v>
      </c>
      <c r="B1335" t="s">
        <v>20</v>
      </c>
      <c r="C1335">
        <v>13.7</v>
      </c>
      <c r="D1335">
        <v>13.75</v>
      </c>
      <c r="E1335">
        <v>25.85</v>
      </c>
      <c r="F1335" t="s">
        <v>9</v>
      </c>
      <c r="G13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35">
        <f>IF(Table1[[#This Row],[is_ups_overcharge]]="ups overcharged",Table1[[#This Row],[ups ship charge]]-Table1[[#This Row],[ada ship charge]],0)</f>
        <v>0</v>
      </c>
    </row>
    <row r="1336" spans="1:9" x14ac:dyDescent="0.2">
      <c r="A1336">
        <v>1019230</v>
      </c>
      <c r="B1336" t="s">
        <v>20</v>
      </c>
      <c r="C1336">
        <v>9.6999999999999993</v>
      </c>
      <c r="D1336">
        <v>10.31</v>
      </c>
      <c r="E1336">
        <v>124.75</v>
      </c>
      <c r="F1336" t="s">
        <v>6</v>
      </c>
      <c r="G13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36">
        <f>IF(Table1[[#This Row],[is_ups_overcharge]]="ups overcharged",Table1[[#This Row],[ups ship charge]]-Table1[[#This Row],[ada ship charge]],0)</f>
        <v>0</v>
      </c>
    </row>
    <row r="1337" spans="1:9" x14ac:dyDescent="0.2">
      <c r="A1337">
        <v>1019239</v>
      </c>
      <c r="B1337" t="s">
        <v>20</v>
      </c>
      <c r="C1337">
        <v>10.89</v>
      </c>
      <c r="D1337">
        <v>0</v>
      </c>
      <c r="E1337">
        <v>470</v>
      </c>
      <c r="F1337" t="s">
        <v>6</v>
      </c>
      <c r="G13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33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337">
        <f>IF(Table1[[#This Row],[is_ups_overcharge]]="ups overcharged",Table1[[#This Row],[ups ship charge]]-Table1[[#This Row],[ada ship charge]],0)</f>
        <v>0</v>
      </c>
    </row>
    <row r="1338" spans="1:9" x14ac:dyDescent="0.2">
      <c r="A1338">
        <v>1019240</v>
      </c>
      <c r="B1338" t="s">
        <v>20</v>
      </c>
      <c r="C1338">
        <v>23.64</v>
      </c>
      <c r="D1338">
        <v>24.92</v>
      </c>
      <c r="E1338">
        <v>66.75</v>
      </c>
      <c r="F1338" t="s">
        <v>15</v>
      </c>
      <c r="G13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38">
        <f>IF(Table1[[#This Row],[is_ups_overcharge]]="ups overcharged",Table1[[#This Row],[ups ship charge]]-Table1[[#This Row],[ada ship charge]],0)</f>
        <v>0</v>
      </c>
    </row>
    <row r="1339" spans="1:9" x14ac:dyDescent="0.2">
      <c r="A1339">
        <v>1019279</v>
      </c>
      <c r="B1339" t="s">
        <v>20</v>
      </c>
      <c r="C1339">
        <v>12.81</v>
      </c>
      <c r="D1339">
        <v>12.86</v>
      </c>
      <c r="E1339">
        <v>51.2</v>
      </c>
      <c r="F1339" t="s">
        <v>9</v>
      </c>
      <c r="G13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39">
        <f>IF(Table1[[#This Row],[is_ups_overcharge]]="ups overcharged",Table1[[#This Row],[ups ship charge]]-Table1[[#This Row],[ada ship charge]],0)</f>
        <v>0</v>
      </c>
    </row>
    <row r="1340" spans="1:9" x14ac:dyDescent="0.2">
      <c r="A1340">
        <v>1019290</v>
      </c>
      <c r="B1340" t="s">
        <v>20</v>
      </c>
      <c r="C1340">
        <v>12.81</v>
      </c>
      <c r="D1340">
        <v>12.86</v>
      </c>
      <c r="E1340">
        <v>12.9</v>
      </c>
      <c r="F1340" t="s">
        <v>9</v>
      </c>
      <c r="G13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40">
        <f>IF(Table1[[#This Row],[is_ups_overcharge]]="ups overcharged",Table1[[#This Row],[ups ship charge]]-Table1[[#This Row],[ada ship charge]],0)</f>
        <v>0</v>
      </c>
    </row>
    <row r="1341" spans="1:9" x14ac:dyDescent="0.2">
      <c r="A1341">
        <v>1019333</v>
      </c>
      <c r="B1341" t="s">
        <v>20</v>
      </c>
      <c r="C1341">
        <v>15.14</v>
      </c>
      <c r="D1341">
        <v>15.19</v>
      </c>
      <c r="E1341">
        <v>82.05</v>
      </c>
      <c r="F1341" t="s">
        <v>12</v>
      </c>
      <c r="G13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41">
        <f>IF(Table1[[#This Row],[is_ups_overcharge]]="ups overcharged",Table1[[#This Row],[ups ship charge]]-Table1[[#This Row],[ada ship charge]],0)</f>
        <v>0</v>
      </c>
    </row>
    <row r="1342" spans="1:9" x14ac:dyDescent="0.2">
      <c r="A1342">
        <v>1019340</v>
      </c>
      <c r="B1342" t="s">
        <v>20</v>
      </c>
      <c r="C1342">
        <v>15.13</v>
      </c>
      <c r="D1342">
        <v>15.23</v>
      </c>
      <c r="E1342">
        <v>114.95</v>
      </c>
      <c r="F1342" t="s">
        <v>12</v>
      </c>
      <c r="G13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42">
        <f>IF(Table1[[#This Row],[is_ups_overcharge]]="ups overcharged",Table1[[#This Row],[ups ship charge]]-Table1[[#This Row],[ada ship charge]],0)</f>
        <v>0</v>
      </c>
    </row>
    <row r="1343" spans="1:9" x14ac:dyDescent="0.2">
      <c r="A1343">
        <v>1019344</v>
      </c>
      <c r="B1343" t="s">
        <v>20</v>
      </c>
      <c r="C1343">
        <v>12.81</v>
      </c>
      <c r="D1343">
        <v>12.86</v>
      </c>
      <c r="E1343">
        <v>117.65</v>
      </c>
      <c r="F1343" t="s">
        <v>9</v>
      </c>
      <c r="G13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43">
        <f>IF(Table1[[#This Row],[is_ups_overcharge]]="ups overcharged",Table1[[#This Row],[ups ship charge]]-Table1[[#This Row],[ada ship charge]],0)</f>
        <v>0</v>
      </c>
    </row>
    <row r="1344" spans="1:9" x14ac:dyDescent="0.2">
      <c r="A1344">
        <v>1019368</v>
      </c>
      <c r="B1344" t="s">
        <v>20</v>
      </c>
      <c r="C1344">
        <v>13.7</v>
      </c>
      <c r="D1344">
        <v>13.76</v>
      </c>
      <c r="E1344">
        <v>39.950000000000003</v>
      </c>
      <c r="F1344" t="s">
        <v>9</v>
      </c>
      <c r="G13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44">
        <f>IF(Table1[[#This Row],[is_ups_overcharge]]="ups overcharged",Table1[[#This Row],[ups ship charge]]-Table1[[#This Row],[ada ship charge]],0)</f>
        <v>0</v>
      </c>
    </row>
    <row r="1345" spans="1:9" x14ac:dyDescent="0.2">
      <c r="A1345">
        <v>1019374</v>
      </c>
      <c r="B1345" t="s">
        <v>20</v>
      </c>
      <c r="C1345">
        <v>9.6999999999999993</v>
      </c>
      <c r="D1345">
        <v>12.86</v>
      </c>
      <c r="E1345">
        <v>9.9</v>
      </c>
      <c r="F1345" t="s">
        <v>6</v>
      </c>
      <c r="G13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45">
        <f>IF(Table1[[#This Row],[is_ups_overcharge]]="ups overcharged",Table1[[#This Row],[ups ship charge]]-Table1[[#This Row],[ada ship charge]],0)</f>
        <v>0</v>
      </c>
    </row>
    <row r="1346" spans="1:9" x14ac:dyDescent="0.2">
      <c r="A1346">
        <v>1019382</v>
      </c>
      <c r="B1346" t="s">
        <v>20</v>
      </c>
      <c r="C1346">
        <v>20.25</v>
      </c>
      <c r="D1346">
        <v>20.3</v>
      </c>
      <c r="E1346">
        <v>83.7</v>
      </c>
      <c r="F1346" t="s">
        <v>15</v>
      </c>
      <c r="G13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46">
        <f>IF(Table1[[#This Row],[is_ups_overcharge]]="ups overcharged",Table1[[#This Row],[ups ship charge]]-Table1[[#This Row],[ada ship charge]],0)</f>
        <v>0</v>
      </c>
    </row>
    <row r="1347" spans="1:9" x14ac:dyDescent="0.2">
      <c r="A1347">
        <v>1019390</v>
      </c>
      <c r="B1347" t="s">
        <v>20</v>
      </c>
      <c r="C1347">
        <v>15.44</v>
      </c>
      <c r="D1347">
        <v>15.49</v>
      </c>
      <c r="E1347">
        <v>3.95</v>
      </c>
      <c r="F1347" t="s">
        <v>12</v>
      </c>
      <c r="G13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47">
        <f>IF(Table1[[#This Row],[is_ups_overcharge]]="ups overcharged",Table1[[#This Row],[ups ship charge]]-Table1[[#This Row],[ada ship charge]],0)</f>
        <v>0</v>
      </c>
    </row>
    <row r="1348" spans="1:9" x14ac:dyDescent="0.2">
      <c r="A1348">
        <v>1019440</v>
      </c>
      <c r="B1348" t="s">
        <v>20</v>
      </c>
      <c r="C1348">
        <v>12.81</v>
      </c>
      <c r="D1348">
        <v>12.86</v>
      </c>
      <c r="E1348">
        <v>24.95</v>
      </c>
      <c r="F1348" t="s">
        <v>9</v>
      </c>
      <c r="G13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48">
        <f>IF(Table1[[#This Row],[is_ups_overcharge]]="ups overcharged",Table1[[#This Row],[ups ship charge]]-Table1[[#This Row],[ada ship charge]],0)</f>
        <v>0</v>
      </c>
    </row>
    <row r="1349" spans="1:9" x14ac:dyDescent="0.2">
      <c r="A1349">
        <v>1019448</v>
      </c>
      <c r="B1349" t="s">
        <v>20</v>
      </c>
      <c r="C1349">
        <v>61.93</v>
      </c>
      <c r="D1349">
        <v>61.99</v>
      </c>
      <c r="E1349">
        <v>100</v>
      </c>
      <c r="F1349" t="s">
        <v>8</v>
      </c>
      <c r="G13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49">
        <f>IF(Table1[[#This Row],[is_ups_overcharge]]="ups overcharged",Table1[[#This Row],[ups ship charge]]-Table1[[#This Row],[ada ship charge]],0)</f>
        <v>0</v>
      </c>
    </row>
    <row r="1350" spans="1:9" x14ac:dyDescent="0.2">
      <c r="A1350">
        <v>1019452</v>
      </c>
      <c r="B1350" t="s">
        <v>20</v>
      </c>
      <c r="C1350">
        <v>13.77</v>
      </c>
      <c r="D1350">
        <v>0</v>
      </c>
      <c r="E1350">
        <v>242.55</v>
      </c>
      <c r="F1350" t="s">
        <v>9</v>
      </c>
      <c r="G13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35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350">
        <f>IF(Table1[[#This Row],[is_ups_overcharge]]="ups overcharged",Table1[[#This Row],[ups ship charge]]-Table1[[#This Row],[ada ship charge]],0)</f>
        <v>0</v>
      </c>
    </row>
    <row r="1351" spans="1:9" x14ac:dyDescent="0.2">
      <c r="A1351">
        <v>1019505</v>
      </c>
      <c r="B1351" t="s">
        <v>20</v>
      </c>
      <c r="C1351">
        <v>12.81</v>
      </c>
      <c r="D1351">
        <v>12.86</v>
      </c>
      <c r="E1351">
        <v>161.75</v>
      </c>
      <c r="F1351" t="s">
        <v>9</v>
      </c>
      <c r="G13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51">
        <f>IF(Table1[[#This Row],[is_ups_overcharge]]="ups overcharged",Table1[[#This Row],[ups ship charge]]-Table1[[#This Row],[ada ship charge]],0)</f>
        <v>0</v>
      </c>
    </row>
    <row r="1352" spans="1:9" x14ac:dyDescent="0.2">
      <c r="A1352">
        <v>1019507</v>
      </c>
      <c r="B1352" t="s">
        <v>20</v>
      </c>
      <c r="C1352">
        <v>12.81</v>
      </c>
      <c r="D1352">
        <v>12.86</v>
      </c>
      <c r="E1352">
        <v>114.75</v>
      </c>
      <c r="F1352" t="s">
        <v>9</v>
      </c>
      <c r="G13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52">
        <f>IF(Table1[[#This Row],[is_ups_overcharge]]="ups overcharged",Table1[[#This Row],[ups ship charge]]-Table1[[#This Row],[ada ship charge]],0)</f>
        <v>0</v>
      </c>
    </row>
    <row r="1353" spans="1:9" x14ac:dyDescent="0.2">
      <c r="A1353">
        <v>1019515</v>
      </c>
      <c r="B1353" t="s">
        <v>20</v>
      </c>
      <c r="C1353">
        <v>15.44</v>
      </c>
      <c r="D1353">
        <v>15.49</v>
      </c>
      <c r="E1353">
        <v>20.55</v>
      </c>
      <c r="F1353" t="s">
        <v>12</v>
      </c>
      <c r="G13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53">
        <f>IF(Table1[[#This Row],[is_ups_overcharge]]="ups overcharged",Table1[[#This Row],[ups ship charge]]-Table1[[#This Row],[ada ship charge]],0)</f>
        <v>0</v>
      </c>
    </row>
    <row r="1354" spans="1:9" x14ac:dyDescent="0.2">
      <c r="A1354">
        <v>1019573</v>
      </c>
      <c r="B1354" t="s">
        <v>20</v>
      </c>
      <c r="C1354">
        <v>16.46</v>
      </c>
      <c r="D1354">
        <v>16.510000000000002</v>
      </c>
      <c r="E1354">
        <v>30.65</v>
      </c>
      <c r="F1354" t="s">
        <v>10</v>
      </c>
      <c r="G13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54">
        <f>IF(Table1[[#This Row],[is_ups_overcharge]]="ups overcharged",Table1[[#This Row],[ups ship charge]]-Table1[[#This Row],[ada ship charge]],0)</f>
        <v>0</v>
      </c>
    </row>
    <row r="1355" spans="1:9" x14ac:dyDescent="0.2">
      <c r="A1355">
        <v>1019609</v>
      </c>
      <c r="B1355" t="s">
        <v>20</v>
      </c>
      <c r="C1355">
        <v>9.6999999999999993</v>
      </c>
      <c r="D1355">
        <v>9.75</v>
      </c>
      <c r="E1355">
        <v>18.649999999999999</v>
      </c>
      <c r="F1355" t="s">
        <v>6</v>
      </c>
      <c r="G13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55">
        <f>IF(Table1[[#This Row],[is_ups_overcharge]]="ups overcharged",Table1[[#This Row],[ups ship charge]]-Table1[[#This Row],[ada ship charge]],0)</f>
        <v>0</v>
      </c>
    </row>
    <row r="1356" spans="1:9" x14ac:dyDescent="0.2">
      <c r="A1356">
        <v>1019620</v>
      </c>
      <c r="B1356" t="s">
        <v>20</v>
      </c>
      <c r="C1356">
        <v>9.6999999999999993</v>
      </c>
      <c r="D1356">
        <v>12.86</v>
      </c>
      <c r="E1356">
        <v>29.95</v>
      </c>
      <c r="F1356" t="s">
        <v>6</v>
      </c>
      <c r="G13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56">
        <f>IF(Table1[[#This Row],[is_ups_overcharge]]="ups overcharged",Table1[[#This Row],[ups ship charge]]-Table1[[#This Row],[ada ship charge]],0)</f>
        <v>0</v>
      </c>
    </row>
    <row r="1357" spans="1:9" x14ac:dyDescent="0.2">
      <c r="A1357">
        <v>1019633</v>
      </c>
      <c r="B1357" t="s">
        <v>20</v>
      </c>
      <c r="C1357">
        <v>13.7</v>
      </c>
      <c r="D1357">
        <v>13.75</v>
      </c>
      <c r="E1357">
        <v>106.95</v>
      </c>
      <c r="F1357" t="s">
        <v>9</v>
      </c>
      <c r="G13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57">
        <f>IF(Table1[[#This Row],[is_ups_overcharge]]="ups overcharged",Table1[[#This Row],[ups ship charge]]-Table1[[#This Row],[ada ship charge]],0)</f>
        <v>0</v>
      </c>
    </row>
    <row r="1358" spans="1:9" x14ac:dyDescent="0.2">
      <c r="A1358">
        <v>1019636</v>
      </c>
      <c r="B1358" t="s">
        <v>20</v>
      </c>
      <c r="C1358">
        <v>13.7</v>
      </c>
      <c r="D1358">
        <v>13.76</v>
      </c>
      <c r="E1358">
        <v>21.8</v>
      </c>
      <c r="F1358" t="s">
        <v>9</v>
      </c>
      <c r="G13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58">
        <f>IF(Table1[[#This Row],[is_ups_overcharge]]="ups overcharged",Table1[[#This Row],[ups ship charge]]-Table1[[#This Row],[ada ship charge]],0)</f>
        <v>0</v>
      </c>
    </row>
    <row r="1359" spans="1:9" x14ac:dyDescent="0.2">
      <c r="A1359">
        <v>1019641</v>
      </c>
      <c r="B1359" t="s">
        <v>20</v>
      </c>
      <c r="C1359">
        <v>12.81</v>
      </c>
      <c r="D1359">
        <v>12.86</v>
      </c>
      <c r="E1359">
        <v>40.950000000000003</v>
      </c>
      <c r="F1359" t="s">
        <v>9</v>
      </c>
      <c r="G13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59">
        <f>IF(Table1[[#This Row],[is_ups_overcharge]]="ups overcharged",Table1[[#This Row],[ups ship charge]]-Table1[[#This Row],[ada ship charge]],0)</f>
        <v>0</v>
      </c>
    </row>
    <row r="1360" spans="1:9" x14ac:dyDescent="0.2">
      <c r="A1360">
        <v>1019672</v>
      </c>
      <c r="B1360" t="s">
        <v>20</v>
      </c>
      <c r="C1360">
        <v>13.7</v>
      </c>
      <c r="D1360">
        <v>13.75</v>
      </c>
      <c r="E1360">
        <v>9.9499999999999993</v>
      </c>
      <c r="F1360" t="s">
        <v>9</v>
      </c>
      <c r="G13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60">
        <f>IF(Table1[[#This Row],[is_ups_overcharge]]="ups overcharged",Table1[[#This Row],[ups ship charge]]-Table1[[#This Row],[ada ship charge]],0)</f>
        <v>0</v>
      </c>
    </row>
    <row r="1361" spans="1:9" x14ac:dyDescent="0.2">
      <c r="A1361">
        <v>1019681</v>
      </c>
      <c r="B1361" t="s">
        <v>20</v>
      </c>
      <c r="C1361">
        <v>13.7</v>
      </c>
      <c r="D1361">
        <v>13.75</v>
      </c>
      <c r="E1361">
        <v>38.9</v>
      </c>
      <c r="F1361" t="s">
        <v>9</v>
      </c>
      <c r="G13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61">
        <f>IF(Table1[[#This Row],[is_ups_overcharge]]="ups overcharged",Table1[[#This Row],[ups ship charge]]-Table1[[#This Row],[ada ship charge]],0)</f>
        <v>0</v>
      </c>
    </row>
    <row r="1362" spans="1:9" x14ac:dyDescent="0.2">
      <c r="A1362">
        <v>1019691</v>
      </c>
      <c r="B1362" t="s">
        <v>20</v>
      </c>
      <c r="C1362">
        <v>12.81</v>
      </c>
      <c r="D1362">
        <v>12.86</v>
      </c>
      <c r="E1362">
        <v>99.6</v>
      </c>
      <c r="F1362" t="s">
        <v>9</v>
      </c>
      <c r="G13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62">
        <f>IF(Table1[[#This Row],[is_ups_overcharge]]="ups overcharged",Table1[[#This Row],[ups ship charge]]-Table1[[#This Row],[ada ship charge]],0)</f>
        <v>0</v>
      </c>
    </row>
    <row r="1363" spans="1:9" x14ac:dyDescent="0.2">
      <c r="A1363">
        <v>1019692</v>
      </c>
      <c r="B1363" t="s">
        <v>20</v>
      </c>
      <c r="C1363">
        <v>18.46</v>
      </c>
      <c r="D1363">
        <v>19.28</v>
      </c>
      <c r="E1363">
        <v>17.600000000000001</v>
      </c>
      <c r="F1363" t="s">
        <v>15</v>
      </c>
      <c r="G13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63">
        <f>IF(Table1[[#This Row],[is_ups_overcharge]]="ups overcharged",Table1[[#This Row],[ups ship charge]]-Table1[[#This Row],[ada ship charge]],0)</f>
        <v>0</v>
      </c>
    </row>
    <row r="1364" spans="1:9" x14ac:dyDescent="0.2">
      <c r="A1364">
        <v>1019694</v>
      </c>
      <c r="B1364" t="s">
        <v>20</v>
      </c>
      <c r="C1364">
        <v>12.81</v>
      </c>
      <c r="D1364">
        <v>12.86</v>
      </c>
      <c r="E1364">
        <v>27.6</v>
      </c>
      <c r="F1364" t="s">
        <v>9</v>
      </c>
      <c r="G13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64">
        <f>IF(Table1[[#This Row],[is_ups_overcharge]]="ups overcharged",Table1[[#This Row],[ups ship charge]]-Table1[[#This Row],[ada ship charge]],0)</f>
        <v>0</v>
      </c>
    </row>
    <row r="1365" spans="1:9" x14ac:dyDescent="0.2">
      <c r="A1365">
        <v>1019699</v>
      </c>
      <c r="B1365" t="s">
        <v>20</v>
      </c>
      <c r="C1365">
        <v>16.46</v>
      </c>
      <c r="D1365">
        <v>16.97</v>
      </c>
      <c r="E1365">
        <v>75.150000000000006</v>
      </c>
      <c r="F1365" t="s">
        <v>10</v>
      </c>
      <c r="G13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65">
        <f>IF(Table1[[#This Row],[is_ups_overcharge]]="ups overcharged",Table1[[#This Row],[ups ship charge]]-Table1[[#This Row],[ada ship charge]],0)</f>
        <v>0</v>
      </c>
    </row>
    <row r="1366" spans="1:9" x14ac:dyDescent="0.2">
      <c r="A1366">
        <v>1019730</v>
      </c>
      <c r="B1366" t="s">
        <v>20</v>
      </c>
      <c r="C1366">
        <v>64.430000000000007</v>
      </c>
      <c r="D1366">
        <v>105.64</v>
      </c>
      <c r="E1366">
        <v>1288.8</v>
      </c>
      <c r="F1366" t="s">
        <v>8</v>
      </c>
      <c r="G13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66">
        <f>IF(Table1[[#This Row],[is_ups_overcharge]]="ups overcharged",Table1[[#This Row],[ups ship charge]]-Table1[[#This Row],[ada ship charge]],0)</f>
        <v>0</v>
      </c>
    </row>
    <row r="1367" spans="1:9" x14ac:dyDescent="0.2">
      <c r="A1367">
        <v>1019775</v>
      </c>
      <c r="B1367" t="s">
        <v>20</v>
      </c>
      <c r="C1367">
        <v>13.7</v>
      </c>
      <c r="D1367">
        <v>13.75</v>
      </c>
      <c r="E1367">
        <v>31.9</v>
      </c>
      <c r="F1367" t="s">
        <v>9</v>
      </c>
      <c r="G13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67">
        <f>IF(Table1[[#This Row],[is_ups_overcharge]]="ups overcharged",Table1[[#This Row],[ups ship charge]]-Table1[[#This Row],[ada ship charge]],0)</f>
        <v>0</v>
      </c>
    </row>
    <row r="1368" spans="1:9" x14ac:dyDescent="0.2">
      <c r="A1368">
        <v>1019779</v>
      </c>
      <c r="B1368" t="s">
        <v>20</v>
      </c>
      <c r="C1368">
        <v>16.77</v>
      </c>
      <c r="D1368">
        <v>16.82</v>
      </c>
      <c r="E1368">
        <v>74.400000000000006</v>
      </c>
      <c r="F1368" t="s">
        <v>10</v>
      </c>
      <c r="G13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68">
        <f>IF(Table1[[#This Row],[is_ups_overcharge]]="ups overcharged",Table1[[#This Row],[ups ship charge]]-Table1[[#This Row],[ada ship charge]],0)</f>
        <v>0</v>
      </c>
    </row>
    <row r="1369" spans="1:9" x14ac:dyDescent="0.2">
      <c r="A1369">
        <v>1019780</v>
      </c>
      <c r="B1369" t="s">
        <v>20</v>
      </c>
      <c r="C1369">
        <v>12.81</v>
      </c>
      <c r="D1369">
        <v>12.86</v>
      </c>
      <c r="E1369">
        <v>9.9499999999999993</v>
      </c>
      <c r="F1369" t="s">
        <v>9</v>
      </c>
      <c r="G13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69">
        <f>IF(Table1[[#This Row],[is_ups_overcharge]]="ups overcharged",Table1[[#This Row],[ups ship charge]]-Table1[[#This Row],[ada ship charge]],0)</f>
        <v>0</v>
      </c>
    </row>
    <row r="1370" spans="1:9" x14ac:dyDescent="0.2">
      <c r="A1370">
        <v>1019789</v>
      </c>
      <c r="B1370" t="s">
        <v>20</v>
      </c>
      <c r="C1370">
        <v>9.6999999999999993</v>
      </c>
      <c r="D1370">
        <v>9.75</v>
      </c>
      <c r="E1370">
        <v>13.9</v>
      </c>
      <c r="F1370" t="s">
        <v>6</v>
      </c>
      <c r="G13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70">
        <f>IF(Table1[[#This Row],[is_ups_overcharge]]="ups overcharged",Table1[[#This Row],[ups ship charge]]-Table1[[#This Row],[ada ship charge]],0)</f>
        <v>0</v>
      </c>
    </row>
    <row r="1371" spans="1:9" x14ac:dyDescent="0.2">
      <c r="A1371">
        <v>1019834</v>
      </c>
      <c r="B1371" t="s">
        <v>20</v>
      </c>
      <c r="C1371">
        <v>12.81</v>
      </c>
      <c r="D1371">
        <v>12.86</v>
      </c>
      <c r="E1371">
        <v>1.95</v>
      </c>
      <c r="F1371" t="s">
        <v>9</v>
      </c>
      <c r="G13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71">
        <f>IF(Table1[[#This Row],[is_ups_overcharge]]="ups overcharged",Table1[[#This Row],[ups ship charge]]-Table1[[#This Row],[ada ship charge]],0)</f>
        <v>0</v>
      </c>
    </row>
    <row r="1372" spans="1:9" x14ac:dyDescent="0.2">
      <c r="A1372">
        <v>1019838</v>
      </c>
      <c r="B1372" t="s">
        <v>20</v>
      </c>
      <c r="C1372">
        <v>9.7100000000000009</v>
      </c>
      <c r="D1372">
        <v>0</v>
      </c>
      <c r="E1372">
        <v>361.3</v>
      </c>
      <c r="F1372" t="s">
        <v>6</v>
      </c>
      <c r="G13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37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372">
        <f>IF(Table1[[#This Row],[is_ups_overcharge]]="ups overcharged",Table1[[#This Row],[ups ship charge]]-Table1[[#This Row],[ada ship charge]],0)</f>
        <v>0</v>
      </c>
    </row>
    <row r="1373" spans="1:9" x14ac:dyDescent="0.2">
      <c r="A1373">
        <v>1019852</v>
      </c>
      <c r="B1373" t="s">
        <v>20</v>
      </c>
      <c r="C1373">
        <v>12.81</v>
      </c>
      <c r="D1373">
        <v>12.86</v>
      </c>
      <c r="E1373">
        <v>9.9499999999999993</v>
      </c>
      <c r="F1373" t="s">
        <v>9</v>
      </c>
      <c r="G13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73">
        <f>IF(Table1[[#This Row],[is_ups_overcharge]]="ups overcharged",Table1[[#This Row],[ups ship charge]]-Table1[[#This Row],[ada ship charge]],0)</f>
        <v>0</v>
      </c>
    </row>
    <row r="1374" spans="1:9" x14ac:dyDescent="0.2">
      <c r="A1374">
        <v>1019882</v>
      </c>
      <c r="B1374" t="s">
        <v>20</v>
      </c>
      <c r="C1374">
        <v>9.6999999999999993</v>
      </c>
      <c r="D1374">
        <v>9.75</v>
      </c>
      <c r="E1374">
        <v>35.9</v>
      </c>
      <c r="F1374" t="s">
        <v>6</v>
      </c>
      <c r="G13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74">
        <f>IF(Table1[[#This Row],[is_ups_overcharge]]="ups overcharged",Table1[[#This Row],[ups ship charge]]-Table1[[#This Row],[ada ship charge]],0)</f>
        <v>0</v>
      </c>
    </row>
    <row r="1375" spans="1:9" x14ac:dyDescent="0.2">
      <c r="A1375">
        <v>1019885</v>
      </c>
      <c r="B1375" t="s">
        <v>20</v>
      </c>
      <c r="C1375">
        <v>12.81</v>
      </c>
      <c r="D1375">
        <v>12.86</v>
      </c>
      <c r="E1375">
        <v>64.95</v>
      </c>
      <c r="F1375" t="s">
        <v>9</v>
      </c>
      <c r="G13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75">
        <f>IF(Table1[[#This Row],[is_ups_overcharge]]="ups overcharged",Table1[[#This Row],[ups ship charge]]-Table1[[#This Row],[ada ship charge]],0)</f>
        <v>0</v>
      </c>
    </row>
    <row r="1376" spans="1:9" x14ac:dyDescent="0.2">
      <c r="A1376">
        <v>1019897</v>
      </c>
      <c r="B1376" t="s">
        <v>20</v>
      </c>
      <c r="C1376">
        <v>13.7</v>
      </c>
      <c r="D1376">
        <v>13.75</v>
      </c>
      <c r="E1376">
        <v>71.55</v>
      </c>
      <c r="F1376" t="s">
        <v>9</v>
      </c>
      <c r="G13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76">
        <f>IF(Table1[[#This Row],[is_ups_overcharge]]="ups overcharged",Table1[[#This Row],[ups ship charge]]-Table1[[#This Row],[ada ship charge]],0)</f>
        <v>0</v>
      </c>
    </row>
    <row r="1377" spans="1:9" x14ac:dyDescent="0.2">
      <c r="A1377">
        <v>1019915</v>
      </c>
      <c r="B1377" t="s">
        <v>20</v>
      </c>
      <c r="C1377">
        <v>12.81</v>
      </c>
      <c r="D1377">
        <v>12.86</v>
      </c>
      <c r="E1377">
        <v>100.25</v>
      </c>
      <c r="F1377" t="s">
        <v>9</v>
      </c>
      <c r="G13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77">
        <f>IF(Table1[[#This Row],[is_ups_overcharge]]="ups overcharged",Table1[[#This Row],[ups ship charge]]-Table1[[#This Row],[ada ship charge]],0)</f>
        <v>0</v>
      </c>
    </row>
    <row r="1378" spans="1:9" x14ac:dyDescent="0.2">
      <c r="A1378">
        <v>1019931</v>
      </c>
      <c r="B1378" t="s">
        <v>20</v>
      </c>
      <c r="C1378">
        <v>11.02</v>
      </c>
      <c r="D1378">
        <v>15.49</v>
      </c>
      <c r="E1378">
        <v>19.899999999999999</v>
      </c>
      <c r="F1378" t="s">
        <v>14</v>
      </c>
      <c r="G13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78">
        <f>IF(Table1[[#This Row],[is_ups_overcharge]]="ups overcharged",Table1[[#This Row],[ups ship charge]]-Table1[[#This Row],[ada ship charge]],0)</f>
        <v>0</v>
      </c>
    </row>
    <row r="1379" spans="1:9" x14ac:dyDescent="0.2">
      <c r="A1379">
        <v>1019941</v>
      </c>
      <c r="B1379" t="s">
        <v>20</v>
      </c>
      <c r="C1379">
        <v>24.52</v>
      </c>
      <c r="D1379">
        <v>26.88</v>
      </c>
      <c r="E1379">
        <v>109.9</v>
      </c>
      <c r="F1379" t="s">
        <v>15</v>
      </c>
      <c r="G13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79">
        <f>IF(Table1[[#This Row],[is_ups_overcharge]]="ups overcharged",Table1[[#This Row],[ups ship charge]]-Table1[[#This Row],[ada ship charge]],0)</f>
        <v>0</v>
      </c>
    </row>
    <row r="1380" spans="1:9" x14ac:dyDescent="0.2">
      <c r="A1380">
        <v>1019950</v>
      </c>
      <c r="B1380" t="s">
        <v>20</v>
      </c>
      <c r="C1380">
        <v>15.13</v>
      </c>
      <c r="D1380">
        <v>15.18</v>
      </c>
      <c r="E1380">
        <v>105.15</v>
      </c>
      <c r="F1380" t="s">
        <v>12</v>
      </c>
      <c r="G13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80">
        <f>IF(Table1[[#This Row],[is_ups_overcharge]]="ups overcharged",Table1[[#This Row],[ups ship charge]]-Table1[[#This Row],[ada ship charge]],0)</f>
        <v>0</v>
      </c>
    </row>
    <row r="1381" spans="1:9" x14ac:dyDescent="0.2">
      <c r="A1381">
        <v>1019955</v>
      </c>
      <c r="B1381" t="s">
        <v>20</v>
      </c>
      <c r="C1381">
        <v>12.81</v>
      </c>
      <c r="D1381">
        <v>12.86</v>
      </c>
      <c r="E1381">
        <v>50.85</v>
      </c>
      <c r="F1381" t="s">
        <v>9</v>
      </c>
      <c r="G13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81">
        <f>IF(Table1[[#This Row],[is_ups_overcharge]]="ups overcharged",Table1[[#This Row],[ups ship charge]]-Table1[[#This Row],[ada ship charge]],0)</f>
        <v>0</v>
      </c>
    </row>
    <row r="1382" spans="1:9" x14ac:dyDescent="0.2">
      <c r="A1382">
        <v>1019958</v>
      </c>
      <c r="B1382" t="s">
        <v>20</v>
      </c>
      <c r="C1382">
        <v>12.79</v>
      </c>
      <c r="D1382">
        <v>0</v>
      </c>
      <c r="E1382">
        <v>1270.0899999999999</v>
      </c>
      <c r="F1382" t="s">
        <v>6</v>
      </c>
      <c r="G13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38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382">
        <f>IF(Table1[[#This Row],[is_ups_overcharge]]="ups overcharged",Table1[[#This Row],[ups ship charge]]-Table1[[#This Row],[ada ship charge]],0)</f>
        <v>0</v>
      </c>
    </row>
    <row r="1383" spans="1:9" x14ac:dyDescent="0.2">
      <c r="A1383">
        <v>1019966</v>
      </c>
      <c r="B1383" t="s">
        <v>20</v>
      </c>
      <c r="C1383">
        <v>13.7</v>
      </c>
      <c r="D1383">
        <v>13.75</v>
      </c>
      <c r="E1383">
        <v>20.9</v>
      </c>
      <c r="F1383" t="s">
        <v>9</v>
      </c>
      <c r="G13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83">
        <f>IF(Table1[[#This Row],[is_ups_overcharge]]="ups overcharged",Table1[[#This Row],[ups ship charge]]-Table1[[#This Row],[ada ship charge]],0)</f>
        <v>0</v>
      </c>
    </row>
    <row r="1384" spans="1:9" x14ac:dyDescent="0.2">
      <c r="A1384">
        <v>1019969</v>
      </c>
      <c r="B1384" t="s">
        <v>20</v>
      </c>
      <c r="C1384">
        <v>12.81</v>
      </c>
      <c r="D1384">
        <v>12.86</v>
      </c>
      <c r="E1384">
        <v>37.5</v>
      </c>
      <c r="F1384" t="s">
        <v>9</v>
      </c>
      <c r="G13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84">
        <f>IF(Table1[[#This Row],[is_ups_overcharge]]="ups overcharged",Table1[[#This Row],[ups ship charge]]-Table1[[#This Row],[ada ship charge]],0)</f>
        <v>0</v>
      </c>
    </row>
    <row r="1385" spans="1:9" x14ac:dyDescent="0.2">
      <c r="A1385">
        <v>1019977</v>
      </c>
      <c r="B1385" t="s">
        <v>20</v>
      </c>
      <c r="C1385">
        <v>9.6999999999999993</v>
      </c>
      <c r="D1385">
        <v>9.76</v>
      </c>
      <c r="E1385">
        <v>114.95</v>
      </c>
      <c r="F1385" t="s">
        <v>6</v>
      </c>
      <c r="G13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85">
        <f>IF(Table1[[#This Row],[is_ups_overcharge]]="ups overcharged",Table1[[#This Row],[ups ship charge]]-Table1[[#This Row],[ada ship charge]],0)</f>
        <v>0</v>
      </c>
    </row>
    <row r="1386" spans="1:9" x14ac:dyDescent="0.2">
      <c r="A1386">
        <v>1019988</v>
      </c>
      <c r="B1386" t="s">
        <v>20</v>
      </c>
      <c r="C1386">
        <v>12.81</v>
      </c>
      <c r="D1386">
        <v>13.31</v>
      </c>
      <c r="E1386">
        <v>25.65</v>
      </c>
      <c r="F1386" t="s">
        <v>9</v>
      </c>
      <c r="G13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86">
        <f>IF(Table1[[#This Row],[is_ups_overcharge]]="ups overcharged",Table1[[#This Row],[ups ship charge]]-Table1[[#This Row],[ada ship charge]],0)</f>
        <v>0</v>
      </c>
    </row>
    <row r="1387" spans="1:9" x14ac:dyDescent="0.2">
      <c r="A1387">
        <v>1020012</v>
      </c>
      <c r="B1387" t="s">
        <v>20</v>
      </c>
      <c r="C1387">
        <v>12.81</v>
      </c>
      <c r="D1387">
        <v>12.86</v>
      </c>
      <c r="E1387">
        <v>61.1</v>
      </c>
      <c r="F1387" t="s">
        <v>9</v>
      </c>
      <c r="G13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87">
        <f>IF(Table1[[#This Row],[is_ups_overcharge]]="ups overcharged",Table1[[#This Row],[ups ship charge]]-Table1[[#This Row],[ada ship charge]],0)</f>
        <v>0</v>
      </c>
    </row>
    <row r="1388" spans="1:9" x14ac:dyDescent="0.2">
      <c r="A1388">
        <v>1020039</v>
      </c>
      <c r="B1388" t="s">
        <v>20</v>
      </c>
      <c r="C1388">
        <v>12.81</v>
      </c>
      <c r="D1388">
        <v>12.86</v>
      </c>
      <c r="E1388">
        <v>3.9</v>
      </c>
      <c r="F1388" t="s">
        <v>9</v>
      </c>
      <c r="G13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88">
        <f>IF(Table1[[#This Row],[is_ups_overcharge]]="ups overcharged",Table1[[#This Row],[ups ship charge]]-Table1[[#This Row],[ada ship charge]],0)</f>
        <v>0</v>
      </c>
    </row>
    <row r="1389" spans="1:9" x14ac:dyDescent="0.2">
      <c r="A1389">
        <v>1020043</v>
      </c>
      <c r="B1389" t="s">
        <v>20</v>
      </c>
      <c r="C1389">
        <v>16.77</v>
      </c>
      <c r="D1389">
        <v>16.82</v>
      </c>
      <c r="E1389">
        <v>99.8</v>
      </c>
      <c r="F1389" t="s">
        <v>10</v>
      </c>
      <c r="G13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89">
        <f>IF(Table1[[#This Row],[is_ups_overcharge]]="ups overcharged",Table1[[#This Row],[ups ship charge]]-Table1[[#This Row],[ada ship charge]],0)</f>
        <v>0</v>
      </c>
    </row>
    <row r="1390" spans="1:9" x14ac:dyDescent="0.2">
      <c r="A1390">
        <v>1020046</v>
      </c>
      <c r="B1390" t="s">
        <v>20</v>
      </c>
      <c r="C1390">
        <v>12.81</v>
      </c>
      <c r="D1390">
        <v>12.86</v>
      </c>
      <c r="E1390">
        <v>79.95</v>
      </c>
      <c r="F1390" t="s">
        <v>9</v>
      </c>
      <c r="G13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90">
        <f>IF(Table1[[#This Row],[is_ups_overcharge]]="ups overcharged",Table1[[#This Row],[ups ship charge]]-Table1[[#This Row],[ada ship charge]],0)</f>
        <v>0</v>
      </c>
    </row>
    <row r="1391" spans="1:9" x14ac:dyDescent="0.2">
      <c r="A1391">
        <v>1020049</v>
      </c>
      <c r="B1391" t="s">
        <v>20</v>
      </c>
      <c r="C1391">
        <v>12.81</v>
      </c>
      <c r="D1391">
        <v>12.86</v>
      </c>
      <c r="E1391">
        <v>1.95</v>
      </c>
      <c r="F1391" t="s">
        <v>9</v>
      </c>
      <c r="G13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91">
        <f>IF(Table1[[#This Row],[is_ups_overcharge]]="ups overcharged",Table1[[#This Row],[ups ship charge]]-Table1[[#This Row],[ada ship charge]],0)</f>
        <v>0</v>
      </c>
    </row>
    <row r="1392" spans="1:9" x14ac:dyDescent="0.2">
      <c r="A1392">
        <v>1020074</v>
      </c>
      <c r="B1392" t="s">
        <v>20</v>
      </c>
      <c r="C1392">
        <v>13.71</v>
      </c>
      <c r="D1392">
        <v>13.76</v>
      </c>
      <c r="E1392">
        <v>114.95</v>
      </c>
      <c r="F1392" t="s">
        <v>9</v>
      </c>
      <c r="G13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92">
        <f>IF(Table1[[#This Row],[is_ups_overcharge]]="ups overcharged",Table1[[#This Row],[ups ship charge]]-Table1[[#This Row],[ada ship charge]],0)</f>
        <v>0</v>
      </c>
    </row>
    <row r="1393" spans="1:9" x14ac:dyDescent="0.2">
      <c r="A1393">
        <v>1020089</v>
      </c>
      <c r="B1393" t="s">
        <v>20</v>
      </c>
      <c r="C1393">
        <v>9.6999999999999993</v>
      </c>
      <c r="D1393">
        <v>9.75</v>
      </c>
      <c r="E1393">
        <v>6.95</v>
      </c>
      <c r="F1393" t="s">
        <v>6</v>
      </c>
      <c r="G13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93">
        <f>IF(Table1[[#This Row],[is_ups_overcharge]]="ups overcharged",Table1[[#This Row],[ups ship charge]]-Table1[[#This Row],[ada ship charge]],0)</f>
        <v>0</v>
      </c>
    </row>
    <row r="1394" spans="1:9" x14ac:dyDescent="0.2">
      <c r="A1394">
        <v>1020106</v>
      </c>
      <c r="B1394" t="s">
        <v>20</v>
      </c>
      <c r="C1394">
        <v>12.55</v>
      </c>
      <c r="D1394">
        <v>0</v>
      </c>
      <c r="E1394">
        <v>1637.88</v>
      </c>
      <c r="F1394" t="s">
        <v>6</v>
      </c>
      <c r="G13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39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394">
        <f>IF(Table1[[#This Row],[is_ups_overcharge]]="ups overcharged",Table1[[#This Row],[ups ship charge]]-Table1[[#This Row],[ada ship charge]],0)</f>
        <v>0</v>
      </c>
    </row>
    <row r="1395" spans="1:9" x14ac:dyDescent="0.2">
      <c r="A1395">
        <v>1020107</v>
      </c>
      <c r="B1395" t="s">
        <v>20</v>
      </c>
      <c r="C1395">
        <v>12.81</v>
      </c>
      <c r="D1395">
        <v>14.28</v>
      </c>
      <c r="E1395">
        <v>114.95</v>
      </c>
      <c r="F1395" t="s">
        <v>9</v>
      </c>
      <c r="G13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95">
        <f>IF(Table1[[#This Row],[is_ups_overcharge]]="ups overcharged",Table1[[#This Row],[ups ship charge]]-Table1[[#This Row],[ada ship charge]],0)</f>
        <v>0</v>
      </c>
    </row>
    <row r="1396" spans="1:9" x14ac:dyDescent="0.2">
      <c r="A1396">
        <v>1020128</v>
      </c>
      <c r="B1396" t="s">
        <v>20</v>
      </c>
      <c r="C1396">
        <v>67.849999999999994</v>
      </c>
      <c r="D1396">
        <v>67.900000000000006</v>
      </c>
      <c r="E1396">
        <v>151.75</v>
      </c>
      <c r="F1396" t="s">
        <v>11</v>
      </c>
      <c r="G13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96">
        <f>IF(Table1[[#This Row],[is_ups_overcharge]]="ups overcharged",Table1[[#This Row],[ups ship charge]]-Table1[[#This Row],[ada ship charge]],0)</f>
        <v>0</v>
      </c>
    </row>
    <row r="1397" spans="1:9" x14ac:dyDescent="0.2">
      <c r="A1397">
        <v>1020133</v>
      </c>
      <c r="B1397" t="s">
        <v>20</v>
      </c>
      <c r="C1397">
        <v>9.6999999999999993</v>
      </c>
      <c r="D1397">
        <v>0</v>
      </c>
      <c r="E1397">
        <v>98.6</v>
      </c>
      <c r="F1397" t="s">
        <v>6</v>
      </c>
      <c r="G13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97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397">
        <f>IF(Table1[[#This Row],[is_ups_overcharge]]="ups overcharged",Table1[[#This Row],[ups ship charge]]-Table1[[#This Row],[ada ship charge]],0)</f>
        <v>9.6999999999999993</v>
      </c>
    </row>
    <row r="1398" spans="1:9" x14ac:dyDescent="0.2">
      <c r="A1398">
        <v>1029842</v>
      </c>
      <c r="B1398" t="s">
        <v>21</v>
      </c>
      <c r="C1398">
        <v>66.67</v>
      </c>
      <c r="D1398">
        <v>66.72</v>
      </c>
      <c r="E1398">
        <v>260</v>
      </c>
      <c r="F1398" t="s">
        <v>8</v>
      </c>
      <c r="G13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3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398">
        <f>IF(Table1[[#This Row],[is_ups_overcharge]]="ups overcharged",Table1[[#This Row],[ups ship charge]]-Table1[[#This Row],[ada ship charge]],0)</f>
        <v>0</v>
      </c>
    </row>
    <row r="1399" spans="1:9" x14ac:dyDescent="0.2">
      <c r="A1399">
        <v>1020151</v>
      </c>
      <c r="B1399" t="s">
        <v>20</v>
      </c>
      <c r="C1399">
        <v>12.55</v>
      </c>
      <c r="D1399">
        <v>0</v>
      </c>
      <c r="E1399">
        <v>799.14</v>
      </c>
      <c r="F1399" t="s">
        <v>6</v>
      </c>
      <c r="G13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39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399">
        <f>IF(Table1[[#This Row],[is_ups_overcharge]]="ups overcharged",Table1[[#This Row],[ups ship charge]]-Table1[[#This Row],[ada ship charge]],0)</f>
        <v>0</v>
      </c>
    </row>
    <row r="1400" spans="1:9" x14ac:dyDescent="0.2">
      <c r="A1400">
        <v>1020161</v>
      </c>
      <c r="B1400" t="s">
        <v>20</v>
      </c>
      <c r="C1400">
        <v>13.7</v>
      </c>
      <c r="D1400">
        <v>13.75</v>
      </c>
      <c r="E1400">
        <v>121.7</v>
      </c>
      <c r="F1400" t="s">
        <v>9</v>
      </c>
      <c r="G14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00">
        <f>IF(Table1[[#This Row],[is_ups_overcharge]]="ups overcharged",Table1[[#This Row],[ups ship charge]]-Table1[[#This Row],[ada ship charge]],0)</f>
        <v>0</v>
      </c>
    </row>
    <row r="1401" spans="1:9" x14ac:dyDescent="0.2">
      <c r="A1401">
        <v>1020181</v>
      </c>
      <c r="B1401" t="s">
        <v>20</v>
      </c>
      <c r="C1401">
        <v>16.46</v>
      </c>
      <c r="D1401">
        <v>16.510000000000002</v>
      </c>
      <c r="E1401">
        <v>27.7</v>
      </c>
      <c r="F1401" t="s">
        <v>10</v>
      </c>
      <c r="G14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01">
        <f>IF(Table1[[#This Row],[is_ups_overcharge]]="ups overcharged",Table1[[#This Row],[ups ship charge]]-Table1[[#This Row],[ada ship charge]],0)</f>
        <v>0</v>
      </c>
    </row>
    <row r="1402" spans="1:9" x14ac:dyDescent="0.2">
      <c r="A1402">
        <v>1020198</v>
      </c>
      <c r="B1402" t="s">
        <v>20</v>
      </c>
      <c r="C1402">
        <v>12.81</v>
      </c>
      <c r="D1402">
        <v>12.86</v>
      </c>
      <c r="E1402">
        <v>13.9</v>
      </c>
      <c r="F1402" t="s">
        <v>9</v>
      </c>
      <c r="G14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02">
        <f>IF(Table1[[#This Row],[is_ups_overcharge]]="ups overcharged",Table1[[#This Row],[ups ship charge]]-Table1[[#This Row],[ada ship charge]],0)</f>
        <v>0</v>
      </c>
    </row>
    <row r="1403" spans="1:9" x14ac:dyDescent="0.2">
      <c r="A1403">
        <v>1020200</v>
      </c>
      <c r="B1403" t="s">
        <v>20</v>
      </c>
      <c r="C1403">
        <v>12.81</v>
      </c>
      <c r="D1403">
        <v>12.86</v>
      </c>
      <c r="E1403">
        <v>24.95</v>
      </c>
      <c r="F1403" t="s">
        <v>9</v>
      </c>
      <c r="G14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03">
        <f>IF(Table1[[#This Row],[is_ups_overcharge]]="ups overcharged",Table1[[#This Row],[ups ship charge]]-Table1[[#This Row],[ada ship charge]],0)</f>
        <v>0</v>
      </c>
    </row>
    <row r="1404" spans="1:9" x14ac:dyDescent="0.2">
      <c r="A1404">
        <v>1020203</v>
      </c>
      <c r="B1404" t="s">
        <v>20</v>
      </c>
      <c r="C1404">
        <v>15.44</v>
      </c>
      <c r="D1404">
        <v>15.49</v>
      </c>
      <c r="E1404">
        <v>47.9</v>
      </c>
      <c r="F1404" t="s">
        <v>12</v>
      </c>
      <c r="G14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04">
        <f>IF(Table1[[#This Row],[is_ups_overcharge]]="ups overcharged",Table1[[#This Row],[ups ship charge]]-Table1[[#This Row],[ada ship charge]],0)</f>
        <v>0</v>
      </c>
    </row>
    <row r="1405" spans="1:9" x14ac:dyDescent="0.2">
      <c r="A1405">
        <v>1020219</v>
      </c>
      <c r="B1405" t="s">
        <v>20</v>
      </c>
      <c r="C1405">
        <v>12.81</v>
      </c>
      <c r="D1405">
        <v>12.86</v>
      </c>
      <c r="E1405">
        <v>34.950000000000003</v>
      </c>
      <c r="F1405" t="s">
        <v>9</v>
      </c>
      <c r="G14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05">
        <f>IF(Table1[[#This Row],[is_ups_overcharge]]="ups overcharged",Table1[[#This Row],[ups ship charge]]-Table1[[#This Row],[ada ship charge]],0)</f>
        <v>0</v>
      </c>
    </row>
    <row r="1406" spans="1:9" x14ac:dyDescent="0.2">
      <c r="A1406">
        <v>1020241</v>
      </c>
      <c r="B1406" t="s">
        <v>20</v>
      </c>
      <c r="C1406">
        <v>12.81</v>
      </c>
      <c r="D1406">
        <v>12.86</v>
      </c>
      <c r="E1406">
        <v>24.9</v>
      </c>
      <c r="F1406" t="s">
        <v>9</v>
      </c>
      <c r="G14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06">
        <f>IF(Table1[[#This Row],[is_ups_overcharge]]="ups overcharged",Table1[[#This Row],[ups ship charge]]-Table1[[#This Row],[ada ship charge]],0)</f>
        <v>0</v>
      </c>
    </row>
    <row r="1407" spans="1:9" x14ac:dyDescent="0.2">
      <c r="A1407">
        <v>1020245</v>
      </c>
      <c r="B1407" t="s">
        <v>20</v>
      </c>
      <c r="C1407">
        <v>13.7</v>
      </c>
      <c r="D1407">
        <v>13.75</v>
      </c>
      <c r="E1407">
        <v>58.4</v>
      </c>
      <c r="F1407" t="s">
        <v>9</v>
      </c>
      <c r="G14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07">
        <f>IF(Table1[[#This Row],[is_ups_overcharge]]="ups overcharged",Table1[[#This Row],[ups ship charge]]-Table1[[#This Row],[ada ship charge]],0)</f>
        <v>0</v>
      </c>
    </row>
    <row r="1408" spans="1:9" x14ac:dyDescent="0.2">
      <c r="A1408">
        <v>1020265</v>
      </c>
      <c r="B1408" t="s">
        <v>20</v>
      </c>
      <c r="C1408">
        <v>12.35</v>
      </c>
      <c r="D1408">
        <v>12.78</v>
      </c>
      <c r="E1408">
        <v>154.4</v>
      </c>
      <c r="F1408" t="s">
        <v>13</v>
      </c>
      <c r="G14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08">
        <f>IF(Table1[[#This Row],[is_ups_overcharge]]="ups overcharged",Table1[[#This Row],[ups ship charge]]-Table1[[#This Row],[ada ship charge]],0)</f>
        <v>0</v>
      </c>
    </row>
    <row r="1409" spans="1:9" x14ac:dyDescent="0.2">
      <c r="A1409">
        <v>1020267</v>
      </c>
      <c r="B1409" t="s">
        <v>20</v>
      </c>
      <c r="C1409">
        <v>16.46</v>
      </c>
      <c r="D1409">
        <v>16.510000000000002</v>
      </c>
      <c r="E1409">
        <v>84.9</v>
      </c>
      <c r="F1409" t="s">
        <v>10</v>
      </c>
      <c r="G14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09">
        <f>IF(Table1[[#This Row],[is_ups_overcharge]]="ups overcharged",Table1[[#This Row],[ups ship charge]]-Table1[[#This Row],[ada ship charge]],0)</f>
        <v>0</v>
      </c>
    </row>
    <row r="1410" spans="1:9" x14ac:dyDescent="0.2">
      <c r="A1410">
        <v>1020274</v>
      </c>
      <c r="B1410" t="s">
        <v>20</v>
      </c>
      <c r="C1410">
        <v>16.04</v>
      </c>
      <c r="D1410">
        <v>20.07</v>
      </c>
      <c r="E1410">
        <v>64.319999999999993</v>
      </c>
      <c r="F1410" t="s">
        <v>13</v>
      </c>
      <c r="G14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10">
        <f>IF(Table1[[#This Row],[is_ups_overcharge]]="ups overcharged",Table1[[#This Row],[ups ship charge]]-Table1[[#This Row],[ada ship charge]],0)</f>
        <v>0</v>
      </c>
    </row>
    <row r="1411" spans="1:9" x14ac:dyDescent="0.2">
      <c r="A1411">
        <v>1020278</v>
      </c>
      <c r="B1411" t="s">
        <v>20</v>
      </c>
      <c r="C1411">
        <v>12.81</v>
      </c>
      <c r="D1411">
        <v>12.86</v>
      </c>
      <c r="E1411">
        <v>47.9</v>
      </c>
      <c r="F1411" t="s">
        <v>9</v>
      </c>
      <c r="G14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11">
        <f>IF(Table1[[#This Row],[is_ups_overcharge]]="ups overcharged",Table1[[#This Row],[ups ship charge]]-Table1[[#This Row],[ada ship charge]],0)</f>
        <v>0</v>
      </c>
    </row>
    <row r="1412" spans="1:9" x14ac:dyDescent="0.2">
      <c r="A1412">
        <v>1020286</v>
      </c>
      <c r="B1412" t="s">
        <v>20</v>
      </c>
      <c r="C1412">
        <v>9.7100000000000009</v>
      </c>
      <c r="D1412">
        <v>0</v>
      </c>
      <c r="E1412">
        <v>252</v>
      </c>
      <c r="F1412" t="s">
        <v>6</v>
      </c>
      <c r="G14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41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412">
        <f>IF(Table1[[#This Row],[is_ups_overcharge]]="ups overcharged",Table1[[#This Row],[ups ship charge]]-Table1[[#This Row],[ada ship charge]],0)</f>
        <v>0</v>
      </c>
    </row>
    <row r="1413" spans="1:9" x14ac:dyDescent="0.2">
      <c r="A1413">
        <v>1020291</v>
      </c>
      <c r="B1413" t="s">
        <v>20</v>
      </c>
      <c r="C1413">
        <v>17.440000000000001</v>
      </c>
      <c r="D1413">
        <v>18.86</v>
      </c>
      <c r="E1413">
        <v>68.7</v>
      </c>
      <c r="F1413" t="s">
        <v>16</v>
      </c>
      <c r="G14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13">
        <f>IF(Table1[[#This Row],[is_ups_overcharge]]="ups overcharged",Table1[[#This Row],[ups ship charge]]-Table1[[#This Row],[ada ship charge]],0)</f>
        <v>0</v>
      </c>
    </row>
    <row r="1414" spans="1:9" x14ac:dyDescent="0.2">
      <c r="A1414">
        <v>1020299</v>
      </c>
      <c r="B1414" t="s">
        <v>20</v>
      </c>
      <c r="C1414">
        <v>12.81</v>
      </c>
      <c r="D1414">
        <v>0</v>
      </c>
      <c r="E1414">
        <v>201.3</v>
      </c>
      <c r="F1414" t="s">
        <v>9</v>
      </c>
      <c r="G14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41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414">
        <f>IF(Table1[[#This Row],[is_ups_overcharge]]="ups overcharged",Table1[[#This Row],[ups ship charge]]-Table1[[#This Row],[ada ship charge]],0)</f>
        <v>0</v>
      </c>
    </row>
    <row r="1415" spans="1:9" x14ac:dyDescent="0.2">
      <c r="A1415">
        <v>1020311</v>
      </c>
      <c r="B1415" t="s">
        <v>20</v>
      </c>
      <c r="C1415">
        <v>13.71</v>
      </c>
      <c r="D1415">
        <v>0</v>
      </c>
      <c r="E1415">
        <v>336.9</v>
      </c>
      <c r="F1415" t="s">
        <v>9</v>
      </c>
      <c r="G14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41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415">
        <f>IF(Table1[[#This Row],[is_ups_overcharge]]="ups overcharged",Table1[[#This Row],[ups ship charge]]-Table1[[#This Row],[ada ship charge]],0)</f>
        <v>0</v>
      </c>
    </row>
    <row r="1416" spans="1:9" x14ac:dyDescent="0.2">
      <c r="A1416">
        <v>1020314</v>
      </c>
      <c r="B1416" t="s">
        <v>20</v>
      </c>
      <c r="C1416">
        <v>12.35</v>
      </c>
      <c r="D1416">
        <v>12.4</v>
      </c>
      <c r="E1416">
        <v>41.2</v>
      </c>
      <c r="F1416" t="s">
        <v>13</v>
      </c>
      <c r="G14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16">
        <f>IF(Table1[[#This Row],[is_ups_overcharge]]="ups overcharged",Table1[[#This Row],[ups ship charge]]-Table1[[#This Row],[ada ship charge]],0)</f>
        <v>0</v>
      </c>
    </row>
    <row r="1417" spans="1:9" x14ac:dyDescent="0.2">
      <c r="A1417">
        <v>1020319</v>
      </c>
      <c r="B1417" t="s">
        <v>20</v>
      </c>
      <c r="C1417">
        <v>16.77</v>
      </c>
      <c r="D1417">
        <v>16.82</v>
      </c>
      <c r="E1417">
        <v>30.8</v>
      </c>
      <c r="F1417" t="s">
        <v>10</v>
      </c>
      <c r="G14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17">
        <f>IF(Table1[[#This Row],[is_ups_overcharge]]="ups overcharged",Table1[[#This Row],[ups ship charge]]-Table1[[#This Row],[ada ship charge]],0)</f>
        <v>0</v>
      </c>
    </row>
    <row r="1418" spans="1:9" x14ac:dyDescent="0.2">
      <c r="A1418">
        <v>1020327</v>
      </c>
      <c r="B1418" t="s">
        <v>20</v>
      </c>
      <c r="C1418">
        <v>12.81</v>
      </c>
      <c r="D1418">
        <v>12.86</v>
      </c>
      <c r="E1418">
        <v>45.85</v>
      </c>
      <c r="F1418" t="s">
        <v>9</v>
      </c>
      <c r="G14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18">
        <f>IF(Table1[[#This Row],[is_ups_overcharge]]="ups overcharged",Table1[[#This Row],[ups ship charge]]-Table1[[#This Row],[ada ship charge]],0)</f>
        <v>0</v>
      </c>
    </row>
    <row r="1419" spans="1:9" x14ac:dyDescent="0.2">
      <c r="A1419">
        <v>1020331</v>
      </c>
      <c r="B1419" t="s">
        <v>20</v>
      </c>
      <c r="C1419">
        <v>16.46</v>
      </c>
      <c r="D1419">
        <v>16.510000000000002</v>
      </c>
      <c r="E1419">
        <v>136.69999999999999</v>
      </c>
      <c r="F1419" t="s">
        <v>10</v>
      </c>
      <c r="G14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19">
        <f>IF(Table1[[#This Row],[is_ups_overcharge]]="ups overcharged",Table1[[#This Row],[ups ship charge]]-Table1[[#This Row],[ada ship charge]],0)</f>
        <v>0</v>
      </c>
    </row>
    <row r="1420" spans="1:9" x14ac:dyDescent="0.2">
      <c r="A1420">
        <v>1020371</v>
      </c>
      <c r="B1420" t="s">
        <v>20</v>
      </c>
      <c r="C1420">
        <v>15.13</v>
      </c>
      <c r="D1420">
        <v>15.77</v>
      </c>
      <c r="E1420">
        <v>96.9</v>
      </c>
      <c r="F1420" t="s">
        <v>12</v>
      </c>
      <c r="G14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20">
        <f>IF(Table1[[#This Row],[is_ups_overcharge]]="ups overcharged",Table1[[#This Row],[ups ship charge]]-Table1[[#This Row],[ada ship charge]],0)</f>
        <v>0</v>
      </c>
    </row>
    <row r="1421" spans="1:9" x14ac:dyDescent="0.2">
      <c r="A1421">
        <v>1020374</v>
      </c>
      <c r="B1421" t="s">
        <v>20</v>
      </c>
      <c r="C1421">
        <v>13.7</v>
      </c>
      <c r="D1421">
        <v>13.75</v>
      </c>
      <c r="E1421">
        <v>7.9</v>
      </c>
      <c r="F1421" t="s">
        <v>9</v>
      </c>
      <c r="G14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21">
        <f>IF(Table1[[#This Row],[is_ups_overcharge]]="ups overcharged",Table1[[#This Row],[ups ship charge]]-Table1[[#This Row],[ada ship charge]],0)</f>
        <v>0</v>
      </c>
    </row>
    <row r="1422" spans="1:9" x14ac:dyDescent="0.2">
      <c r="A1422">
        <v>1020378</v>
      </c>
      <c r="B1422" t="s">
        <v>20</v>
      </c>
      <c r="C1422">
        <v>13.7</v>
      </c>
      <c r="D1422">
        <v>13.75</v>
      </c>
      <c r="E1422">
        <v>89.95</v>
      </c>
      <c r="F1422" t="s">
        <v>9</v>
      </c>
      <c r="G14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22">
        <f>IF(Table1[[#This Row],[is_ups_overcharge]]="ups overcharged",Table1[[#This Row],[ups ship charge]]-Table1[[#This Row],[ada ship charge]],0)</f>
        <v>0</v>
      </c>
    </row>
    <row r="1423" spans="1:9" x14ac:dyDescent="0.2">
      <c r="A1423">
        <v>1020397</v>
      </c>
      <c r="B1423" t="s">
        <v>20</v>
      </c>
      <c r="C1423">
        <v>26.56</v>
      </c>
      <c r="D1423">
        <v>26.61</v>
      </c>
      <c r="E1423">
        <v>80.349999999999994</v>
      </c>
      <c r="F1423" t="s">
        <v>15</v>
      </c>
      <c r="G14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23">
        <f>IF(Table1[[#This Row],[is_ups_overcharge]]="ups overcharged",Table1[[#This Row],[ups ship charge]]-Table1[[#This Row],[ada ship charge]],0)</f>
        <v>0</v>
      </c>
    </row>
    <row r="1424" spans="1:9" x14ac:dyDescent="0.2">
      <c r="A1424">
        <v>1020420</v>
      </c>
      <c r="B1424" t="s">
        <v>20</v>
      </c>
      <c r="C1424">
        <v>9.6999999999999993</v>
      </c>
      <c r="D1424">
        <v>0</v>
      </c>
      <c r="E1424">
        <v>200.8</v>
      </c>
      <c r="F1424" t="s">
        <v>6</v>
      </c>
      <c r="G14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42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424">
        <f>IF(Table1[[#This Row],[is_ups_overcharge]]="ups overcharged",Table1[[#This Row],[ups ship charge]]-Table1[[#This Row],[ada ship charge]],0)</f>
        <v>0</v>
      </c>
    </row>
    <row r="1425" spans="1:9" x14ac:dyDescent="0.2">
      <c r="A1425">
        <v>1020427</v>
      </c>
      <c r="B1425" t="s">
        <v>20</v>
      </c>
      <c r="C1425">
        <v>13.7</v>
      </c>
      <c r="D1425">
        <v>13.75</v>
      </c>
      <c r="E1425">
        <v>57.25</v>
      </c>
      <c r="F1425" t="s">
        <v>9</v>
      </c>
      <c r="G14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25">
        <f>IF(Table1[[#This Row],[is_ups_overcharge]]="ups overcharged",Table1[[#This Row],[ups ship charge]]-Table1[[#This Row],[ada ship charge]],0)</f>
        <v>0</v>
      </c>
    </row>
    <row r="1426" spans="1:9" x14ac:dyDescent="0.2">
      <c r="A1426">
        <v>1020434</v>
      </c>
      <c r="B1426" t="s">
        <v>20</v>
      </c>
      <c r="C1426">
        <v>12.81</v>
      </c>
      <c r="D1426">
        <v>12.86</v>
      </c>
      <c r="E1426">
        <v>18.899999999999999</v>
      </c>
      <c r="F1426" t="s">
        <v>9</v>
      </c>
      <c r="G14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26">
        <f>IF(Table1[[#This Row],[is_ups_overcharge]]="ups overcharged",Table1[[#This Row],[ups ship charge]]-Table1[[#This Row],[ada ship charge]],0)</f>
        <v>0</v>
      </c>
    </row>
    <row r="1427" spans="1:9" x14ac:dyDescent="0.2">
      <c r="A1427">
        <v>1020450</v>
      </c>
      <c r="B1427" t="s">
        <v>20</v>
      </c>
      <c r="C1427">
        <v>13.7</v>
      </c>
      <c r="D1427">
        <v>13.75</v>
      </c>
      <c r="E1427">
        <v>19.899999999999999</v>
      </c>
      <c r="F1427" t="s">
        <v>9</v>
      </c>
      <c r="G14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27">
        <f>IF(Table1[[#This Row],[is_ups_overcharge]]="ups overcharged",Table1[[#This Row],[ups ship charge]]-Table1[[#This Row],[ada ship charge]],0)</f>
        <v>0</v>
      </c>
    </row>
    <row r="1428" spans="1:9" x14ac:dyDescent="0.2">
      <c r="A1428">
        <v>1020469</v>
      </c>
      <c r="B1428" t="s">
        <v>20</v>
      </c>
      <c r="C1428">
        <v>13.7</v>
      </c>
      <c r="D1428">
        <v>0</v>
      </c>
      <c r="E1428">
        <v>242.45</v>
      </c>
      <c r="F1428" t="s">
        <v>9</v>
      </c>
      <c r="G14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42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428">
        <f>IF(Table1[[#This Row],[is_ups_overcharge]]="ups overcharged",Table1[[#This Row],[ups ship charge]]-Table1[[#This Row],[ada ship charge]],0)</f>
        <v>0</v>
      </c>
    </row>
    <row r="1429" spans="1:9" x14ac:dyDescent="0.2">
      <c r="A1429">
        <v>1020483</v>
      </c>
      <c r="B1429" t="s">
        <v>20</v>
      </c>
      <c r="C1429">
        <v>13.7</v>
      </c>
      <c r="D1429">
        <v>13.75</v>
      </c>
      <c r="E1429">
        <v>21.95</v>
      </c>
      <c r="F1429" t="s">
        <v>9</v>
      </c>
      <c r="G14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29">
        <f>IF(Table1[[#This Row],[is_ups_overcharge]]="ups overcharged",Table1[[#This Row],[ups ship charge]]-Table1[[#This Row],[ada ship charge]],0)</f>
        <v>0</v>
      </c>
    </row>
    <row r="1430" spans="1:9" x14ac:dyDescent="0.2">
      <c r="A1430">
        <v>1020498</v>
      </c>
      <c r="B1430" t="s">
        <v>20</v>
      </c>
      <c r="C1430">
        <v>9.6999999999999993</v>
      </c>
      <c r="D1430">
        <v>9.75</v>
      </c>
      <c r="E1430">
        <v>47.5</v>
      </c>
      <c r="F1430" t="s">
        <v>6</v>
      </c>
      <c r="G14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30">
        <f>IF(Table1[[#This Row],[is_ups_overcharge]]="ups overcharged",Table1[[#This Row],[ups ship charge]]-Table1[[#This Row],[ada ship charge]],0)</f>
        <v>0</v>
      </c>
    </row>
    <row r="1431" spans="1:9" x14ac:dyDescent="0.2">
      <c r="A1431">
        <v>1020503</v>
      </c>
      <c r="B1431" t="s">
        <v>20</v>
      </c>
      <c r="C1431">
        <v>13.7</v>
      </c>
      <c r="D1431">
        <v>13.75</v>
      </c>
      <c r="E1431">
        <v>28.95</v>
      </c>
      <c r="F1431" t="s">
        <v>9</v>
      </c>
      <c r="G14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31">
        <f>IF(Table1[[#This Row],[is_ups_overcharge]]="ups overcharged",Table1[[#This Row],[ups ship charge]]-Table1[[#This Row],[ada ship charge]],0)</f>
        <v>0</v>
      </c>
    </row>
    <row r="1432" spans="1:9" x14ac:dyDescent="0.2">
      <c r="A1432">
        <v>1020523</v>
      </c>
      <c r="B1432" t="s">
        <v>20</v>
      </c>
      <c r="C1432">
        <v>12.81</v>
      </c>
      <c r="D1432">
        <v>12.86</v>
      </c>
      <c r="E1432">
        <v>37.35</v>
      </c>
      <c r="F1432" t="s">
        <v>9</v>
      </c>
      <c r="G14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32">
        <f>IF(Table1[[#This Row],[is_ups_overcharge]]="ups overcharged",Table1[[#This Row],[ups ship charge]]-Table1[[#This Row],[ada ship charge]],0)</f>
        <v>0</v>
      </c>
    </row>
    <row r="1433" spans="1:9" x14ac:dyDescent="0.2">
      <c r="A1433">
        <v>1020528</v>
      </c>
      <c r="B1433" t="s">
        <v>20</v>
      </c>
      <c r="C1433">
        <v>13.7</v>
      </c>
      <c r="D1433">
        <v>13.75</v>
      </c>
      <c r="E1433">
        <v>172.7</v>
      </c>
      <c r="F1433" t="s">
        <v>9</v>
      </c>
      <c r="G14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33">
        <f>IF(Table1[[#This Row],[is_ups_overcharge]]="ups overcharged",Table1[[#This Row],[ups ship charge]]-Table1[[#This Row],[ada ship charge]],0)</f>
        <v>0</v>
      </c>
    </row>
    <row r="1434" spans="1:9" x14ac:dyDescent="0.2">
      <c r="A1434">
        <v>1020537</v>
      </c>
      <c r="B1434" t="s">
        <v>20</v>
      </c>
      <c r="C1434">
        <v>12.81</v>
      </c>
      <c r="D1434">
        <v>12.86</v>
      </c>
      <c r="E1434">
        <v>31.75</v>
      </c>
      <c r="F1434" t="s">
        <v>9</v>
      </c>
      <c r="G14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34">
        <f>IF(Table1[[#This Row],[is_ups_overcharge]]="ups overcharged",Table1[[#This Row],[ups ship charge]]-Table1[[#This Row],[ada ship charge]],0)</f>
        <v>0</v>
      </c>
    </row>
    <row r="1435" spans="1:9" x14ac:dyDescent="0.2">
      <c r="A1435">
        <v>1020551</v>
      </c>
      <c r="B1435" t="s">
        <v>20</v>
      </c>
      <c r="C1435">
        <v>12.35</v>
      </c>
      <c r="D1435">
        <v>12.4</v>
      </c>
      <c r="E1435">
        <v>44.6</v>
      </c>
      <c r="F1435" t="s">
        <v>13</v>
      </c>
      <c r="G14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35">
        <f>IF(Table1[[#This Row],[is_ups_overcharge]]="ups overcharged",Table1[[#This Row],[ups ship charge]]-Table1[[#This Row],[ada ship charge]],0)</f>
        <v>0</v>
      </c>
    </row>
    <row r="1436" spans="1:9" x14ac:dyDescent="0.2">
      <c r="A1436">
        <v>1020560</v>
      </c>
      <c r="B1436" t="s">
        <v>20</v>
      </c>
      <c r="C1436">
        <v>13.7</v>
      </c>
      <c r="D1436">
        <v>13.75</v>
      </c>
      <c r="E1436">
        <v>47.25</v>
      </c>
      <c r="F1436" t="s">
        <v>9</v>
      </c>
      <c r="G14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36">
        <f>IF(Table1[[#This Row],[is_ups_overcharge]]="ups overcharged",Table1[[#This Row],[ups ship charge]]-Table1[[#This Row],[ada ship charge]],0)</f>
        <v>0</v>
      </c>
    </row>
    <row r="1437" spans="1:9" x14ac:dyDescent="0.2">
      <c r="A1437">
        <v>1020562</v>
      </c>
      <c r="B1437" t="s">
        <v>20</v>
      </c>
      <c r="C1437">
        <v>12.81</v>
      </c>
      <c r="D1437">
        <v>12.86</v>
      </c>
      <c r="E1437">
        <v>21.4</v>
      </c>
      <c r="F1437" t="s">
        <v>9</v>
      </c>
      <c r="G14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37">
        <f>IF(Table1[[#This Row],[is_ups_overcharge]]="ups overcharged",Table1[[#This Row],[ups ship charge]]-Table1[[#This Row],[ada ship charge]],0)</f>
        <v>0</v>
      </c>
    </row>
    <row r="1438" spans="1:9" x14ac:dyDescent="0.2">
      <c r="A1438">
        <v>1020568</v>
      </c>
      <c r="B1438" t="s">
        <v>20</v>
      </c>
      <c r="C1438">
        <v>11.02</v>
      </c>
      <c r="D1438">
        <v>15.18</v>
      </c>
      <c r="E1438">
        <v>132.85</v>
      </c>
      <c r="F1438" t="s">
        <v>14</v>
      </c>
      <c r="G14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38">
        <f>IF(Table1[[#This Row],[is_ups_overcharge]]="ups overcharged",Table1[[#This Row],[ups ship charge]]-Table1[[#This Row],[ada ship charge]],0)</f>
        <v>0</v>
      </c>
    </row>
    <row r="1439" spans="1:9" x14ac:dyDescent="0.2">
      <c r="A1439">
        <v>1020570</v>
      </c>
      <c r="B1439" t="s">
        <v>20</v>
      </c>
      <c r="C1439">
        <v>15.44</v>
      </c>
      <c r="D1439">
        <v>15.49</v>
      </c>
      <c r="E1439">
        <v>38.700000000000003</v>
      </c>
      <c r="F1439" t="s">
        <v>12</v>
      </c>
      <c r="G14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39">
        <f>IF(Table1[[#This Row],[is_ups_overcharge]]="ups overcharged",Table1[[#This Row],[ups ship charge]]-Table1[[#This Row],[ada ship charge]],0)</f>
        <v>0</v>
      </c>
    </row>
    <row r="1440" spans="1:9" x14ac:dyDescent="0.2">
      <c r="A1440">
        <v>1020578</v>
      </c>
      <c r="B1440" t="s">
        <v>20</v>
      </c>
      <c r="C1440">
        <v>12.81</v>
      </c>
      <c r="D1440">
        <v>12.86</v>
      </c>
      <c r="E1440">
        <v>14.95</v>
      </c>
      <c r="F1440" t="s">
        <v>9</v>
      </c>
      <c r="G14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40">
        <f>IF(Table1[[#This Row],[is_ups_overcharge]]="ups overcharged",Table1[[#This Row],[ups ship charge]]-Table1[[#This Row],[ada ship charge]],0)</f>
        <v>0</v>
      </c>
    </row>
    <row r="1441" spans="1:9" x14ac:dyDescent="0.2">
      <c r="A1441">
        <v>1020583</v>
      </c>
      <c r="B1441" t="s">
        <v>20</v>
      </c>
      <c r="C1441">
        <v>13.7</v>
      </c>
      <c r="D1441">
        <v>13.76</v>
      </c>
      <c r="E1441">
        <v>66.650000000000006</v>
      </c>
      <c r="F1441" t="s">
        <v>9</v>
      </c>
      <c r="G14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41">
        <f>IF(Table1[[#This Row],[is_ups_overcharge]]="ups overcharged",Table1[[#This Row],[ups ship charge]]-Table1[[#This Row],[ada ship charge]],0)</f>
        <v>0</v>
      </c>
    </row>
    <row r="1442" spans="1:9" x14ac:dyDescent="0.2">
      <c r="A1442">
        <v>1020595</v>
      </c>
      <c r="B1442" t="s">
        <v>20</v>
      </c>
      <c r="C1442">
        <v>13.7</v>
      </c>
      <c r="D1442">
        <v>13.75</v>
      </c>
      <c r="E1442">
        <v>21.95</v>
      </c>
      <c r="F1442" t="s">
        <v>9</v>
      </c>
      <c r="G14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42">
        <f>IF(Table1[[#This Row],[is_ups_overcharge]]="ups overcharged",Table1[[#This Row],[ups ship charge]]-Table1[[#This Row],[ada ship charge]],0)</f>
        <v>0</v>
      </c>
    </row>
    <row r="1443" spans="1:9" x14ac:dyDescent="0.2">
      <c r="A1443">
        <v>1020597</v>
      </c>
      <c r="B1443" t="s">
        <v>20</v>
      </c>
      <c r="C1443">
        <v>9.6999999999999993</v>
      </c>
      <c r="D1443">
        <v>9.75</v>
      </c>
      <c r="E1443">
        <v>30</v>
      </c>
      <c r="F1443" t="s">
        <v>6</v>
      </c>
      <c r="G14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43">
        <f>IF(Table1[[#This Row],[is_ups_overcharge]]="ups overcharged",Table1[[#This Row],[ups ship charge]]-Table1[[#This Row],[ada ship charge]],0)</f>
        <v>0</v>
      </c>
    </row>
    <row r="1444" spans="1:9" x14ac:dyDescent="0.2">
      <c r="A1444">
        <v>1020627</v>
      </c>
      <c r="B1444" t="s">
        <v>20</v>
      </c>
      <c r="C1444">
        <v>67.040000000000006</v>
      </c>
      <c r="D1444">
        <v>67.09</v>
      </c>
      <c r="E1444">
        <v>296</v>
      </c>
      <c r="F1444" t="s">
        <v>11</v>
      </c>
      <c r="G14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44">
        <f>IF(Table1[[#This Row],[is_ups_overcharge]]="ups overcharged",Table1[[#This Row],[ups ship charge]]-Table1[[#This Row],[ada ship charge]],0)</f>
        <v>0</v>
      </c>
    </row>
    <row r="1445" spans="1:9" x14ac:dyDescent="0.2">
      <c r="A1445">
        <v>1020629</v>
      </c>
      <c r="B1445" t="s">
        <v>20</v>
      </c>
      <c r="C1445">
        <v>12.85</v>
      </c>
      <c r="D1445">
        <v>0</v>
      </c>
      <c r="E1445">
        <v>323.05</v>
      </c>
      <c r="F1445" t="s">
        <v>9</v>
      </c>
      <c r="G14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44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445">
        <f>IF(Table1[[#This Row],[is_ups_overcharge]]="ups overcharged",Table1[[#This Row],[ups ship charge]]-Table1[[#This Row],[ada ship charge]],0)</f>
        <v>0</v>
      </c>
    </row>
    <row r="1446" spans="1:9" x14ac:dyDescent="0.2">
      <c r="A1446">
        <v>1020643</v>
      </c>
      <c r="B1446" t="s">
        <v>20</v>
      </c>
      <c r="C1446">
        <v>18.41</v>
      </c>
      <c r="D1446">
        <v>20.2</v>
      </c>
      <c r="E1446">
        <v>90.6</v>
      </c>
      <c r="F1446" t="s">
        <v>10</v>
      </c>
      <c r="G14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46">
        <f>IF(Table1[[#This Row],[is_ups_overcharge]]="ups overcharged",Table1[[#This Row],[ups ship charge]]-Table1[[#This Row],[ada ship charge]],0)</f>
        <v>0</v>
      </c>
    </row>
    <row r="1447" spans="1:9" x14ac:dyDescent="0.2">
      <c r="A1447">
        <v>1020662</v>
      </c>
      <c r="B1447" t="s">
        <v>20</v>
      </c>
      <c r="C1447">
        <v>12.81</v>
      </c>
      <c r="D1447">
        <v>12.86</v>
      </c>
      <c r="E1447">
        <v>36.799999999999997</v>
      </c>
      <c r="F1447" t="s">
        <v>9</v>
      </c>
      <c r="G14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47">
        <f>IF(Table1[[#This Row],[is_ups_overcharge]]="ups overcharged",Table1[[#This Row],[ups ship charge]]-Table1[[#This Row],[ada ship charge]],0)</f>
        <v>0</v>
      </c>
    </row>
    <row r="1448" spans="1:9" x14ac:dyDescent="0.2">
      <c r="A1448">
        <v>1020680</v>
      </c>
      <c r="B1448" t="s">
        <v>20</v>
      </c>
      <c r="C1448">
        <v>12.81</v>
      </c>
      <c r="D1448">
        <v>12.86</v>
      </c>
      <c r="E1448">
        <v>75.95</v>
      </c>
      <c r="F1448" t="s">
        <v>9</v>
      </c>
      <c r="G14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48">
        <f>IF(Table1[[#This Row],[is_ups_overcharge]]="ups overcharged",Table1[[#This Row],[ups ship charge]]-Table1[[#This Row],[ada ship charge]],0)</f>
        <v>0</v>
      </c>
    </row>
    <row r="1449" spans="1:9" x14ac:dyDescent="0.2">
      <c r="A1449">
        <v>1020701</v>
      </c>
      <c r="B1449" t="s">
        <v>20</v>
      </c>
      <c r="C1449">
        <v>13.7</v>
      </c>
      <c r="D1449">
        <v>13.75</v>
      </c>
      <c r="E1449">
        <v>6</v>
      </c>
      <c r="F1449" t="s">
        <v>9</v>
      </c>
      <c r="G14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49">
        <f>IF(Table1[[#This Row],[is_ups_overcharge]]="ups overcharged",Table1[[#This Row],[ups ship charge]]-Table1[[#This Row],[ada ship charge]],0)</f>
        <v>0</v>
      </c>
    </row>
    <row r="1450" spans="1:9" x14ac:dyDescent="0.2">
      <c r="A1450">
        <v>1020708</v>
      </c>
      <c r="B1450" t="s">
        <v>20</v>
      </c>
      <c r="C1450">
        <v>16.46</v>
      </c>
      <c r="D1450">
        <v>16.510000000000002</v>
      </c>
      <c r="E1450">
        <v>74.95</v>
      </c>
      <c r="F1450" t="s">
        <v>10</v>
      </c>
      <c r="G14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50">
        <f>IF(Table1[[#This Row],[is_ups_overcharge]]="ups overcharged",Table1[[#This Row],[ups ship charge]]-Table1[[#This Row],[ada ship charge]],0)</f>
        <v>0</v>
      </c>
    </row>
    <row r="1451" spans="1:9" x14ac:dyDescent="0.2">
      <c r="A1451">
        <v>1020713</v>
      </c>
      <c r="B1451" t="s">
        <v>20</v>
      </c>
      <c r="C1451">
        <v>9.6999999999999993</v>
      </c>
      <c r="D1451">
        <v>9.75</v>
      </c>
      <c r="E1451">
        <v>9</v>
      </c>
      <c r="F1451" t="s">
        <v>6</v>
      </c>
      <c r="G14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51">
        <f>IF(Table1[[#This Row],[is_ups_overcharge]]="ups overcharged",Table1[[#This Row],[ups ship charge]]-Table1[[#This Row],[ada ship charge]],0)</f>
        <v>0</v>
      </c>
    </row>
    <row r="1452" spans="1:9" x14ac:dyDescent="0.2">
      <c r="A1452">
        <v>1020715</v>
      </c>
      <c r="B1452" t="s">
        <v>20</v>
      </c>
      <c r="C1452">
        <v>9.6999999999999993</v>
      </c>
      <c r="D1452">
        <v>9.75</v>
      </c>
      <c r="E1452">
        <v>60.8</v>
      </c>
      <c r="F1452" t="s">
        <v>6</v>
      </c>
      <c r="G14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52">
        <f>IF(Table1[[#This Row],[is_ups_overcharge]]="ups overcharged",Table1[[#This Row],[ups ship charge]]-Table1[[#This Row],[ada ship charge]],0)</f>
        <v>0</v>
      </c>
    </row>
    <row r="1453" spans="1:9" x14ac:dyDescent="0.2">
      <c r="A1453">
        <v>1020728</v>
      </c>
      <c r="B1453" t="s">
        <v>20</v>
      </c>
      <c r="C1453">
        <v>15.44</v>
      </c>
      <c r="D1453">
        <v>15.5</v>
      </c>
      <c r="E1453">
        <v>62.65</v>
      </c>
      <c r="F1453" t="s">
        <v>12</v>
      </c>
      <c r="G14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53">
        <f>IF(Table1[[#This Row],[is_ups_overcharge]]="ups overcharged",Table1[[#This Row],[ups ship charge]]-Table1[[#This Row],[ada ship charge]],0)</f>
        <v>0</v>
      </c>
    </row>
    <row r="1454" spans="1:9" x14ac:dyDescent="0.2">
      <c r="A1454">
        <v>1020732</v>
      </c>
      <c r="B1454" t="s">
        <v>20</v>
      </c>
      <c r="C1454">
        <v>16.46</v>
      </c>
      <c r="D1454">
        <v>16.510000000000002</v>
      </c>
      <c r="E1454">
        <v>100.15</v>
      </c>
      <c r="F1454" t="s">
        <v>10</v>
      </c>
      <c r="G14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54">
        <f>IF(Table1[[#This Row],[is_ups_overcharge]]="ups overcharged",Table1[[#This Row],[ups ship charge]]-Table1[[#This Row],[ada ship charge]],0)</f>
        <v>0</v>
      </c>
    </row>
    <row r="1455" spans="1:9" x14ac:dyDescent="0.2">
      <c r="A1455">
        <v>1020734</v>
      </c>
      <c r="B1455" t="s">
        <v>20</v>
      </c>
      <c r="C1455">
        <v>12.81</v>
      </c>
      <c r="D1455">
        <v>12.86</v>
      </c>
      <c r="E1455">
        <v>108.75</v>
      </c>
      <c r="F1455" t="s">
        <v>9</v>
      </c>
      <c r="G14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55">
        <f>IF(Table1[[#This Row],[is_ups_overcharge]]="ups overcharged",Table1[[#This Row],[ups ship charge]]-Table1[[#This Row],[ada ship charge]],0)</f>
        <v>0</v>
      </c>
    </row>
    <row r="1456" spans="1:9" x14ac:dyDescent="0.2">
      <c r="A1456">
        <v>1020762</v>
      </c>
      <c r="B1456" t="s">
        <v>20</v>
      </c>
      <c r="C1456">
        <v>13.7</v>
      </c>
      <c r="D1456">
        <v>13.75</v>
      </c>
      <c r="E1456">
        <v>19.75</v>
      </c>
      <c r="F1456" t="s">
        <v>9</v>
      </c>
      <c r="G14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56">
        <f>IF(Table1[[#This Row],[is_ups_overcharge]]="ups overcharged",Table1[[#This Row],[ups ship charge]]-Table1[[#This Row],[ada ship charge]],0)</f>
        <v>0</v>
      </c>
    </row>
    <row r="1457" spans="1:9" x14ac:dyDescent="0.2">
      <c r="A1457">
        <v>1031106</v>
      </c>
      <c r="B1457" t="s">
        <v>21</v>
      </c>
      <c r="C1457">
        <v>15.44</v>
      </c>
      <c r="D1457">
        <v>15.54</v>
      </c>
      <c r="E1457">
        <v>179.85</v>
      </c>
      <c r="F1457" t="s">
        <v>12</v>
      </c>
      <c r="G14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57">
        <f>IF(Table1[[#This Row],[is_ups_overcharge]]="ups overcharged",Table1[[#This Row],[ups ship charge]]-Table1[[#This Row],[ada ship charge]],0)</f>
        <v>0</v>
      </c>
    </row>
    <row r="1458" spans="1:9" x14ac:dyDescent="0.2">
      <c r="A1458">
        <v>1020768</v>
      </c>
      <c r="B1458" t="s">
        <v>20</v>
      </c>
      <c r="C1458">
        <v>13.7</v>
      </c>
      <c r="D1458">
        <v>13.76</v>
      </c>
      <c r="E1458">
        <v>119.9</v>
      </c>
      <c r="F1458" t="s">
        <v>9</v>
      </c>
      <c r="G14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58">
        <f>IF(Table1[[#This Row],[is_ups_overcharge]]="ups overcharged",Table1[[#This Row],[ups ship charge]]-Table1[[#This Row],[ada ship charge]],0)</f>
        <v>0</v>
      </c>
    </row>
    <row r="1459" spans="1:9" x14ac:dyDescent="0.2">
      <c r="A1459">
        <v>1020780</v>
      </c>
      <c r="B1459" t="s">
        <v>20</v>
      </c>
      <c r="C1459">
        <v>26.7</v>
      </c>
      <c r="D1459">
        <v>13.75</v>
      </c>
      <c r="E1459">
        <v>33.65</v>
      </c>
      <c r="F1459" t="s">
        <v>9</v>
      </c>
      <c r="G14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59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459">
        <f>IF(Table1[[#This Row],[is_ups_overcharge]]="ups overcharged",Table1[[#This Row],[ups ship charge]]-Table1[[#This Row],[ada ship charge]],0)</f>
        <v>12.95</v>
      </c>
    </row>
    <row r="1460" spans="1:9" x14ac:dyDescent="0.2">
      <c r="A1460">
        <v>1020798</v>
      </c>
      <c r="B1460" t="s">
        <v>20</v>
      </c>
      <c r="C1460">
        <v>13.7</v>
      </c>
      <c r="D1460">
        <v>13.75</v>
      </c>
      <c r="E1460">
        <v>15.95</v>
      </c>
      <c r="F1460" t="s">
        <v>9</v>
      </c>
      <c r="G14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60">
        <f>IF(Table1[[#This Row],[is_ups_overcharge]]="ups overcharged",Table1[[#This Row],[ups ship charge]]-Table1[[#This Row],[ada ship charge]],0)</f>
        <v>0</v>
      </c>
    </row>
    <row r="1461" spans="1:9" x14ac:dyDescent="0.2">
      <c r="A1461">
        <v>1020806</v>
      </c>
      <c r="B1461" t="s">
        <v>20</v>
      </c>
      <c r="C1461">
        <v>12.81</v>
      </c>
      <c r="D1461">
        <v>12.86</v>
      </c>
      <c r="E1461">
        <v>27.35</v>
      </c>
      <c r="F1461" t="s">
        <v>9</v>
      </c>
      <c r="G14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61">
        <f>IF(Table1[[#This Row],[is_ups_overcharge]]="ups overcharged",Table1[[#This Row],[ups ship charge]]-Table1[[#This Row],[ada ship charge]],0)</f>
        <v>0</v>
      </c>
    </row>
    <row r="1462" spans="1:9" x14ac:dyDescent="0.2">
      <c r="A1462">
        <v>1020843</v>
      </c>
      <c r="B1462" t="s">
        <v>20</v>
      </c>
      <c r="C1462">
        <v>67.459999999999994</v>
      </c>
      <c r="D1462">
        <v>67.510000000000005</v>
      </c>
      <c r="E1462">
        <v>79.8</v>
      </c>
      <c r="F1462" t="s">
        <v>8</v>
      </c>
      <c r="G14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62">
        <f>IF(Table1[[#This Row],[is_ups_overcharge]]="ups overcharged",Table1[[#This Row],[ups ship charge]]-Table1[[#This Row],[ada ship charge]],0)</f>
        <v>0</v>
      </c>
    </row>
    <row r="1463" spans="1:9" x14ac:dyDescent="0.2">
      <c r="A1463">
        <v>1020855</v>
      </c>
      <c r="B1463" t="s">
        <v>20</v>
      </c>
      <c r="C1463">
        <v>12.81</v>
      </c>
      <c r="D1463">
        <v>12.86</v>
      </c>
      <c r="E1463">
        <v>13.9</v>
      </c>
      <c r="F1463" t="s">
        <v>9</v>
      </c>
      <c r="G14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63">
        <f>IF(Table1[[#This Row],[is_ups_overcharge]]="ups overcharged",Table1[[#This Row],[ups ship charge]]-Table1[[#This Row],[ada ship charge]],0)</f>
        <v>0</v>
      </c>
    </row>
    <row r="1464" spans="1:9" x14ac:dyDescent="0.2">
      <c r="A1464">
        <v>1020879</v>
      </c>
      <c r="B1464" t="s">
        <v>20</v>
      </c>
      <c r="C1464">
        <v>9.6999999999999993</v>
      </c>
      <c r="D1464">
        <v>9.75</v>
      </c>
      <c r="E1464">
        <v>69.900000000000006</v>
      </c>
      <c r="F1464" t="s">
        <v>6</v>
      </c>
      <c r="G14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64">
        <f>IF(Table1[[#This Row],[is_ups_overcharge]]="ups overcharged",Table1[[#This Row],[ups ship charge]]-Table1[[#This Row],[ada ship charge]],0)</f>
        <v>0</v>
      </c>
    </row>
    <row r="1465" spans="1:9" x14ac:dyDescent="0.2">
      <c r="A1465">
        <v>1020899</v>
      </c>
      <c r="B1465" t="s">
        <v>20</v>
      </c>
      <c r="C1465">
        <v>16.399999999999999</v>
      </c>
      <c r="D1465">
        <v>17.82</v>
      </c>
      <c r="E1465">
        <v>12</v>
      </c>
      <c r="F1465" t="s">
        <v>12</v>
      </c>
      <c r="G14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65">
        <f>IF(Table1[[#This Row],[is_ups_overcharge]]="ups overcharged",Table1[[#This Row],[ups ship charge]]-Table1[[#This Row],[ada ship charge]],0)</f>
        <v>0</v>
      </c>
    </row>
    <row r="1466" spans="1:9" x14ac:dyDescent="0.2">
      <c r="A1466">
        <v>1020912</v>
      </c>
      <c r="B1466" t="s">
        <v>20</v>
      </c>
      <c r="C1466">
        <v>12.81</v>
      </c>
      <c r="D1466">
        <v>12.86</v>
      </c>
      <c r="E1466">
        <v>6.95</v>
      </c>
      <c r="F1466" t="s">
        <v>9</v>
      </c>
      <c r="G14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66">
        <f>IF(Table1[[#This Row],[is_ups_overcharge]]="ups overcharged",Table1[[#This Row],[ups ship charge]]-Table1[[#This Row],[ada ship charge]],0)</f>
        <v>0</v>
      </c>
    </row>
    <row r="1467" spans="1:9" x14ac:dyDescent="0.2">
      <c r="A1467">
        <v>1020926</v>
      </c>
      <c r="B1467" t="s">
        <v>20</v>
      </c>
      <c r="C1467">
        <v>12.81</v>
      </c>
      <c r="D1467">
        <v>12.86</v>
      </c>
      <c r="E1467">
        <v>101.8</v>
      </c>
      <c r="F1467" t="s">
        <v>9</v>
      </c>
      <c r="G14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67">
        <f>IF(Table1[[#This Row],[is_ups_overcharge]]="ups overcharged",Table1[[#This Row],[ups ship charge]]-Table1[[#This Row],[ada ship charge]],0)</f>
        <v>0</v>
      </c>
    </row>
    <row r="1468" spans="1:9" x14ac:dyDescent="0.2">
      <c r="A1468">
        <v>1020963</v>
      </c>
      <c r="B1468" t="s">
        <v>20</v>
      </c>
      <c r="C1468">
        <v>13.7</v>
      </c>
      <c r="D1468">
        <v>13.99</v>
      </c>
      <c r="E1468">
        <v>114.95</v>
      </c>
      <c r="F1468" t="s">
        <v>9</v>
      </c>
      <c r="G14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68">
        <f>IF(Table1[[#This Row],[is_ups_overcharge]]="ups overcharged",Table1[[#This Row],[ups ship charge]]-Table1[[#This Row],[ada ship charge]],0)</f>
        <v>0</v>
      </c>
    </row>
    <row r="1469" spans="1:9" x14ac:dyDescent="0.2">
      <c r="A1469">
        <v>1020999</v>
      </c>
      <c r="B1469" t="s">
        <v>20</v>
      </c>
      <c r="C1469">
        <v>9.6999999999999993</v>
      </c>
      <c r="D1469">
        <v>9.75</v>
      </c>
      <c r="E1469">
        <v>70.349999999999994</v>
      </c>
      <c r="F1469" t="s">
        <v>6</v>
      </c>
      <c r="G14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69">
        <f>IF(Table1[[#This Row],[is_ups_overcharge]]="ups overcharged",Table1[[#This Row],[ups ship charge]]-Table1[[#This Row],[ada ship charge]],0)</f>
        <v>0</v>
      </c>
    </row>
    <row r="1470" spans="1:9" x14ac:dyDescent="0.2">
      <c r="A1470">
        <v>1021001</v>
      </c>
      <c r="B1470" t="s">
        <v>20</v>
      </c>
      <c r="C1470">
        <v>17.7</v>
      </c>
      <c r="D1470">
        <v>17.75</v>
      </c>
      <c r="E1470">
        <v>21.8</v>
      </c>
      <c r="F1470" t="s">
        <v>15</v>
      </c>
      <c r="G14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70">
        <f>IF(Table1[[#This Row],[is_ups_overcharge]]="ups overcharged",Table1[[#This Row],[ups ship charge]]-Table1[[#This Row],[ada ship charge]],0)</f>
        <v>0</v>
      </c>
    </row>
    <row r="1471" spans="1:9" x14ac:dyDescent="0.2">
      <c r="A1471">
        <v>1021006</v>
      </c>
      <c r="B1471" t="s">
        <v>20</v>
      </c>
      <c r="C1471">
        <v>57.96</v>
      </c>
      <c r="D1471">
        <v>58.01</v>
      </c>
      <c r="E1471">
        <v>61.3</v>
      </c>
      <c r="F1471" t="s">
        <v>11</v>
      </c>
      <c r="G14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71">
        <f>IF(Table1[[#This Row],[is_ups_overcharge]]="ups overcharged",Table1[[#This Row],[ups ship charge]]-Table1[[#This Row],[ada ship charge]],0)</f>
        <v>0</v>
      </c>
    </row>
    <row r="1472" spans="1:9" x14ac:dyDescent="0.2">
      <c r="A1472">
        <v>1021007</v>
      </c>
      <c r="B1472" t="s">
        <v>20</v>
      </c>
      <c r="C1472">
        <v>16.04</v>
      </c>
      <c r="D1472">
        <v>18.47</v>
      </c>
      <c r="E1472">
        <v>47.8</v>
      </c>
      <c r="F1472" t="s">
        <v>13</v>
      </c>
      <c r="G14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72">
        <f>IF(Table1[[#This Row],[is_ups_overcharge]]="ups overcharged",Table1[[#This Row],[ups ship charge]]-Table1[[#This Row],[ada ship charge]],0)</f>
        <v>0</v>
      </c>
    </row>
    <row r="1473" spans="1:9" x14ac:dyDescent="0.2">
      <c r="A1473">
        <v>1021010</v>
      </c>
      <c r="B1473" t="s">
        <v>20</v>
      </c>
      <c r="C1473">
        <v>11.02</v>
      </c>
      <c r="D1473">
        <v>15.18</v>
      </c>
      <c r="E1473">
        <v>29.95</v>
      </c>
      <c r="F1473" t="s">
        <v>14</v>
      </c>
      <c r="G14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73">
        <f>IF(Table1[[#This Row],[is_ups_overcharge]]="ups overcharged",Table1[[#This Row],[ups ship charge]]-Table1[[#This Row],[ada ship charge]],0)</f>
        <v>0</v>
      </c>
    </row>
    <row r="1474" spans="1:9" x14ac:dyDescent="0.2">
      <c r="A1474">
        <v>1021012</v>
      </c>
      <c r="B1474" t="s">
        <v>20</v>
      </c>
      <c r="C1474">
        <v>15.44</v>
      </c>
      <c r="D1474">
        <v>15.49</v>
      </c>
      <c r="E1474">
        <v>45.95</v>
      </c>
      <c r="F1474" t="s">
        <v>12</v>
      </c>
      <c r="G14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74">
        <f>IF(Table1[[#This Row],[is_ups_overcharge]]="ups overcharged",Table1[[#This Row],[ups ship charge]]-Table1[[#This Row],[ada ship charge]],0)</f>
        <v>0</v>
      </c>
    </row>
    <row r="1475" spans="1:9" x14ac:dyDescent="0.2">
      <c r="A1475">
        <v>1021018</v>
      </c>
      <c r="B1475" t="s">
        <v>20</v>
      </c>
      <c r="C1475">
        <v>12.35</v>
      </c>
      <c r="D1475">
        <v>12.4</v>
      </c>
      <c r="E1475">
        <v>83.7</v>
      </c>
      <c r="F1475" t="s">
        <v>13</v>
      </c>
      <c r="G14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75">
        <f>IF(Table1[[#This Row],[is_ups_overcharge]]="ups overcharged",Table1[[#This Row],[ups ship charge]]-Table1[[#This Row],[ada ship charge]],0)</f>
        <v>0</v>
      </c>
    </row>
    <row r="1476" spans="1:9" x14ac:dyDescent="0.2">
      <c r="A1476">
        <v>1021036</v>
      </c>
      <c r="B1476" t="s">
        <v>20</v>
      </c>
      <c r="C1476">
        <v>12.81</v>
      </c>
      <c r="D1476">
        <v>12.86</v>
      </c>
      <c r="E1476">
        <v>26.95</v>
      </c>
      <c r="F1476" t="s">
        <v>9</v>
      </c>
      <c r="G14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76">
        <f>IF(Table1[[#This Row],[is_ups_overcharge]]="ups overcharged",Table1[[#This Row],[ups ship charge]]-Table1[[#This Row],[ada ship charge]],0)</f>
        <v>0</v>
      </c>
    </row>
    <row r="1477" spans="1:9" x14ac:dyDescent="0.2">
      <c r="A1477">
        <v>1021065</v>
      </c>
      <c r="B1477" t="s">
        <v>20</v>
      </c>
      <c r="C1477">
        <v>12.81</v>
      </c>
      <c r="D1477">
        <v>0</v>
      </c>
      <c r="E1477">
        <v>245.6</v>
      </c>
      <c r="F1477" t="s">
        <v>9</v>
      </c>
      <c r="G14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47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477">
        <f>IF(Table1[[#This Row],[is_ups_overcharge]]="ups overcharged",Table1[[#This Row],[ups ship charge]]-Table1[[#This Row],[ada ship charge]],0)</f>
        <v>0</v>
      </c>
    </row>
    <row r="1478" spans="1:9" x14ac:dyDescent="0.2">
      <c r="A1478">
        <v>1021066</v>
      </c>
      <c r="B1478" t="s">
        <v>20</v>
      </c>
      <c r="C1478">
        <v>12.81</v>
      </c>
      <c r="D1478">
        <v>12.86</v>
      </c>
      <c r="E1478">
        <v>73.099999999999994</v>
      </c>
      <c r="F1478" t="s">
        <v>9</v>
      </c>
      <c r="G14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78">
        <f>IF(Table1[[#This Row],[is_ups_overcharge]]="ups overcharged",Table1[[#This Row],[ups ship charge]]-Table1[[#This Row],[ada ship charge]],0)</f>
        <v>0</v>
      </c>
    </row>
    <row r="1479" spans="1:9" x14ac:dyDescent="0.2">
      <c r="A1479">
        <v>1021069</v>
      </c>
      <c r="B1479" t="s">
        <v>20</v>
      </c>
      <c r="C1479">
        <v>15.13</v>
      </c>
      <c r="D1479">
        <v>15.18</v>
      </c>
      <c r="E1479">
        <v>39.950000000000003</v>
      </c>
      <c r="F1479" t="s">
        <v>12</v>
      </c>
      <c r="G14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79">
        <f>IF(Table1[[#This Row],[is_ups_overcharge]]="ups overcharged",Table1[[#This Row],[ups ship charge]]-Table1[[#This Row],[ada ship charge]],0)</f>
        <v>0</v>
      </c>
    </row>
    <row r="1480" spans="1:9" x14ac:dyDescent="0.2">
      <c r="A1480">
        <v>1021073</v>
      </c>
      <c r="B1480" t="s">
        <v>20</v>
      </c>
      <c r="C1480">
        <v>13.7</v>
      </c>
      <c r="D1480">
        <v>13.75</v>
      </c>
      <c r="E1480">
        <v>64.95</v>
      </c>
      <c r="F1480" t="s">
        <v>9</v>
      </c>
      <c r="G14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80">
        <f>IF(Table1[[#This Row],[is_ups_overcharge]]="ups overcharged",Table1[[#This Row],[ups ship charge]]-Table1[[#This Row],[ada ship charge]],0)</f>
        <v>0</v>
      </c>
    </row>
    <row r="1481" spans="1:9" x14ac:dyDescent="0.2">
      <c r="A1481">
        <v>1021097</v>
      </c>
      <c r="B1481" t="s">
        <v>20</v>
      </c>
      <c r="C1481">
        <v>9.6999999999999993</v>
      </c>
      <c r="D1481">
        <v>0</v>
      </c>
      <c r="E1481">
        <v>255.2</v>
      </c>
      <c r="F1481" t="s">
        <v>6</v>
      </c>
      <c r="G14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48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481">
        <f>IF(Table1[[#This Row],[is_ups_overcharge]]="ups overcharged",Table1[[#This Row],[ups ship charge]]-Table1[[#This Row],[ada ship charge]],0)</f>
        <v>0</v>
      </c>
    </row>
    <row r="1482" spans="1:9" x14ac:dyDescent="0.2">
      <c r="A1482">
        <v>1021113</v>
      </c>
      <c r="B1482" t="s">
        <v>20</v>
      </c>
      <c r="C1482">
        <v>30.97</v>
      </c>
      <c r="D1482">
        <v>33.159999999999997</v>
      </c>
      <c r="E1482">
        <v>19.3</v>
      </c>
      <c r="F1482" t="s">
        <v>15</v>
      </c>
      <c r="G14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82">
        <f>IF(Table1[[#This Row],[is_ups_overcharge]]="ups overcharged",Table1[[#This Row],[ups ship charge]]-Table1[[#This Row],[ada ship charge]],0)</f>
        <v>0</v>
      </c>
    </row>
    <row r="1483" spans="1:9" x14ac:dyDescent="0.2">
      <c r="A1483">
        <v>1021145</v>
      </c>
      <c r="B1483" t="s">
        <v>20</v>
      </c>
      <c r="C1483">
        <v>9.6999999999999993</v>
      </c>
      <c r="D1483">
        <v>0</v>
      </c>
      <c r="E1483">
        <v>284.25</v>
      </c>
      <c r="F1483" t="s">
        <v>6</v>
      </c>
      <c r="G14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48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483">
        <f>IF(Table1[[#This Row],[is_ups_overcharge]]="ups overcharged",Table1[[#This Row],[ups ship charge]]-Table1[[#This Row],[ada ship charge]],0)</f>
        <v>0</v>
      </c>
    </row>
    <row r="1484" spans="1:9" x14ac:dyDescent="0.2">
      <c r="A1484">
        <v>1021163</v>
      </c>
      <c r="B1484" t="s">
        <v>20</v>
      </c>
      <c r="C1484">
        <v>15.44</v>
      </c>
      <c r="D1484">
        <v>15.49</v>
      </c>
      <c r="E1484">
        <v>125.9</v>
      </c>
      <c r="F1484" t="s">
        <v>12</v>
      </c>
      <c r="G14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84">
        <f>IF(Table1[[#This Row],[is_ups_overcharge]]="ups overcharged",Table1[[#This Row],[ups ship charge]]-Table1[[#This Row],[ada ship charge]],0)</f>
        <v>0</v>
      </c>
    </row>
    <row r="1485" spans="1:9" x14ac:dyDescent="0.2">
      <c r="A1485">
        <v>1021166</v>
      </c>
      <c r="B1485" t="s">
        <v>20</v>
      </c>
      <c r="C1485">
        <v>13.7</v>
      </c>
      <c r="D1485">
        <v>13.75</v>
      </c>
      <c r="E1485">
        <v>22.5</v>
      </c>
      <c r="F1485" t="s">
        <v>9</v>
      </c>
      <c r="G14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85">
        <f>IF(Table1[[#This Row],[is_ups_overcharge]]="ups overcharged",Table1[[#This Row],[ups ship charge]]-Table1[[#This Row],[ada ship charge]],0)</f>
        <v>0</v>
      </c>
    </row>
    <row r="1486" spans="1:9" x14ac:dyDescent="0.2">
      <c r="A1486">
        <v>1021177</v>
      </c>
      <c r="B1486" t="s">
        <v>20</v>
      </c>
      <c r="C1486">
        <v>13.7</v>
      </c>
      <c r="D1486">
        <v>13.76</v>
      </c>
      <c r="E1486">
        <v>85.75</v>
      </c>
      <c r="F1486" t="s">
        <v>9</v>
      </c>
      <c r="G14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86">
        <f>IF(Table1[[#This Row],[is_ups_overcharge]]="ups overcharged",Table1[[#This Row],[ups ship charge]]-Table1[[#This Row],[ada ship charge]],0)</f>
        <v>0</v>
      </c>
    </row>
    <row r="1487" spans="1:9" x14ac:dyDescent="0.2">
      <c r="A1487">
        <v>1021187</v>
      </c>
      <c r="B1487" t="s">
        <v>20</v>
      </c>
      <c r="C1487">
        <v>13.7</v>
      </c>
      <c r="D1487">
        <v>13.75</v>
      </c>
      <c r="E1487">
        <v>23.85</v>
      </c>
      <c r="F1487" t="s">
        <v>9</v>
      </c>
      <c r="G14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87">
        <f>IF(Table1[[#This Row],[is_ups_overcharge]]="ups overcharged",Table1[[#This Row],[ups ship charge]]-Table1[[#This Row],[ada ship charge]],0)</f>
        <v>0</v>
      </c>
    </row>
    <row r="1488" spans="1:9" x14ac:dyDescent="0.2">
      <c r="A1488">
        <v>1021193</v>
      </c>
      <c r="B1488" t="s">
        <v>20</v>
      </c>
      <c r="C1488">
        <v>13.7</v>
      </c>
      <c r="D1488">
        <v>13.75</v>
      </c>
      <c r="E1488">
        <v>14.95</v>
      </c>
      <c r="F1488" t="s">
        <v>9</v>
      </c>
      <c r="G14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88">
        <f>IF(Table1[[#This Row],[is_ups_overcharge]]="ups overcharged",Table1[[#This Row],[ups ship charge]]-Table1[[#This Row],[ada ship charge]],0)</f>
        <v>0</v>
      </c>
    </row>
    <row r="1489" spans="1:9" x14ac:dyDescent="0.2">
      <c r="A1489">
        <v>1021194</v>
      </c>
      <c r="B1489" t="s">
        <v>20</v>
      </c>
      <c r="C1489">
        <v>16.77</v>
      </c>
      <c r="D1489">
        <v>17.2</v>
      </c>
      <c r="E1489">
        <v>148.6</v>
      </c>
      <c r="F1489" t="s">
        <v>10</v>
      </c>
      <c r="G14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89">
        <f>IF(Table1[[#This Row],[is_ups_overcharge]]="ups overcharged",Table1[[#This Row],[ups ship charge]]-Table1[[#This Row],[ada ship charge]],0)</f>
        <v>0</v>
      </c>
    </row>
    <row r="1490" spans="1:9" x14ac:dyDescent="0.2">
      <c r="A1490">
        <v>1021204</v>
      </c>
      <c r="B1490" t="s">
        <v>20</v>
      </c>
      <c r="C1490">
        <v>13.7</v>
      </c>
      <c r="D1490">
        <v>13.75</v>
      </c>
      <c r="E1490">
        <v>17.2</v>
      </c>
      <c r="F1490" t="s">
        <v>9</v>
      </c>
      <c r="G14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90">
        <f>IF(Table1[[#This Row],[is_ups_overcharge]]="ups overcharged",Table1[[#This Row],[ups ship charge]]-Table1[[#This Row],[ada ship charge]],0)</f>
        <v>0</v>
      </c>
    </row>
    <row r="1491" spans="1:9" x14ac:dyDescent="0.2">
      <c r="A1491">
        <v>1021209</v>
      </c>
      <c r="B1491" t="s">
        <v>20</v>
      </c>
      <c r="C1491">
        <v>13.7</v>
      </c>
      <c r="D1491">
        <v>0</v>
      </c>
      <c r="E1491">
        <v>209.5</v>
      </c>
      <c r="F1491" t="s">
        <v>9</v>
      </c>
      <c r="G14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49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491">
        <f>IF(Table1[[#This Row],[is_ups_overcharge]]="ups overcharged",Table1[[#This Row],[ups ship charge]]-Table1[[#This Row],[ada ship charge]],0)</f>
        <v>0</v>
      </c>
    </row>
    <row r="1492" spans="1:9" x14ac:dyDescent="0.2">
      <c r="A1492">
        <v>1021242</v>
      </c>
      <c r="B1492" t="s">
        <v>20</v>
      </c>
      <c r="C1492">
        <v>12.81</v>
      </c>
      <c r="D1492">
        <v>0</v>
      </c>
      <c r="E1492">
        <v>203.8</v>
      </c>
      <c r="F1492" t="s">
        <v>9</v>
      </c>
      <c r="G14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49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492">
        <f>IF(Table1[[#This Row],[is_ups_overcharge]]="ups overcharged",Table1[[#This Row],[ups ship charge]]-Table1[[#This Row],[ada ship charge]],0)</f>
        <v>0</v>
      </c>
    </row>
    <row r="1493" spans="1:9" x14ac:dyDescent="0.2">
      <c r="A1493">
        <v>1021301</v>
      </c>
      <c r="B1493" t="s">
        <v>20</v>
      </c>
      <c r="C1493">
        <v>9.6999999999999993</v>
      </c>
      <c r="D1493">
        <v>9.75</v>
      </c>
      <c r="E1493">
        <v>14.95</v>
      </c>
      <c r="F1493" t="s">
        <v>6</v>
      </c>
      <c r="G14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93">
        <f>IF(Table1[[#This Row],[is_ups_overcharge]]="ups overcharged",Table1[[#This Row],[ups ship charge]]-Table1[[#This Row],[ada ship charge]],0)</f>
        <v>0</v>
      </c>
    </row>
    <row r="1494" spans="1:9" x14ac:dyDescent="0.2">
      <c r="A1494">
        <v>1021306</v>
      </c>
      <c r="B1494" t="s">
        <v>20</v>
      </c>
      <c r="C1494">
        <v>12.55</v>
      </c>
      <c r="D1494">
        <v>0</v>
      </c>
      <c r="E1494">
        <v>1304.8599999999999</v>
      </c>
      <c r="F1494" t="s">
        <v>6</v>
      </c>
      <c r="G14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49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494">
        <f>IF(Table1[[#This Row],[is_ups_overcharge]]="ups overcharged",Table1[[#This Row],[ups ship charge]]-Table1[[#This Row],[ada ship charge]],0)</f>
        <v>0</v>
      </c>
    </row>
    <row r="1495" spans="1:9" x14ac:dyDescent="0.2">
      <c r="A1495">
        <v>1021322</v>
      </c>
      <c r="B1495" t="s">
        <v>20</v>
      </c>
      <c r="C1495">
        <v>9.6999999999999993</v>
      </c>
      <c r="D1495">
        <v>13.31</v>
      </c>
      <c r="E1495">
        <v>93.66</v>
      </c>
      <c r="F1495" t="s">
        <v>6</v>
      </c>
      <c r="G14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95">
        <f>IF(Table1[[#This Row],[is_ups_overcharge]]="ups overcharged",Table1[[#This Row],[ups ship charge]]-Table1[[#This Row],[ada ship charge]],0)</f>
        <v>0</v>
      </c>
    </row>
    <row r="1496" spans="1:9" x14ac:dyDescent="0.2">
      <c r="A1496">
        <v>1021328</v>
      </c>
      <c r="B1496" t="s">
        <v>20</v>
      </c>
      <c r="C1496">
        <v>28.89</v>
      </c>
      <c r="D1496">
        <v>31.02</v>
      </c>
      <c r="E1496">
        <v>358.1</v>
      </c>
      <c r="F1496" t="s">
        <v>15</v>
      </c>
      <c r="G14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96">
        <f>IF(Table1[[#This Row],[is_ups_overcharge]]="ups overcharged",Table1[[#This Row],[ups ship charge]]-Table1[[#This Row],[ada ship charge]],0)</f>
        <v>0</v>
      </c>
    </row>
    <row r="1497" spans="1:9" x14ac:dyDescent="0.2">
      <c r="A1497">
        <v>1021339</v>
      </c>
      <c r="B1497" t="s">
        <v>20</v>
      </c>
      <c r="C1497">
        <v>13.7</v>
      </c>
      <c r="D1497">
        <v>13.76</v>
      </c>
      <c r="E1497">
        <v>85</v>
      </c>
      <c r="F1497" t="s">
        <v>9</v>
      </c>
      <c r="G14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97">
        <f>IF(Table1[[#This Row],[is_ups_overcharge]]="ups overcharged",Table1[[#This Row],[ups ship charge]]-Table1[[#This Row],[ada ship charge]],0)</f>
        <v>0</v>
      </c>
    </row>
    <row r="1498" spans="1:9" x14ac:dyDescent="0.2">
      <c r="A1498">
        <v>1021340</v>
      </c>
      <c r="B1498" t="s">
        <v>20</v>
      </c>
      <c r="C1498">
        <v>16.46</v>
      </c>
      <c r="D1498">
        <v>16.510000000000002</v>
      </c>
      <c r="E1498">
        <v>35.200000000000003</v>
      </c>
      <c r="F1498" t="s">
        <v>10</v>
      </c>
      <c r="G14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98">
        <f>IF(Table1[[#This Row],[is_ups_overcharge]]="ups overcharged",Table1[[#This Row],[ups ship charge]]-Table1[[#This Row],[ada ship charge]],0)</f>
        <v>0</v>
      </c>
    </row>
    <row r="1499" spans="1:9" x14ac:dyDescent="0.2">
      <c r="A1499">
        <v>1021351</v>
      </c>
      <c r="B1499" t="s">
        <v>20</v>
      </c>
      <c r="C1499">
        <v>9.6999999999999993</v>
      </c>
      <c r="D1499">
        <v>12.86</v>
      </c>
      <c r="E1499">
        <v>51.7</v>
      </c>
      <c r="F1499" t="s">
        <v>6</v>
      </c>
      <c r="G14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4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499">
        <f>IF(Table1[[#This Row],[is_ups_overcharge]]="ups overcharged",Table1[[#This Row],[ups ship charge]]-Table1[[#This Row],[ada ship charge]],0)</f>
        <v>0</v>
      </c>
    </row>
    <row r="1500" spans="1:9" x14ac:dyDescent="0.2">
      <c r="A1500">
        <v>1021353</v>
      </c>
      <c r="B1500" t="s">
        <v>20</v>
      </c>
      <c r="C1500">
        <v>12.81</v>
      </c>
      <c r="D1500">
        <v>12.86</v>
      </c>
      <c r="E1500">
        <v>19.8</v>
      </c>
      <c r="F1500" t="s">
        <v>9</v>
      </c>
      <c r="G15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00">
        <f>IF(Table1[[#This Row],[is_ups_overcharge]]="ups overcharged",Table1[[#This Row],[ups ship charge]]-Table1[[#This Row],[ada ship charge]],0)</f>
        <v>0</v>
      </c>
    </row>
    <row r="1501" spans="1:9" x14ac:dyDescent="0.2">
      <c r="A1501">
        <v>1021369</v>
      </c>
      <c r="B1501" t="s">
        <v>20</v>
      </c>
      <c r="C1501">
        <v>16.46</v>
      </c>
      <c r="D1501">
        <v>16.510000000000002</v>
      </c>
      <c r="E1501">
        <v>17.75</v>
      </c>
      <c r="F1501" t="s">
        <v>10</v>
      </c>
      <c r="G15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01">
        <f>IF(Table1[[#This Row],[is_ups_overcharge]]="ups overcharged",Table1[[#This Row],[ups ship charge]]-Table1[[#This Row],[ada ship charge]],0)</f>
        <v>0</v>
      </c>
    </row>
    <row r="1502" spans="1:9" x14ac:dyDescent="0.2">
      <c r="A1502">
        <v>1021397</v>
      </c>
      <c r="B1502" t="s">
        <v>20</v>
      </c>
      <c r="C1502">
        <v>9.7100000000000009</v>
      </c>
      <c r="D1502">
        <v>9.76</v>
      </c>
      <c r="E1502">
        <v>89.85</v>
      </c>
      <c r="F1502" t="s">
        <v>6</v>
      </c>
      <c r="G15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02">
        <f>IF(Table1[[#This Row],[is_ups_overcharge]]="ups overcharged",Table1[[#This Row],[ups ship charge]]-Table1[[#This Row],[ada ship charge]],0)</f>
        <v>0</v>
      </c>
    </row>
    <row r="1503" spans="1:9" x14ac:dyDescent="0.2">
      <c r="A1503">
        <v>1021400</v>
      </c>
      <c r="B1503" t="s">
        <v>20</v>
      </c>
      <c r="C1503">
        <v>9.6999999999999993</v>
      </c>
      <c r="D1503">
        <v>10.69</v>
      </c>
      <c r="E1503">
        <v>99.95</v>
      </c>
      <c r="F1503" t="s">
        <v>6</v>
      </c>
      <c r="G15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03">
        <f>IF(Table1[[#This Row],[is_ups_overcharge]]="ups overcharged",Table1[[#This Row],[ups ship charge]]-Table1[[#This Row],[ada ship charge]],0)</f>
        <v>0</v>
      </c>
    </row>
    <row r="1504" spans="1:9" x14ac:dyDescent="0.2">
      <c r="A1504">
        <v>1021413</v>
      </c>
      <c r="B1504" t="s">
        <v>20</v>
      </c>
      <c r="C1504">
        <v>17.7</v>
      </c>
      <c r="D1504">
        <v>17.760000000000002</v>
      </c>
      <c r="E1504">
        <v>85</v>
      </c>
      <c r="F1504" t="s">
        <v>15</v>
      </c>
      <c r="G15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04">
        <f>IF(Table1[[#This Row],[is_ups_overcharge]]="ups overcharged",Table1[[#This Row],[ups ship charge]]-Table1[[#This Row],[ada ship charge]],0)</f>
        <v>0</v>
      </c>
    </row>
    <row r="1505" spans="1:9" x14ac:dyDescent="0.2">
      <c r="A1505">
        <v>1021421</v>
      </c>
      <c r="B1505" t="s">
        <v>20</v>
      </c>
      <c r="C1505">
        <v>15.44</v>
      </c>
      <c r="D1505">
        <v>15.49</v>
      </c>
      <c r="E1505">
        <v>9.9499999999999993</v>
      </c>
      <c r="F1505" t="s">
        <v>12</v>
      </c>
      <c r="G15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05">
        <f>IF(Table1[[#This Row],[is_ups_overcharge]]="ups overcharged",Table1[[#This Row],[ups ship charge]]-Table1[[#This Row],[ada ship charge]],0)</f>
        <v>0</v>
      </c>
    </row>
    <row r="1506" spans="1:9" x14ac:dyDescent="0.2">
      <c r="A1506">
        <v>1021469</v>
      </c>
      <c r="B1506" t="s">
        <v>20</v>
      </c>
      <c r="C1506">
        <v>12.81</v>
      </c>
      <c r="D1506">
        <v>12.86</v>
      </c>
      <c r="E1506">
        <v>104.05</v>
      </c>
      <c r="F1506" t="s">
        <v>9</v>
      </c>
      <c r="G15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06">
        <f>IF(Table1[[#This Row],[is_ups_overcharge]]="ups overcharged",Table1[[#This Row],[ups ship charge]]-Table1[[#This Row],[ada ship charge]],0)</f>
        <v>0</v>
      </c>
    </row>
    <row r="1507" spans="1:9" x14ac:dyDescent="0.2">
      <c r="A1507">
        <v>1021472</v>
      </c>
      <c r="B1507" t="s">
        <v>20</v>
      </c>
      <c r="C1507">
        <v>15.44</v>
      </c>
      <c r="D1507">
        <v>15.49</v>
      </c>
      <c r="E1507">
        <v>7.95</v>
      </c>
      <c r="F1507" t="s">
        <v>12</v>
      </c>
      <c r="G15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07">
        <f>IF(Table1[[#This Row],[is_ups_overcharge]]="ups overcharged",Table1[[#This Row],[ups ship charge]]-Table1[[#This Row],[ada ship charge]],0)</f>
        <v>0</v>
      </c>
    </row>
    <row r="1508" spans="1:9" x14ac:dyDescent="0.2">
      <c r="A1508">
        <v>1021477</v>
      </c>
      <c r="B1508" t="s">
        <v>20</v>
      </c>
      <c r="C1508">
        <v>15.44</v>
      </c>
      <c r="D1508">
        <v>16.760000000000002</v>
      </c>
      <c r="E1508">
        <v>58.6</v>
      </c>
      <c r="F1508" t="s">
        <v>12</v>
      </c>
      <c r="G15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08">
        <f>IF(Table1[[#This Row],[is_ups_overcharge]]="ups overcharged",Table1[[#This Row],[ups ship charge]]-Table1[[#This Row],[ada ship charge]],0)</f>
        <v>0</v>
      </c>
    </row>
    <row r="1509" spans="1:9" x14ac:dyDescent="0.2">
      <c r="A1509">
        <v>1021486</v>
      </c>
      <c r="B1509" t="s">
        <v>20</v>
      </c>
      <c r="C1509">
        <v>9.6999999999999993</v>
      </c>
      <c r="D1509">
        <v>9.75</v>
      </c>
      <c r="E1509">
        <v>116.65</v>
      </c>
      <c r="F1509" t="s">
        <v>6</v>
      </c>
      <c r="G15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09">
        <f>IF(Table1[[#This Row],[is_ups_overcharge]]="ups overcharged",Table1[[#This Row],[ups ship charge]]-Table1[[#This Row],[ada ship charge]],0)</f>
        <v>0</v>
      </c>
    </row>
    <row r="1510" spans="1:9" x14ac:dyDescent="0.2">
      <c r="A1510">
        <v>1021513</v>
      </c>
      <c r="B1510" t="s">
        <v>20</v>
      </c>
      <c r="C1510">
        <v>12.81</v>
      </c>
      <c r="D1510">
        <v>12.86</v>
      </c>
      <c r="E1510">
        <v>44.9</v>
      </c>
      <c r="F1510" t="s">
        <v>9</v>
      </c>
      <c r="G15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10">
        <f>IF(Table1[[#This Row],[is_ups_overcharge]]="ups overcharged",Table1[[#This Row],[ups ship charge]]-Table1[[#This Row],[ada ship charge]],0)</f>
        <v>0</v>
      </c>
    </row>
    <row r="1511" spans="1:9" x14ac:dyDescent="0.2">
      <c r="A1511">
        <v>1021518</v>
      </c>
      <c r="B1511" t="s">
        <v>20</v>
      </c>
      <c r="C1511">
        <v>16.46</v>
      </c>
      <c r="D1511">
        <v>16.510000000000002</v>
      </c>
      <c r="E1511">
        <v>46.55</v>
      </c>
      <c r="F1511" t="s">
        <v>10</v>
      </c>
      <c r="G15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11">
        <f>IF(Table1[[#This Row],[is_ups_overcharge]]="ups overcharged",Table1[[#This Row],[ups ship charge]]-Table1[[#This Row],[ada ship charge]],0)</f>
        <v>0</v>
      </c>
    </row>
    <row r="1512" spans="1:9" x14ac:dyDescent="0.2">
      <c r="A1512">
        <v>1021529</v>
      </c>
      <c r="B1512" t="s">
        <v>20</v>
      </c>
      <c r="C1512">
        <v>13.7</v>
      </c>
      <c r="D1512">
        <v>13.75</v>
      </c>
      <c r="E1512">
        <v>79.2</v>
      </c>
      <c r="F1512" t="s">
        <v>9</v>
      </c>
      <c r="G15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12">
        <f>IF(Table1[[#This Row],[is_ups_overcharge]]="ups overcharged",Table1[[#This Row],[ups ship charge]]-Table1[[#This Row],[ada ship charge]],0)</f>
        <v>0</v>
      </c>
    </row>
    <row r="1513" spans="1:9" x14ac:dyDescent="0.2">
      <c r="A1513">
        <v>1021532</v>
      </c>
      <c r="B1513" t="s">
        <v>20</v>
      </c>
      <c r="C1513">
        <v>13.7</v>
      </c>
      <c r="D1513">
        <v>13.75</v>
      </c>
      <c r="E1513">
        <v>39.35</v>
      </c>
      <c r="F1513" t="s">
        <v>9</v>
      </c>
      <c r="G15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13">
        <f>IF(Table1[[#This Row],[is_ups_overcharge]]="ups overcharged",Table1[[#This Row],[ups ship charge]]-Table1[[#This Row],[ada ship charge]],0)</f>
        <v>0</v>
      </c>
    </row>
    <row r="1514" spans="1:9" x14ac:dyDescent="0.2">
      <c r="A1514">
        <v>1021534</v>
      </c>
      <c r="B1514" t="s">
        <v>20</v>
      </c>
      <c r="C1514">
        <v>12.81</v>
      </c>
      <c r="D1514">
        <v>12.86</v>
      </c>
      <c r="E1514">
        <v>32.85</v>
      </c>
      <c r="F1514" t="s">
        <v>9</v>
      </c>
      <c r="G15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14">
        <f>IF(Table1[[#This Row],[is_ups_overcharge]]="ups overcharged",Table1[[#This Row],[ups ship charge]]-Table1[[#This Row],[ada ship charge]],0)</f>
        <v>0</v>
      </c>
    </row>
    <row r="1515" spans="1:9" x14ac:dyDescent="0.2">
      <c r="A1515">
        <v>1021543</v>
      </c>
      <c r="B1515" t="s">
        <v>20</v>
      </c>
      <c r="C1515">
        <v>16.46</v>
      </c>
      <c r="D1515">
        <v>16.510000000000002</v>
      </c>
      <c r="E1515">
        <v>44.85</v>
      </c>
      <c r="F1515" t="s">
        <v>10</v>
      </c>
      <c r="G15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15">
        <f>IF(Table1[[#This Row],[is_ups_overcharge]]="ups overcharged",Table1[[#This Row],[ups ship charge]]-Table1[[#This Row],[ada ship charge]],0)</f>
        <v>0</v>
      </c>
    </row>
    <row r="1516" spans="1:9" x14ac:dyDescent="0.2">
      <c r="A1516">
        <v>1021551</v>
      </c>
      <c r="B1516" t="s">
        <v>20</v>
      </c>
      <c r="C1516">
        <v>16.46</v>
      </c>
      <c r="D1516">
        <v>16.510000000000002</v>
      </c>
      <c r="E1516">
        <v>59.8</v>
      </c>
      <c r="F1516" t="s">
        <v>10</v>
      </c>
      <c r="G15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16">
        <f>IF(Table1[[#This Row],[is_ups_overcharge]]="ups overcharged",Table1[[#This Row],[ups ship charge]]-Table1[[#This Row],[ada ship charge]],0)</f>
        <v>0</v>
      </c>
    </row>
    <row r="1517" spans="1:9" x14ac:dyDescent="0.2">
      <c r="A1517">
        <v>1021559</v>
      </c>
      <c r="B1517" t="s">
        <v>20</v>
      </c>
      <c r="C1517">
        <v>14.22</v>
      </c>
      <c r="D1517">
        <v>14.27</v>
      </c>
      <c r="E1517">
        <v>61.95</v>
      </c>
      <c r="F1517" t="s">
        <v>9</v>
      </c>
      <c r="G15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17">
        <f>IF(Table1[[#This Row],[is_ups_overcharge]]="ups overcharged",Table1[[#This Row],[ups ship charge]]-Table1[[#This Row],[ada ship charge]],0)</f>
        <v>0</v>
      </c>
    </row>
    <row r="1518" spans="1:9" x14ac:dyDescent="0.2">
      <c r="A1518">
        <v>1021571</v>
      </c>
      <c r="B1518" t="s">
        <v>20</v>
      </c>
      <c r="C1518">
        <v>15.72</v>
      </c>
      <c r="D1518">
        <v>16.75</v>
      </c>
      <c r="E1518">
        <v>104.65</v>
      </c>
      <c r="F1518" t="s">
        <v>12</v>
      </c>
      <c r="G15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18">
        <f>IF(Table1[[#This Row],[is_ups_overcharge]]="ups overcharged",Table1[[#This Row],[ups ship charge]]-Table1[[#This Row],[ada ship charge]],0)</f>
        <v>0</v>
      </c>
    </row>
    <row r="1519" spans="1:9" x14ac:dyDescent="0.2">
      <c r="A1519">
        <v>1021595</v>
      </c>
      <c r="B1519" t="s">
        <v>20</v>
      </c>
      <c r="C1519">
        <v>12.81</v>
      </c>
      <c r="D1519">
        <v>12.86</v>
      </c>
      <c r="E1519">
        <v>23.9</v>
      </c>
      <c r="F1519" t="s">
        <v>9</v>
      </c>
      <c r="G15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19">
        <f>IF(Table1[[#This Row],[is_ups_overcharge]]="ups overcharged",Table1[[#This Row],[ups ship charge]]-Table1[[#This Row],[ada ship charge]],0)</f>
        <v>0</v>
      </c>
    </row>
    <row r="1520" spans="1:9" x14ac:dyDescent="0.2">
      <c r="A1520">
        <v>1021609</v>
      </c>
      <c r="B1520" t="s">
        <v>20</v>
      </c>
      <c r="C1520">
        <v>23.03</v>
      </c>
      <c r="D1520">
        <v>25.91</v>
      </c>
      <c r="E1520">
        <v>204.35</v>
      </c>
      <c r="F1520" t="s">
        <v>12</v>
      </c>
      <c r="G15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20">
        <f>IF(Table1[[#This Row],[is_ups_overcharge]]="ups overcharged",Table1[[#This Row],[ups ship charge]]-Table1[[#This Row],[ada ship charge]],0)</f>
        <v>0</v>
      </c>
    </row>
    <row r="1521" spans="1:9" x14ac:dyDescent="0.2">
      <c r="A1521">
        <v>1021647</v>
      </c>
      <c r="B1521" t="s">
        <v>20</v>
      </c>
      <c r="C1521">
        <v>12.81</v>
      </c>
      <c r="D1521">
        <v>12.86</v>
      </c>
      <c r="E1521">
        <v>88.65</v>
      </c>
      <c r="F1521" t="s">
        <v>9</v>
      </c>
      <c r="G15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21">
        <f>IF(Table1[[#This Row],[is_ups_overcharge]]="ups overcharged",Table1[[#This Row],[ups ship charge]]-Table1[[#This Row],[ada ship charge]],0)</f>
        <v>0</v>
      </c>
    </row>
    <row r="1522" spans="1:9" x14ac:dyDescent="0.2">
      <c r="A1522">
        <v>1021655</v>
      </c>
      <c r="B1522" t="s">
        <v>20</v>
      </c>
      <c r="C1522">
        <v>12.81</v>
      </c>
      <c r="D1522">
        <v>12.86</v>
      </c>
      <c r="E1522">
        <v>44.95</v>
      </c>
      <c r="F1522" t="s">
        <v>9</v>
      </c>
      <c r="G15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22">
        <f>IF(Table1[[#This Row],[is_ups_overcharge]]="ups overcharged",Table1[[#This Row],[ups ship charge]]-Table1[[#This Row],[ada ship charge]],0)</f>
        <v>0</v>
      </c>
    </row>
    <row r="1523" spans="1:9" x14ac:dyDescent="0.2">
      <c r="A1523">
        <v>1021666</v>
      </c>
      <c r="B1523" t="s">
        <v>20</v>
      </c>
      <c r="C1523">
        <v>12.81</v>
      </c>
      <c r="D1523">
        <v>12.86</v>
      </c>
      <c r="E1523">
        <v>74.25</v>
      </c>
      <c r="F1523" t="s">
        <v>9</v>
      </c>
      <c r="G15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23">
        <f>IF(Table1[[#This Row],[is_ups_overcharge]]="ups overcharged",Table1[[#This Row],[ups ship charge]]-Table1[[#This Row],[ada ship charge]],0)</f>
        <v>0</v>
      </c>
    </row>
    <row r="1524" spans="1:9" x14ac:dyDescent="0.2">
      <c r="A1524">
        <v>1021669</v>
      </c>
      <c r="B1524" t="s">
        <v>20</v>
      </c>
      <c r="C1524">
        <v>13.71</v>
      </c>
      <c r="D1524">
        <v>13.76</v>
      </c>
      <c r="E1524">
        <v>27.8</v>
      </c>
      <c r="F1524" t="s">
        <v>9</v>
      </c>
      <c r="G15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24">
        <f>IF(Table1[[#This Row],[is_ups_overcharge]]="ups overcharged",Table1[[#This Row],[ups ship charge]]-Table1[[#This Row],[ada ship charge]],0)</f>
        <v>0</v>
      </c>
    </row>
    <row r="1525" spans="1:9" x14ac:dyDescent="0.2">
      <c r="A1525">
        <v>1021673</v>
      </c>
      <c r="B1525" t="s">
        <v>20</v>
      </c>
      <c r="C1525">
        <v>16.46</v>
      </c>
      <c r="D1525">
        <v>16.510000000000002</v>
      </c>
      <c r="E1525">
        <v>109.7</v>
      </c>
      <c r="F1525" t="s">
        <v>10</v>
      </c>
      <c r="G15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25">
        <f>IF(Table1[[#This Row],[is_ups_overcharge]]="ups overcharged",Table1[[#This Row],[ups ship charge]]-Table1[[#This Row],[ada ship charge]],0)</f>
        <v>0</v>
      </c>
    </row>
    <row r="1526" spans="1:9" x14ac:dyDescent="0.2">
      <c r="A1526">
        <v>1021699</v>
      </c>
      <c r="B1526" t="s">
        <v>20</v>
      </c>
      <c r="C1526">
        <v>9.6999999999999993</v>
      </c>
      <c r="D1526">
        <v>9.75</v>
      </c>
      <c r="E1526">
        <v>19.8</v>
      </c>
      <c r="F1526" t="s">
        <v>6</v>
      </c>
      <c r="G15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26">
        <f>IF(Table1[[#This Row],[is_ups_overcharge]]="ups overcharged",Table1[[#This Row],[ups ship charge]]-Table1[[#This Row],[ada ship charge]],0)</f>
        <v>0</v>
      </c>
    </row>
    <row r="1527" spans="1:9" x14ac:dyDescent="0.2">
      <c r="A1527">
        <v>1021717</v>
      </c>
      <c r="B1527" t="s">
        <v>20</v>
      </c>
      <c r="C1527">
        <v>12.81</v>
      </c>
      <c r="D1527">
        <v>13.26</v>
      </c>
      <c r="E1527">
        <v>99.95</v>
      </c>
      <c r="F1527" t="s">
        <v>9</v>
      </c>
      <c r="G15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27">
        <f>IF(Table1[[#This Row],[is_ups_overcharge]]="ups overcharged",Table1[[#This Row],[ups ship charge]]-Table1[[#This Row],[ada ship charge]],0)</f>
        <v>0</v>
      </c>
    </row>
    <row r="1528" spans="1:9" x14ac:dyDescent="0.2">
      <c r="A1528">
        <v>1021725</v>
      </c>
      <c r="B1528" t="s">
        <v>20</v>
      </c>
      <c r="C1528">
        <v>13.94</v>
      </c>
      <c r="D1528">
        <v>0</v>
      </c>
      <c r="E1528">
        <v>342.6</v>
      </c>
      <c r="F1528" t="s">
        <v>9</v>
      </c>
      <c r="G15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52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528">
        <f>IF(Table1[[#This Row],[is_ups_overcharge]]="ups overcharged",Table1[[#This Row],[ups ship charge]]-Table1[[#This Row],[ada ship charge]],0)</f>
        <v>0</v>
      </c>
    </row>
    <row r="1529" spans="1:9" x14ac:dyDescent="0.2">
      <c r="A1529">
        <v>1021748</v>
      </c>
      <c r="B1529" t="s">
        <v>20</v>
      </c>
      <c r="C1529">
        <v>16.46</v>
      </c>
      <c r="D1529">
        <v>16.510000000000002</v>
      </c>
      <c r="E1529">
        <v>35</v>
      </c>
      <c r="F1529" t="s">
        <v>10</v>
      </c>
      <c r="G15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29">
        <f>IF(Table1[[#This Row],[is_ups_overcharge]]="ups overcharged",Table1[[#This Row],[ups ship charge]]-Table1[[#This Row],[ada ship charge]],0)</f>
        <v>0</v>
      </c>
    </row>
    <row r="1530" spans="1:9" x14ac:dyDescent="0.2">
      <c r="A1530">
        <v>1021749</v>
      </c>
      <c r="B1530" t="s">
        <v>20</v>
      </c>
      <c r="C1530">
        <v>16.559999999999999</v>
      </c>
      <c r="D1530">
        <v>16.61</v>
      </c>
      <c r="E1530">
        <v>9.8000000000000007</v>
      </c>
      <c r="F1530" t="s">
        <v>10</v>
      </c>
      <c r="G15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30">
        <f>IF(Table1[[#This Row],[is_ups_overcharge]]="ups overcharged",Table1[[#This Row],[ups ship charge]]-Table1[[#This Row],[ada ship charge]],0)</f>
        <v>0</v>
      </c>
    </row>
    <row r="1531" spans="1:9" x14ac:dyDescent="0.2">
      <c r="A1531">
        <v>1021752</v>
      </c>
      <c r="B1531" t="s">
        <v>20</v>
      </c>
      <c r="C1531">
        <v>13.7</v>
      </c>
      <c r="D1531">
        <v>13.75</v>
      </c>
      <c r="E1531">
        <v>19.5</v>
      </c>
      <c r="F1531" t="s">
        <v>9</v>
      </c>
      <c r="G15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31">
        <f>IF(Table1[[#This Row],[is_ups_overcharge]]="ups overcharged",Table1[[#This Row],[ups ship charge]]-Table1[[#This Row],[ada ship charge]],0)</f>
        <v>0</v>
      </c>
    </row>
    <row r="1532" spans="1:9" x14ac:dyDescent="0.2">
      <c r="A1532">
        <v>1021759</v>
      </c>
      <c r="B1532" t="s">
        <v>20</v>
      </c>
      <c r="C1532">
        <v>12.81</v>
      </c>
      <c r="D1532">
        <v>12.86</v>
      </c>
      <c r="E1532">
        <v>39.950000000000003</v>
      </c>
      <c r="F1532" t="s">
        <v>9</v>
      </c>
      <c r="G15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32">
        <f>IF(Table1[[#This Row],[is_ups_overcharge]]="ups overcharged",Table1[[#This Row],[ups ship charge]]-Table1[[#This Row],[ada ship charge]],0)</f>
        <v>0</v>
      </c>
    </row>
    <row r="1533" spans="1:9" x14ac:dyDescent="0.2">
      <c r="A1533">
        <v>1021760</v>
      </c>
      <c r="B1533" t="s">
        <v>20</v>
      </c>
      <c r="C1533">
        <v>9.6999999999999993</v>
      </c>
      <c r="D1533">
        <v>9.75</v>
      </c>
      <c r="E1533">
        <v>17.850000000000001</v>
      </c>
      <c r="F1533" t="s">
        <v>6</v>
      </c>
      <c r="G15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33">
        <f>IF(Table1[[#This Row],[is_ups_overcharge]]="ups overcharged",Table1[[#This Row],[ups ship charge]]-Table1[[#This Row],[ada ship charge]],0)</f>
        <v>0</v>
      </c>
    </row>
    <row r="1534" spans="1:9" x14ac:dyDescent="0.2">
      <c r="A1534">
        <v>1021762</v>
      </c>
      <c r="B1534" t="s">
        <v>20</v>
      </c>
      <c r="C1534">
        <v>12.81</v>
      </c>
      <c r="D1534">
        <v>12.86</v>
      </c>
      <c r="E1534">
        <v>19.95</v>
      </c>
      <c r="F1534" t="s">
        <v>9</v>
      </c>
      <c r="G15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34">
        <f>IF(Table1[[#This Row],[is_ups_overcharge]]="ups overcharged",Table1[[#This Row],[ups ship charge]]-Table1[[#This Row],[ada ship charge]],0)</f>
        <v>0</v>
      </c>
    </row>
    <row r="1535" spans="1:9" x14ac:dyDescent="0.2">
      <c r="A1535">
        <v>1021763</v>
      </c>
      <c r="B1535" t="s">
        <v>20</v>
      </c>
      <c r="C1535">
        <v>13.7</v>
      </c>
      <c r="D1535">
        <v>13.75</v>
      </c>
      <c r="E1535">
        <v>53.8</v>
      </c>
      <c r="F1535" t="s">
        <v>9</v>
      </c>
      <c r="G15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35">
        <f>IF(Table1[[#This Row],[is_ups_overcharge]]="ups overcharged",Table1[[#This Row],[ups ship charge]]-Table1[[#This Row],[ada ship charge]],0)</f>
        <v>0</v>
      </c>
    </row>
    <row r="1536" spans="1:9" x14ac:dyDescent="0.2">
      <c r="A1536">
        <v>1021769</v>
      </c>
      <c r="B1536" t="s">
        <v>20</v>
      </c>
      <c r="C1536">
        <v>13.71</v>
      </c>
      <c r="D1536">
        <v>13.75</v>
      </c>
      <c r="E1536">
        <v>63.3</v>
      </c>
      <c r="F1536" t="s">
        <v>9</v>
      </c>
      <c r="G15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36">
        <f>IF(Table1[[#This Row],[is_ups_overcharge]]="ups overcharged",Table1[[#This Row],[ups ship charge]]-Table1[[#This Row],[ada ship charge]],0)</f>
        <v>0</v>
      </c>
    </row>
    <row r="1537" spans="1:9" x14ac:dyDescent="0.2">
      <c r="A1537">
        <v>1021787</v>
      </c>
      <c r="B1537" t="s">
        <v>20</v>
      </c>
      <c r="C1537">
        <v>59.75</v>
      </c>
      <c r="D1537">
        <v>28.9</v>
      </c>
      <c r="E1537">
        <v>52.85</v>
      </c>
      <c r="F1537" t="s">
        <v>8</v>
      </c>
      <c r="G15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37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537">
        <f>IF(Table1[[#This Row],[is_ups_overcharge]]="ups overcharged",Table1[[#This Row],[ups ship charge]]-Table1[[#This Row],[ada ship charge]],0)</f>
        <v>30.85</v>
      </c>
    </row>
    <row r="1538" spans="1:9" x14ac:dyDescent="0.2">
      <c r="A1538">
        <v>1021792</v>
      </c>
      <c r="B1538" t="s">
        <v>20</v>
      </c>
      <c r="C1538">
        <v>12.81</v>
      </c>
      <c r="D1538">
        <v>12.86</v>
      </c>
      <c r="E1538">
        <v>54.9</v>
      </c>
      <c r="F1538" t="s">
        <v>9</v>
      </c>
      <c r="G15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38">
        <f>IF(Table1[[#This Row],[is_ups_overcharge]]="ups overcharged",Table1[[#This Row],[ups ship charge]]-Table1[[#This Row],[ada ship charge]],0)</f>
        <v>0</v>
      </c>
    </row>
    <row r="1539" spans="1:9" x14ac:dyDescent="0.2">
      <c r="A1539">
        <v>1021812</v>
      </c>
      <c r="B1539" t="s">
        <v>20</v>
      </c>
      <c r="C1539">
        <v>13.7</v>
      </c>
      <c r="D1539">
        <v>13.75</v>
      </c>
      <c r="E1539">
        <v>41.7</v>
      </c>
      <c r="F1539" t="s">
        <v>9</v>
      </c>
      <c r="G15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39">
        <f>IF(Table1[[#This Row],[is_ups_overcharge]]="ups overcharged",Table1[[#This Row],[ups ship charge]]-Table1[[#This Row],[ada ship charge]],0)</f>
        <v>0</v>
      </c>
    </row>
    <row r="1540" spans="1:9" x14ac:dyDescent="0.2">
      <c r="A1540">
        <v>1021814</v>
      </c>
      <c r="B1540" t="s">
        <v>20</v>
      </c>
      <c r="C1540">
        <v>12.81</v>
      </c>
      <c r="D1540">
        <v>12.86</v>
      </c>
      <c r="E1540">
        <v>34.950000000000003</v>
      </c>
      <c r="F1540" t="s">
        <v>9</v>
      </c>
      <c r="G15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40">
        <f>IF(Table1[[#This Row],[is_ups_overcharge]]="ups overcharged",Table1[[#This Row],[ups ship charge]]-Table1[[#This Row],[ada ship charge]],0)</f>
        <v>0</v>
      </c>
    </row>
    <row r="1541" spans="1:9" x14ac:dyDescent="0.2">
      <c r="A1541">
        <v>1021823</v>
      </c>
      <c r="B1541" t="s">
        <v>20</v>
      </c>
      <c r="C1541">
        <v>12.81</v>
      </c>
      <c r="D1541">
        <v>12.86</v>
      </c>
      <c r="E1541">
        <v>29.75</v>
      </c>
      <c r="F1541" t="s">
        <v>9</v>
      </c>
      <c r="G15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41">
        <f>IF(Table1[[#This Row],[is_ups_overcharge]]="ups overcharged",Table1[[#This Row],[ups ship charge]]-Table1[[#This Row],[ada ship charge]],0)</f>
        <v>0</v>
      </c>
    </row>
    <row r="1542" spans="1:9" x14ac:dyDescent="0.2">
      <c r="A1542">
        <v>1021825</v>
      </c>
      <c r="B1542" t="s">
        <v>20</v>
      </c>
      <c r="C1542">
        <v>12.35</v>
      </c>
      <c r="D1542">
        <v>12.4</v>
      </c>
      <c r="E1542">
        <v>39.950000000000003</v>
      </c>
      <c r="F1542" t="s">
        <v>13</v>
      </c>
      <c r="G15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42">
        <f>IF(Table1[[#This Row],[is_ups_overcharge]]="ups overcharged",Table1[[#This Row],[ups ship charge]]-Table1[[#This Row],[ada ship charge]],0)</f>
        <v>0</v>
      </c>
    </row>
    <row r="1543" spans="1:9" x14ac:dyDescent="0.2">
      <c r="A1543">
        <v>1021835</v>
      </c>
      <c r="B1543" t="s">
        <v>20</v>
      </c>
      <c r="C1543">
        <v>9.6999999999999993</v>
      </c>
      <c r="D1543">
        <v>9.75</v>
      </c>
      <c r="E1543">
        <v>45.75</v>
      </c>
      <c r="F1543" t="s">
        <v>6</v>
      </c>
      <c r="G15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43">
        <f>IF(Table1[[#This Row],[is_ups_overcharge]]="ups overcharged",Table1[[#This Row],[ups ship charge]]-Table1[[#This Row],[ada ship charge]],0)</f>
        <v>0</v>
      </c>
    </row>
    <row r="1544" spans="1:9" x14ac:dyDescent="0.2">
      <c r="A1544">
        <v>1021837</v>
      </c>
      <c r="B1544" t="s">
        <v>20</v>
      </c>
      <c r="C1544">
        <v>12.35</v>
      </c>
      <c r="D1544">
        <v>12.4</v>
      </c>
      <c r="E1544">
        <v>39.950000000000003</v>
      </c>
      <c r="F1544" t="s">
        <v>13</v>
      </c>
      <c r="G15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44">
        <f>IF(Table1[[#This Row],[is_ups_overcharge]]="ups overcharged",Table1[[#This Row],[ups ship charge]]-Table1[[#This Row],[ada ship charge]],0)</f>
        <v>0</v>
      </c>
    </row>
    <row r="1545" spans="1:9" x14ac:dyDescent="0.2">
      <c r="A1545">
        <v>1021838</v>
      </c>
      <c r="B1545" t="s">
        <v>20</v>
      </c>
      <c r="C1545">
        <v>14.67</v>
      </c>
      <c r="D1545">
        <v>14.72</v>
      </c>
      <c r="E1545">
        <v>100</v>
      </c>
      <c r="F1545" t="s">
        <v>9</v>
      </c>
      <c r="G15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45">
        <f>IF(Table1[[#This Row],[is_ups_overcharge]]="ups overcharged",Table1[[#This Row],[ups ship charge]]-Table1[[#This Row],[ada ship charge]],0)</f>
        <v>0</v>
      </c>
    </row>
    <row r="1546" spans="1:9" x14ac:dyDescent="0.2">
      <c r="A1546">
        <v>1021842</v>
      </c>
      <c r="B1546" t="s">
        <v>20</v>
      </c>
      <c r="C1546">
        <v>12.81</v>
      </c>
      <c r="D1546">
        <v>12.86</v>
      </c>
      <c r="E1546">
        <v>44.9</v>
      </c>
      <c r="F1546" t="s">
        <v>9</v>
      </c>
      <c r="G15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46">
        <f>IF(Table1[[#This Row],[is_ups_overcharge]]="ups overcharged",Table1[[#This Row],[ups ship charge]]-Table1[[#This Row],[ada ship charge]],0)</f>
        <v>0</v>
      </c>
    </row>
    <row r="1547" spans="1:9" x14ac:dyDescent="0.2">
      <c r="A1547">
        <v>1021845</v>
      </c>
      <c r="B1547" t="s">
        <v>20</v>
      </c>
      <c r="C1547">
        <v>17.7</v>
      </c>
      <c r="D1547">
        <v>17.760000000000002</v>
      </c>
      <c r="E1547">
        <v>334.75</v>
      </c>
      <c r="F1547" t="s">
        <v>15</v>
      </c>
      <c r="G15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47">
        <f>IF(Table1[[#This Row],[is_ups_overcharge]]="ups overcharged",Table1[[#This Row],[ups ship charge]]-Table1[[#This Row],[ada ship charge]],0)</f>
        <v>0</v>
      </c>
    </row>
    <row r="1548" spans="1:9" x14ac:dyDescent="0.2">
      <c r="A1548">
        <v>1021851</v>
      </c>
      <c r="B1548" t="s">
        <v>20</v>
      </c>
      <c r="C1548">
        <v>12.81</v>
      </c>
      <c r="D1548">
        <v>13.31</v>
      </c>
      <c r="E1548">
        <v>60.75</v>
      </c>
      <c r="F1548" t="s">
        <v>9</v>
      </c>
      <c r="G15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48">
        <f>IF(Table1[[#This Row],[is_ups_overcharge]]="ups overcharged",Table1[[#This Row],[ups ship charge]]-Table1[[#This Row],[ada ship charge]],0)</f>
        <v>0</v>
      </c>
    </row>
    <row r="1549" spans="1:9" x14ac:dyDescent="0.2">
      <c r="A1549">
        <v>1021862</v>
      </c>
      <c r="B1549" t="s">
        <v>20</v>
      </c>
      <c r="C1549">
        <v>17.7</v>
      </c>
      <c r="D1549">
        <v>17.75</v>
      </c>
      <c r="E1549">
        <v>59.8</v>
      </c>
      <c r="F1549" t="s">
        <v>15</v>
      </c>
      <c r="G15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49">
        <f>IF(Table1[[#This Row],[is_ups_overcharge]]="ups overcharged",Table1[[#This Row],[ups ship charge]]-Table1[[#This Row],[ada ship charge]],0)</f>
        <v>0</v>
      </c>
    </row>
    <row r="1550" spans="1:9" x14ac:dyDescent="0.2">
      <c r="A1550">
        <v>1021873</v>
      </c>
      <c r="B1550" t="s">
        <v>20</v>
      </c>
      <c r="C1550">
        <v>13.71</v>
      </c>
      <c r="D1550">
        <v>13.75</v>
      </c>
      <c r="E1550">
        <v>42.45</v>
      </c>
      <c r="F1550" t="s">
        <v>9</v>
      </c>
      <c r="G15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50">
        <f>IF(Table1[[#This Row],[is_ups_overcharge]]="ups overcharged",Table1[[#This Row],[ups ship charge]]-Table1[[#This Row],[ada ship charge]],0)</f>
        <v>0</v>
      </c>
    </row>
    <row r="1551" spans="1:9" x14ac:dyDescent="0.2">
      <c r="A1551">
        <v>1021878</v>
      </c>
      <c r="B1551" t="s">
        <v>20</v>
      </c>
      <c r="C1551">
        <v>13.7</v>
      </c>
      <c r="D1551">
        <v>13.76</v>
      </c>
      <c r="E1551">
        <v>68.55</v>
      </c>
      <c r="F1551" t="s">
        <v>9</v>
      </c>
      <c r="G15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51">
        <f>IF(Table1[[#This Row],[is_ups_overcharge]]="ups overcharged",Table1[[#This Row],[ups ship charge]]-Table1[[#This Row],[ada ship charge]],0)</f>
        <v>0</v>
      </c>
    </row>
    <row r="1552" spans="1:9" x14ac:dyDescent="0.2">
      <c r="A1552">
        <v>1021882</v>
      </c>
      <c r="B1552" t="s">
        <v>20</v>
      </c>
      <c r="C1552">
        <v>16.46</v>
      </c>
      <c r="D1552">
        <v>16.510000000000002</v>
      </c>
      <c r="E1552">
        <v>39.75</v>
      </c>
      <c r="F1552" t="s">
        <v>10</v>
      </c>
      <c r="G15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52">
        <f>IF(Table1[[#This Row],[is_ups_overcharge]]="ups overcharged",Table1[[#This Row],[ups ship charge]]-Table1[[#This Row],[ada ship charge]],0)</f>
        <v>0</v>
      </c>
    </row>
    <row r="1553" spans="1:9" x14ac:dyDescent="0.2">
      <c r="A1553">
        <v>1021888</v>
      </c>
      <c r="B1553" t="s">
        <v>20</v>
      </c>
      <c r="C1553">
        <v>12.81</v>
      </c>
      <c r="D1553">
        <v>12.86</v>
      </c>
      <c r="E1553">
        <v>101.75</v>
      </c>
      <c r="F1553" t="s">
        <v>9</v>
      </c>
      <c r="G15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53">
        <f>IF(Table1[[#This Row],[is_ups_overcharge]]="ups overcharged",Table1[[#This Row],[ups ship charge]]-Table1[[#This Row],[ada ship charge]],0)</f>
        <v>0</v>
      </c>
    </row>
    <row r="1554" spans="1:9" x14ac:dyDescent="0.2">
      <c r="A1554">
        <v>1021890</v>
      </c>
      <c r="B1554" t="s">
        <v>20</v>
      </c>
      <c r="C1554">
        <v>12.81</v>
      </c>
      <c r="D1554">
        <v>12.86</v>
      </c>
      <c r="E1554">
        <v>74</v>
      </c>
      <c r="F1554" t="s">
        <v>9</v>
      </c>
      <c r="G15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54">
        <f>IF(Table1[[#This Row],[is_ups_overcharge]]="ups overcharged",Table1[[#This Row],[ups ship charge]]-Table1[[#This Row],[ada ship charge]],0)</f>
        <v>0</v>
      </c>
    </row>
    <row r="1555" spans="1:9" x14ac:dyDescent="0.2">
      <c r="A1555">
        <v>1021901</v>
      </c>
      <c r="B1555" t="s">
        <v>20</v>
      </c>
      <c r="C1555">
        <v>13.7</v>
      </c>
      <c r="D1555">
        <v>13.76</v>
      </c>
      <c r="E1555">
        <v>44.95</v>
      </c>
      <c r="F1555" t="s">
        <v>9</v>
      </c>
      <c r="G15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55">
        <f>IF(Table1[[#This Row],[is_ups_overcharge]]="ups overcharged",Table1[[#This Row],[ups ship charge]]-Table1[[#This Row],[ada ship charge]],0)</f>
        <v>0</v>
      </c>
    </row>
    <row r="1556" spans="1:9" x14ac:dyDescent="0.2">
      <c r="A1556">
        <v>1021928</v>
      </c>
      <c r="B1556" t="s">
        <v>20</v>
      </c>
      <c r="C1556">
        <v>9.6999999999999993</v>
      </c>
      <c r="D1556">
        <v>9.75</v>
      </c>
      <c r="E1556">
        <v>30.85</v>
      </c>
      <c r="F1556" t="s">
        <v>6</v>
      </c>
      <c r="G15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56">
        <f>IF(Table1[[#This Row],[is_ups_overcharge]]="ups overcharged",Table1[[#This Row],[ups ship charge]]-Table1[[#This Row],[ada ship charge]],0)</f>
        <v>0</v>
      </c>
    </row>
    <row r="1557" spans="1:9" x14ac:dyDescent="0.2">
      <c r="A1557">
        <v>1021937</v>
      </c>
      <c r="B1557" t="s">
        <v>20</v>
      </c>
      <c r="C1557">
        <v>9.6999999999999993</v>
      </c>
      <c r="D1557">
        <v>9.75</v>
      </c>
      <c r="E1557">
        <v>114.95</v>
      </c>
      <c r="F1557" t="s">
        <v>6</v>
      </c>
      <c r="G15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57">
        <f>IF(Table1[[#This Row],[is_ups_overcharge]]="ups overcharged",Table1[[#This Row],[ups ship charge]]-Table1[[#This Row],[ada ship charge]],0)</f>
        <v>0</v>
      </c>
    </row>
    <row r="1558" spans="1:9" x14ac:dyDescent="0.2">
      <c r="A1558">
        <v>1021943</v>
      </c>
      <c r="B1558" t="s">
        <v>20</v>
      </c>
      <c r="C1558">
        <v>9.6999999999999993</v>
      </c>
      <c r="D1558">
        <v>12.86</v>
      </c>
      <c r="E1558">
        <v>29.9</v>
      </c>
      <c r="F1558" t="s">
        <v>6</v>
      </c>
      <c r="G15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58">
        <f>IF(Table1[[#This Row],[is_ups_overcharge]]="ups overcharged",Table1[[#This Row],[ups ship charge]]-Table1[[#This Row],[ada ship charge]],0)</f>
        <v>0</v>
      </c>
    </row>
    <row r="1559" spans="1:9" x14ac:dyDescent="0.2">
      <c r="A1559">
        <v>1021951</v>
      </c>
      <c r="B1559" t="s">
        <v>20</v>
      </c>
      <c r="C1559">
        <v>12.81</v>
      </c>
      <c r="D1559">
        <v>12.86</v>
      </c>
      <c r="E1559">
        <v>62.6</v>
      </c>
      <c r="F1559" t="s">
        <v>9</v>
      </c>
      <c r="G15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59">
        <f>IF(Table1[[#This Row],[is_ups_overcharge]]="ups overcharged",Table1[[#This Row],[ups ship charge]]-Table1[[#This Row],[ada ship charge]],0)</f>
        <v>0</v>
      </c>
    </row>
    <row r="1560" spans="1:9" x14ac:dyDescent="0.2">
      <c r="A1560">
        <v>1021953</v>
      </c>
      <c r="B1560" t="s">
        <v>20</v>
      </c>
      <c r="C1560">
        <v>9.6999999999999993</v>
      </c>
      <c r="D1560">
        <v>13.75</v>
      </c>
      <c r="E1560">
        <v>30.75</v>
      </c>
      <c r="F1560" t="s">
        <v>6</v>
      </c>
      <c r="G15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60">
        <f>IF(Table1[[#This Row],[is_ups_overcharge]]="ups overcharged",Table1[[#This Row],[ups ship charge]]-Table1[[#This Row],[ada ship charge]],0)</f>
        <v>0</v>
      </c>
    </row>
    <row r="1561" spans="1:9" x14ac:dyDescent="0.2">
      <c r="A1561">
        <v>1021997</v>
      </c>
      <c r="B1561" t="s">
        <v>20</v>
      </c>
      <c r="C1561">
        <v>12.81</v>
      </c>
      <c r="D1561">
        <v>12.86</v>
      </c>
      <c r="E1561">
        <v>4.95</v>
      </c>
      <c r="F1561" t="s">
        <v>9</v>
      </c>
      <c r="G15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61">
        <f>IF(Table1[[#This Row],[is_ups_overcharge]]="ups overcharged",Table1[[#This Row],[ups ship charge]]-Table1[[#This Row],[ada ship charge]],0)</f>
        <v>0</v>
      </c>
    </row>
    <row r="1562" spans="1:9" x14ac:dyDescent="0.2">
      <c r="A1562">
        <v>1022004</v>
      </c>
      <c r="B1562" t="s">
        <v>20</v>
      </c>
      <c r="C1562">
        <v>12.81</v>
      </c>
      <c r="D1562">
        <v>12.86</v>
      </c>
      <c r="E1562">
        <v>88.75</v>
      </c>
      <c r="F1562" t="s">
        <v>9</v>
      </c>
      <c r="G15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62">
        <f>IF(Table1[[#This Row],[is_ups_overcharge]]="ups overcharged",Table1[[#This Row],[ups ship charge]]-Table1[[#This Row],[ada ship charge]],0)</f>
        <v>0</v>
      </c>
    </row>
    <row r="1563" spans="1:9" x14ac:dyDescent="0.2">
      <c r="A1563">
        <v>1022018</v>
      </c>
      <c r="B1563" t="s">
        <v>20</v>
      </c>
      <c r="C1563">
        <v>12.81</v>
      </c>
      <c r="D1563">
        <v>12.86</v>
      </c>
      <c r="E1563">
        <v>42.9</v>
      </c>
      <c r="F1563" t="s">
        <v>9</v>
      </c>
      <c r="G15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63">
        <f>IF(Table1[[#This Row],[is_ups_overcharge]]="ups overcharged",Table1[[#This Row],[ups ship charge]]-Table1[[#This Row],[ada ship charge]],0)</f>
        <v>0</v>
      </c>
    </row>
    <row r="1564" spans="1:9" x14ac:dyDescent="0.2">
      <c r="A1564">
        <v>1022025</v>
      </c>
      <c r="B1564" t="s">
        <v>20</v>
      </c>
      <c r="C1564">
        <v>13.71</v>
      </c>
      <c r="D1564">
        <v>13.76</v>
      </c>
      <c r="E1564">
        <v>57.7</v>
      </c>
      <c r="F1564" t="s">
        <v>9</v>
      </c>
      <c r="G15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64">
        <f>IF(Table1[[#This Row],[is_ups_overcharge]]="ups overcharged",Table1[[#This Row],[ups ship charge]]-Table1[[#This Row],[ada ship charge]],0)</f>
        <v>0</v>
      </c>
    </row>
    <row r="1565" spans="1:9" x14ac:dyDescent="0.2">
      <c r="A1565">
        <v>1022026</v>
      </c>
      <c r="B1565" t="s">
        <v>20</v>
      </c>
      <c r="C1565">
        <v>13.71</v>
      </c>
      <c r="D1565">
        <v>14.2</v>
      </c>
      <c r="E1565">
        <v>15.9</v>
      </c>
      <c r="F1565" t="s">
        <v>9</v>
      </c>
      <c r="G15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65">
        <f>IF(Table1[[#This Row],[is_ups_overcharge]]="ups overcharged",Table1[[#This Row],[ups ship charge]]-Table1[[#This Row],[ada ship charge]],0)</f>
        <v>0</v>
      </c>
    </row>
    <row r="1566" spans="1:9" x14ac:dyDescent="0.2">
      <c r="A1566">
        <v>1022057</v>
      </c>
      <c r="B1566" t="s">
        <v>20</v>
      </c>
      <c r="C1566">
        <v>12.81</v>
      </c>
      <c r="D1566">
        <v>12.86</v>
      </c>
      <c r="E1566">
        <v>115.75</v>
      </c>
      <c r="F1566" t="s">
        <v>9</v>
      </c>
      <c r="G15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66">
        <f>IF(Table1[[#This Row],[is_ups_overcharge]]="ups overcharged",Table1[[#This Row],[ups ship charge]]-Table1[[#This Row],[ada ship charge]],0)</f>
        <v>0</v>
      </c>
    </row>
    <row r="1567" spans="1:9" x14ac:dyDescent="0.2">
      <c r="A1567">
        <v>1022063</v>
      </c>
      <c r="B1567" t="s">
        <v>20</v>
      </c>
      <c r="C1567">
        <v>9.7100000000000009</v>
      </c>
      <c r="D1567">
        <v>0</v>
      </c>
      <c r="E1567">
        <v>251.22</v>
      </c>
      <c r="F1567" t="s">
        <v>6</v>
      </c>
      <c r="G15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56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567">
        <f>IF(Table1[[#This Row],[is_ups_overcharge]]="ups overcharged",Table1[[#This Row],[ups ship charge]]-Table1[[#This Row],[ada ship charge]],0)</f>
        <v>0</v>
      </c>
    </row>
    <row r="1568" spans="1:9" x14ac:dyDescent="0.2">
      <c r="A1568">
        <v>1022119</v>
      </c>
      <c r="B1568" t="s">
        <v>20</v>
      </c>
      <c r="C1568">
        <v>12.81</v>
      </c>
      <c r="D1568">
        <v>12.86</v>
      </c>
      <c r="E1568">
        <v>56.9</v>
      </c>
      <c r="F1568" t="s">
        <v>9</v>
      </c>
      <c r="G15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68">
        <f>IF(Table1[[#This Row],[is_ups_overcharge]]="ups overcharged",Table1[[#This Row],[ups ship charge]]-Table1[[#This Row],[ada ship charge]],0)</f>
        <v>0</v>
      </c>
    </row>
    <row r="1569" spans="1:9" x14ac:dyDescent="0.2">
      <c r="A1569">
        <v>1022134</v>
      </c>
      <c r="B1569" t="s">
        <v>20</v>
      </c>
      <c r="C1569">
        <v>13.7</v>
      </c>
      <c r="D1569">
        <v>13.75</v>
      </c>
      <c r="E1569">
        <v>21.9</v>
      </c>
      <c r="F1569" t="s">
        <v>9</v>
      </c>
      <c r="G15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69">
        <f>IF(Table1[[#This Row],[is_ups_overcharge]]="ups overcharged",Table1[[#This Row],[ups ship charge]]-Table1[[#This Row],[ada ship charge]],0)</f>
        <v>0</v>
      </c>
    </row>
    <row r="1570" spans="1:9" x14ac:dyDescent="0.2">
      <c r="A1570">
        <v>1022144</v>
      </c>
      <c r="B1570" t="s">
        <v>20</v>
      </c>
      <c r="C1570">
        <v>12.81</v>
      </c>
      <c r="D1570">
        <v>12.86</v>
      </c>
      <c r="E1570">
        <v>29.9</v>
      </c>
      <c r="F1570" t="s">
        <v>9</v>
      </c>
      <c r="G15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70">
        <f>IF(Table1[[#This Row],[is_ups_overcharge]]="ups overcharged",Table1[[#This Row],[ups ship charge]]-Table1[[#This Row],[ada ship charge]],0)</f>
        <v>0</v>
      </c>
    </row>
    <row r="1571" spans="1:9" x14ac:dyDescent="0.2">
      <c r="A1571">
        <v>1022171</v>
      </c>
      <c r="B1571" t="s">
        <v>20</v>
      </c>
      <c r="C1571">
        <v>12.81</v>
      </c>
      <c r="D1571">
        <v>13.31</v>
      </c>
      <c r="E1571">
        <v>62.55</v>
      </c>
      <c r="F1571" t="s">
        <v>9</v>
      </c>
      <c r="G15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71">
        <f>IF(Table1[[#This Row],[is_ups_overcharge]]="ups overcharged",Table1[[#This Row],[ups ship charge]]-Table1[[#This Row],[ada ship charge]],0)</f>
        <v>0</v>
      </c>
    </row>
    <row r="1572" spans="1:9" x14ac:dyDescent="0.2">
      <c r="A1572">
        <v>1022175</v>
      </c>
      <c r="B1572" t="s">
        <v>20</v>
      </c>
      <c r="C1572">
        <v>13.7</v>
      </c>
      <c r="D1572">
        <v>13.75</v>
      </c>
      <c r="E1572">
        <v>45.65</v>
      </c>
      <c r="F1572" t="s">
        <v>9</v>
      </c>
      <c r="G15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72">
        <f>IF(Table1[[#This Row],[is_ups_overcharge]]="ups overcharged",Table1[[#This Row],[ups ship charge]]-Table1[[#This Row],[ada ship charge]],0)</f>
        <v>0</v>
      </c>
    </row>
    <row r="1573" spans="1:9" x14ac:dyDescent="0.2">
      <c r="A1573">
        <v>1022182</v>
      </c>
      <c r="B1573" t="s">
        <v>20</v>
      </c>
      <c r="C1573">
        <v>9.6999999999999993</v>
      </c>
      <c r="D1573">
        <v>9.75</v>
      </c>
      <c r="E1573">
        <v>93.9</v>
      </c>
      <c r="F1573" t="s">
        <v>6</v>
      </c>
      <c r="G15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73">
        <f>IF(Table1[[#This Row],[is_ups_overcharge]]="ups overcharged",Table1[[#This Row],[ups ship charge]]-Table1[[#This Row],[ada ship charge]],0)</f>
        <v>0</v>
      </c>
    </row>
    <row r="1574" spans="1:9" x14ac:dyDescent="0.2">
      <c r="A1574">
        <v>1022200</v>
      </c>
      <c r="B1574" t="s">
        <v>20</v>
      </c>
      <c r="C1574">
        <v>12.81</v>
      </c>
      <c r="D1574">
        <v>12.86</v>
      </c>
      <c r="E1574">
        <v>21.9</v>
      </c>
      <c r="F1574" t="s">
        <v>9</v>
      </c>
      <c r="G15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74">
        <f>IF(Table1[[#This Row],[is_ups_overcharge]]="ups overcharged",Table1[[#This Row],[ups ship charge]]-Table1[[#This Row],[ada ship charge]],0)</f>
        <v>0</v>
      </c>
    </row>
    <row r="1575" spans="1:9" x14ac:dyDescent="0.2">
      <c r="A1575">
        <v>1022213</v>
      </c>
      <c r="B1575" t="s">
        <v>20</v>
      </c>
      <c r="C1575">
        <v>9.6999999999999993</v>
      </c>
      <c r="D1575">
        <v>9.75</v>
      </c>
      <c r="E1575">
        <v>9.9</v>
      </c>
      <c r="F1575" t="s">
        <v>6</v>
      </c>
      <c r="G15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75">
        <f>IF(Table1[[#This Row],[is_ups_overcharge]]="ups overcharged",Table1[[#This Row],[ups ship charge]]-Table1[[#This Row],[ada ship charge]],0)</f>
        <v>0</v>
      </c>
    </row>
    <row r="1576" spans="1:9" x14ac:dyDescent="0.2">
      <c r="A1576">
        <v>1022222</v>
      </c>
      <c r="B1576" t="s">
        <v>20</v>
      </c>
      <c r="C1576">
        <v>17.440000000000001</v>
      </c>
      <c r="D1576">
        <v>21.6</v>
      </c>
      <c r="E1576">
        <v>29.85</v>
      </c>
      <c r="F1576" t="s">
        <v>16</v>
      </c>
      <c r="G15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76">
        <f>IF(Table1[[#This Row],[is_ups_overcharge]]="ups overcharged",Table1[[#This Row],[ups ship charge]]-Table1[[#This Row],[ada ship charge]],0)</f>
        <v>0</v>
      </c>
    </row>
    <row r="1577" spans="1:9" x14ac:dyDescent="0.2">
      <c r="A1577">
        <v>1022224</v>
      </c>
      <c r="B1577" t="s">
        <v>20</v>
      </c>
      <c r="C1577">
        <v>9.6999999999999993</v>
      </c>
      <c r="D1577">
        <v>9.75</v>
      </c>
      <c r="E1577">
        <v>69.849999999999994</v>
      </c>
      <c r="F1577" t="s">
        <v>6</v>
      </c>
      <c r="G15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77">
        <f>IF(Table1[[#This Row],[is_ups_overcharge]]="ups overcharged",Table1[[#This Row],[ups ship charge]]-Table1[[#This Row],[ada ship charge]],0)</f>
        <v>0</v>
      </c>
    </row>
    <row r="1578" spans="1:9" x14ac:dyDescent="0.2">
      <c r="A1578">
        <v>1022228</v>
      </c>
      <c r="B1578" t="s">
        <v>20</v>
      </c>
      <c r="C1578">
        <v>9.6999999999999993</v>
      </c>
      <c r="D1578">
        <v>9.75</v>
      </c>
      <c r="E1578">
        <v>52.4</v>
      </c>
      <c r="F1578" t="s">
        <v>6</v>
      </c>
      <c r="G15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78">
        <f>IF(Table1[[#This Row],[is_ups_overcharge]]="ups overcharged",Table1[[#This Row],[ups ship charge]]-Table1[[#This Row],[ada ship charge]],0)</f>
        <v>0</v>
      </c>
    </row>
    <row r="1579" spans="1:9" x14ac:dyDescent="0.2">
      <c r="A1579">
        <v>1022235</v>
      </c>
      <c r="B1579" t="s">
        <v>20</v>
      </c>
      <c r="C1579">
        <v>11.02</v>
      </c>
      <c r="D1579">
        <v>11.07</v>
      </c>
      <c r="E1579">
        <v>24.9</v>
      </c>
      <c r="F1579" t="s">
        <v>14</v>
      </c>
      <c r="G15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79">
        <f>IF(Table1[[#This Row],[is_ups_overcharge]]="ups overcharged",Table1[[#This Row],[ups ship charge]]-Table1[[#This Row],[ada ship charge]],0)</f>
        <v>0</v>
      </c>
    </row>
    <row r="1580" spans="1:9" x14ac:dyDescent="0.2">
      <c r="A1580">
        <v>1022241</v>
      </c>
      <c r="B1580" t="s">
        <v>20</v>
      </c>
      <c r="C1580">
        <v>13.7</v>
      </c>
      <c r="D1580">
        <v>13.75</v>
      </c>
      <c r="E1580">
        <v>49.95</v>
      </c>
      <c r="F1580" t="s">
        <v>9</v>
      </c>
      <c r="G15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80">
        <f>IF(Table1[[#This Row],[is_ups_overcharge]]="ups overcharged",Table1[[#This Row],[ups ship charge]]-Table1[[#This Row],[ada ship charge]],0)</f>
        <v>0</v>
      </c>
    </row>
    <row r="1581" spans="1:9" x14ac:dyDescent="0.2">
      <c r="A1581">
        <v>1022255</v>
      </c>
      <c r="B1581" t="s">
        <v>20</v>
      </c>
      <c r="C1581">
        <v>16.13</v>
      </c>
      <c r="D1581">
        <v>0</v>
      </c>
      <c r="E1581">
        <v>989.56</v>
      </c>
      <c r="F1581" t="s">
        <v>6</v>
      </c>
      <c r="G15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58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581">
        <f>IF(Table1[[#This Row],[is_ups_overcharge]]="ups overcharged",Table1[[#This Row],[ups ship charge]]-Table1[[#This Row],[ada ship charge]],0)</f>
        <v>0</v>
      </c>
    </row>
    <row r="1582" spans="1:9" x14ac:dyDescent="0.2">
      <c r="A1582">
        <v>1022256</v>
      </c>
      <c r="B1582" t="s">
        <v>20</v>
      </c>
      <c r="C1582">
        <v>12.81</v>
      </c>
      <c r="D1582">
        <v>12.86</v>
      </c>
      <c r="E1582">
        <v>47.45</v>
      </c>
      <c r="F1582" t="s">
        <v>9</v>
      </c>
      <c r="G15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82">
        <f>IF(Table1[[#This Row],[is_ups_overcharge]]="ups overcharged",Table1[[#This Row],[ups ship charge]]-Table1[[#This Row],[ada ship charge]],0)</f>
        <v>0</v>
      </c>
    </row>
    <row r="1583" spans="1:9" x14ac:dyDescent="0.2">
      <c r="A1583">
        <v>1022262</v>
      </c>
      <c r="B1583" t="s">
        <v>20</v>
      </c>
      <c r="C1583">
        <v>9.6999999999999993</v>
      </c>
      <c r="D1583">
        <v>9.75</v>
      </c>
      <c r="E1583">
        <v>84.2</v>
      </c>
      <c r="F1583" t="s">
        <v>6</v>
      </c>
      <c r="G15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83">
        <f>IF(Table1[[#This Row],[is_ups_overcharge]]="ups overcharged",Table1[[#This Row],[ups ship charge]]-Table1[[#This Row],[ada ship charge]],0)</f>
        <v>0</v>
      </c>
    </row>
    <row r="1584" spans="1:9" x14ac:dyDescent="0.2">
      <c r="A1584">
        <v>1022265</v>
      </c>
      <c r="B1584" t="s">
        <v>20</v>
      </c>
      <c r="C1584">
        <v>13.7</v>
      </c>
      <c r="D1584">
        <v>13.75</v>
      </c>
      <c r="E1584">
        <v>100.65</v>
      </c>
      <c r="F1584" t="s">
        <v>9</v>
      </c>
      <c r="G15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84">
        <f>IF(Table1[[#This Row],[is_ups_overcharge]]="ups overcharged",Table1[[#This Row],[ups ship charge]]-Table1[[#This Row],[ada ship charge]],0)</f>
        <v>0</v>
      </c>
    </row>
    <row r="1585" spans="1:9" x14ac:dyDescent="0.2">
      <c r="A1585">
        <v>1022267</v>
      </c>
      <c r="B1585" t="s">
        <v>20</v>
      </c>
      <c r="C1585">
        <v>9.6999999999999993</v>
      </c>
      <c r="D1585">
        <v>9.75</v>
      </c>
      <c r="E1585">
        <v>17.5</v>
      </c>
      <c r="F1585" t="s">
        <v>6</v>
      </c>
      <c r="G15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85">
        <f>IF(Table1[[#This Row],[is_ups_overcharge]]="ups overcharged",Table1[[#This Row],[ups ship charge]]-Table1[[#This Row],[ada ship charge]],0)</f>
        <v>0</v>
      </c>
    </row>
    <row r="1586" spans="1:9" x14ac:dyDescent="0.2">
      <c r="A1586">
        <v>1022274</v>
      </c>
      <c r="B1586" t="s">
        <v>20</v>
      </c>
      <c r="C1586">
        <v>13.7</v>
      </c>
      <c r="D1586">
        <v>13.76</v>
      </c>
      <c r="E1586">
        <v>85</v>
      </c>
      <c r="F1586" t="s">
        <v>9</v>
      </c>
      <c r="G15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86">
        <f>IF(Table1[[#This Row],[is_ups_overcharge]]="ups overcharged",Table1[[#This Row],[ups ship charge]]-Table1[[#This Row],[ada ship charge]],0)</f>
        <v>0</v>
      </c>
    </row>
    <row r="1587" spans="1:9" x14ac:dyDescent="0.2">
      <c r="A1587">
        <v>1022292</v>
      </c>
      <c r="B1587" t="s">
        <v>20</v>
      </c>
      <c r="C1587">
        <v>12.81</v>
      </c>
      <c r="D1587">
        <v>12.86</v>
      </c>
      <c r="E1587">
        <v>39.9</v>
      </c>
      <c r="F1587" t="s">
        <v>9</v>
      </c>
      <c r="G15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87">
        <f>IF(Table1[[#This Row],[is_ups_overcharge]]="ups overcharged",Table1[[#This Row],[ups ship charge]]-Table1[[#This Row],[ada ship charge]],0)</f>
        <v>0</v>
      </c>
    </row>
    <row r="1588" spans="1:9" x14ac:dyDescent="0.2">
      <c r="A1588">
        <v>1022301</v>
      </c>
      <c r="B1588" t="s">
        <v>20</v>
      </c>
      <c r="C1588">
        <v>12.81</v>
      </c>
      <c r="D1588">
        <v>12.86</v>
      </c>
      <c r="E1588">
        <v>17.5</v>
      </c>
      <c r="F1588" t="s">
        <v>9</v>
      </c>
      <c r="G15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88">
        <f>IF(Table1[[#This Row],[is_ups_overcharge]]="ups overcharged",Table1[[#This Row],[ups ship charge]]-Table1[[#This Row],[ada ship charge]],0)</f>
        <v>0</v>
      </c>
    </row>
    <row r="1589" spans="1:9" x14ac:dyDescent="0.2">
      <c r="A1589">
        <v>1022316</v>
      </c>
      <c r="B1589" t="s">
        <v>20</v>
      </c>
      <c r="C1589">
        <v>13.7</v>
      </c>
      <c r="D1589">
        <v>14.15</v>
      </c>
      <c r="E1589">
        <v>114.95</v>
      </c>
      <c r="F1589" t="s">
        <v>9</v>
      </c>
      <c r="G15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89">
        <f>IF(Table1[[#This Row],[is_ups_overcharge]]="ups overcharged",Table1[[#This Row],[ups ship charge]]-Table1[[#This Row],[ada ship charge]],0)</f>
        <v>0</v>
      </c>
    </row>
    <row r="1590" spans="1:9" x14ac:dyDescent="0.2">
      <c r="A1590">
        <v>1022374</v>
      </c>
      <c r="B1590" t="s">
        <v>20</v>
      </c>
      <c r="C1590">
        <v>13.71</v>
      </c>
      <c r="D1590">
        <v>13.75</v>
      </c>
      <c r="E1590">
        <v>85.4</v>
      </c>
      <c r="F1590" t="s">
        <v>9</v>
      </c>
      <c r="G15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90">
        <f>IF(Table1[[#This Row],[is_ups_overcharge]]="ups overcharged",Table1[[#This Row],[ups ship charge]]-Table1[[#This Row],[ada ship charge]],0)</f>
        <v>0</v>
      </c>
    </row>
    <row r="1591" spans="1:9" x14ac:dyDescent="0.2">
      <c r="A1591">
        <v>1022383</v>
      </c>
      <c r="B1591" t="s">
        <v>20</v>
      </c>
      <c r="C1591">
        <v>9.6999999999999993</v>
      </c>
      <c r="D1591">
        <v>9.75</v>
      </c>
      <c r="E1591">
        <v>100.1</v>
      </c>
      <c r="F1591" t="s">
        <v>6</v>
      </c>
      <c r="G15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91">
        <f>IF(Table1[[#This Row],[is_ups_overcharge]]="ups overcharged",Table1[[#This Row],[ups ship charge]]-Table1[[#This Row],[ada ship charge]],0)</f>
        <v>0</v>
      </c>
    </row>
    <row r="1592" spans="1:9" x14ac:dyDescent="0.2">
      <c r="A1592">
        <v>1022391</v>
      </c>
      <c r="B1592" t="s">
        <v>20</v>
      </c>
      <c r="C1592">
        <v>15.12</v>
      </c>
      <c r="D1592">
        <v>14.77</v>
      </c>
      <c r="E1592">
        <v>185.65</v>
      </c>
      <c r="F1592" t="s">
        <v>9</v>
      </c>
      <c r="G15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92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592">
        <f>IF(Table1[[#This Row],[is_ups_overcharge]]="ups overcharged",Table1[[#This Row],[ups ship charge]]-Table1[[#This Row],[ada ship charge]],0)</f>
        <v>0.34999999999999964</v>
      </c>
    </row>
    <row r="1593" spans="1:9" x14ac:dyDescent="0.2">
      <c r="A1593">
        <v>1022416</v>
      </c>
      <c r="B1593" t="s">
        <v>20</v>
      </c>
      <c r="C1593">
        <v>13.7</v>
      </c>
      <c r="D1593">
        <v>14.2</v>
      </c>
      <c r="E1593">
        <v>91.55</v>
      </c>
      <c r="F1593" t="s">
        <v>9</v>
      </c>
      <c r="G15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93">
        <f>IF(Table1[[#This Row],[is_ups_overcharge]]="ups overcharged",Table1[[#This Row],[ups ship charge]]-Table1[[#This Row],[ada ship charge]],0)</f>
        <v>0</v>
      </c>
    </row>
    <row r="1594" spans="1:9" x14ac:dyDescent="0.2">
      <c r="A1594">
        <v>1022424</v>
      </c>
      <c r="B1594" t="s">
        <v>20</v>
      </c>
      <c r="C1594">
        <v>12.81</v>
      </c>
      <c r="D1594">
        <v>12.86</v>
      </c>
      <c r="E1594">
        <v>67.849999999999994</v>
      </c>
      <c r="F1594" t="s">
        <v>9</v>
      </c>
      <c r="G15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94">
        <f>IF(Table1[[#This Row],[is_ups_overcharge]]="ups overcharged",Table1[[#This Row],[ups ship charge]]-Table1[[#This Row],[ada ship charge]],0)</f>
        <v>0</v>
      </c>
    </row>
    <row r="1595" spans="1:9" x14ac:dyDescent="0.2">
      <c r="A1595">
        <v>1022435</v>
      </c>
      <c r="B1595" t="s">
        <v>20</v>
      </c>
      <c r="C1595">
        <v>26.7</v>
      </c>
      <c r="D1595">
        <v>13.79</v>
      </c>
      <c r="E1595">
        <v>27.85</v>
      </c>
      <c r="F1595" t="s">
        <v>9</v>
      </c>
      <c r="G15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95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595">
        <f>IF(Table1[[#This Row],[is_ups_overcharge]]="ups overcharged",Table1[[#This Row],[ups ship charge]]-Table1[[#This Row],[ada ship charge]],0)</f>
        <v>12.91</v>
      </c>
    </row>
    <row r="1596" spans="1:9" x14ac:dyDescent="0.2">
      <c r="A1596">
        <v>1022439</v>
      </c>
      <c r="B1596" t="s">
        <v>20</v>
      </c>
      <c r="C1596">
        <v>12.81</v>
      </c>
      <c r="D1596">
        <v>12.86</v>
      </c>
      <c r="E1596">
        <v>14.95</v>
      </c>
      <c r="F1596" t="s">
        <v>9</v>
      </c>
      <c r="G15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96">
        <f>IF(Table1[[#This Row],[is_ups_overcharge]]="ups overcharged",Table1[[#This Row],[ups ship charge]]-Table1[[#This Row],[ada ship charge]],0)</f>
        <v>0</v>
      </c>
    </row>
    <row r="1597" spans="1:9" x14ac:dyDescent="0.2">
      <c r="A1597">
        <v>1022450</v>
      </c>
      <c r="B1597" t="s">
        <v>20</v>
      </c>
      <c r="C1597">
        <v>15.44</v>
      </c>
      <c r="D1597">
        <v>15.49</v>
      </c>
      <c r="E1597">
        <v>52.9</v>
      </c>
      <c r="F1597" t="s">
        <v>12</v>
      </c>
      <c r="G15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97">
        <f>IF(Table1[[#This Row],[is_ups_overcharge]]="ups overcharged",Table1[[#This Row],[ups ship charge]]-Table1[[#This Row],[ada ship charge]],0)</f>
        <v>0</v>
      </c>
    </row>
    <row r="1598" spans="1:9" x14ac:dyDescent="0.2">
      <c r="A1598">
        <v>1022466</v>
      </c>
      <c r="B1598" t="s">
        <v>20</v>
      </c>
      <c r="C1598">
        <v>15.13</v>
      </c>
      <c r="D1598">
        <v>15.18</v>
      </c>
      <c r="E1598">
        <v>114.95</v>
      </c>
      <c r="F1598" t="s">
        <v>12</v>
      </c>
      <c r="G15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98">
        <f>IF(Table1[[#This Row],[is_ups_overcharge]]="ups overcharged",Table1[[#This Row],[ups ship charge]]-Table1[[#This Row],[ada ship charge]],0)</f>
        <v>0</v>
      </c>
    </row>
    <row r="1599" spans="1:9" x14ac:dyDescent="0.2">
      <c r="A1599">
        <v>1022467</v>
      </c>
      <c r="B1599" t="s">
        <v>20</v>
      </c>
      <c r="C1599">
        <v>13.7</v>
      </c>
      <c r="D1599">
        <v>13.75</v>
      </c>
      <c r="E1599">
        <v>3.95</v>
      </c>
      <c r="F1599" t="s">
        <v>9</v>
      </c>
      <c r="G15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5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599">
        <f>IF(Table1[[#This Row],[is_ups_overcharge]]="ups overcharged",Table1[[#This Row],[ups ship charge]]-Table1[[#This Row],[ada ship charge]],0)</f>
        <v>0</v>
      </c>
    </row>
    <row r="1600" spans="1:9" x14ac:dyDescent="0.2">
      <c r="A1600">
        <v>1022468</v>
      </c>
      <c r="B1600" t="s">
        <v>20</v>
      </c>
      <c r="C1600">
        <v>12.81</v>
      </c>
      <c r="D1600">
        <v>12.86</v>
      </c>
      <c r="E1600">
        <v>37.85</v>
      </c>
      <c r="F1600" t="s">
        <v>9</v>
      </c>
      <c r="G16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00">
        <f>IF(Table1[[#This Row],[is_ups_overcharge]]="ups overcharged",Table1[[#This Row],[ups ship charge]]-Table1[[#This Row],[ada ship charge]],0)</f>
        <v>0</v>
      </c>
    </row>
    <row r="1601" spans="1:9" x14ac:dyDescent="0.2">
      <c r="A1601">
        <v>1022478</v>
      </c>
      <c r="B1601" t="s">
        <v>20</v>
      </c>
      <c r="C1601">
        <v>14.23</v>
      </c>
      <c r="D1601">
        <v>0</v>
      </c>
      <c r="E1601">
        <v>249.85</v>
      </c>
      <c r="F1601" t="s">
        <v>9</v>
      </c>
      <c r="G16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60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601">
        <f>IF(Table1[[#This Row],[is_ups_overcharge]]="ups overcharged",Table1[[#This Row],[ups ship charge]]-Table1[[#This Row],[ada ship charge]],0)</f>
        <v>0</v>
      </c>
    </row>
    <row r="1602" spans="1:9" x14ac:dyDescent="0.2">
      <c r="A1602">
        <v>1022483</v>
      </c>
      <c r="B1602" t="s">
        <v>20</v>
      </c>
      <c r="C1602">
        <v>12.81</v>
      </c>
      <c r="D1602">
        <v>13.26</v>
      </c>
      <c r="E1602">
        <v>99.95</v>
      </c>
      <c r="F1602" t="s">
        <v>9</v>
      </c>
      <c r="G16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02">
        <f>IF(Table1[[#This Row],[is_ups_overcharge]]="ups overcharged",Table1[[#This Row],[ups ship charge]]-Table1[[#This Row],[ada ship charge]],0)</f>
        <v>0</v>
      </c>
    </row>
    <row r="1603" spans="1:9" x14ac:dyDescent="0.2">
      <c r="A1603">
        <v>1022503</v>
      </c>
      <c r="B1603" t="s">
        <v>20</v>
      </c>
      <c r="C1603">
        <v>12.81</v>
      </c>
      <c r="D1603">
        <v>12.86</v>
      </c>
      <c r="E1603">
        <v>74.900000000000006</v>
      </c>
      <c r="F1603" t="s">
        <v>9</v>
      </c>
      <c r="G16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03">
        <f>IF(Table1[[#This Row],[is_ups_overcharge]]="ups overcharged",Table1[[#This Row],[ups ship charge]]-Table1[[#This Row],[ada ship charge]],0)</f>
        <v>0</v>
      </c>
    </row>
    <row r="1604" spans="1:9" x14ac:dyDescent="0.2">
      <c r="A1604">
        <v>1022536</v>
      </c>
      <c r="B1604" t="s">
        <v>20</v>
      </c>
      <c r="C1604">
        <v>13.7</v>
      </c>
      <c r="D1604">
        <v>13.75</v>
      </c>
      <c r="E1604">
        <v>17.5</v>
      </c>
      <c r="F1604" t="s">
        <v>9</v>
      </c>
      <c r="G16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04">
        <f>IF(Table1[[#This Row],[is_ups_overcharge]]="ups overcharged",Table1[[#This Row],[ups ship charge]]-Table1[[#This Row],[ada ship charge]],0)</f>
        <v>0</v>
      </c>
    </row>
    <row r="1605" spans="1:9" x14ac:dyDescent="0.2">
      <c r="A1605">
        <v>1022539</v>
      </c>
      <c r="B1605" t="s">
        <v>20</v>
      </c>
      <c r="C1605">
        <v>12.81</v>
      </c>
      <c r="D1605">
        <v>12.86</v>
      </c>
      <c r="E1605">
        <v>8.85</v>
      </c>
      <c r="F1605" t="s">
        <v>9</v>
      </c>
      <c r="G16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05">
        <f>IF(Table1[[#This Row],[is_ups_overcharge]]="ups overcharged",Table1[[#This Row],[ups ship charge]]-Table1[[#This Row],[ada ship charge]],0)</f>
        <v>0</v>
      </c>
    </row>
    <row r="1606" spans="1:9" x14ac:dyDescent="0.2">
      <c r="A1606">
        <v>1022541</v>
      </c>
      <c r="B1606" t="s">
        <v>20</v>
      </c>
      <c r="C1606">
        <v>9.6999999999999993</v>
      </c>
      <c r="D1606">
        <v>9.75</v>
      </c>
      <c r="E1606">
        <v>22.5</v>
      </c>
      <c r="F1606" t="s">
        <v>6</v>
      </c>
      <c r="G16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06">
        <f>IF(Table1[[#This Row],[is_ups_overcharge]]="ups overcharged",Table1[[#This Row],[ups ship charge]]-Table1[[#This Row],[ada ship charge]],0)</f>
        <v>0</v>
      </c>
    </row>
    <row r="1607" spans="1:9" x14ac:dyDescent="0.2">
      <c r="A1607">
        <v>1022555</v>
      </c>
      <c r="B1607" t="s">
        <v>20</v>
      </c>
      <c r="C1607">
        <v>12.81</v>
      </c>
      <c r="D1607">
        <v>12.86</v>
      </c>
      <c r="E1607">
        <v>58.8</v>
      </c>
      <c r="F1607" t="s">
        <v>9</v>
      </c>
      <c r="G16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07">
        <f>IF(Table1[[#This Row],[is_ups_overcharge]]="ups overcharged",Table1[[#This Row],[ups ship charge]]-Table1[[#This Row],[ada ship charge]],0)</f>
        <v>0</v>
      </c>
    </row>
    <row r="1608" spans="1:9" x14ac:dyDescent="0.2">
      <c r="A1608">
        <v>1022556</v>
      </c>
      <c r="B1608" t="s">
        <v>20</v>
      </c>
      <c r="C1608">
        <v>13.7</v>
      </c>
      <c r="D1608">
        <v>13.75</v>
      </c>
      <c r="E1608">
        <v>116.6</v>
      </c>
      <c r="F1608" t="s">
        <v>9</v>
      </c>
      <c r="G16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08">
        <f>IF(Table1[[#This Row],[is_ups_overcharge]]="ups overcharged",Table1[[#This Row],[ups ship charge]]-Table1[[#This Row],[ada ship charge]],0)</f>
        <v>0</v>
      </c>
    </row>
    <row r="1609" spans="1:9" x14ac:dyDescent="0.2">
      <c r="A1609">
        <v>1022558</v>
      </c>
      <c r="B1609" t="s">
        <v>20</v>
      </c>
      <c r="C1609">
        <v>13.7</v>
      </c>
      <c r="D1609">
        <v>13.75</v>
      </c>
      <c r="E1609">
        <v>52.65</v>
      </c>
      <c r="F1609" t="s">
        <v>9</v>
      </c>
      <c r="G16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09">
        <f>IF(Table1[[#This Row],[is_ups_overcharge]]="ups overcharged",Table1[[#This Row],[ups ship charge]]-Table1[[#This Row],[ada ship charge]],0)</f>
        <v>0</v>
      </c>
    </row>
    <row r="1610" spans="1:9" x14ac:dyDescent="0.2">
      <c r="A1610">
        <v>1022564</v>
      </c>
      <c r="B1610" t="s">
        <v>20</v>
      </c>
      <c r="C1610">
        <v>16.77</v>
      </c>
      <c r="D1610">
        <v>16.82</v>
      </c>
      <c r="E1610">
        <v>59.35</v>
      </c>
      <c r="F1610" t="s">
        <v>10</v>
      </c>
      <c r="G16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10">
        <f>IF(Table1[[#This Row],[is_ups_overcharge]]="ups overcharged",Table1[[#This Row],[ups ship charge]]-Table1[[#This Row],[ada ship charge]],0)</f>
        <v>0</v>
      </c>
    </row>
    <row r="1611" spans="1:9" x14ac:dyDescent="0.2">
      <c r="A1611">
        <v>1022569</v>
      </c>
      <c r="B1611" t="s">
        <v>20</v>
      </c>
      <c r="C1611">
        <v>23.64</v>
      </c>
      <c r="D1611">
        <v>23.69</v>
      </c>
      <c r="E1611">
        <v>132.65</v>
      </c>
      <c r="F1611" t="s">
        <v>15</v>
      </c>
      <c r="G16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11">
        <f>IF(Table1[[#This Row],[is_ups_overcharge]]="ups overcharged",Table1[[#This Row],[ups ship charge]]-Table1[[#This Row],[ada ship charge]],0)</f>
        <v>0</v>
      </c>
    </row>
    <row r="1612" spans="1:9" x14ac:dyDescent="0.2">
      <c r="A1612">
        <v>1022570</v>
      </c>
      <c r="B1612" t="s">
        <v>20</v>
      </c>
      <c r="C1612">
        <v>12.81</v>
      </c>
      <c r="D1612">
        <v>12.86</v>
      </c>
      <c r="E1612">
        <v>54.9</v>
      </c>
      <c r="F1612" t="s">
        <v>9</v>
      </c>
      <c r="G16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12">
        <f>IF(Table1[[#This Row],[is_ups_overcharge]]="ups overcharged",Table1[[#This Row],[ups ship charge]]-Table1[[#This Row],[ada ship charge]],0)</f>
        <v>0</v>
      </c>
    </row>
    <row r="1613" spans="1:9" x14ac:dyDescent="0.2">
      <c r="A1613">
        <v>1022572</v>
      </c>
      <c r="B1613" t="s">
        <v>20</v>
      </c>
      <c r="C1613">
        <v>13.7</v>
      </c>
      <c r="D1613">
        <v>13.75</v>
      </c>
      <c r="E1613">
        <v>7.95</v>
      </c>
      <c r="F1613" t="s">
        <v>9</v>
      </c>
      <c r="G16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13">
        <f>IF(Table1[[#This Row],[is_ups_overcharge]]="ups overcharged",Table1[[#This Row],[ups ship charge]]-Table1[[#This Row],[ada ship charge]],0)</f>
        <v>0</v>
      </c>
    </row>
    <row r="1614" spans="1:9" x14ac:dyDescent="0.2">
      <c r="A1614">
        <v>1022575</v>
      </c>
      <c r="B1614" t="s">
        <v>20</v>
      </c>
      <c r="C1614">
        <v>13.7</v>
      </c>
      <c r="D1614">
        <v>13.75</v>
      </c>
      <c r="E1614">
        <v>134.85</v>
      </c>
      <c r="F1614" t="s">
        <v>9</v>
      </c>
      <c r="G16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14">
        <f>IF(Table1[[#This Row],[is_ups_overcharge]]="ups overcharged",Table1[[#This Row],[ups ship charge]]-Table1[[#This Row],[ada ship charge]],0)</f>
        <v>0</v>
      </c>
    </row>
    <row r="1615" spans="1:9" x14ac:dyDescent="0.2">
      <c r="A1615">
        <v>1022580</v>
      </c>
      <c r="B1615" t="s">
        <v>20</v>
      </c>
      <c r="C1615">
        <v>12.81</v>
      </c>
      <c r="D1615">
        <v>12.86</v>
      </c>
      <c r="E1615">
        <v>27.5</v>
      </c>
      <c r="F1615" t="s">
        <v>9</v>
      </c>
      <c r="G16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15">
        <f>IF(Table1[[#This Row],[is_ups_overcharge]]="ups overcharged",Table1[[#This Row],[ups ship charge]]-Table1[[#This Row],[ada ship charge]],0)</f>
        <v>0</v>
      </c>
    </row>
    <row r="1616" spans="1:9" x14ac:dyDescent="0.2">
      <c r="A1616">
        <v>1022598</v>
      </c>
      <c r="B1616" t="s">
        <v>20</v>
      </c>
      <c r="C1616">
        <v>12.81</v>
      </c>
      <c r="D1616">
        <v>0</v>
      </c>
      <c r="E1616">
        <v>207.8</v>
      </c>
      <c r="F1616" t="s">
        <v>9</v>
      </c>
      <c r="G16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61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616">
        <f>IF(Table1[[#This Row],[is_ups_overcharge]]="ups overcharged",Table1[[#This Row],[ups ship charge]]-Table1[[#This Row],[ada ship charge]],0)</f>
        <v>0</v>
      </c>
    </row>
    <row r="1617" spans="1:9" x14ac:dyDescent="0.2">
      <c r="A1617">
        <v>1022616</v>
      </c>
      <c r="B1617" t="s">
        <v>20</v>
      </c>
      <c r="C1617">
        <v>16.46</v>
      </c>
      <c r="D1617">
        <v>16.510000000000002</v>
      </c>
      <c r="E1617">
        <v>39.950000000000003</v>
      </c>
      <c r="F1617" t="s">
        <v>10</v>
      </c>
      <c r="G16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17">
        <f>IF(Table1[[#This Row],[is_ups_overcharge]]="ups overcharged",Table1[[#This Row],[ups ship charge]]-Table1[[#This Row],[ada ship charge]],0)</f>
        <v>0</v>
      </c>
    </row>
    <row r="1618" spans="1:9" x14ac:dyDescent="0.2">
      <c r="A1618">
        <v>1022622</v>
      </c>
      <c r="B1618" t="s">
        <v>20</v>
      </c>
      <c r="C1618">
        <v>18.41</v>
      </c>
      <c r="D1618">
        <v>20.2</v>
      </c>
      <c r="E1618">
        <v>108.1</v>
      </c>
      <c r="F1618" t="s">
        <v>10</v>
      </c>
      <c r="G16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18">
        <f>IF(Table1[[#This Row],[is_ups_overcharge]]="ups overcharged",Table1[[#This Row],[ups ship charge]]-Table1[[#This Row],[ada ship charge]],0)</f>
        <v>0</v>
      </c>
    </row>
    <row r="1619" spans="1:9" x14ac:dyDescent="0.2">
      <c r="A1619">
        <v>1022638</v>
      </c>
      <c r="B1619" t="s">
        <v>20</v>
      </c>
      <c r="C1619">
        <v>12.81</v>
      </c>
      <c r="D1619">
        <v>12.86</v>
      </c>
      <c r="E1619">
        <v>92.85</v>
      </c>
      <c r="F1619" t="s">
        <v>9</v>
      </c>
      <c r="G16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19">
        <f>IF(Table1[[#This Row],[is_ups_overcharge]]="ups overcharged",Table1[[#This Row],[ups ship charge]]-Table1[[#This Row],[ada ship charge]],0)</f>
        <v>0</v>
      </c>
    </row>
    <row r="1620" spans="1:9" x14ac:dyDescent="0.2">
      <c r="A1620">
        <v>1022668</v>
      </c>
      <c r="B1620" t="s">
        <v>20</v>
      </c>
      <c r="C1620">
        <v>12.81</v>
      </c>
      <c r="D1620">
        <v>12.86</v>
      </c>
      <c r="E1620">
        <v>7.8</v>
      </c>
      <c r="F1620" t="s">
        <v>9</v>
      </c>
      <c r="G16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20">
        <f>IF(Table1[[#This Row],[is_ups_overcharge]]="ups overcharged",Table1[[#This Row],[ups ship charge]]-Table1[[#This Row],[ada ship charge]],0)</f>
        <v>0</v>
      </c>
    </row>
    <row r="1621" spans="1:9" x14ac:dyDescent="0.2">
      <c r="A1621">
        <v>1022677</v>
      </c>
      <c r="B1621" t="s">
        <v>20</v>
      </c>
      <c r="C1621">
        <v>13.7</v>
      </c>
      <c r="D1621">
        <v>13.75</v>
      </c>
      <c r="E1621">
        <v>153.19999999999999</v>
      </c>
      <c r="F1621" t="s">
        <v>9</v>
      </c>
      <c r="G16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21">
        <f>IF(Table1[[#This Row],[is_ups_overcharge]]="ups overcharged",Table1[[#This Row],[ups ship charge]]-Table1[[#This Row],[ada ship charge]],0)</f>
        <v>0</v>
      </c>
    </row>
    <row r="1622" spans="1:9" x14ac:dyDescent="0.2">
      <c r="A1622">
        <v>1022686</v>
      </c>
      <c r="B1622" t="s">
        <v>20</v>
      </c>
      <c r="C1622">
        <v>13.7</v>
      </c>
      <c r="D1622">
        <v>13.75</v>
      </c>
      <c r="E1622">
        <v>106.75</v>
      </c>
      <c r="F1622" t="s">
        <v>9</v>
      </c>
      <c r="G16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22">
        <f>IF(Table1[[#This Row],[is_ups_overcharge]]="ups overcharged",Table1[[#This Row],[ups ship charge]]-Table1[[#This Row],[ada ship charge]],0)</f>
        <v>0</v>
      </c>
    </row>
    <row r="1623" spans="1:9" x14ac:dyDescent="0.2">
      <c r="A1623">
        <v>1022687</v>
      </c>
      <c r="B1623" t="s">
        <v>20</v>
      </c>
      <c r="C1623">
        <v>12.81</v>
      </c>
      <c r="D1623">
        <v>12.86</v>
      </c>
      <c r="E1623">
        <v>6.95</v>
      </c>
      <c r="F1623" t="s">
        <v>9</v>
      </c>
      <c r="G16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23">
        <f>IF(Table1[[#This Row],[is_ups_overcharge]]="ups overcharged",Table1[[#This Row],[ups ship charge]]-Table1[[#This Row],[ada ship charge]],0)</f>
        <v>0</v>
      </c>
    </row>
    <row r="1624" spans="1:9" x14ac:dyDescent="0.2">
      <c r="A1624">
        <v>1022692</v>
      </c>
      <c r="B1624" t="s">
        <v>20</v>
      </c>
      <c r="C1624">
        <v>12.81</v>
      </c>
      <c r="D1624">
        <v>12.86</v>
      </c>
      <c r="E1624">
        <v>94.9</v>
      </c>
      <c r="F1624" t="s">
        <v>9</v>
      </c>
      <c r="G16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24">
        <f>IF(Table1[[#This Row],[is_ups_overcharge]]="ups overcharged",Table1[[#This Row],[ups ship charge]]-Table1[[#This Row],[ada ship charge]],0)</f>
        <v>0</v>
      </c>
    </row>
    <row r="1625" spans="1:9" x14ac:dyDescent="0.2">
      <c r="A1625">
        <v>1022695</v>
      </c>
      <c r="B1625" t="s">
        <v>20</v>
      </c>
      <c r="C1625">
        <v>12.81</v>
      </c>
      <c r="D1625">
        <v>12.86</v>
      </c>
      <c r="E1625">
        <v>16.850000000000001</v>
      </c>
      <c r="F1625" t="s">
        <v>9</v>
      </c>
      <c r="G16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25">
        <f>IF(Table1[[#This Row],[is_ups_overcharge]]="ups overcharged",Table1[[#This Row],[ups ship charge]]-Table1[[#This Row],[ada ship charge]],0)</f>
        <v>0</v>
      </c>
    </row>
    <row r="1626" spans="1:9" x14ac:dyDescent="0.2">
      <c r="A1626">
        <v>1022706</v>
      </c>
      <c r="B1626" t="s">
        <v>20</v>
      </c>
      <c r="C1626">
        <v>13.7</v>
      </c>
      <c r="D1626">
        <v>13.75</v>
      </c>
      <c r="E1626">
        <v>31.3</v>
      </c>
      <c r="F1626" t="s">
        <v>9</v>
      </c>
      <c r="G16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26">
        <f>IF(Table1[[#This Row],[is_ups_overcharge]]="ups overcharged",Table1[[#This Row],[ups ship charge]]-Table1[[#This Row],[ada ship charge]],0)</f>
        <v>0</v>
      </c>
    </row>
    <row r="1627" spans="1:9" x14ac:dyDescent="0.2">
      <c r="A1627">
        <v>1022719</v>
      </c>
      <c r="B1627" t="s">
        <v>20</v>
      </c>
      <c r="C1627">
        <v>13.7</v>
      </c>
      <c r="D1627">
        <v>13.75</v>
      </c>
      <c r="E1627">
        <v>64.900000000000006</v>
      </c>
      <c r="F1627" t="s">
        <v>9</v>
      </c>
      <c r="G16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27">
        <f>IF(Table1[[#This Row],[is_ups_overcharge]]="ups overcharged",Table1[[#This Row],[ups ship charge]]-Table1[[#This Row],[ada ship charge]],0)</f>
        <v>0</v>
      </c>
    </row>
    <row r="1628" spans="1:9" x14ac:dyDescent="0.2">
      <c r="A1628">
        <v>1022720</v>
      </c>
      <c r="B1628" t="s">
        <v>20</v>
      </c>
      <c r="C1628">
        <v>12.81</v>
      </c>
      <c r="D1628">
        <v>12.86</v>
      </c>
      <c r="E1628">
        <v>68.7</v>
      </c>
      <c r="F1628" t="s">
        <v>9</v>
      </c>
      <c r="G16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28">
        <f>IF(Table1[[#This Row],[is_ups_overcharge]]="ups overcharged",Table1[[#This Row],[ups ship charge]]-Table1[[#This Row],[ada ship charge]],0)</f>
        <v>0</v>
      </c>
    </row>
    <row r="1629" spans="1:9" x14ac:dyDescent="0.2">
      <c r="A1629">
        <v>1022724</v>
      </c>
      <c r="B1629" t="s">
        <v>20</v>
      </c>
      <c r="C1629">
        <v>13.73</v>
      </c>
      <c r="D1629">
        <v>13.78</v>
      </c>
      <c r="E1629">
        <v>81.150000000000006</v>
      </c>
      <c r="F1629" t="s">
        <v>13</v>
      </c>
      <c r="G16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29">
        <f>IF(Table1[[#This Row],[is_ups_overcharge]]="ups overcharged",Table1[[#This Row],[ups ship charge]]-Table1[[#This Row],[ada ship charge]],0)</f>
        <v>0</v>
      </c>
    </row>
    <row r="1630" spans="1:9" x14ac:dyDescent="0.2">
      <c r="A1630">
        <v>1022762</v>
      </c>
      <c r="B1630" t="s">
        <v>20</v>
      </c>
      <c r="C1630">
        <v>12.81</v>
      </c>
      <c r="D1630">
        <v>12.86</v>
      </c>
      <c r="E1630">
        <v>63.8</v>
      </c>
      <c r="F1630" t="s">
        <v>9</v>
      </c>
      <c r="G16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30">
        <f>IF(Table1[[#This Row],[is_ups_overcharge]]="ups overcharged",Table1[[#This Row],[ups ship charge]]-Table1[[#This Row],[ada ship charge]],0)</f>
        <v>0</v>
      </c>
    </row>
    <row r="1631" spans="1:9" x14ac:dyDescent="0.2">
      <c r="A1631">
        <v>1022792</v>
      </c>
      <c r="B1631" t="s">
        <v>20</v>
      </c>
      <c r="C1631">
        <v>18.07</v>
      </c>
      <c r="D1631">
        <v>20.61</v>
      </c>
      <c r="E1631">
        <v>149.9</v>
      </c>
      <c r="F1631" t="s">
        <v>12</v>
      </c>
      <c r="G16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31">
        <f>IF(Table1[[#This Row],[is_ups_overcharge]]="ups overcharged",Table1[[#This Row],[ups ship charge]]-Table1[[#This Row],[ada ship charge]],0)</f>
        <v>0</v>
      </c>
    </row>
    <row r="1632" spans="1:9" x14ac:dyDescent="0.2">
      <c r="A1632">
        <v>1022796</v>
      </c>
      <c r="B1632" t="s">
        <v>20</v>
      </c>
      <c r="C1632">
        <v>13.7</v>
      </c>
      <c r="D1632">
        <v>13.75</v>
      </c>
      <c r="E1632">
        <v>29.35</v>
      </c>
      <c r="F1632" t="s">
        <v>9</v>
      </c>
      <c r="G16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32">
        <f>IF(Table1[[#This Row],[is_ups_overcharge]]="ups overcharged",Table1[[#This Row],[ups ship charge]]-Table1[[#This Row],[ada ship charge]],0)</f>
        <v>0</v>
      </c>
    </row>
    <row r="1633" spans="1:9" x14ac:dyDescent="0.2">
      <c r="A1633">
        <v>1022801</v>
      </c>
      <c r="B1633" t="s">
        <v>20</v>
      </c>
      <c r="C1633">
        <v>13.7</v>
      </c>
      <c r="D1633">
        <v>13.76</v>
      </c>
      <c r="E1633">
        <v>99.6</v>
      </c>
      <c r="F1633" t="s">
        <v>9</v>
      </c>
      <c r="G16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33">
        <f>IF(Table1[[#This Row],[is_ups_overcharge]]="ups overcharged",Table1[[#This Row],[ups ship charge]]-Table1[[#This Row],[ada ship charge]],0)</f>
        <v>0</v>
      </c>
    </row>
    <row r="1634" spans="1:9" x14ac:dyDescent="0.2">
      <c r="A1634">
        <v>1022836</v>
      </c>
      <c r="B1634" t="s">
        <v>20</v>
      </c>
      <c r="C1634">
        <v>13.7</v>
      </c>
      <c r="D1634">
        <v>13.75</v>
      </c>
      <c r="E1634">
        <v>26.9</v>
      </c>
      <c r="F1634" t="s">
        <v>9</v>
      </c>
      <c r="G16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34">
        <f>IF(Table1[[#This Row],[is_ups_overcharge]]="ups overcharged",Table1[[#This Row],[ups ship charge]]-Table1[[#This Row],[ada ship charge]],0)</f>
        <v>0</v>
      </c>
    </row>
    <row r="1635" spans="1:9" x14ac:dyDescent="0.2">
      <c r="A1635">
        <v>1022860</v>
      </c>
      <c r="B1635" t="s">
        <v>20</v>
      </c>
      <c r="C1635">
        <v>12.81</v>
      </c>
      <c r="D1635">
        <v>12.86</v>
      </c>
      <c r="E1635">
        <v>4.5</v>
      </c>
      <c r="F1635" t="s">
        <v>9</v>
      </c>
      <c r="G16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35">
        <f>IF(Table1[[#This Row],[is_ups_overcharge]]="ups overcharged",Table1[[#This Row],[ups ship charge]]-Table1[[#This Row],[ada ship charge]],0)</f>
        <v>0</v>
      </c>
    </row>
    <row r="1636" spans="1:9" x14ac:dyDescent="0.2">
      <c r="A1636">
        <v>1022891</v>
      </c>
      <c r="B1636" t="s">
        <v>20</v>
      </c>
      <c r="C1636">
        <v>15.44</v>
      </c>
      <c r="D1636">
        <v>15.49</v>
      </c>
      <c r="E1636">
        <v>119.5</v>
      </c>
      <c r="F1636" t="s">
        <v>12</v>
      </c>
      <c r="G16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36">
        <f>IF(Table1[[#This Row],[is_ups_overcharge]]="ups overcharged",Table1[[#This Row],[ups ship charge]]-Table1[[#This Row],[ada ship charge]],0)</f>
        <v>0</v>
      </c>
    </row>
    <row r="1637" spans="1:9" x14ac:dyDescent="0.2">
      <c r="A1637">
        <v>1022910</v>
      </c>
      <c r="B1637" t="s">
        <v>20</v>
      </c>
      <c r="C1637">
        <v>12.81</v>
      </c>
      <c r="D1637">
        <v>12.86</v>
      </c>
      <c r="E1637">
        <v>99.95</v>
      </c>
      <c r="F1637" t="s">
        <v>9</v>
      </c>
      <c r="G16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37">
        <f>IF(Table1[[#This Row],[is_ups_overcharge]]="ups overcharged",Table1[[#This Row],[ups ship charge]]-Table1[[#This Row],[ada ship charge]],0)</f>
        <v>0</v>
      </c>
    </row>
    <row r="1638" spans="1:9" x14ac:dyDescent="0.2">
      <c r="A1638">
        <v>1022920</v>
      </c>
      <c r="B1638" t="s">
        <v>20</v>
      </c>
      <c r="C1638">
        <v>12.81</v>
      </c>
      <c r="D1638">
        <v>12.86</v>
      </c>
      <c r="E1638">
        <v>36.75</v>
      </c>
      <c r="F1638" t="s">
        <v>9</v>
      </c>
      <c r="G16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38">
        <f>IF(Table1[[#This Row],[is_ups_overcharge]]="ups overcharged",Table1[[#This Row],[ups ship charge]]-Table1[[#This Row],[ada ship charge]],0)</f>
        <v>0</v>
      </c>
    </row>
    <row r="1639" spans="1:9" x14ac:dyDescent="0.2">
      <c r="A1639">
        <v>1022928</v>
      </c>
      <c r="B1639" t="s">
        <v>20</v>
      </c>
      <c r="C1639">
        <v>12.81</v>
      </c>
      <c r="D1639">
        <v>12.86</v>
      </c>
      <c r="E1639">
        <v>68.75</v>
      </c>
      <c r="F1639" t="s">
        <v>9</v>
      </c>
      <c r="G16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39">
        <f>IF(Table1[[#This Row],[is_ups_overcharge]]="ups overcharged",Table1[[#This Row],[ups ship charge]]-Table1[[#This Row],[ada ship charge]],0)</f>
        <v>0</v>
      </c>
    </row>
    <row r="1640" spans="1:9" x14ac:dyDescent="0.2">
      <c r="A1640">
        <v>1022951</v>
      </c>
      <c r="B1640" t="s">
        <v>20</v>
      </c>
      <c r="C1640">
        <v>12.81</v>
      </c>
      <c r="D1640">
        <v>12.86</v>
      </c>
      <c r="E1640">
        <v>29.8</v>
      </c>
      <c r="F1640" t="s">
        <v>9</v>
      </c>
      <c r="G16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40">
        <f>IF(Table1[[#This Row],[is_ups_overcharge]]="ups overcharged",Table1[[#This Row],[ups ship charge]]-Table1[[#This Row],[ada ship charge]],0)</f>
        <v>0</v>
      </c>
    </row>
    <row r="1641" spans="1:9" x14ac:dyDescent="0.2">
      <c r="A1641">
        <v>1022958</v>
      </c>
      <c r="B1641" t="s">
        <v>20</v>
      </c>
      <c r="C1641">
        <v>15.13</v>
      </c>
      <c r="D1641">
        <v>15.18</v>
      </c>
      <c r="E1641">
        <v>19.899999999999999</v>
      </c>
      <c r="F1641" t="s">
        <v>12</v>
      </c>
      <c r="G16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41">
        <f>IF(Table1[[#This Row],[is_ups_overcharge]]="ups overcharged",Table1[[#This Row],[ups ship charge]]-Table1[[#This Row],[ada ship charge]],0)</f>
        <v>0</v>
      </c>
    </row>
    <row r="1642" spans="1:9" x14ac:dyDescent="0.2">
      <c r="A1642">
        <v>1022964</v>
      </c>
      <c r="B1642" t="s">
        <v>20</v>
      </c>
      <c r="C1642">
        <v>12.81</v>
      </c>
      <c r="D1642">
        <v>12.86</v>
      </c>
      <c r="E1642">
        <v>20.9</v>
      </c>
      <c r="F1642" t="s">
        <v>9</v>
      </c>
      <c r="G16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42">
        <f>IF(Table1[[#This Row],[is_ups_overcharge]]="ups overcharged",Table1[[#This Row],[ups ship charge]]-Table1[[#This Row],[ada ship charge]],0)</f>
        <v>0</v>
      </c>
    </row>
    <row r="1643" spans="1:9" x14ac:dyDescent="0.2">
      <c r="A1643">
        <v>1022969</v>
      </c>
      <c r="B1643" t="s">
        <v>20</v>
      </c>
      <c r="C1643">
        <v>12.81</v>
      </c>
      <c r="D1643">
        <v>12.86</v>
      </c>
      <c r="E1643">
        <v>43.95</v>
      </c>
      <c r="F1643" t="s">
        <v>9</v>
      </c>
      <c r="G16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43">
        <f>IF(Table1[[#This Row],[is_ups_overcharge]]="ups overcharged",Table1[[#This Row],[ups ship charge]]-Table1[[#This Row],[ada ship charge]],0)</f>
        <v>0</v>
      </c>
    </row>
    <row r="1644" spans="1:9" x14ac:dyDescent="0.2">
      <c r="A1644">
        <v>1022978</v>
      </c>
      <c r="B1644" t="s">
        <v>20</v>
      </c>
      <c r="C1644">
        <v>13.7</v>
      </c>
      <c r="D1644">
        <v>13.76</v>
      </c>
      <c r="E1644">
        <v>106.5</v>
      </c>
      <c r="F1644" t="s">
        <v>9</v>
      </c>
      <c r="G16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44">
        <f>IF(Table1[[#This Row],[is_ups_overcharge]]="ups overcharged",Table1[[#This Row],[ups ship charge]]-Table1[[#This Row],[ada ship charge]],0)</f>
        <v>0</v>
      </c>
    </row>
    <row r="1645" spans="1:9" x14ac:dyDescent="0.2">
      <c r="A1645">
        <v>1022984</v>
      </c>
      <c r="B1645" t="s">
        <v>20</v>
      </c>
      <c r="C1645">
        <v>13.71</v>
      </c>
      <c r="D1645">
        <v>13.75</v>
      </c>
      <c r="E1645">
        <v>29.45</v>
      </c>
      <c r="F1645" t="s">
        <v>9</v>
      </c>
      <c r="G16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45">
        <f>IF(Table1[[#This Row],[is_ups_overcharge]]="ups overcharged",Table1[[#This Row],[ups ship charge]]-Table1[[#This Row],[ada ship charge]],0)</f>
        <v>0</v>
      </c>
    </row>
    <row r="1646" spans="1:9" x14ac:dyDescent="0.2">
      <c r="A1646">
        <v>1022988</v>
      </c>
      <c r="B1646" t="s">
        <v>20</v>
      </c>
      <c r="C1646">
        <v>13.7</v>
      </c>
      <c r="D1646">
        <v>14.47</v>
      </c>
      <c r="E1646">
        <v>54.05</v>
      </c>
      <c r="F1646" t="s">
        <v>9</v>
      </c>
      <c r="G16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46">
        <f>IF(Table1[[#This Row],[is_ups_overcharge]]="ups overcharged",Table1[[#This Row],[ups ship charge]]-Table1[[#This Row],[ada ship charge]],0)</f>
        <v>0</v>
      </c>
    </row>
    <row r="1647" spans="1:9" x14ac:dyDescent="0.2">
      <c r="A1647">
        <v>1022991</v>
      </c>
      <c r="B1647" t="s">
        <v>20</v>
      </c>
      <c r="C1647">
        <v>12.81</v>
      </c>
      <c r="D1647">
        <v>12.86</v>
      </c>
      <c r="E1647">
        <v>79.75</v>
      </c>
      <c r="F1647" t="s">
        <v>9</v>
      </c>
      <c r="G16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47">
        <f>IF(Table1[[#This Row],[is_ups_overcharge]]="ups overcharged",Table1[[#This Row],[ups ship charge]]-Table1[[#This Row],[ada ship charge]],0)</f>
        <v>0</v>
      </c>
    </row>
    <row r="1648" spans="1:9" x14ac:dyDescent="0.2">
      <c r="A1648">
        <v>1022993</v>
      </c>
      <c r="B1648" t="s">
        <v>20</v>
      </c>
      <c r="C1648">
        <v>12.81</v>
      </c>
      <c r="D1648">
        <v>12.86</v>
      </c>
      <c r="E1648">
        <v>3.65</v>
      </c>
      <c r="F1648" t="s">
        <v>9</v>
      </c>
      <c r="G16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48">
        <f>IF(Table1[[#This Row],[is_ups_overcharge]]="ups overcharged",Table1[[#This Row],[ups ship charge]]-Table1[[#This Row],[ada ship charge]],0)</f>
        <v>0</v>
      </c>
    </row>
    <row r="1649" spans="1:9" x14ac:dyDescent="0.2">
      <c r="A1649">
        <v>1023031</v>
      </c>
      <c r="B1649" t="s">
        <v>20</v>
      </c>
      <c r="C1649">
        <v>13.7</v>
      </c>
      <c r="D1649">
        <v>13.75</v>
      </c>
      <c r="E1649">
        <v>18.95</v>
      </c>
      <c r="F1649" t="s">
        <v>9</v>
      </c>
      <c r="G16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49">
        <f>IF(Table1[[#This Row],[is_ups_overcharge]]="ups overcharged",Table1[[#This Row],[ups ship charge]]-Table1[[#This Row],[ada ship charge]],0)</f>
        <v>0</v>
      </c>
    </row>
    <row r="1650" spans="1:9" x14ac:dyDescent="0.2">
      <c r="A1650">
        <v>1023043</v>
      </c>
      <c r="B1650" t="s">
        <v>20</v>
      </c>
      <c r="C1650">
        <v>12.81</v>
      </c>
      <c r="D1650">
        <v>0</v>
      </c>
      <c r="E1650">
        <v>226.65</v>
      </c>
      <c r="F1650" t="s">
        <v>9</v>
      </c>
      <c r="G16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65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650">
        <f>IF(Table1[[#This Row],[is_ups_overcharge]]="ups overcharged",Table1[[#This Row],[ups ship charge]]-Table1[[#This Row],[ada ship charge]],0)</f>
        <v>0</v>
      </c>
    </row>
    <row r="1651" spans="1:9" x14ac:dyDescent="0.2">
      <c r="A1651">
        <v>1023062</v>
      </c>
      <c r="B1651" t="s">
        <v>20</v>
      </c>
      <c r="C1651">
        <v>26.7</v>
      </c>
      <c r="D1651">
        <v>13.75</v>
      </c>
      <c r="E1651">
        <v>96.7</v>
      </c>
      <c r="F1651" t="s">
        <v>9</v>
      </c>
      <c r="G16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51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651">
        <f>IF(Table1[[#This Row],[is_ups_overcharge]]="ups overcharged",Table1[[#This Row],[ups ship charge]]-Table1[[#This Row],[ada ship charge]],0)</f>
        <v>12.95</v>
      </c>
    </row>
    <row r="1652" spans="1:9" x14ac:dyDescent="0.2">
      <c r="A1652">
        <v>1023082</v>
      </c>
      <c r="B1652" t="s">
        <v>20</v>
      </c>
      <c r="C1652">
        <v>13.7</v>
      </c>
      <c r="D1652">
        <v>0</v>
      </c>
      <c r="E1652">
        <v>296.5</v>
      </c>
      <c r="F1652" t="s">
        <v>9</v>
      </c>
      <c r="G16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65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652">
        <f>IF(Table1[[#This Row],[is_ups_overcharge]]="ups overcharged",Table1[[#This Row],[ups ship charge]]-Table1[[#This Row],[ada ship charge]],0)</f>
        <v>0</v>
      </c>
    </row>
    <row r="1653" spans="1:9" x14ac:dyDescent="0.2">
      <c r="A1653">
        <v>1023095</v>
      </c>
      <c r="B1653" t="s">
        <v>20</v>
      </c>
      <c r="C1653">
        <v>13.7</v>
      </c>
      <c r="D1653">
        <v>13.75</v>
      </c>
      <c r="E1653">
        <v>45.3</v>
      </c>
      <c r="F1653" t="s">
        <v>9</v>
      </c>
      <c r="G16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53">
        <f>IF(Table1[[#This Row],[is_ups_overcharge]]="ups overcharged",Table1[[#This Row],[ups ship charge]]-Table1[[#This Row],[ada ship charge]],0)</f>
        <v>0</v>
      </c>
    </row>
    <row r="1654" spans="1:9" x14ac:dyDescent="0.2">
      <c r="A1654">
        <v>1023097</v>
      </c>
      <c r="B1654" t="s">
        <v>20</v>
      </c>
      <c r="C1654">
        <v>13.7</v>
      </c>
      <c r="D1654">
        <v>14.15</v>
      </c>
      <c r="E1654">
        <v>99.95</v>
      </c>
      <c r="F1654" t="s">
        <v>9</v>
      </c>
      <c r="G16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54">
        <f>IF(Table1[[#This Row],[is_ups_overcharge]]="ups overcharged",Table1[[#This Row],[ups ship charge]]-Table1[[#This Row],[ada ship charge]],0)</f>
        <v>0</v>
      </c>
    </row>
    <row r="1655" spans="1:9" x14ac:dyDescent="0.2">
      <c r="A1655">
        <v>1023099</v>
      </c>
      <c r="B1655" t="s">
        <v>20</v>
      </c>
      <c r="C1655">
        <v>16.46</v>
      </c>
      <c r="D1655">
        <v>16.510000000000002</v>
      </c>
      <c r="E1655">
        <v>69.900000000000006</v>
      </c>
      <c r="F1655" t="s">
        <v>10</v>
      </c>
      <c r="G16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55">
        <f>IF(Table1[[#This Row],[is_ups_overcharge]]="ups overcharged",Table1[[#This Row],[ups ship charge]]-Table1[[#This Row],[ada ship charge]],0)</f>
        <v>0</v>
      </c>
    </row>
    <row r="1656" spans="1:9" x14ac:dyDescent="0.2">
      <c r="A1656">
        <v>1023113</v>
      </c>
      <c r="B1656" t="s">
        <v>20</v>
      </c>
      <c r="C1656">
        <v>18.149999999999999</v>
      </c>
      <c r="D1656">
        <v>18.2</v>
      </c>
      <c r="E1656">
        <v>23.75</v>
      </c>
      <c r="F1656" t="s">
        <v>15</v>
      </c>
      <c r="G16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56">
        <f>IF(Table1[[#This Row],[is_ups_overcharge]]="ups overcharged",Table1[[#This Row],[ups ship charge]]-Table1[[#This Row],[ada ship charge]],0)</f>
        <v>0</v>
      </c>
    </row>
    <row r="1657" spans="1:9" x14ac:dyDescent="0.2">
      <c r="A1657">
        <v>1023116</v>
      </c>
      <c r="B1657" t="s">
        <v>20</v>
      </c>
      <c r="C1657">
        <v>13.7</v>
      </c>
      <c r="D1657">
        <v>13.75</v>
      </c>
      <c r="E1657">
        <v>60</v>
      </c>
      <c r="F1657" t="s">
        <v>9</v>
      </c>
      <c r="G16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57">
        <f>IF(Table1[[#This Row],[is_ups_overcharge]]="ups overcharged",Table1[[#This Row],[ups ship charge]]-Table1[[#This Row],[ada ship charge]],0)</f>
        <v>0</v>
      </c>
    </row>
    <row r="1658" spans="1:9" x14ac:dyDescent="0.2">
      <c r="A1658">
        <v>1023127</v>
      </c>
      <c r="B1658" t="s">
        <v>20</v>
      </c>
      <c r="C1658">
        <v>13.7</v>
      </c>
      <c r="D1658">
        <v>13.75</v>
      </c>
      <c r="E1658">
        <v>19.75</v>
      </c>
      <c r="F1658" t="s">
        <v>9</v>
      </c>
      <c r="G16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58">
        <f>IF(Table1[[#This Row],[is_ups_overcharge]]="ups overcharged",Table1[[#This Row],[ups ship charge]]-Table1[[#This Row],[ada ship charge]],0)</f>
        <v>0</v>
      </c>
    </row>
    <row r="1659" spans="1:9" x14ac:dyDescent="0.2">
      <c r="A1659">
        <v>1023129</v>
      </c>
      <c r="B1659" t="s">
        <v>20</v>
      </c>
      <c r="C1659">
        <v>12.81</v>
      </c>
      <c r="D1659">
        <v>12.86</v>
      </c>
      <c r="E1659">
        <v>9.1999999999999993</v>
      </c>
      <c r="F1659" t="s">
        <v>9</v>
      </c>
      <c r="G16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59">
        <f>IF(Table1[[#This Row],[is_ups_overcharge]]="ups overcharged",Table1[[#This Row],[ups ship charge]]-Table1[[#This Row],[ada ship charge]],0)</f>
        <v>0</v>
      </c>
    </row>
    <row r="1660" spans="1:9" x14ac:dyDescent="0.2">
      <c r="A1660">
        <v>1023175</v>
      </c>
      <c r="B1660" t="s">
        <v>20</v>
      </c>
      <c r="C1660">
        <v>26.7</v>
      </c>
      <c r="D1660">
        <v>13.75</v>
      </c>
      <c r="E1660">
        <v>25.3</v>
      </c>
      <c r="F1660" t="s">
        <v>9</v>
      </c>
      <c r="G16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60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660">
        <f>IF(Table1[[#This Row],[is_ups_overcharge]]="ups overcharged",Table1[[#This Row],[ups ship charge]]-Table1[[#This Row],[ada ship charge]],0)</f>
        <v>12.95</v>
      </c>
    </row>
    <row r="1661" spans="1:9" x14ac:dyDescent="0.2">
      <c r="A1661">
        <v>1023184</v>
      </c>
      <c r="B1661" t="s">
        <v>20</v>
      </c>
      <c r="C1661">
        <v>16.77</v>
      </c>
      <c r="D1661">
        <v>16.82</v>
      </c>
      <c r="E1661">
        <v>49.9</v>
      </c>
      <c r="F1661" t="s">
        <v>10</v>
      </c>
      <c r="G16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61">
        <f>IF(Table1[[#This Row],[is_ups_overcharge]]="ups overcharged",Table1[[#This Row],[ups ship charge]]-Table1[[#This Row],[ada ship charge]],0)</f>
        <v>0</v>
      </c>
    </row>
    <row r="1662" spans="1:9" x14ac:dyDescent="0.2">
      <c r="A1662">
        <v>1023194</v>
      </c>
      <c r="B1662" t="s">
        <v>20</v>
      </c>
      <c r="C1662">
        <v>13.7</v>
      </c>
      <c r="D1662">
        <v>13.75</v>
      </c>
      <c r="E1662">
        <v>37.799999999999997</v>
      </c>
      <c r="F1662" t="s">
        <v>9</v>
      </c>
      <c r="G16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62">
        <f>IF(Table1[[#This Row],[is_ups_overcharge]]="ups overcharged",Table1[[#This Row],[ups ship charge]]-Table1[[#This Row],[ada ship charge]],0)</f>
        <v>0</v>
      </c>
    </row>
    <row r="1663" spans="1:9" x14ac:dyDescent="0.2">
      <c r="A1663">
        <v>1023227</v>
      </c>
      <c r="B1663" t="s">
        <v>20</v>
      </c>
      <c r="C1663">
        <v>16.559999999999999</v>
      </c>
      <c r="D1663">
        <v>16.61</v>
      </c>
      <c r="E1663">
        <v>100.85</v>
      </c>
      <c r="F1663" t="s">
        <v>10</v>
      </c>
      <c r="G16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63">
        <f>IF(Table1[[#This Row],[is_ups_overcharge]]="ups overcharged",Table1[[#This Row],[ups ship charge]]-Table1[[#This Row],[ada ship charge]],0)</f>
        <v>0</v>
      </c>
    </row>
    <row r="1664" spans="1:9" x14ac:dyDescent="0.2">
      <c r="A1664">
        <v>1023229</v>
      </c>
      <c r="B1664" t="s">
        <v>20</v>
      </c>
      <c r="C1664">
        <v>22.01</v>
      </c>
      <c r="D1664">
        <v>27.8</v>
      </c>
      <c r="E1664">
        <v>144.65</v>
      </c>
      <c r="F1664" t="s">
        <v>10</v>
      </c>
      <c r="G16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64">
        <f>IF(Table1[[#This Row],[is_ups_overcharge]]="ups overcharged",Table1[[#This Row],[ups ship charge]]-Table1[[#This Row],[ada ship charge]],0)</f>
        <v>0</v>
      </c>
    </row>
    <row r="1665" spans="1:9" x14ac:dyDescent="0.2">
      <c r="A1665">
        <v>1023247</v>
      </c>
      <c r="B1665" t="s">
        <v>20</v>
      </c>
      <c r="C1665">
        <v>12.81</v>
      </c>
      <c r="D1665">
        <v>12.86</v>
      </c>
      <c r="E1665">
        <v>19.899999999999999</v>
      </c>
      <c r="F1665" t="s">
        <v>9</v>
      </c>
      <c r="G16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65">
        <f>IF(Table1[[#This Row],[is_ups_overcharge]]="ups overcharged",Table1[[#This Row],[ups ship charge]]-Table1[[#This Row],[ada ship charge]],0)</f>
        <v>0</v>
      </c>
    </row>
    <row r="1666" spans="1:9" x14ac:dyDescent="0.2">
      <c r="A1666">
        <v>1023251</v>
      </c>
      <c r="B1666" t="s">
        <v>20</v>
      </c>
      <c r="C1666">
        <v>9.6999999999999993</v>
      </c>
      <c r="D1666">
        <v>9.75</v>
      </c>
      <c r="E1666">
        <v>9.9499999999999993</v>
      </c>
      <c r="F1666" t="s">
        <v>6</v>
      </c>
      <c r="G16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66">
        <f>IF(Table1[[#This Row],[is_ups_overcharge]]="ups overcharged",Table1[[#This Row],[ups ship charge]]-Table1[[#This Row],[ada ship charge]],0)</f>
        <v>0</v>
      </c>
    </row>
    <row r="1667" spans="1:9" x14ac:dyDescent="0.2">
      <c r="A1667">
        <v>1031127</v>
      </c>
      <c r="B1667" t="s">
        <v>21</v>
      </c>
      <c r="C1667">
        <v>9.6999999999999993</v>
      </c>
      <c r="D1667">
        <v>13.75</v>
      </c>
      <c r="E1667">
        <v>29.95</v>
      </c>
      <c r="F1667" t="s">
        <v>6</v>
      </c>
      <c r="G16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67">
        <f>IF(Table1[[#This Row],[is_ups_overcharge]]="ups overcharged",Table1[[#This Row],[ups ship charge]]-Table1[[#This Row],[ada ship charge]],0)</f>
        <v>0</v>
      </c>
    </row>
    <row r="1668" spans="1:9" x14ac:dyDescent="0.2">
      <c r="A1668">
        <v>1023271</v>
      </c>
      <c r="B1668" t="s">
        <v>20</v>
      </c>
      <c r="C1668">
        <v>16.46</v>
      </c>
      <c r="D1668">
        <v>16.510000000000002</v>
      </c>
      <c r="E1668">
        <v>114.95</v>
      </c>
      <c r="F1668" t="s">
        <v>10</v>
      </c>
      <c r="G16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68">
        <f>IF(Table1[[#This Row],[is_ups_overcharge]]="ups overcharged",Table1[[#This Row],[ups ship charge]]-Table1[[#This Row],[ada ship charge]],0)</f>
        <v>0</v>
      </c>
    </row>
    <row r="1669" spans="1:9" x14ac:dyDescent="0.2">
      <c r="A1669">
        <v>1023288</v>
      </c>
      <c r="B1669" t="s">
        <v>20</v>
      </c>
      <c r="C1669">
        <v>9.7100000000000009</v>
      </c>
      <c r="D1669">
        <v>9.76</v>
      </c>
      <c r="E1669">
        <v>20</v>
      </c>
      <c r="F1669" t="s">
        <v>6</v>
      </c>
      <c r="G16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69">
        <f>IF(Table1[[#This Row],[is_ups_overcharge]]="ups overcharged",Table1[[#This Row],[ups ship charge]]-Table1[[#This Row],[ada ship charge]],0)</f>
        <v>0</v>
      </c>
    </row>
    <row r="1670" spans="1:9" x14ac:dyDescent="0.2">
      <c r="A1670">
        <v>1023294</v>
      </c>
      <c r="B1670" t="s">
        <v>20</v>
      </c>
      <c r="C1670">
        <v>13.7</v>
      </c>
      <c r="D1670">
        <v>13.75</v>
      </c>
      <c r="E1670">
        <v>67.8</v>
      </c>
      <c r="F1670" t="s">
        <v>9</v>
      </c>
      <c r="G16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70">
        <f>IF(Table1[[#This Row],[is_ups_overcharge]]="ups overcharged",Table1[[#This Row],[ups ship charge]]-Table1[[#This Row],[ada ship charge]],0)</f>
        <v>0</v>
      </c>
    </row>
    <row r="1671" spans="1:9" x14ac:dyDescent="0.2">
      <c r="A1671">
        <v>1023297</v>
      </c>
      <c r="B1671" t="s">
        <v>20</v>
      </c>
      <c r="C1671">
        <v>16.77</v>
      </c>
      <c r="D1671">
        <v>16.82</v>
      </c>
      <c r="E1671">
        <v>25.95</v>
      </c>
      <c r="F1671" t="s">
        <v>10</v>
      </c>
      <c r="G16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71">
        <f>IF(Table1[[#This Row],[is_ups_overcharge]]="ups overcharged",Table1[[#This Row],[ups ship charge]]-Table1[[#This Row],[ada ship charge]],0)</f>
        <v>0</v>
      </c>
    </row>
    <row r="1672" spans="1:9" x14ac:dyDescent="0.2">
      <c r="A1672">
        <v>1023301</v>
      </c>
      <c r="B1672" t="s">
        <v>20</v>
      </c>
      <c r="C1672">
        <v>12.81</v>
      </c>
      <c r="D1672">
        <v>12.86</v>
      </c>
      <c r="E1672">
        <v>53.35</v>
      </c>
      <c r="F1672" t="s">
        <v>9</v>
      </c>
      <c r="G16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72">
        <f>IF(Table1[[#This Row],[is_ups_overcharge]]="ups overcharged",Table1[[#This Row],[ups ship charge]]-Table1[[#This Row],[ada ship charge]],0)</f>
        <v>0</v>
      </c>
    </row>
    <row r="1673" spans="1:9" x14ac:dyDescent="0.2">
      <c r="A1673">
        <v>1023306</v>
      </c>
      <c r="B1673" t="s">
        <v>20</v>
      </c>
      <c r="C1673">
        <v>13.71</v>
      </c>
      <c r="D1673">
        <v>13.76</v>
      </c>
      <c r="E1673">
        <v>107.75</v>
      </c>
      <c r="F1673" t="s">
        <v>9</v>
      </c>
      <c r="G16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73">
        <f>IF(Table1[[#This Row],[is_ups_overcharge]]="ups overcharged",Table1[[#This Row],[ups ship charge]]-Table1[[#This Row],[ada ship charge]],0)</f>
        <v>0</v>
      </c>
    </row>
    <row r="1674" spans="1:9" x14ac:dyDescent="0.2">
      <c r="A1674">
        <v>1023309</v>
      </c>
      <c r="B1674" t="s">
        <v>20</v>
      </c>
      <c r="C1674">
        <v>60.85</v>
      </c>
      <c r="D1674">
        <v>60.9</v>
      </c>
      <c r="E1674">
        <v>140.1</v>
      </c>
      <c r="F1674" t="s">
        <v>8</v>
      </c>
      <c r="G16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74">
        <f>IF(Table1[[#This Row],[is_ups_overcharge]]="ups overcharged",Table1[[#This Row],[ups ship charge]]-Table1[[#This Row],[ada ship charge]],0)</f>
        <v>0</v>
      </c>
    </row>
    <row r="1675" spans="1:9" x14ac:dyDescent="0.2">
      <c r="A1675">
        <v>1023310</v>
      </c>
      <c r="B1675" t="s">
        <v>20</v>
      </c>
      <c r="C1675">
        <v>12.81</v>
      </c>
      <c r="D1675">
        <v>0</v>
      </c>
      <c r="E1675">
        <v>219.8</v>
      </c>
      <c r="F1675" t="s">
        <v>9</v>
      </c>
      <c r="G16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67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675">
        <f>IF(Table1[[#This Row],[is_ups_overcharge]]="ups overcharged",Table1[[#This Row],[ups ship charge]]-Table1[[#This Row],[ada ship charge]],0)</f>
        <v>0</v>
      </c>
    </row>
    <row r="1676" spans="1:9" x14ac:dyDescent="0.2">
      <c r="A1676">
        <v>1023313</v>
      </c>
      <c r="B1676" t="s">
        <v>20</v>
      </c>
      <c r="C1676">
        <v>13.71</v>
      </c>
      <c r="D1676">
        <v>13.75</v>
      </c>
      <c r="E1676">
        <v>24.95</v>
      </c>
      <c r="F1676" t="s">
        <v>9</v>
      </c>
      <c r="G16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76">
        <f>IF(Table1[[#This Row],[is_ups_overcharge]]="ups overcharged",Table1[[#This Row],[ups ship charge]]-Table1[[#This Row],[ada ship charge]],0)</f>
        <v>0</v>
      </c>
    </row>
    <row r="1677" spans="1:9" x14ac:dyDescent="0.2">
      <c r="A1677">
        <v>1023333</v>
      </c>
      <c r="B1677" t="s">
        <v>20</v>
      </c>
      <c r="C1677">
        <v>13.7</v>
      </c>
      <c r="D1677">
        <v>0</v>
      </c>
      <c r="E1677">
        <v>227.05</v>
      </c>
      <c r="F1677" t="s">
        <v>9</v>
      </c>
      <c r="G16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67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677">
        <f>IF(Table1[[#This Row],[is_ups_overcharge]]="ups overcharged",Table1[[#This Row],[ups ship charge]]-Table1[[#This Row],[ada ship charge]],0)</f>
        <v>0</v>
      </c>
    </row>
    <row r="1678" spans="1:9" x14ac:dyDescent="0.2">
      <c r="A1678">
        <v>1023351</v>
      </c>
      <c r="B1678" t="s">
        <v>20</v>
      </c>
      <c r="C1678">
        <v>13.7</v>
      </c>
      <c r="D1678">
        <v>13.76</v>
      </c>
      <c r="E1678">
        <v>105.9</v>
      </c>
      <c r="F1678" t="s">
        <v>9</v>
      </c>
      <c r="G16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78">
        <f>IF(Table1[[#This Row],[is_ups_overcharge]]="ups overcharged",Table1[[#This Row],[ups ship charge]]-Table1[[#This Row],[ada ship charge]],0)</f>
        <v>0</v>
      </c>
    </row>
    <row r="1679" spans="1:9" x14ac:dyDescent="0.2">
      <c r="A1679">
        <v>1023355</v>
      </c>
      <c r="B1679" t="s">
        <v>20</v>
      </c>
      <c r="C1679">
        <v>13.7</v>
      </c>
      <c r="D1679">
        <v>13.75</v>
      </c>
      <c r="E1679">
        <v>70.2</v>
      </c>
      <c r="F1679" t="s">
        <v>9</v>
      </c>
      <c r="G16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79">
        <f>IF(Table1[[#This Row],[is_ups_overcharge]]="ups overcharged",Table1[[#This Row],[ups ship charge]]-Table1[[#This Row],[ada ship charge]],0)</f>
        <v>0</v>
      </c>
    </row>
    <row r="1680" spans="1:9" x14ac:dyDescent="0.2">
      <c r="A1680">
        <v>1023359</v>
      </c>
      <c r="B1680" t="s">
        <v>20</v>
      </c>
      <c r="C1680">
        <v>13.71</v>
      </c>
      <c r="D1680">
        <v>13.76</v>
      </c>
      <c r="E1680">
        <v>27.8</v>
      </c>
      <c r="F1680" t="s">
        <v>9</v>
      </c>
      <c r="G16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80">
        <f>IF(Table1[[#This Row],[is_ups_overcharge]]="ups overcharged",Table1[[#This Row],[ups ship charge]]-Table1[[#This Row],[ada ship charge]],0)</f>
        <v>0</v>
      </c>
    </row>
    <row r="1681" spans="1:9" x14ac:dyDescent="0.2">
      <c r="A1681">
        <v>1023361</v>
      </c>
      <c r="B1681" t="s">
        <v>20</v>
      </c>
      <c r="C1681">
        <v>13.7</v>
      </c>
      <c r="D1681">
        <v>13.75</v>
      </c>
      <c r="E1681">
        <v>29.7</v>
      </c>
      <c r="F1681" t="s">
        <v>9</v>
      </c>
      <c r="G16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81">
        <f>IF(Table1[[#This Row],[is_ups_overcharge]]="ups overcharged",Table1[[#This Row],[ups ship charge]]-Table1[[#This Row],[ada ship charge]],0)</f>
        <v>0</v>
      </c>
    </row>
    <row r="1682" spans="1:9" x14ac:dyDescent="0.2">
      <c r="A1682">
        <v>1023377</v>
      </c>
      <c r="B1682" t="s">
        <v>20</v>
      </c>
      <c r="C1682">
        <v>16.399999999999999</v>
      </c>
      <c r="D1682">
        <v>19.010000000000002</v>
      </c>
      <c r="E1682">
        <v>46.5</v>
      </c>
      <c r="F1682" t="s">
        <v>12</v>
      </c>
      <c r="G16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82">
        <f>IF(Table1[[#This Row],[is_ups_overcharge]]="ups overcharged",Table1[[#This Row],[ups ship charge]]-Table1[[#This Row],[ada ship charge]],0)</f>
        <v>0</v>
      </c>
    </row>
    <row r="1683" spans="1:9" x14ac:dyDescent="0.2">
      <c r="A1683">
        <v>1023382</v>
      </c>
      <c r="B1683" t="s">
        <v>20</v>
      </c>
      <c r="C1683">
        <v>13.7</v>
      </c>
      <c r="D1683">
        <v>13.75</v>
      </c>
      <c r="E1683">
        <v>11.95</v>
      </c>
      <c r="F1683" t="s">
        <v>9</v>
      </c>
      <c r="G16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83">
        <f>IF(Table1[[#This Row],[is_ups_overcharge]]="ups overcharged",Table1[[#This Row],[ups ship charge]]-Table1[[#This Row],[ada ship charge]],0)</f>
        <v>0</v>
      </c>
    </row>
    <row r="1684" spans="1:9" x14ac:dyDescent="0.2">
      <c r="A1684">
        <v>1023390</v>
      </c>
      <c r="B1684" t="s">
        <v>20</v>
      </c>
      <c r="C1684">
        <v>13.7</v>
      </c>
      <c r="D1684">
        <v>13.75</v>
      </c>
      <c r="E1684">
        <v>44.85</v>
      </c>
      <c r="F1684" t="s">
        <v>9</v>
      </c>
      <c r="G16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84">
        <f>IF(Table1[[#This Row],[is_ups_overcharge]]="ups overcharged",Table1[[#This Row],[ups ship charge]]-Table1[[#This Row],[ada ship charge]],0)</f>
        <v>0</v>
      </c>
    </row>
    <row r="1685" spans="1:9" x14ac:dyDescent="0.2">
      <c r="A1685">
        <v>1023402</v>
      </c>
      <c r="B1685" t="s">
        <v>20</v>
      </c>
      <c r="C1685">
        <v>16.77</v>
      </c>
      <c r="D1685">
        <v>16.82</v>
      </c>
      <c r="E1685">
        <v>114.95</v>
      </c>
      <c r="F1685" t="s">
        <v>10</v>
      </c>
      <c r="G16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85">
        <f>IF(Table1[[#This Row],[is_ups_overcharge]]="ups overcharged",Table1[[#This Row],[ups ship charge]]-Table1[[#This Row],[ada ship charge]],0)</f>
        <v>0</v>
      </c>
    </row>
    <row r="1686" spans="1:9" x14ac:dyDescent="0.2">
      <c r="A1686">
        <v>1023404</v>
      </c>
      <c r="B1686" t="s">
        <v>20</v>
      </c>
      <c r="C1686">
        <v>12.81</v>
      </c>
      <c r="D1686">
        <v>12.86</v>
      </c>
      <c r="E1686">
        <v>64.3</v>
      </c>
      <c r="F1686" t="s">
        <v>9</v>
      </c>
      <c r="G16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86">
        <f>IF(Table1[[#This Row],[is_ups_overcharge]]="ups overcharged",Table1[[#This Row],[ups ship charge]]-Table1[[#This Row],[ada ship charge]],0)</f>
        <v>0</v>
      </c>
    </row>
    <row r="1687" spans="1:9" x14ac:dyDescent="0.2">
      <c r="A1687">
        <v>1023408</v>
      </c>
      <c r="B1687" t="s">
        <v>20</v>
      </c>
      <c r="C1687">
        <v>12.81</v>
      </c>
      <c r="D1687">
        <v>12.86</v>
      </c>
      <c r="E1687">
        <v>33.85</v>
      </c>
      <c r="F1687" t="s">
        <v>9</v>
      </c>
      <c r="G16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87">
        <f>IF(Table1[[#This Row],[is_ups_overcharge]]="ups overcharged",Table1[[#This Row],[ups ship charge]]-Table1[[#This Row],[ada ship charge]],0)</f>
        <v>0</v>
      </c>
    </row>
    <row r="1688" spans="1:9" x14ac:dyDescent="0.2">
      <c r="A1688">
        <v>1023427</v>
      </c>
      <c r="B1688" t="s">
        <v>20</v>
      </c>
      <c r="C1688">
        <v>15.44</v>
      </c>
      <c r="D1688">
        <v>15.49</v>
      </c>
      <c r="E1688">
        <v>165</v>
      </c>
      <c r="F1688" t="s">
        <v>12</v>
      </c>
      <c r="G16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88">
        <f>IF(Table1[[#This Row],[is_ups_overcharge]]="ups overcharged",Table1[[#This Row],[ups ship charge]]-Table1[[#This Row],[ada ship charge]],0)</f>
        <v>0</v>
      </c>
    </row>
    <row r="1689" spans="1:9" x14ac:dyDescent="0.2">
      <c r="A1689">
        <v>1023428</v>
      </c>
      <c r="B1689" t="s">
        <v>20</v>
      </c>
      <c r="C1689">
        <v>12.81</v>
      </c>
      <c r="D1689">
        <v>12.86</v>
      </c>
      <c r="E1689">
        <v>24.4</v>
      </c>
      <c r="F1689" t="s">
        <v>9</v>
      </c>
      <c r="G16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89">
        <f>IF(Table1[[#This Row],[is_ups_overcharge]]="ups overcharged",Table1[[#This Row],[ups ship charge]]-Table1[[#This Row],[ada ship charge]],0)</f>
        <v>0</v>
      </c>
    </row>
    <row r="1690" spans="1:9" x14ac:dyDescent="0.2">
      <c r="A1690">
        <v>1023445</v>
      </c>
      <c r="B1690" t="s">
        <v>20</v>
      </c>
      <c r="C1690">
        <v>12.81</v>
      </c>
      <c r="D1690">
        <v>0</v>
      </c>
      <c r="E1690">
        <v>287.73</v>
      </c>
      <c r="F1690" t="s">
        <v>9</v>
      </c>
      <c r="G16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69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690">
        <f>IF(Table1[[#This Row],[is_ups_overcharge]]="ups overcharged",Table1[[#This Row],[ups ship charge]]-Table1[[#This Row],[ada ship charge]],0)</f>
        <v>0</v>
      </c>
    </row>
    <row r="1691" spans="1:9" x14ac:dyDescent="0.2">
      <c r="A1691">
        <v>1023463</v>
      </c>
      <c r="B1691" t="s">
        <v>20</v>
      </c>
      <c r="C1691">
        <v>13.7</v>
      </c>
      <c r="D1691">
        <v>13.75</v>
      </c>
      <c r="E1691">
        <v>32.9</v>
      </c>
      <c r="F1691" t="s">
        <v>9</v>
      </c>
      <c r="G16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91">
        <f>IF(Table1[[#This Row],[is_ups_overcharge]]="ups overcharged",Table1[[#This Row],[ups ship charge]]-Table1[[#This Row],[ada ship charge]],0)</f>
        <v>0</v>
      </c>
    </row>
    <row r="1692" spans="1:9" x14ac:dyDescent="0.2">
      <c r="A1692">
        <v>1023486</v>
      </c>
      <c r="B1692" t="s">
        <v>20</v>
      </c>
      <c r="C1692">
        <v>12.81</v>
      </c>
      <c r="D1692">
        <v>12.86</v>
      </c>
      <c r="E1692">
        <v>42</v>
      </c>
      <c r="F1692" t="s">
        <v>9</v>
      </c>
      <c r="G16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92">
        <f>IF(Table1[[#This Row],[is_ups_overcharge]]="ups overcharged",Table1[[#This Row],[ups ship charge]]-Table1[[#This Row],[ada ship charge]],0)</f>
        <v>0</v>
      </c>
    </row>
    <row r="1693" spans="1:9" x14ac:dyDescent="0.2">
      <c r="A1693">
        <v>1023502</v>
      </c>
      <c r="B1693" t="s">
        <v>20</v>
      </c>
      <c r="C1693">
        <v>12.73</v>
      </c>
      <c r="D1693">
        <v>0</v>
      </c>
      <c r="E1693">
        <v>1275.45</v>
      </c>
      <c r="F1693" t="s">
        <v>6</v>
      </c>
      <c r="G16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69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693">
        <f>IF(Table1[[#This Row],[is_ups_overcharge]]="ups overcharged",Table1[[#This Row],[ups ship charge]]-Table1[[#This Row],[ada ship charge]],0)</f>
        <v>0</v>
      </c>
    </row>
    <row r="1694" spans="1:9" x14ac:dyDescent="0.2">
      <c r="A1694">
        <v>1023522</v>
      </c>
      <c r="B1694" t="s">
        <v>20</v>
      </c>
      <c r="C1694">
        <v>12.81</v>
      </c>
      <c r="D1694">
        <v>12.86</v>
      </c>
      <c r="E1694">
        <v>29.75</v>
      </c>
      <c r="F1694" t="s">
        <v>9</v>
      </c>
      <c r="G16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94">
        <f>IF(Table1[[#This Row],[is_ups_overcharge]]="ups overcharged",Table1[[#This Row],[ups ship charge]]-Table1[[#This Row],[ada ship charge]],0)</f>
        <v>0</v>
      </c>
    </row>
    <row r="1695" spans="1:9" x14ac:dyDescent="0.2">
      <c r="A1695">
        <v>1023523</v>
      </c>
      <c r="B1695" t="s">
        <v>20</v>
      </c>
      <c r="C1695">
        <v>16.46</v>
      </c>
      <c r="D1695">
        <v>16.510000000000002</v>
      </c>
      <c r="E1695">
        <v>79.900000000000006</v>
      </c>
      <c r="F1695" t="s">
        <v>10</v>
      </c>
      <c r="G16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95">
        <f>IF(Table1[[#This Row],[is_ups_overcharge]]="ups overcharged",Table1[[#This Row],[ups ship charge]]-Table1[[#This Row],[ada ship charge]],0)</f>
        <v>0</v>
      </c>
    </row>
    <row r="1696" spans="1:9" x14ac:dyDescent="0.2">
      <c r="A1696">
        <v>1023549</v>
      </c>
      <c r="B1696" t="s">
        <v>20</v>
      </c>
      <c r="C1696">
        <v>12.81</v>
      </c>
      <c r="D1696">
        <v>12.86</v>
      </c>
      <c r="E1696">
        <v>178</v>
      </c>
      <c r="F1696" t="s">
        <v>9</v>
      </c>
      <c r="G16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96">
        <f>IF(Table1[[#This Row],[is_ups_overcharge]]="ups overcharged",Table1[[#This Row],[ups ship charge]]-Table1[[#This Row],[ada ship charge]],0)</f>
        <v>0</v>
      </c>
    </row>
    <row r="1697" spans="1:9" x14ac:dyDescent="0.2">
      <c r="A1697">
        <v>1023573</v>
      </c>
      <c r="B1697" t="s">
        <v>20</v>
      </c>
      <c r="C1697">
        <v>13.7</v>
      </c>
      <c r="D1697">
        <v>13.75</v>
      </c>
      <c r="E1697">
        <v>17.95</v>
      </c>
      <c r="F1697" t="s">
        <v>9</v>
      </c>
      <c r="G16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97">
        <f>IF(Table1[[#This Row],[is_ups_overcharge]]="ups overcharged",Table1[[#This Row],[ups ship charge]]-Table1[[#This Row],[ada ship charge]],0)</f>
        <v>0</v>
      </c>
    </row>
    <row r="1698" spans="1:9" x14ac:dyDescent="0.2">
      <c r="A1698">
        <v>1023580</v>
      </c>
      <c r="B1698" t="s">
        <v>20</v>
      </c>
      <c r="C1698">
        <v>12.81</v>
      </c>
      <c r="D1698">
        <v>12.86</v>
      </c>
      <c r="E1698">
        <v>59.85</v>
      </c>
      <c r="F1698" t="s">
        <v>9</v>
      </c>
      <c r="G16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98">
        <f>IF(Table1[[#This Row],[is_ups_overcharge]]="ups overcharged",Table1[[#This Row],[ups ship charge]]-Table1[[#This Row],[ada ship charge]],0)</f>
        <v>0</v>
      </c>
    </row>
    <row r="1699" spans="1:9" x14ac:dyDescent="0.2">
      <c r="A1699">
        <v>1023646</v>
      </c>
      <c r="B1699" t="s">
        <v>20</v>
      </c>
      <c r="C1699">
        <v>15.44</v>
      </c>
      <c r="D1699">
        <v>15.49</v>
      </c>
      <c r="E1699">
        <v>115.75</v>
      </c>
      <c r="F1699" t="s">
        <v>12</v>
      </c>
      <c r="G16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6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699">
        <f>IF(Table1[[#This Row],[is_ups_overcharge]]="ups overcharged",Table1[[#This Row],[ups ship charge]]-Table1[[#This Row],[ada ship charge]],0)</f>
        <v>0</v>
      </c>
    </row>
    <row r="1700" spans="1:9" x14ac:dyDescent="0.2">
      <c r="A1700">
        <v>1023652</v>
      </c>
      <c r="B1700" t="s">
        <v>20</v>
      </c>
      <c r="C1700">
        <v>15.13</v>
      </c>
      <c r="D1700">
        <v>15.18</v>
      </c>
      <c r="E1700">
        <v>81.25</v>
      </c>
      <c r="F1700" t="s">
        <v>12</v>
      </c>
      <c r="G17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00">
        <f>IF(Table1[[#This Row],[is_ups_overcharge]]="ups overcharged",Table1[[#This Row],[ups ship charge]]-Table1[[#This Row],[ada ship charge]],0)</f>
        <v>0</v>
      </c>
    </row>
    <row r="1701" spans="1:9" x14ac:dyDescent="0.2">
      <c r="A1701">
        <v>1023653</v>
      </c>
      <c r="B1701" t="s">
        <v>20</v>
      </c>
      <c r="C1701">
        <v>12.81</v>
      </c>
      <c r="D1701">
        <v>12.86</v>
      </c>
      <c r="E1701">
        <v>33.65</v>
      </c>
      <c r="F1701" t="s">
        <v>9</v>
      </c>
      <c r="G17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01">
        <f>IF(Table1[[#This Row],[is_ups_overcharge]]="ups overcharged",Table1[[#This Row],[ups ship charge]]-Table1[[#This Row],[ada ship charge]],0)</f>
        <v>0</v>
      </c>
    </row>
    <row r="1702" spans="1:9" x14ac:dyDescent="0.2">
      <c r="A1702">
        <v>1023654</v>
      </c>
      <c r="B1702" t="s">
        <v>20</v>
      </c>
      <c r="C1702">
        <v>16.87</v>
      </c>
      <c r="D1702">
        <v>16.920000000000002</v>
      </c>
      <c r="E1702">
        <v>60.95</v>
      </c>
      <c r="F1702" t="s">
        <v>10</v>
      </c>
      <c r="G17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02">
        <f>IF(Table1[[#This Row],[is_ups_overcharge]]="ups overcharged",Table1[[#This Row],[ups ship charge]]-Table1[[#This Row],[ada ship charge]],0)</f>
        <v>0</v>
      </c>
    </row>
    <row r="1703" spans="1:9" x14ac:dyDescent="0.2">
      <c r="A1703">
        <v>1023662</v>
      </c>
      <c r="B1703" t="s">
        <v>20</v>
      </c>
      <c r="C1703">
        <v>13.7</v>
      </c>
      <c r="D1703">
        <v>15.17</v>
      </c>
      <c r="E1703">
        <v>99.95</v>
      </c>
      <c r="F1703" t="s">
        <v>9</v>
      </c>
      <c r="G17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03">
        <f>IF(Table1[[#This Row],[is_ups_overcharge]]="ups overcharged",Table1[[#This Row],[ups ship charge]]-Table1[[#This Row],[ada ship charge]],0)</f>
        <v>0</v>
      </c>
    </row>
    <row r="1704" spans="1:9" x14ac:dyDescent="0.2">
      <c r="A1704">
        <v>1023667</v>
      </c>
      <c r="B1704" t="s">
        <v>20</v>
      </c>
      <c r="C1704">
        <v>12.81</v>
      </c>
      <c r="D1704">
        <v>0</v>
      </c>
      <c r="E1704">
        <v>300.5</v>
      </c>
      <c r="F1704" t="s">
        <v>9</v>
      </c>
      <c r="G17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70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704">
        <f>IF(Table1[[#This Row],[is_ups_overcharge]]="ups overcharged",Table1[[#This Row],[ups ship charge]]-Table1[[#This Row],[ada ship charge]],0)</f>
        <v>0</v>
      </c>
    </row>
    <row r="1705" spans="1:9" x14ac:dyDescent="0.2">
      <c r="A1705">
        <v>1023671</v>
      </c>
      <c r="B1705" t="s">
        <v>20</v>
      </c>
      <c r="C1705">
        <v>15.44</v>
      </c>
      <c r="D1705">
        <v>15.49</v>
      </c>
      <c r="E1705">
        <v>70.900000000000006</v>
      </c>
      <c r="F1705" t="s">
        <v>12</v>
      </c>
      <c r="G17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05">
        <f>IF(Table1[[#This Row],[is_ups_overcharge]]="ups overcharged",Table1[[#This Row],[ups ship charge]]-Table1[[#This Row],[ada ship charge]],0)</f>
        <v>0</v>
      </c>
    </row>
    <row r="1706" spans="1:9" x14ac:dyDescent="0.2">
      <c r="A1706">
        <v>1023684</v>
      </c>
      <c r="B1706" t="s">
        <v>20</v>
      </c>
      <c r="C1706">
        <v>12.81</v>
      </c>
      <c r="D1706">
        <v>12.86</v>
      </c>
      <c r="E1706">
        <v>74.900000000000006</v>
      </c>
      <c r="F1706" t="s">
        <v>9</v>
      </c>
      <c r="G17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06">
        <f>IF(Table1[[#This Row],[is_ups_overcharge]]="ups overcharged",Table1[[#This Row],[ups ship charge]]-Table1[[#This Row],[ada ship charge]],0)</f>
        <v>0</v>
      </c>
    </row>
    <row r="1707" spans="1:9" x14ac:dyDescent="0.2">
      <c r="A1707">
        <v>1023692</v>
      </c>
      <c r="B1707" t="s">
        <v>20</v>
      </c>
      <c r="C1707">
        <v>21.18</v>
      </c>
      <c r="D1707">
        <v>22.31</v>
      </c>
      <c r="E1707">
        <v>393.8</v>
      </c>
      <c r="F1707" t="s">
        <v>12</v>
      </c>
      <c r="G17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07">
        <f>IF(Table1[[#This Row],[is_ups_overcharge]]="ups overcharged",Table1[[#This Row],[ups ship charge]]-Table1[[#This Row],[ada ship charge]],0)</f>
        <v>0</v>
      </c>
    </row>
    <row r="1708" spans="1:9" x14ac:dyDescent="0.2">
      <c r="A1708">
        <v>1023718</v>
      </c>
      <c r="B1708" t="s">
        <v>20</v>
      </c>
      <c r="C1708">
        <v>12.81</v>
      </c>
      <c r="D1708">
        <v>12.86</v>
      </c>
      <c r="E1708">
        <v>18.75</v>
      </c>
      <c r="F1708" t="s">
        <v>9</v>
      </c>
      <c r="G17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08">
        <f>IF(Table1[[#This Row],[is_ups_overcharge]]="ups overcharged",Table1[[#This Row],[ups ship charge]]-Table1[[#This Row],[ada ship charge]],0)</f>
        <v>0</v>
      </c>
    </row>
    <row r="1709" spans="1:9" x14ac:dyDescent="0.2">
      <c r="A1709">
        <v>1023732</v>
      </c>
      <c r="B1709" t="s">
        <v>20</v>
      </c>
      <c r="C1709">
        <v>14.23</v>
      </c>
      <c r="D1709">
        <v>14.28</v>
      </c>
      <c r="E1709">
        <v>47.2</v>
      </c>
      <c r="F1709" t="s">
        <v>9</v>
      </c>
      <c r="G17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09">
        <f>IF(Table1[[#This Row],[is_ups_overcharge]]="ups overcharged",Table1[[#This Row],[ups ship charge]]-Table1[[#This Row],[ada ship charge]],0)</f>
        <v>0</v>
      </c>
    </row>
    <row r="1710" spans="1:9" x14ac:dyDescent="0.2">
      <c r="A1710">
        <v>1023737</v>
      </c>
      <c r="B1710" t="s">
        <v>20</v>
      </c>
      <c r="C1710">
        <v>12.81</v>
      </c>
      <c r="D1710">
        <v>12.86</v>
      </c>
      <c r="E1710">
        <v>34.950000000000003</v>
      </c>
      <c r="F1710" t="s">
        <v>9</v>
      </c>
      <c r="G17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10">
        <f>IF(Table1[[#This Row],[is_ups_overcharge]]="ups overcharged",Table1[[#This Row],[ups ship charge]]-Table1[[#This Row],[ada ship charge]],0)</f>
        <v>0</v>
      </c>
    </row>
    <row r="1711" spans="1:9" x14ac:dyDescent="0.2">
      <c r="A1711">
        <v>1023763</v>
      </c>
      <c r="B1711" t="s">
        <v>20</v>
      </c>
      <c r="C1711">
        <v>16.399999999999999</v>
      </c>
      <c r="D1711">
        <v>20.3</v>
      </c>
      <c r="E1711">
        <v>101.95</v>
      </c>
      <c r="F1711" t="s">
        <v>12</v>
      </c>
      <c r="G17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11">
        <f>IF(Table1[[#This Row],[is_ups_overcharge]]="ups overcharged",Table1[[#This Row],[ups ship charge]]-Table1[[#This Row],[ada ship charge]],0)</f>
        <v>0</v>
      </c>
    </row>
    <row r="1712" spans="1:9" x14ac:dyDescent="0.2">
      <c r="A1712">
        <v>1023775</v>
      </c>
      <c r="B1712" t="s">
        <v>20</v>
      </c>
      <c r="C1712">
        <v>12.81</v>
      </c>
      <c r="D1712">
        <v>13.31</v>
      </c>
      <c r="E1712">
        <v>29.9</v>
      </c>
      <c r="F1712" t="s">
        <v>9</v>
      </c>
      <c r="G17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12">
        <f>IF(Table1[[#This Row],[is_ups_overcharge]]="ups overcharged",Table1[[#This Row],[ups ship charge]]-Table1[[#This Row],[ada ship charge]],0)</f>
        <v>0</v>
      </c>
    </row>
    <row r="1713" spans="1:9" x14ac:dyDescent="0.2">
      <c r="A1713">
        <v>1023777</v>
      </c>
      <c r="B1713" t="s">
        <v>20</v>
      </c>
      <c r="C1713">
        <v>15.44</v>
      </c>
      <c r="D1713">
        <v>15.49</v>
      </c>
      <c r="E1713">
        <v>34.950000000000003</v>
      </c>
      <c r="F1713" t="s">
        <v>12</v>
      </c>
      <c r="G17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13">
        <f>IF(Table1[[#This Row],[is_ups_overcharge]]="ups overcharged",Table1[[#This Row],[ups ship charge]]-Table1[[#This Row],[ada ship charge]],0)</f>
        <v>0</v>
      </c>
    </row>
    <row r="1714" spans="1:9" x14ac:dyDescent="0.2">
      <c r="A1714">
        <v>1023780</v>
      </c>
      <c r="B1714" t="s">
        <v>20</v>
      </c>
      <c r="C1714">
        <v>9.6999999999999993</v>
      </c>
      <c r="D1714">
        <v>9.75</v>
      </c>
      <c r="E1714">
        <v>31.8</v>
      </c>
      <c r="F1714" t="s">
        <v>6</v>
      </c>
      <c r="G17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14">
        <f>IF(Table1[[#This Row],[is_ups_overcharge]]="ups overcharged",Table1[[#This Row],[ups ship charge]]-Table1[[#This Row],[ada ship charge]],0)</f>
        <v>0</v>
      </c>
    </row>
    <row r="1715" spans="1:9" x14ac:dyDescent="0.2">
      <c r="A1715">
        <v>1023794</v>
      </c>
      <c r="B1715" t="s">
        <v>20</v>
      </c>
      <c r="C1715">
        <v>13.7</v>
      </c>
      <c r="D1715">
        <v>13.75</v>
      </c>
      <c r="E1715">
        <v>22.85</v>
      </c>
      <c r="F1715" t="s">
        <v>9</v>
      </c>
      <c r="G17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15">
        <f>IF(Table1[[#This Row],[is_ups_overcharge]]="ups overcharged",Table1[[#This Row],[ups ship charge]]-Table1[[#This Row],[ada ship charge]],0)</f>
        <v>0</v>
      </c>
    </row>
    <row r="1716" spans="1:9" x14ac:dyDescent="0.2">
      <c r="A1716">
        <v>1023802</v>
      </c>
      <c r="B1716" t="s">
        <v>20</v>
      </c>
      <c r="C1716">
        <v>13.7</v>
      </c>
      <c r="D1716">
        <v>13.83</v>
      </c>
      <c r="E1716">
        <v>47.35</v>
      </c>
      <c r="F1716" t="s">
        <v>9</v>
      </c>
      <c r="G17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16">
        <f>IF(Table1[[#This Row],[is_ups_overcharge]]="ups overcharged",Table1[[#This Row],[ups ship charge]]-Table1[[#This Row],[ada ship charge]],0)</f>
        <v>0</v>
      </c>
    </row>
    <row r="1717" spans="1:9" x14ac:dyDescent="0.2">
      <c r="A1717">
        <v>1023854</v>
      </c>
      <c r="B1717" t="s">
        <v>20</v>
      </c>
      <c r="C1717">
        <v>13.7</v>
      </c>
      <c r="D1717">
        <v>13.75</v>
      </c>
      <c r="E1717">
        <v>9.8000000000000007</v>
      </c>
      <c r="F1717" t="s">
        <v>9</v>
      </c>
      <c r="G17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17">
        <f>IF(Table1[[#This Row],[is_ups_overcharge]]="ups overcharged",Table1[[#This Row],[ups ship charge]]-Table1[[#This Row],[ada ship charge]],0)</f>
        <v>0</v>
      </c>
    </row>
    <row r="1718" spans="1:9" x14ac:dyDescent="0.2">
      <c r="A1718">
        <v>1023855</v>
      </c>
      <c r="B1718" t="s">
        <v>20</v>
      </c>
      <c r="C1718">
        <v>13.71</v>
      </c>
      <c r="D1718">
        <v>9.7899999999999991</v>
      </c>
      <c r="E1718">
        <v>66</v>
      </c>
      <c r="F1718" t="s">
        <v>9</v>
      </c>
      <c r="G17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1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718">
        <f>IF(Table1[[#This Row],[is_ups_overcharge]]="ups overcharged",Table1[[#This Row],[ups ship charge]]-Table1[[#This Row],[ada ship charge]],0)</f>
        <v>3.9200000000000017</v>
      </c>
    </row>
    <row r="1719" spans="1:9" x14ac:dyDescent="0.2">
      <c r="A1719">
        <v>1023862</v>
      </c>
      <c r="B1719" t="s">
        <v>20</v>
      </c>
      <c r="C1719">
        <v>18.149999999999999</v>
      </c>
      <c r="D1719">
        <v>18.2</v>
      </c>
      <c r="E1719">
        <v>147.55000000000001</v>
      </c>
      <c r="F1719" t="s">
        <v>10</v>
      </c>
      <c r="G17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19">
        <f>IF(Table1[[#This Row],[is_ups_overcharge]]="ups overcharged",Table1[[#This Row],[ups ship charge]]-Table1[[#This Row],[ada ship charge]],0)</f>
        <v>0</v>
      </c>
    </row>
    <row r="1720" spans="1:9" x14ac:dyDescent="0.2">
      <c r="A1720">
        <v>1023875</v>
      </c>
      <c r="B1720" t="s">
        <v>20</v>
      </c>
      <c r="C1720">
        <v>16.46</v>
      </c>
      <c r="D1720">
        <v>16.510000000000002</v>
      </c>
      <c r="E1720">
        <v>44.15</v>
      </c>
      <c r="F1720" t="s">
        <v>10</v>
      </c>
      <c r="G17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20">
        <f>IF(Table1[[#This Row],[is_ups_overcharge]]="ups overcharged",Table1[[#This Row],[ups ship charge]]-Table1[[#This Row],[ada ship charge]],0)</f>
        <v>0</v>
      </c>
    </row>
    <row r="1721" spans="1:9" x14ac:dyDescent="0.2">
      <c r="A1721">
        <v>1023898</v>
      </c>
      <c r="B1721" t="s">
        <v>20</v>
      </c>
      <c r="C1721">
        <v>15.13</v>
      </c>
      <c r="D1721">
        <v>16.45</v>
      </c>
      <c r="E1721">
        <v>99.8</v>
      </c>
      <c r="F1721" t="s">
        <v>12</v>
      </c>
      <c r="G17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21">
        <f>IF(Table1[[#This Row],[is_ups_overcharge]]="ups overcharged",Table1[[#This Row],[ups ship charge]]-Table1[[#This Row],[ada ship charge]],0)</f>
        <v>0</v>
      </c>
    </row>
    <row r="1722" spans="1:9" x14ac:dyDescent="0.2">
      <c r="A1722">
        <v>1023940</v>
      </c>
      <c r="B1722" t="s">
        <v>20</v>
      </c>
      <c r="C1722">
        <v>68.94</v>
      </c>
      <c r="D1722">
        <v>77.78</v>
      </c>
      <c r="E1722">
        <v>307.3</v>
      </c>
      <c r="F1722" t="s">
        <v>8</v>
      </c>
      <c r="G17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22">
        <f>IF(Table1[[#This Row],[is_ups_overcharge]]="ups overcharged",Table1[[#This Row],[ups ship charge]]-Table1[[#This Row],[ada ship charge]],0)</f>
        <v>0</v>
      </c>
    </row>
    <row r="1723" spans="1:9" x14ac:dyDescent="0.2">
      <c r="A1723">
        <v>1023941</v>
      </c>
      <c r="B1723" t="s">
        <v>20</v>
      </c>
      <c r="C1723">
        <v>16.77</v>
      </c>
      <c r="D1723">
        <v>16.82</v>
      </c>
      <c r="E1723">
        <v>17.850000000000001</v>
      </c>
      <c r="F1723" t="s">
        <v>10</v>
      </c>
      <c r="G17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23">
        <f>IF(Table1[[#This Row],[is_ups_overcharge]]="ups overcharged",Table1[[#This Row],[ups ship charge]]-Table1[[#This Row],[ada ship charge]],0)</f>
        <v>0</v>
      </c>
    </row>
    <row r="1724" spans="1:9" x14ac:dyDescent="0.2">
      <c r="A1724">
        <v>1023966</v>
      </c>
      <c r="B1724" t="s">
        <v>20</v>
      </c>
      <c r="C1724">
        <v>12.81</v>
      </c>
      <c r="D1724">
        <v>12.86</v>
      </c>
      <c r="E1724">
        <v>52.85</v>
      </c>
      <c r="F1724" t="s">
        <v>9</v>
      </c>
      <c r="G17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24">
        <f>IF(Table1[[#This Row],[is_ups_overcharge]]="ups overcharged",Table1[[#This Row],[ups ship charge]]-Table1[[#This Row],[ada ship charge]],0)</f>
        <v>0</v>
      </c>
    </row>
    <row r="1725" spans="1:9" x14ac:dyDescent="0.2">
      <c r="A1725">
        <v>1023975</v>
      </c>
      <c r="B1725" t="s">
        <v>20</v>
      </c>
      <c r="C1725">
        <v>16.77</v>
      </c>
      <c r="D1725">
        <v>16.82</v>
      </c>
      <c r="E1725">
        <v>62.9</v>
      </c>
      <c r="F1725" t="s">
        <v>10</v>
      </c>
      <c r="G17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25">
        <f>IF(Table1[[#This Row],[is_ups_overcharge]]="ups overcharged",Table1[[#This Row],[ups ship charge]]-Table1[[#This Row],[ada ship charge]],0)</f>
        <v>0</v>
      </c>
    </row>
    <row r="1726" spans="1:9" x14ac:dyDescent="0.2">
      <c r="A1726">
        <v>1023976</v>
      </c>
      <c r="B1726" t="s">
        <v>20</v>
      </c>
      <c r="C1726">
        <v>15.44</v>
      </c>
      <c r="D1726">
        <v>15.49</v>
      </c>
      <c r="E1726">
        <v>29.9</v>
      </c>
      <c r="F1726" t="s">
        <v>12</v>
      </c>
      <c r="G17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26">
        <f>IF(Table1[[#This Row],[is_ups_overcharge]]="ups overcharged",Table1[[#This Row],[ups ship charge]]-Table1[[#This Row],[ada ship charge]],0)</f>
        <v>0</v>
      </c>
    </row>
    <row r="1727" spans="1:9" x14ac:dyDescent="0.2">
      <c r="A1727">
        <v>1023987</v>
      </c>
      <c r="B1727" t="s">
        <v>20</v>
      </c>
      <c r="C1727">
        <v>9.6999999999999993</v>
      </c>
      <c r="D1727">
        <v>9.75</v>
      </c>
      <c r="E1727">
        <v>36.75</v>
      </c>
      <c r="F1727" t="s">
        <v>6</v>
      </c>
      <c r="G17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27">
        <f>IF(Table1[[#This Row],[is_ups_overcharge]]="ups overcharged",Table1[[#This Row],[ups ship charge]]-Table1[[#This Row],[ada ship charge]],0)</f>
        <v>0</v>
      </c>
    </row>
    <row r="1728" spans="1:9" x14ac:dyDescent="0.2">
      <c r="A1728">
        <v>1023992</v>
      </c>
      <c r="B1728" t="s">
        <v>20</v>
      </c>
      <c r="C1728">
        <v>16.46</v>
      </c>
      <c r="D1728">
        <v>16.510000000000002</v>
      </c>
      <c r="E1728">
        <v>69.95</v>
      </c>
      <c r="F1728" t="s">
        <v>10</v>
      </c>
      <c r="G17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28">
        <f>IF(Table1[[#This Row],[is_ups_overcharge]]="ups overcharged",Table1[[#This Row],[ups ship charge]]-Table1[[#This Row],[ada ship charge]],0)</f>
        <v>0</v>
      </c>
    </row>
    <row r="1729" spans="1:9" x14ac:dyDescent="0.2">
      <c r="A1729">
        <v>1023998</v>
      </c>
      <c r="B1729" t="s">
        <v>20</v>
      </c>
      <c r="C1729">
        <v>13.7</v>
      </c>
      <c r="D1729">
        <v>13.75</v>
      </c>
      <c r="E1729">
        <v>49.9</v>
      </c>
      <c r="F1729" t="s">
        <v>9</v>
      </c>
      <c r="G17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29">
        <f>IF(Table1[[#This Row],[is_ups_overcharge]]="ups overcharged",Table1[[#This Row],[ups ship charge]]-Table1[[#This Row],[ada ship charge]],0)</f>
        <v>0</v>
      </c>
    </row>
    <row r="1730" spans="1:9" x14ac:dyDescent="0.2">
      <c r="A1730">
        <v>1024002</v>
      </c>
      <c r="B1730" t="s">
        <v>20</v>
      </c>
      <c r="C1730">
        <v>17.7</v>
      </c>
      <c r="D1730">
        <v>17.75</v>
      </c>
      <c r="E1730">
        <v>14.95</v>
      </c>
      <c r="F1730" t="s">
        <v>15</v>
      </c>
      <c r="G17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30">
        <f>IF(Table1[[#This Row],[is_ups_overcharge]]="ups overcharged",Table1[[#This Row],[ups ship charge]]-Table1[[#This Row],[ada ship charge]],0)</f>
        <v>0</v>
      </c>
    </row>
    <row r="1731" spans="1:9" x14ac:dyDescent="0.2">
      <c r="A1731">
        <v>1024007</v>
      </c>
      <c r="B1731" t="s">
        <v>20</v>
      </c>
      <c r="C1731">
        <v>12.81</v>
      </c>
      <c r="D1731">
        <v>12.86</v>
      </c>
      <c r="E1731">
        <v>36.25</v>
      </c>
      <c r="F1731" t="s">
        <v>9</v>
      </c>
      <c r="G17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31">
        <f>IF(Table1[[#This Row],[is_ups_overcharge]]="ups overcharged",Table1[[#This Row],[ups ship charge]]-Table1[[#This Row],[ada ship charge]],0)</f>
        <v>0</v>
      </c>
    </row>
    <row r="1732" spans="1:9" x14ac:dyDescent="0.2">
      <c r="A1732">
        <v>1024013</v>
      </c>
      <c r="B1732" t="s">
        <v>20</v>
      </c>
      <c r="C1732">
        <v>14.24</v>
      </c>
      <c r="D1732">
        <v>16.12</v>
      </c>
      <c r="E1732">
        <v>241.75</v>
      </c>
      <c r="F1732" t="s">
        <v>13</v>
      </c>
      <c r="G17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32">
        <f>IF(Table1[[#This Row],[is_ups_overcharge]]="ups overcharged",Table1[[#This Row],[ups ship charge]]-Table1[[#This Row],[ada ship charge]],0)</f>
        <v>0</v>
      </c>
    </row>
    <row r="1733" spans="1:9" x14ac:dyDescent="0.2">
      <c r="A1733">
        <v>1024018</v>
      </c>
      <c r="B1733" t="s">
        <v>20</v>
      </c>
      <c r="C1733">
        <v>12.81</v>
      </c>
      <c r="D1733">
        <v>12.86</v>
      </c>
      <c r="E1733">
        <v>37.85</v>
      </c>
      <c r="F1733" t="s">
        <v>9</v>
      </c>
      <c r="G17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33">
        <f>IF(Table1[[#This Row],[is_ups_overcharge]]="ups overcharged",Table1[[#This Row],[ups ship charge]]-Table1[[#This Row],[ada ship charge]],0)</f>
        <v>0</v>
      </c>
    </row>
    <row r="1734" spans="1:9" x14ac:dyDescent="0.2">
      <c r="A1734">
        <v>1024025</v>
      </c>
      <c r="B1734" t="s">
        <v>20</v>
      </c>
      <c r="C1734">
        <v>12.81</v>
      </c>
      <c r="D1734">
        <v>12.86</v>
      </c>
      <c r="E1734">
        <v>1.95</v>
      </c>
      <c r="F1734" t="s">
        <v>9</v>
      </c>
      <c r="G17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34">
        <f>IF(Table1[[#This Row],[is_ups_overcharge]]="ups overcharged",Table1[[#This Row],[ups ship charge]]-Table1[[#This Row],[ada ship charge]],0)</f>
        <v>0</v>
      </c>
    </row>
    <row r="1735" spans="1:9" x14ac:dyDescent="0.2">
      <c r="A1735">
        <v>1024030</v>
      </c>
      <c r="B1735" t="s">
        <v>20</v>
      </c>
      <c r="C1735">
        <v>9.6999999999999993</v>
      </c>
      <c r="D1735">
        <v>9.75</v>
      </c>
      <c r="E1735">
        <v>7.9</v>
      </c>
      <c r="F1735" t="s">
        <v>6</v>
      </c>
      <c r="G17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35">
        <f>IF(Table1[[#This Row],[is_ups_overcharge]]="ups overcharged",Table1[[#This Row],[ups ship charge]]-Table1[[#This Row],[ada ship charge]],0)</f>
        <v>0</v>
      </c>
    </row>
    <row r="1736" spans="1:9" x14ac:dyDescent="0.2">
      <c r="A1736">
        <v>1024036</v>
      </c>
      <c r="B1736" t="s">
        <v>20</v>
      </c>
      <c r="C1736">
        <v>12.81</v>
      </c>
      <c r="D1736">
        <v>12.86</v>
      </c>
      <c r="E1736">
        <v>37.5</v>
      </c>
      <c r="F1736" t="s">
        <v>9</v>
      </c>
      <c r="G17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36">
        <f>IF(Table1[[#This Row],[is_ups_overcharge]]="ups overcharged",Table1[[#This Row],[ups ship charge]]-Table1[[#This Row],[ada ship charge]],0)</f>
        <v>0</v>
      </c>
    </row>
    <row r="1737" spans="1:9" x14ac:dyDescent="0.2">
      <c r="A1737">
        <v>1024038</v>
      </c>
      <c r="B1737" t="s">
        <v>20</v>
      </c>
      <c r="C1737">
        <v>13.71</v>
      </c>
      <c r="D1737">
        <v>13.75</v>
      </c>
      <c r="E1737">
        <v>88.35</v>
      </c>
      <c r="F1737" t="s">
        <v>9</v>
      </c>
      <c r="G17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37">
        <f>IF(Table1[[#This Row],[is_ups_overcharge]]="ups overcharged",Table1[[#This Row],[ups ship charge]]-Table1[[#This Row],[ada ship charge]],0)</f>
        <v>0</v>
      </c>
    </row>
    <row r="1738" spans="1:9" x14ac:dyDescent="0.2">
      <c r="A1738">
        <v>1024044</v>
      </c>
      <c r="B1738" t="s">
        <v>20</v>
      </c>
      <c r="C1738">
        <v>12.81</v>
      </c>
      <c r="D1738">
        <v>12.86</v>
      </c>
      <c r="E1738">
        <v>17.5</v>
      </c>
      <c r="F1738" t="s">
        <v>9</v>
      </c>
      <c r="G17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38">
        <f>IF(Table1[[#This Row],[is_ups_overcharge]]="ups overcharged",Table1[[#This Row],[ups ship charge]]-Table1[[#This Row],[ada ship charge]],0)</f>
        <v>0</v>
      </c>
    </row>
    <row r="1739" spans="1:9" x14ac:dyDescent="0.2">
      <c r="A1739">
        <v>1024045</v>
      </c>
      <c r="B1739" t="s">
        <v>20</v>
      </c>
      <c r="C1739">
        <v>17.7</v>
      </c>
      <c r="D1739">
        <v>17.75</v>
      </c>
      <c r="E1739">
        <v>99.8</v>
      </c>
      <c r="F1739" t="s">
        <v>15</v>
      </c>
      <c r="G17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39">
        <f>IF(Table1[[#This Row],[is_ups_overcharge]]="ups overcharged",Table1[[#This Row],[ups ship charge]]-Table1[[#This Row],[ada ship charge]],0)</f>
        <v>0</v>
      </c>
    </row>
    <row r="1740" spans="1:9" x14ac:dyDescent="0.2">
      <c r="A1740">
        <v>1024068</v>
      </c>
      <c r="B1740" t="s">
        <v>20</v>
      </c>
      <c r="C1740">
        <v>13.74</v>
      </c>
      <c r="D1740">
        <v>0</v>
      </c>
      <c r="E1740">
        <v>240.9</v>
      </c>
      <c r="F1740" t="s">
        <v>9</v>
      </c>
      <c r="G17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74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740">
        <f>IF(Table1[[#This Row],[is_ups_overcharge]]="ups overcharged",Table1[[#This Row],[ups ship charge]]-Table1[[#This Row],[ada ship charge]],0)</f>
        <v>0</v>
      </c>
    </row>
    <row r="1741" spans="1:9" x14ac:dyDescent="0.2">
      <c r="A1741">
        <v>1024070</v>
      </c>
      <c r="B1741" t="s">
        <v>20</v>
      </c>
      <c r="C1741">
        <v>12.81</v>
      </c>
      <c r="D1741">
        <v>12.86</v>
      </c>
      <c r="E1741">
        <v>36.450000000000003</v>
      </c>
      <c r="F1741" t="s">
        <v>9</v>
      </c>
      <c r="G17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41">
        <f>IF(Table1[[#This Row],[is_ups_overcharge]]="ups overcharged",Table1[[#This Row],[ups ship charge]]-Table1[[#This Row],[ada ship charge]],0)</f>
        <v>0</v>
      </c>
    </row>
    <row r="1742" spans="1:9" x14ac:dyDescent="0.2">
      <c r="A1742">
        <v>1024078</v>
      </c>
      <c r="B1742" t="s">
        <v>20</v>
      </c>
      <c r="C1742">
        <v>12.81</v>
      </c>
      <c r="D1742">
        <v>12.86</v>
      </c>
      <c r="E1742">
        <v>12.9</v>
      </c>
      <c r="F1742" t="s">
        <v>9</v>
      </c>
      <c r="G17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42">
        <f>IF(Table1[[#This Row],[is_ups_overcharge]]="ups overcharged",Table1[[#This Row],[ups ship charge]]-Table1[[#This Row],[ada ship charge]],0)</f>
        <v>0</v>
      </c>
    </row>
    <row r="1743" spans="1:9" x14ac:dyDescent="0.2">
      <c r="A1743">
        <v>1024084</v>
      </c>
      <c r="B1743" t="s">
        <v>20</v>
      </c>
      <c r="C1743">
        <v>13.71</v>
      </c>
      <c r="D1743">
        <v>13.76</v>
      </c>
      <c r="E1743">
        <v>47.95</v>
      </c>
      <c r="F1743" t="s">
        <v>9</v>
      </c>
      <c r="G17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43">
        <f>IF(Table1[[#This Row],[is_ups_overcharge]]="ups overcharged",Table1[[#This Row],[ups ship charge]]-Table1[[#This Row],[ada ship charge]],0)</f>
        <v>0</v>
      </c>
    </row>
    <row r="1744" spans="1:9" x14ac:dyDescent="0.2">
      <c r="A1744">
        <v>1024085</v>
      </c>
      <c r="B1744" t="s">
        <v>20</v>
      </c>
      <c r="C1744">
        <v>13.7</v>
      </c>
      <c r="D1744">
        <v>13.76</v>
      </c>
      <c r="E1744">
        <v>95.75</v>
      </c>
      <c r="F1744" t="s">
        <v>9</v>
      </c>
      <c r="G17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44">
        <f>IF(Table1[[#This Row],[is_ups_overcharge]]="ups overcharged",Table1[[#This Row],[ups ship charge]]-Table1[[#This Row],[ada ship charge]],0)</f>
        <v>0</v>
      </c>
    </row>
    <row r="1745" spans="1:9" x14ac:dyDescent="0.2">
      <c r="A1745">
        <v>1024129</v>
      </c>
      <c r="B1745" t="s">
        <v>20</v>
      </c>
      <c r="C1745">
        <v>12.81</v>
      </c>
      <c r="D1745">
        <v>0</v>
      </c>
      <c r="E1745">
        <v>342.7</v>
      </c>
      <c r="F1745" t="s">
        <v>9</v>
      </c>
      <c r="G17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74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745">
        <f>IF(Table1[[#This Row],[is_ups_overcharge]]="ups overcharged",Table1[[#This Row],[ups ship charge]]-Table1[[#This Row],[ada ship charge]],0)</f>
        <v>0</v>
      </c>
    </row>
    <row r="1746" spans="1:9" x14ac:dyDescent="0.2">
      <c r="A1746">
        <v>1024158</v>
      </c>
      <c r="B1746" t="s">
        <v>20</v>
      </c>
      <c r="C1746">
        <v>13.7</v>
      </c>
      <c r="D1746">
        <v>13.75</v>
      </c>
      <c r="E1746">
        <v>20</v>
      </c>
      <c r="F1746" t="s">
        <v>9</v>
      </c>
      <c r="G17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46">
        <f>IF(Table1[[#This Row],[is_ups_overcharge]]="ups overcharged",Table1[[#This Row],[ups ship charge]]-Table1[[#This Row],[ada ship charge]],0)</f>
        <v>0</v>
      </c>
    </row>
    <row r="1747" spans="1:9" x14ac:dyDescent="0.2">
      <c r="A1747">
        <v>1024161</v>
      </c>
      <c r="B1747" t="s">
        <v>20</v>
      </c>
      <c r="C1747">
        <v>16.46</v>
      </c>
      <c r="D1747">
        <v>16.510000000000002</v>
      </c>
      <c r="E1747">
        <v>27.9</v>
      </c>
      <c r="F1747" t="s">
        <v>10</v>
      </c>
      <c r="G17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47">
        <f>IF(Table1[[#This Row],[is_ups_overcharge]]="ups overcharged",Table1[[#This Row],[ups ship charge]]-Table1[[#This Row],[ada ship charge]],0)</f>
        <v>0</v>
      </c>
    </row>
    <row r="1748" spans="1:9" x14ac:dyDescent="0.2">
      <c r="A1748">
        <v>1024172</v>
      </c>
      <c r="B1748" t="s">
        <v>20</v>
      </c>
      <c r="C1748">
        <v>16.46</v>
      </c>
      <c r="D1748">
        <v>16.510000000000002</v>
      </c>
      <c r="E1748">
        <v>47.94</v>
      </c>
      <c r="F1748" t="s">
        <v>10</v>
      </c>
      <c r="G17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48">
        <f>IF(Table1[[#This Row],[is_ups_overcharge]]="ups overcharged",Table1[[#This Row],[ups ship charge]]-Table1[[#This Row],[ada ship charge]],0)</f>
        <v>0</v>
      </c>
    </row>
    <row r="1749" spans="1:9" x14ac:dyDescent="0.2">
      <c r="A1749">
        <v>1024176</v>
      </c>
      <c r="B1749" t="s">
        <v>20</v>
      </c>
      <c r="C1749">
        <v>16.46</v>
      </c>
      <c r="D1749">
        <v>16.510000000000002</v>
      </c>
      <c r="E1749">
        <v>40.9</v>
      </c>
      <c r="F1749" t="s">
        <v>10</v>
      </c>
      <c r="G17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49">
        <f>IF(Table1[[#This Row],[is_ups_overcharge]]="ups overcharged",Table1[[#This Row],[ups ship charge]]-Table1[[#This Row],[ada ship charge]],0)</f>
        <v>0</v>
      </c>
    </row>
    <row r="1750" spans="1:9" x14ac:dyDescent="0.2">
      <c r="A1750">
        <v>1024195</v>
      </c>
      <c r="B1750" t="s">
        <v>20</v>
      </c>
      <c r="C1750">
        <v>13.7</v>
      </c>
      <c r="D1750">
        <v>0</v>
      </c>
      <c r="E1750">
        <v>245.05</v>
      </c>
      <c r="F1750" t="s">
        <v>9</v>
      </c>
      <c r="G17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75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750">
        <f>IF(Table1[[#This Row],[is_ups_overcharge]]="ups overcharged",Table1[[#This Row],[ups ship charge]]-Table1[[#This Row],[ada ship charge]],0)</f>
        <v>0</v>
      </c>
    </row>
    <row r="1751" spans="1:9" x14ac:dyDescent="0.2">
      <c r="A1751">
        <v>1024224</v>
      </c>
      <c r="B1751" t="s">
        <v>20</v>
      </c>
      <c r="C1751">
        <v>13.7</v>
      </c>
      <c r="D1751">
        <v>13.75</v>
      </c>
      <c r="E1751">
        <v>20</v>
      </c>
      <c r="F1751" t="s">
        <v>9</v>
      </c>
      <c r="G17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51">
        <f>IF(Table1[[#This Row],[is_ups_overcharge]]="ups overcharged",Table1[[#This Row],[ups ship charge]]-Table1[[#This Row],[ada ship charge]],0)</f>
        <v>0</v>
      </c>
    </row>
    <row r="1752" spans="1:9" x14ac:dyDescent="0.2">
      <c r="A1752">
        <v>1024258</v>
      </c>
      <c r="B1752" t="s">
        <v>20</v>
      </c>
      <c r="C1752">
        <v>15.44</v>
      </c>
      <c r="D1752">
        <v>15.49</v>
      </c>
      <c r="E1752">
        <v>5.95</v>
      </c>
      <c r="F1752" t="s">
        <v>12</v>
      </c>
      <c r="G17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52">
        <f>IF(Table1[[#This Row],[is_ups_overcharge]]="ups overcharged",Table1[[#This Row],[ups ship charge]]-Table1[[#This Row],[ada ship charge]],0)</f>
        <v>0</v>
      </c>
    </row>
    <row r="1753" spans="1:9" x14ac:dyDescent="0.2">
      <c r="A1753">
        <v>1024278</v>
      </c>
      <c r="B1753" t="s">
        <v>20</v>
      </c>
      <c r="C1753">
        <v>15.13</v>
      </c>
      <c r="D1753">
        <v>15.18</v>
      </c>
      <c r="E1753">
        <v>25.95</v>
      </c>
      <c r="F1753" t="s">
        <v>12</v>
      </c>
      <c r="G17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53">
        <f>IF(Table1[[#This Row],[is_ups_overcharge]]="ups overcharged",Table1[[#This Row],[ups ship charge]]-Table1[[#This Row],[ada ship charge]],0)</f>
        <v>0</v>
      </c>
    </row>
    <row r="1754" spans="1:9" x14ac:dyDescent="0.2">
      <c r="A1754">
        <v>1024280</v>
      </c>
      <c r="B1754" t="s">
        <v>20</v>
      </c>
      <c r="C1754">
        <v>27.44</v>
      </c>
      <c r="D1754">
        <v>27.49</v>
      </c>
      <c r="E1754">
        <v>246.75</v>
      </c>
      <c r="F1754" t="s">
        <v>15</v>
      </c>
      <c r="G17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54">
        <f>IF(Table1[[#This Row],[is_ups_overcharge]]="ups overcharged",Table1[[#This Row],[ups ship charge]]-Table1[[#This Row],[ada ship charge]],0)</f>
        <v>0</v>
      </c>
    </row>
    <row r="1755" spans="1:9" x14ac:dyDescent="0.2">
      <c r="A1755">
        <v>1024317</v>
      </c>
      <c r="B1755" t="s">
        <v>20</v>
      </c>
      <c r="C1755">
        <v>32.130000000000003</v>
      </c>
      <c r="D1755">
        <v>32.19</v>
      </c>
      <c r="E1755">
        <v>222.25</v>
      </c>
      <c r="F1755" t="s">
        <v>10</v>
      </c>
      <c r="G17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55">
        <f>IF(Table1[[#This Row],[is_ups_overcharge]]="ups overcharged",Table1[[#This Row],[ups ship charge]]-Table1[[#This Row],[ada ship charge]],0)</f>
        <v>0</v>
      </c>
    </row>
    <row r="1756" spans="1:9" x14ac:dyDescent="0.2">
      <c r="A1756">
        <v>1024325</v>
      </c>
      <c r="B1756" t="s">
        <v>20</v>
      </c>
      <c r="C1756">
        <v>9.6999999999999993</v>
      </c>
      <c r="D1756">
        <v>0</v>
      </c>
      <c r="E1756">
        <v>359.6</v>
      </c>
      <c r="F1756" t="s">
        <v>6</v>
      </c>
      <c r="G17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75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756">
        <f>IF(Table1[[#This Row],[is_ups_overcharge]]="ups overcharged",Table1[[#This Row],[ups ship charge]]-Table1[[#This Row],[ada ship charge]],0)</f>
        <v>0</v>
      </c>
    </row>
    <row r="1757" spans="1:9" x14ac:dyDescent="0.2">
      <c r="A1757">
        <v>1024330</v>
      </c>
      <c r="B1757" t="s">
        <v>20</v>
      </c>
      <c r="C1757">
        <v>12.81</v>
      </c>
      <c r="D1757">
        <v>12.86</v>
      </c>
      <c r="E1757">
        <v>35</v>
      </c>
      <c r="F1757" t="s">
        <v>9</v>
      </c>
      <c r="G17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57">
        <f>IF(Table1[[#This Row],[is_ups_overcharge]]="ups overcharged",Table1[[#This Row],[ups ship charge]]-Table1[[#This Row],[ada ship charge]],0)</f>
        <v>0</v>
      </c>
    </row>
    <row r="1758" spans="1:9" x14ac:dyDescent="0.2">
      <c r="A1758">
        <v>1024335</v>
      </c>
      <c r="B1758" t="s">
        <v>20</v>
      </c>
      <c r="C1758">
        <v>17.7</v>
      </c>
      <c r="D1758">
        <v>17.75</v>
      </c>
      <c r="E1758">
        <v>9.9499999999999993</v>
      </c>
      <c r="F1758" t="s">
        <v>15</v>
      </c>
      <c r="G17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58">
        <f>IF(Table1[[#This Row],[is_ups_overcharge]]="ups overcharged",Table1[[#This Row],[ups ship charge]]-Table1[[#This Row],[ada ship charge]],0)</f>
        <v>0</v>
      </c>
    </row>
    <row r="1759" spans="1:9" x14ac:dyDescent="0.2">
      <c r="A1759">
        <v>1024346</v>
      </c>
      <c r="B1759" t="s">
        <v>20</v>
      </c>
      <c r="C1759">
        <v>27.11</v>
      </c>
      <c r="D1759">
        <v>27.16</v>
      </c>
      <c r="E1759">
        <v>266.7</v>
      </c>
      <c r="F1759" t="s">
        <v>15</v>
      </c>
      <c r="G17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59">
        <f>IF(Table1[[#This Row],[is_ups_overcharge]]="ups overcharged",Table1[[#This Row],[ups ship charge]]-Table1[[#This Row],[ada ship charge]],0)</f>
        <v>0</v>
      </c>
    </row>
    <row r="1760" spans="1:9" x14ac:dyDescent="0.2">
      <c r="A1760">
        <v>1024365</v>
      </c>
      <c r="B1760" t="s">
        <v>20</v>
      </c>
      <c r="C1760">
        <v>13.71</v>
      </c>
      <c r="D1760">
        <v>13.76</v>
      </c>
      <c r="E1760">
        <v>19.95</v>
      </c>
      <c r="F1760" t="s">
        <v>9</v>
      </c>
      <c r="G17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60">
        <f>IF(Table1[[#This Row],[is_ups_overcharge]]="ups overcharged",Table1[[#This Row],[ups ship charge]]-Table1[[#This Row],[ada ship charge]],0)</f>
        <v>0</v>
      </c>
    </row>
    <row r="1761" spans="1:9" x14ac:dyDescent="0.2">
      <c r="A1761">
        <v>1024381</v>
      </c>
      <c r="B1761" t="s">
        <v>20</v>
      </c>
      <c r="C1761">
        <v>12.81</v>
      </c>
      <c r="D1761">
        <v>12.86</v>
      </c>
      <c r="E1761">
        <v>100.25</v>
      </c>
      <c r="F1761" t="s">
        <v>9</v>
      </c>
      <c r="G17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61">
        <f>IF(Table1[[#This Row],[is_ups_overcharge]]="ups overcharged",Table1[[#This Row],[ups ship charge]]-Table1[[#This Row],[ada ship charge]],0)</f>
        <v>0</v>
      </c>
    </row>
    <row r="1762" spans="1:9" x14ac:dyDescent="0.2">
      <c r="A1762">
        <v>1024390</v>
      </c>
      <c r="B1762" t="s">
        <v>20</v>
      </c>
      <c r="C1762">
        <v>16.77</v>
      </c>
      <c r="D1762">
        <v>18.41</v>
      </c>
      <c r="E1762">
        <v>159.80000000000001</v>
      </c>
      <c r="F1762" t="s">
        <v>10</v>
      </c>
      <c r="G17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62">
        <f>IF(Table1[[#This Row],[is_ups_overcharge]]="ups overcharged",Table1[[#This Row],[ups ship charge]]-Table1[[#This Row],[ada ship charge]],0)</f>
        <v>0</v>
      </c>
    </row>
    <row r="1763" spans="1:9" x14ac:dyDescent="0.2">
      <c r="A1763">
        <v>1024402</v>
      </c>
      <c r="B1763" t="s">
        <v>20</v>
      </c>
      <c r="C1763">
        <v>13.7</v>
      </c>
      <c r="D1763">
        <v>0</v>
      </c>
      <c r="E1763">
        <v>201.1</v>
      </c>
      <c r="F1763" t="s">
        <v>9</v>
      </c>
      <c r="G17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76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763">
        <f>IF(Table1[[#This Row],[is_ups_overcharge]]="ups overcharged",Table1[[#This Row],[ups ship charge]]-Table1[[#This Row],[ada ship charge]],0)</f>
        <v>0</v>
      </c>
    </row>
    <row r="1764" spans="1:9" x14ac:dyDescent="0.2">
      <c r="A1764">
        <v>1024464</v>
      </c>
      <c r="B1764" t="s">
        <v>20</v>
      </c>
      <c r="C1764">
        <v>12.81</v>
      </c>
      <c r="D1764">
        <v>12.86</v>
      </c>
      <c r="E1764">
        <v>53.85</v>
      </c>
      <c r="F1764" t="s">
        <v>9</v>
      </c>
      <c r="G17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64">
        <f>IF(Table1[[#This Row],[is_ups_overcharge]]="ups overcharged",Table1[[#This Row],[ups ship charge]]-Table1[[#This Row],[ada ship charge]],0)</f>
        <v>0</v>
      </c>
    </row>
    <row r="1765" spans="1:9" x14ac:dyDescent="0.2">
      <c r="A1765">
        <v>1024465</v>
      </c>
      <c r="B1765" t="s">
        <v>20</v>
      </c>
      <c r="C1765">
        <v>13.7</v>
      </c>
      <c r="D1765">
        <v>13.75</v>
      </c>
      <c r="E1765">
        <v>47.9</v>
      </c>
      <c r="F1765" t="s">
        <v>9</v>
      </c>
      <c r="G17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65">
        <f>IF(Table1[[#This Row],[is_ups_overcharge]]="ups overcharged",Table1[[#This Row],[ups ship charge]]-Table1[[#This Row],[ada ship charge]],0)</f>
        <v>0</v>
      </c>
    </row>
    <row r="1766" spans="1:9" x14ac:dyDescent="0.2">
      <c r="A1766">
        <v>1024469</v>
      </c>
      <c r="B1766" t="s">
        <v>20</v>
      </c>
      <c r="C1766">
        <v>10.61</v>
      </c>
      <c r="D1766">
        <v>0</v>
      </c>
      <c r="E1766">
        <v>359.6</v>
      </c>
      <c r="F1766" t="s">
        <v>6</v>
      </c>
      <c r="G17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76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766">
        <f>IF(Table1[[#This Row],[is_ups_overcharge]]="ups overcharged",Table1[[#This Row],[ups ship charge]]-Table1[[#This Row],[ada ship charge]],0)</f>
        <v>0</v>
      </c>
    </row>
    <row r="1767" spans="1:9" x14ac:dyDescent="0.2">
      <c r="A1767">
        <v>1024474</v>
      </c>
      <c r="B1767" t="s">
        <v>20</v>
      </c>
      <c r="C1767">
        <v>12.81</v>
      </c>
      <c r="D1767">
        <v>12.86</v>
      </c>
      <c r="E1767">
        <v>63.05</v>
      </c>
      <c r="F1767" t="s">
        <v>9</v>
      </c>
      <c r="G17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67">
        <f>IF(Table1[[#This Row],[is_ups_overcharge]]="ups overcharged",Table1[[#This Row],[ups ship charge]]-Table1[[#This Row],[ada ship charge]],0)</f>
        <v>0</v>
      </c>
    </row>
    <row r="1768" spans="1:9" x14ac:dyDescent="0.2">
      <c r="A1768">
        <v>1024513</v>
      </c>
      <c r="B1768" t="s">
        <v>20</v>
      </c>
      <c r="C1768">
        <v>9.7100000000000009</v>
      </c>
      <c r="D1768">
        <v>13.75</v>
      </c>
      <c r="E1768">
        <v>29.95</v>
      </c>
      <c r="F1768" t="s">
        <v>6</v>
      </c>
      <c r="G17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68">
        <f>IF(Table1[[#This Row],[is_ups_overcharge]]="ups overcharged",Table1[[#This Row],[ups ship charge]]-Table1[[#This Row],[ada ship charge]],0)</f>
        <v>0</v>
      </c>
    </row>
    <row r="1769" spans="1:9" x14ac:dyDescent="0.2">
      <c r="A1769">
        <v>1024518</v>
      </c>
      <c r="B1769" t="s">
        <v>20</v>
      </c>
      <c r="C1769">
        <v>9.6999999999999993</v>
      </c>
      <c r="D1769">
        <v>0</v>
      </c>
      <c r="E1769">
        <v>216.4</v>
      </c>
      <c r="F1769" t="s">
        <v>6</v>
      </c>
      <c r="G17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76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769">
        <f>IF(Table1[[#This Row],[is_ups_overcharge]]="ups overcharged",Table1[[#This Row],[ups ship charge]]-Table1[[#This Row],[ada ship charge]],0)</f>
        <v>0</v>
      </c>
    </row>
    <row r="1770" spans="1:9" x14ac:dyDescent="0.2">
      <c r="A1770">
        <v>1024522</v>
      </c>
      <c r="B1770" t="s">
        <v>20</v>
      </c>
      <c r="C1770">
        <v>13.71</v>
      </c>
      <c r="D1770">
        <v>13.75</v>
      </c>
      <c r="E1770">
        <v>34.549999999999997</v>
      </c>
      <c r="F1770" t="s">
        <v>9</v>
      </c>
      <c r="G17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70">
        <f>IF(Table1[[#This Row],[is_ups_overcharge]]="ups overcharged",Table1[[#This Row],[ups ship charge]]-Table1[[#This Row],[ada ship charge]],0)</f>
        <v>0</v>
      </c>
    </row>
    <row r="1771" spans="1:9" x14ac:dyDescent="0.2">
      <c r="A1771">
        <v>1024524</v>
      </c>
      <c r="B1771" t="s">
        <v>20</v>
      </c>
      <c r="C1771">
        <v>9.7100000000000009</v>
      </c>
      <c r="D1771">
        <v>9.76</v>
      </c>
      <c r="E1771">
        <v>112.02</v>
      </c>
      <c r="F1771" t="s">
        <v>6</v>
      </c>
      <c r="G17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71">
        <f>IF(Table1[[#This Row],[is_ups_overcharge]]="ups overcharged",Table1[[#This Row],[ups ship charge]]-Table1[[#This Row],[ada ship charge]],0)</f>
        <v>0</v>
      </c>
    </row>
    <row r="1772" spans="1:9" x14ac:dyDescent="0.2">
      <c r="A1772">
        <v>1024539</v>
      </c>
      <c r="B1772" t="s">
        <v>20</v>
      </c>
      <c r="C1772">
        <v>12.81</v>
      </c>
      <c r="D1772">
        <v>12.86</v>
      </c>
      <c r="E1772">
        <v>13.9</v>
      </c>
      <c r="F1772" t="s">
        <v>9</v>
      </c>
      <c r="G17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72">
        <f>IF(Table1[[#This Row],[is_ups_overcharge]]="ups overcharged",Table1[[#This Row],[ups ship charge]]-Table1[[#This Row],[ada ship charge]],0)</f>
        <v>0</v>
      </c>
    </row>
    <row r="1773" spans="1:9" x14ac:dyDescent="0.2">
      <c r="A1773">
        <v>1024550</v>
      </c>
      <c r="B1773" t="s">
        <v>20</v>
      </c>
      <c r="C1773">
        <v>9.6999999999999993</v>
      </c>
      <c r="D1773">
        <v>9.75</v>
      </c>
      <c r="E1773">
        <v>18.7</v>
      </c>
      <c r="F1773" t="s">
        <v>6</v>
      </c>
      <c r="G17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73">
        <f>IF(Table1[[#This Row],[is_ups_overcharge]]="ups overcharged",Table1[[#This Row],[ups ship charge]]-Table1[[#This Row],[ada ship charge]],0)</f>
        <v>0</v>
      </c>
    </row>
    <row r="1774" spans="1:9" x14ac:dyDescent="0.2">
      <c r="A1774">
        <v>1024579</v>
      </c>
      <c r="B1774" t="s">
        <v>20</v>
      </c>
      <c r="C1774">
        <v>15.13</v>
      </c>
      <c r="D1774">
        <v>15.18</v>
      </c>
      <c r="E1774">
        <v>31.8</v>
      </c>
      <c r="F1774" t="s">
        <v>12</v>
      </c>
      <c r="G17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74">
        <f>IF(Table1[[#This Row],[is_ups_overcharge]]="ups overcharged",Table1[[#This Row],[ups ship charge]]-Table1[[#This Row],[ada ship charge]],0)</f>
        <v>0</v>
      </c>
    </row>
    <row r="1775" spans="1:9" x14ac:dyDescent="0.2">
      <c r="A1775">
        <v>1024592</v>
      </c>
      <c r="B1775" t="s">
        <v>20</v>
      </c>
      <c r="C1775">
        <v>23.02</v>
      </c>
      <c r="D1775">
        <v>29.05</v>
      </c>
      <c r="E1775">
        <v>214.25</v>
      </c>
      <c r="F1775" t="s">
        <v>16</v>
      </c>
      <c r="G17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75">
        <f>IF(Table1[[#This Row],[is_ups_overcharge]]="ups overcharged",Table1[[#This Row],[ups ship charge]]-Table1[[#This Row],[ada ship charge]],0)</f>
        <v>0</v>
      </c>
    </row>
    <row r="1776" spans="1:9" x14ac:dyDescent="0.2">
      <c r="A1776">
        <v>1024593</v>
      </c>
      <c r="B1776" t="s">
        <v>20</v>
      </c>
      <c r="C1776">
        <v>17.77</v>
      </c>
      <c r="D1776">
        <v>19.010000000000002</v>
      </c>
      <c r="E1776">
        <v>121.8</v>
      </c>
      <c r="F1776" t="s">
        <v>12</v>
      </c>
      <c r="G17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76">
        <f>IF(Table1[[#This Row],[is_ups_overcharge]]="ups overcharged",Table1[[#This Row],[ups ship charge]]-Table1[[#This Row],[ada ship charge]],0)</f>
        <v>0</v>
      </c>
    </row>
    <row r="1777" spans="1:9" x14ac:dyDescent="0.2">
      <c r="A1777">
        <v>1024600</v>
      </c>
      <c r="B1777" t="s">
        <v>20</v>
      </c>
      <c r="C1777">
        <v>12.81</v>
      </c>
      <c r="D1777">
        <v>12.86</v>
      </c>
      <c r="E1777">
        <v>47.2</v>
      </c>
      <c r="F1777" t="s">
        <v>9</v>
      </c>
      <c r="G17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77">
        <f>IF(Table1[[#This Row],[is_ups_overcharge]]="ups overcharged",Table1[[#This Row],[ups ship charge]]-Table1[[#This Row],[ada ship charge]],0)</f>
        <v>0</v>
      </c>
    </row>
    <row r="1778" spans="1:9" x14ac:dyDescent="0.2">
      <c r="A1778">
        <v>1024606</v>
      </c>
      <c r="B1778" t="s">
        <v>20</v>
      </c>
      <c r="C1778">
        <v>9.6999999999999993</v>
      </c>
      <c r="D1778">
        <v>9.75</v>
      </c>
      <c r="E1778">
        <v>21.9</v>
      </c>
      <c r="F1778" t="s">
        <v>6</v>
      </c>
      <c r="G17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78">
        <f>IF(Table1[[#This Row],[is_ups_overcharge]]="ups overcharged",Table1[[#This Row],[ups ship charge]]-Table1[[#This Row],[ada ship charge]],0)</f>
        <v>0</v>
      </c>
    </row>
    <row r="1779" spans="1:9" x14ac:dyDescent="0.2">
      <c r="A1779">
        <v>1024609</v>
      </c>
      <c r="B1779" t="s">
        <v>20</v>
      </c>
      <c r="C1779">
        <v>23.64</v>
      </c>
      <c r="D1779">
        <v>23.69</v>
      </c>
      <c r="E1779">
        <v>29.95</v>
      </c>
      <c r="F1779" t="s">
        <v>15</v>
      </c>
      <c r="G17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79">
        <f>IF(Table1[[#This Row],[is_ups_overcharge]]="ups overcharged",Table1[[#This Row],[ups ship charge]]-Table1[[#This Row],[ada ship charge]],0)</f>
        <v>0</v>
      </c>
    </row>
    <row r="1780" spans="1:9" x14ac:dyDescent="0.2">
      <c r="A1780">
        <v>1024610</v>
      </c>
      <c r="B1780" t="s">
        <v>20</v>
      </c>
      <c r="C1780">
        <v>13.7</v>
      </c>
      <c r="D1780">
        <v>13.75</v>
      </c>
      <c r="E1780">
        <v>37.450000000000003</v>
      </c>
      <c r="F1780" t="s">
        <v>9</v>
      </c>
      <c r="G17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80">
        <f>IF(Table1[[#This Row],[is_ups_overcharge]]="ups overcharged",Table1[[#This Row],[ups ship charge]]-Table1[[#This Row],[ada ship charge]],0)</f>
        <v>0</v>
      </c>
    </row>
    <row r="1781" spans="1:9" x14ac:dyDescent="0.2">
      <c r="A1781">
        <v>1024635</v>
      </c>
      <c r="B1781" t="s">
        <v>20</v>
      </c>
      <c r="C1781">
        <v>16.46</v>
      </c>
      <c r="D1781">
        <v>16.510000000000002</v>
      </c>
      <c r="E1781">
        <v>59.25</v>
      </c>
      <c r="F1781" t="s">
        <v>10</v>
      </c>
      <c r="G17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81">
        <f>IF(Table1[[#This Row],[is_ups_overcharge]]="ups overcharged",Table1[[#This Row],[ups ship charge]]-Table1[[#This Row],[ada ship charge]],0)</f>
        <v>0</v>
      </c>
    </row>
    <row r="1782" spans="1:9" x14ac:dyDescent="0.2">
      <c r="A1782">
        <v>1024669</v>
      </c>
      <c r="B1782" t="s">
        <v>20</v>
      </c>
      <c r="C1782">
        <v>12.81</v>
      </c>
      <c r="D1782">
        <v>12.86</v>
      </c>
      <c r="E1782">
        <v>39.950000000000003</v>
      </c>
      <c r="F1782" t="s">
        <v>9</v>
      </c>
      <c r="G17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82">
        <f>IF(Table1[[#This Row],[is_ups_overcharge]]="ups overcharged",Table1[[#This Row],[ups ship charge]]-Table1[[#This Row],[ada ship charge]],0)</f>
        <v>0</v>
      </c>
    </row>
    <row r="1783" spans="1:9" x14ac:dyDescent="0.2">
      <c r="A1783">
        <v>1024706</v>
      </c>
      <c r="B1783" t="s">
        <v>20</v>
      </c>
      <c r="C1783">
        <v>12.55</v>
      </c>
      <c r="D1783">
        <v>0</v>
      </c>
      <c r="E1783">
        <v>856.11</v>
      </c>
      <c r="F1783" t="s">
        <v>6</v>
      </c>
      <c r="G17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78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783">
        <f>IF(Table1[[#This Row],[is_ups_overcharge]]="ups overcharged",Table1[[#This Row],[ups ship charge]]-Table1[[#This Row],[ada ship charge]],0)</f>
        <v>0</v>
      </c>
    </row>
    <row r="1784" spans="1:9" x14ac:dyDescent="0.2">
      <c r="A1784">
        <v>1024707</v>
      </c>
      <c r="B1784" t="s">
        <v>20</v>
      </c>
      <c r="C1784">
        <v>16.71</v>
      </c>
      <c r="D1784">
        <v>16.760000000000002</v>
      </c>
      <c r="E1784">
        <v>231.3</v>
      </c>
      <c r="F1784" t="s">
        <v>12</v>
      </c>
      <c r="G17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84">
        <f>IF(Table1[[#This Row],[is_ups_overcharge]]="ups overcharged",Table1[[#This Row],[ups ship charge]]-Table1[[#This Row],[ada ship charge]],0)</f>
        <v>0</v>
      </c>
    </row>
    <row r="1785" spans="1:9" x14ac:dyDescent="0.2">
      <c r="A1785">
        <v>1024716</v>
      </c>
      <c r="B1785" t="s">
        <v>20</v>
      </c>
      <c r="C1785">
        <v>16.71</v>
      </c>
      <c r="D1785">
        <v>16.760000000000002</v>
      </c>
      <c r="E1785">
        <v>99.75</v>
      </c>
      <c r="F1785" t="s">
        <v>12</v>
      </c>
      <c r="G17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85">
        <f>IF(Table1[[#This Row],[is_ups_overcharge]]="ups overcharged",Table1[[#This Row],[ups ship charge]]-Table1[[#This Row],[ada ship charge]],0)</f>
        <v>0</v>
      </c>
    </row>
    <row r="1786" spans="1:9" x14ac:dyDescent="0.2">
      <c r="A1786">
        <v>1024718</v>
      </c>
      <c r="B1786" t="s">
        <v>20</v>
      </c>
      <c r="C1786">
        <v>15.45</v>
      </c>
      <c r="D1786">
        <v>16.5</v>
      </c>
      <c r="E1786">
        <v>356.45</v>
      </c>
      <c r="F1786" t="s">
        <v>12</v>
      </c>
      <c r="G17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86">
        <f>IF(Table1[[#This Row],[is_ups_overcharge]]="ups overcharged",Table1[[#This Row],[ups ship charge]]-Table1[[#This Row],[ada ship charge]],0)</f>
        <v>0</v>
      </c>
    </row>
    <row r="1787" spans="1:9" x14ac:dyDescent="0.2">
      <c r="A1787">
        <v>1024722</v>
      </c>
      <c r="B1787" t="s">
        <v>20</v>
      </c>
      <c r="C1787">
        <v>16.23</v>
      </c>
      <c r="D1787">
        <v>0</v>
      </c>
      <c r="E1787">
        <v>593.54999999999995</v>
      </c>
      <c r="F1787" t="s">
        <v>6</v>
      </c>
      <c r="G17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78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787">
        <f>IF(Table1[[#This Row],[is_ups_overcharge]]="ups overcharged",Table1[[#This Row],[ups ship charge]]-Table1[[#This Row],[ada ship charge]],0)</f>
        <v>0</v>
      </c>
    </row>
    <row r="1788" spans="1:9" x14ac:dyDescent="0.2">
      <c r="A1788">
        <v>1024743</v>
      </c>
      <c r="B1788" t="s">
        <v>20</v>
      </c>
      <c r="C1788">
        <v>12.81</v>
      </c>
      <c r="D1788">
        <v>12.86</v>
      </c>
      <c r="E1788">
        <v>36.4</v>
      </c>
      <c r="F1788" t="s">
        <v>9</v>
      </c>
      <c r="G17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88">
        <f>IF(Table1[[#This Row],[is_ups_overcharge]]="ups overcharged",Table1[[#This Row],[ups ship charge]]-Table1[[#This Row],[ada ship charge]],0)</f>
        <v>0</v>
      </c>
    </row>
    <row r="1789" spans="1:9" x14ac:dyDescent="0.2">
      <c r="A1789">
        <v>1024745</v>
      </c>
      <c r="B1789" t="s">
        <v>20</v>
      </c>
      <c r="C1789">
        <v>12.81</v>
      </c>
      <c r="D1789">
        <v>12.86</v>
      </c>
      <c r="E1789">
        <v>84.1</v>
      </c>
      <c r="F1789" t="s">
        <v>9</v>
      </c>
      <c r="G17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89">
        <f>IF(Table1[[#This Row],[is_ups_overcharge]]="ups overcharged",Table1[[#This Row],[ups ship charge]]-Table1[[#This Row],[ada ship charge]],0)</f>
        <v>0</v>
      </c>
    </row>
    <row r="1790" spans="1:9" x14ac:dyDescent="0.2">
      <c r="A1790">
        <v>1024766</v>
      </c>
      <c r="B1790" t="s">
        <v>20</v>
      </c>
      <c r="C1790">
        <v>12.81</v>
      </c>
      <c r="D1790">
        <v>12.86</v>
      </c>
      <c r="E1790">
        <v>71.55</v>
      </c>
      <c r="F1790" t="s">
        <v>9</v>
      </c>
      <c r="G17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90">
        <f>IF(Table1[[#This Row],[is_ups_overcharge]]="ups overcharged",Table1[[#This Row],[ups ship charge]]-Table1[[#This Row],[ada ship charge]],0)</f>
        <v>0</v>
      </c>
    </row>
    <row r="1791" spans="1:9" x14ac:dyDescent="0.2">
      <c r="A1791">
        <v>1024790</v>
      </c>
      <c r="B1791" t="s">
        <v>20</v>
      </c>
      <c r="C1791">
        <v>12.81</v>
      </c>
      <c r="D1791">
        <v>13.31</v>
      </c>
      <c r="E1791">
        <v>47.25</v>
      </c>
      <c r="F1791" t="s">
        <v>9</v>
      </c>
      <c r="G17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91">
        <f>IF(Table1[[#This Row],[is_ups_overcharge]]="ups overcharged",Table1[[#This Row],[ups ship charge]]-Table1[[#This Row],[ada ship charge]],0)</f>
        <v>0</v>
      </c>
    </row>
    <row r="1792" spans="1:9" x14ac:dyDescent="0.2">
      <c r="A1792">
        <v>1024799</v>
      </c>
      <c r="B1792" t="s">
        <v>20</v>
      </c>
      <c r="C1792">
        <v>16.46</v>
      </c>
      <c r="D1792">
        <v>16.510000000000002</v>
      </c>
      <c r="E1792">
        <v>89.95</v>
      </c>
      <c r="F1792" t="s">
        <v>10</v>
      </c>
      <c r="G17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92">
        <f>IF(Table1[[#This Row],[is_ups_overcharge]]="ups overcharged",Table1[[#This Row],[ups ship charge]]-Table1[[#This Row],[ada ship charge]],0)</f>
        <v>0</v>
      </c>
    </row>
    <row r="1793" spans="1:9" x14ac:dyDescent="0.2">
      <c r="A1793">
        <v>1024812</v>
      </c>
      <c r="B1793" t="s">
        <v>20</v>
      </c>
      <c r="C1793">
        <v>16.46</v>
      </c>
      <c r="D1793">
        <v>16.510000000000002</v>
      </c>
      <c r="E1793">
        <v>229.5</v>
      </c>
      <c r="F1793" t="s">
        <v>10</v>
      </c>
      <c r="G17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93">
        <f>IF(Table1[[#This Row],[is_ups_overcharge]]="ups overcharged",Table1[[#This Row],[ups ship charge]]-Table1[[#This Row],[ada ship charge]],0)</f>
        <v>0</v>
      </c>
    </row>
    <row r="1794" spans="1:9" x14ac:dyDescent="0.2">
      <c r="A1794">
        <v>1024813</v>
      </c>
      <c r="B1794" t="s">
        <v>20</v>
      </c>
      <c r="C1794">
        <v>60.67</v>
      </c>
      <c r="D1794">
        <v>60.72</v>
      </c>
      <c r="E1794">
        <v>296.39999999999998</v>
      </c>
      <c r="F1794" t="s">
        <v>11</v>
      </c>
      <c r="G17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94">
        <f>IF(Table1[[#This Row],[is_ups_overcharge]]="ups overcharged",Table1[[#This Row],[ups ship charge]]-Table1[[#This Row],[ada ship charge]],0)</f>
        <v>0</v>
      </c>
    </row>
    <row r="1795" spans="1:9" x14ac:dyDescent="0.2">
      <c r="A1795">
        <v>1024829</v>
      </c>
      <c r="B1795" t="s">
        <v>20</v>
      </c>
      <c r="C1795">
        <v>16.77</v>
      </c>
      <c r="D1795">
        <v>16.82</v>
      </c>
      <c r="E1795">
        <v>35.700000000000003</v>
      </c>
      <c r="F1795" t="s">
        <v>10</v>
      </c>
      <c r="G17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95">
        <f>IF(Table1[[#This Row],[is_ups_overcharge]]="ups overcharged",Table1[[#This Row],[ups ship charge]]-Table1[[#This Row],[ada ship charge]],0)</f>
        <v>0</v>
      </c>
    </row>
    <row r="1796" spans="1:9" x14ac:dyDescent="0.2">
      <c r="A1796">
        <v>1024858</v>
      </c>
      <c r="B1796" t="s">
        <v>20</v>
      </c>
      <c r="C1796">
        <v>15.44</v>
      </c>
      <c r="D1796">
        <v>15.49</v>
      </c>
      <c r="E1796">
        <v>29.3</v>
      </c>
      <c r="F1796" t="s">
        <v>12</v>
      </c>
      <c r="G17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96">
        <f>IF(Table1[[#This Row],[is_ups_overcharge]]="ups overcharged",Table1[[#This Row],[ups ship charge]]-Table1[[#This Row],[ada ship charge]],0)</f>
        <v>0</v>
      </c>
    </row>
    <row r="1797" spans="1:9" x14ac:dyDescent="0.2">
      <c r="A1797">
        <v>1024873</v>
      </c>
      <c r="B1797" t="s">
        <v>20</v>
      </c>
      <c r="C1797">
        <v>16.77</v>
      </c>
      <c r="D1797">
        <v>16.82</v>
      </c>
      <c r="E1797">
        <v>34.950000000000003</v>
      </c>
      <c r="F1797" t="s">
        <v>10</v>
      </c>
      <c r="G17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97">
        <f>IF(Table1[[#This Row],[is_ups_overcharge]]="ups overcharged",Table1[[#This Row],[ups ship charge]]-Table1[[#This Row],[ada ship charge]],0)</f>
        <v>0</v>
      </c>
    </row>
    <row r="1798" spans="1:9" x14ac:dyDescent="0.2">
      <c r="A1798">
        <v>1024876</v>
      </c>
      <c r="B1798" t="s">
        <v>20</v>
      </c>
      <c r="C1798">
        <v>18.350000000000001</v>
      </c>
      <c r="D1798">
        <v>19.41</v>
      </c>
      <c r="E1798">
        <v>119.65</v>
      </c>
      <c r="F1798" t="s">
        <v>12</v>
      </c>
      <c r="G17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98">
        <f>IF(Table1[[#This Row],[is_ups_overcharge]]="ups overcharged",Table1[[#This Row],[ups ship charge]]-Table1[[#This Row],[ada ship charge]],0)</f>
        <v>0</v>
      </c>
    </row>
    <row r="1799" spans="1:9" x14ac:dyDescent="0.2">
      <c r="A1799">
        <v>1024892</v>
      </c>
      <c r="B1799" t="s">
        <v>20</v>
      </c>
      <c r="C1799">
        <v>13.7</v>
      </c>
      <c r="D1799">
        <v>13.75</v>
      </c>
      <c r="E1799">
        <v>13.6</v>
      </c>
      <c r="F1799" t="s">
        <v>9</v>
      </c>
      <c r="G17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7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799">
        <f>IF(Table1[[#This Row],[is_ups_overcharge]]="ups overcharged",Table1[[#This Row],[ups ship charge]]-Table1[[#This Row],[ada ship charge]],0)</f>
        <v>0</v>
      </c>
    </row>
    <row r="1800" spans="1:9" x14ac:dyDescent="0.2">
      <c r="A1800">
        <v>1024914</v>
      </c>
      <c r="B1800" t="s">
        <v>20</v>
      </c>
      <c r="C1800">
        <v>9.6999999999999993</v>
      </c>
      <c r="D1800">
        <v>9.75</v>
      </c>
      <c r="E1800">
        <v>69.45</v>
      </c>
      <c r="F1800" t="s">
        <v>6</v>
      </c>
      <c r="G18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00">
        <f>IF(Table1[[#This Row],[is_ups_overcharge]]="ups overcharged",Table1[[#This Row],[ups ship charge]]-Table1[[#This Row],[ada ship charge]],0)</f>
        <v>0</v>
      </c>
    </row>
    <row r="1801" spans="1:9" x14ac:dyDescent="0.2">
      <c r="A1801">
        <v>1024919</v>
      </c>
      <c r="B1801" t="s">
        <v>20</v>
      </c>
      <c r="C1801">
        <v>15.13</v>
      </c>
      <c r="D1801">
        <v>15.18</v>
      </c>
      <c r="E1801">
        <v>136.6</v>
      </c>
      <c r="F1801" t="s">
        <v>12</v>
      </c>
      <c r="G18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01">
        <f>IF(Table1[[#This Row],[is_ups_overcharge]]="ups overcharged",Table1[[#This Row],[ups ship charge]]-Table1[[#This Row],[ada ship charge]],0)</f>
        <v>0</v>
      </c>
    </row>
    <row r="1802" spans="1:9" x14ac:dyDescent="0.2">
      <c r="A1802">
        <v>1024921</v>
      </c>
      <c r="B1802" t="s">
        <v>20</v>
      </c>
      <c r="C1802">
        <v>13.26</v>
      </c>
      <c r="D1802">
        <v>13.82</v>
      </c>
      <c r="E1802">
        <v>150.35</v>
      </c>
      <c r="F1802" t="s">
        <v>9</v>
      </c>
      <c r="G18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02">
        <f>IF(Table1[[#This Row],[is_ups_overcharge]]="ups overcharged",Table1[[#This Row],[ups ship charge]]-Table1[[#This Row],[ada ship charge]],0)</f>
        <v>0</v>
      </c>
    </row>
    <row r="1803" spans="1:9" x14ac:dyDescent="0.2">
      <c r="A1803">
        <v>1024929</v>
      </c>
      <c r="B1803" t="s">
        <v>20</v>
      </c>
      <c r="C1803">
        <v>12.81</v>
      </c>
      <c r="D1803">
        <v>13.26</v>
      </c>
      <c r="E1803">
        <v>92.95</v>
      </c>
      <c r="F1803" t="s">
        <v>9</v>
      </c>
      <c r="G18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03">
        <f>IF(Table1[[#This Row],[is_ups_overcharge]]="ups overcharged",Table1[[#This Row],[ups ship charge]]-Table1[[#This Row],[ada ship charge]],0)</f>
        <v>0</v>
      </c>
    </row>
    <row r="1804" spans="1:9" x14ac:dyDescent="0.2">
      <c r="A1804">
        <v>1024932</v>
      </c>
      <c r="B1804" t="s">
        <v>20</v>
      </c>
      <c r="C1804">
        <v>16.77</v>
      </c>
      <c r="D1804">
        <v>16.82</v>
      </c>
      <c r="E1804">
        <v>7.95</v>
      </c>
      <c r="F1804" t="s">
        <v>10</v>
      </c>
      <c r="G18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04">
        <f>IF(Table1[[#This Row],[is_ups_overcharge]]="ups overcharged",Table1[[#This Row],[ups ship charge]]-Table1[[#This Row],[ada ship charge]],0)</f>
        <v>0</v>
      </c>
    </row>
    <row r="1805" spans="1:9" x14ac:dyDescent="0.2">
      <c r="A1805">
        <v>1024935</v>
      </c>
      <c r="B1805" t="s">
        <v>20</v>
      </c>
      <c r="C1805">
        <v>12.81</v>
      </c>
      <c r="D1805">
        <v>12.86</v>
      </c>
      <c r="E1805">
        <v>33.6</v>
      </c>
      <c r="F1805" t="s">
        <v>9</v>
      </c>
      <c r="G18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05">
        <f>IF(Table1[[#This Row],[is_ups_overcharge]]="ups overcharged",Table1[[#This Row],[ups ship charge]]-Table1[[#This Row],[ada ship charge]],0)</f>
        <v>0</v>
      </c>
    </row>
    <row r="1806" spans="1:9" x14ac:dyDescent="0.2">
      <c r="A1806">
        <v>1024968</v>
      </c>
      <c r="B1806" t="s">
        <v>20</v>
      </c>
      <c r="C1806">
        <v>13.7</v>
      </c>
      <c r="D1806">
        <v>13.75</v>
      </c>
      <c r="E1806">
        <v>27.7</v>
      </c>
      <c r="F1806" t="s">
        <v>9</v>
      </c>
      <c r="G18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06">
        <f>IF(Table1[[#This Row],[is_ups_overcharge]]="ups overcharged",Table1[[#This Row],[ups ship charge]]-Table1[[#This Row],[ada ship charge]],0)</f>
        <v>0</v>
      </c>
    </row>
    <row r="1807" spans="1:9" x14ac:dyDescent="0.2">
      <c r="A1807">
        <v>1025004</v>
      </c>
      <c r="B1807" t="s">
        <v>20</v>
      </c>
      <c r="C1807">
        <v>12.81</v>
      </c>
      <c r="D1807">
        <v>12.86</v>
      </c>
      <c r="E1807">
        <v>47.95</v>
      </c>
      <c r="F1807" t="s">
        <v>9</v>
      </c>
      <c r="G18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07">
        <f>IF(Table1[[#This Row],[is_ups_overcharge]]="ups overcharged",Table1[[#This Row],[ups ship charge]]-Table1[[#This Row],[ada ship charge]],0)</f>
        <v>0</v>
      </c>
    </row>
    <row r="1808" spans="1:9" x14ac:dyDescent="0.2">
      <c r="A1808">
        <v>1025011</v>
      </c>
      <c r="B1808" t="s">
        <v>20</v>
      </c>
      <c r="C1808">
        <v>12.81</v>
      </c>
      <c r="D1808">
        <v>0</v>
      </c>
      <c r="E1808">
        <v>222.75</v>
      </c>
      <c r="F1808" t="s">
        <v>9</v>
      </c>
      <c r="G18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0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08">
        <f>IF(Table1[[#This Row],[is_ups_overcharge]]="ups overcharged",Table1[[#This Row],[ups ship charge]]-Table1[[#This Row],[ada ship charge]],0)</f>
        <v>0</v>
      </c>
    </row>
    <row r="1809" spans="1:9" x14ac:dyDescent="0.2">
      <c r="A1809">
        <v>1025063</v>
      </c>
      <c r="B1809" t="s">
        <v>20</v>
      </c>
      <c r="C1809">
        <v>29.06</v>
      </c>
      <c r="D1809">
        <v>29.12</v>
      </c>
      <c r="E1809">
        <v>192.7</v>
      </c>
      <c r="F1809" t="s">
        <v>15</v>
      </c>
      <c r="G18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09">
        <f>IF(Table1[[#This Row],[is_ups_overcharge]]="ups overcharged",Table1[[#This Row],[ups ship charge]]-Table1[[#This Row],[ada ship charge]],0)</f>
        <v>0</v>
      </c>
    </row>
    <row r="1810" spans="1:9" x14ac:dyDescent="0.2">
      <c r="A1810">
        <v>1025072</v>
      </c>
      <c r="B1810" t="s">
        <v>20</v>
      </c>
      <c r="C1810">
        <v>12.81</v>
      </c>
      <c r="D1810">
        <v>12.86</v>
      </c>
      <c r="E1810">
        <v>28.9</v>
      </c>
      <c r="F1810" t="s">
        <v>9</v>
      </c>
      <c r="G18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10">
        <f>IF(Table1[[#This Row],[is_ups_overcharge]]="ups overcharged",Table1[[#This Row],[ups ship charge]]-Table1[[#This Row],[ada ship charge]],0)</f>
        <v>0</v>
      </c>
    </row>
    <row r="1811" spans="1:9" x14ac:dyDescent="0.2">
      <c r="A1811">
        <v>1025075</v>
      </c>
      <c r="B1811" t="s">
        <v>20</v>
      </c>
      <c r="C1811">
        <v>16.77</v>
      </c>
      <c r="D1811">
        <v>16.82</v>
      </c>
      <c r="E1811">
        <v>22.9</v>
      </c>
      <c r="F1811" t="s">
        <v>10</v>
      </c>
      <c r="G18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11">
        <f>IF(Table1[[#This Row],[is_ups_overcharge]]="ups overcharged",Table1[[#This Row],[ups ship charge]]-Table1[[#This Row],[ada ship charge]],0)</f>
        <v>0</v>
      </c>
    </row>
    <row r="1812" spans="1:9" x14ac:dyDescent="0.2">
      <c r="A1812">
        <v>1025111</v>
      </c>
      <c r="B1812" t="s">
        <v>20</v>
      </c>
      <c r="C1812">
        <v>22.46</v>
      </c>
      <c r="D1812">
        <v>22.51</v>
      </c>
      <c r="E1812">
        <v>69.900000000000006</v>
      </c>
      <c r="F1812" t="s">
        <v>16</v>
      </c>
      <c r="G18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12">
        <f>IF(Table1[[#This Row],[is_ups_overcharge]]="ups overcharged",Table1[[#This Row],[ups ship charge]]-Table1[[#This Row],[ada ship charge]],0)</f>
        <v>0</v>
      </c>
    </row>
    <row r="1813" spans="1:9" x14ac:dyDescent="0.2">
      <c r="A1813">
        <v>1025121</v>
      </c>
      <c r="B1813" t="s">
        <v>20</v>
      </c>
      <c r="C1813">
        <v>12.81</v>
      </c>
      <c r="D1813">
        <v>12.86</v>
      </c>
      <c r="E1813">
        <v>19.899999999999999</v>
      </c>
      <c r="F1813" t="s">
        <v>9</v>
      </c>
      <c r="G18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13">
        <f>IF(Table1[[#This Row],[is_ups_overcharge]]="ups overcharged",Table1[[#This Row],[ups ship charge]]-Table1[[#This Row],[ada ship charge]],0)</f>
        <v>0</v>
      </c>
    </row>
    <row r="1814" spans="1:9" x14ac:dyDescent="0.2">
      <c r="A1814">
        <v>1025135</v>
      </c>
      <c r="B1814" t="s">
        <v>20</v>
      </c>
      <c r="C1814">
        <v>12.81</v>
      </c>
      <c r="D1814">
        <v>12.86</v>
      </c>
      <c r="E1814">
        <v>64.95</v>
      </c>
      <c r="F1814" t="s">
        <v>9</v>
      </c>
      <c r="G18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14">
        <f>IF(Table1[[#This Row],[is_ups_overcharge]]="ups overcharged",Table1[[#This Row],[ups ship charge]]-Table1[[#This Row],[ada ship charge]],0)</f>
        <v>0</v>
      </c>
    </row>
    <row r="1815" spans="1:9" x14ac:dyDescent="0.2">
      <c r="A1815">
        <v>1025141</v>
      </c>
      <c r="B1815" t="s">
        <v>20</v>
      </c>
      <c r="C1815">
        <v>12.55</v>
      </c>
      <c r="D1815">
        <v>0</v>
      </c>
      <c r="E1815">
        <v>3300</v>
      </c>
      <c r="F1815" t="s">
        <v>6</v>
      </c>
      <c r="G18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1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15">
        <f>IF(Table1[[#This Row],[is_ups_overcharge]]="ups overcharged",Table1[[#This Row],[ups ship charge]]-Table1[[#This Row],[ada ship charge]],0)</f>
        <v>0</v>
      </c>
    </row>
    <row r="1816" spans="1:9" x14ac:dyDescent="0.2">
      <c r="A1816">
        <v>1025169</v>
      </c>
      <c r="B1816" t="s">
        <v>20</v>
      </c>
      <c r="C1816">
        <v>9.6999999999999993</v>
      </c>
      <c r="D1816">
        <v>0</v>
      </c>
      <c r="E1816">
        <v>247.9</v>
      </c>
      <c r="F1816" t="s">
        <v>6</v>
      </c>
      <c r="G18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1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16">
        <f>IF(Table1[[#This Row],[is_ups_overcharge]]="ups overcharged",Table1[[#This Row],[ups ship charge]]-Table1[[#This Row],[ada ship charge]],0)</f>
        <v>0</v>
      </c>
    </row>
    <row r="1817" spans="1:9" x14ac:dyDescent="0.2">
      <c r="A1817">
        <v>1025178</v>
      </c>
      <c r="B1817" t="s">
        <v>20</v>
      </c>
      <c r="C1817">
        <v>13.7</v>
      </c>
      <c r="D1817">
        <v>13.75</v>
      </c>
      <c r="E1817">
        <v>74.8</v>
      </c>
      <c r="F1817" t="s">
        <v>9</v>
      </c>
      <c r="G18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17">
        <f>IF(Table1[[#This Row],[is_ups_overcharge]]="ups overcharged",Table1[[#This Row],[ups ship charge]]-Table1[[#This Row],[ada ship charge]],0)</f>
        <v>0</v>
      </c>
    </row>
    <row r="1818" spans="1:9" x14ac:dyDescent="0.2">
      <c r="A1818">
        <v>1025180</v>
      </c>
      <c r="B1818" t="s">
        <v>20</v>
      </c>
      <c r="C1818">
        <v>13.26</v>
      </c>
      <c r="D1818">
        <v>13.31</v>
      </c>
      <c r="E1818">
        <v>124.25</v>
      </c>
      <c r="F1818" t="s">
        <v>9</v>
      </c>
      <c r="G18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18">
        <f>IF(Table1[[#This Row],[is_ups_overcharge]]="ups overcharged",Table1[[#This Row],[ups ship charge]]-Table1[[#This Row],[ada ship charge]],0)</f>
        <v>0</v>
      </c>
    </row>
    <row r="1819" spans="1:9" x14ac:dyDescent="0.2">
      <c r="A1819">
        <v>1025181</v>
      </c>
      <c r="B1819" t="s">
        <v>20</v>
      </c>
      <c r="C1819">
        <v>9.6999999999999993</v>
      </c>
      <c r="D1819">
        <v>0</v>
      </c>
      <c r="E1819">
        <v>413.05</v>
      </c>
      <c r="F1819" t="s">
        <v>6</v>
      </c>
      <c r="G18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1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19">
        <f>IF(Table1[[#This Row],[is_ups_overcharge]]="ups overcharged",Table1[[#This Row],[ups ship charge]]-Table1[[#This Row],[ada ship charge]],0)</f>
        <v>0</v>
      </c>
    </row>
    <row r="1820" spans="1:9" x14ac:dyDescent="0.2">
      <c r="A1820">
        <v>1025191</v>
      </c>
      <c r="B1820" t="s">
        <v>20</v>
      </c>
      <c r="C1820">
        <v>12.81</v>
      </c>
      <c r="D1820">
        <v>12.86</v>
      </c>
      <c r="E1820">
        <v>64.95</v>
      </c>
      <c r="F1820" t="s">
        <v>9</v>
      </c>
      <c r="G18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20">
        <f>IF(Table1[[#This Row],[is_ups_overcharge]]="ups overcharged",Table1[[#This Row],[ups ship charge]]-Table1[[#This Row],[ada ship charge]],0)</f>
        <v>0</v>
      </c>
    </row>
    <row r="1821" spans="1:9" x14ac:dyDescent="0.2">
      <c r="A1821">
        <v>1025210</v>
      </c>
      <c r="B1821" t="s">
        <v>20</v>
      </c>
      <c r="C1821">
        <v>13.7</v>
      </c>
      <c r="D1821">
        <v>13.75</v>
      </c>
      <c r="E1821">
        <v>42.5</v>
      </c>
      <c r="F1821" t="s">
        <v>9</v>
      </c>
      <c r="G18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21">
        <f>IF(Table1[[#This Row],[is_ups_overcharge]]="ups overcharged",Table1[[#This Row],[ups ship charge]]-Table1[[#This Row],[ada ship charge]],0)</f>
        <v>0</v>
      </c>
    </row>
    <row r="1822" spans="1:9" x14ac:dyDescent="0.2">
      <c r="A1822">
        <v>1025222</v>
      </c>
      <c r="B1822" t="s">
        <v>20</v>
      </c>
      <c r="C1822">
        <v>12.81</v>
      </c>
      <c r="D1822">
        <v>12.86</v>
      </c>
      <c r="E1822">
        <v>79.849999999999994</v>
      </c>
      <c r="F1822" t="s">
        <v>9</v>
      </c>
      <c r="G18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22">
        <f>IF(Table1[[#This Row],[is_ups_overcharge]]="ups overcharged",Table1[[#This Row],[ups ship charge]]-Table1[[#This Row],[ada ship charge]],0)</f>
        <v>0</v>
      </c>
    </row>
    <row r="1823" spans="1:9" x14ac:dyDescent="0.2">
      <c r="A1823">
        <v>1025225</v>
      </c>
      <c r="B1823" t="s">
        <v>20</v>
      </c>
      <c r="C1823">
        <v>13.83</v>
      </c>
      <c r="D1823">
        <v>14.28</v>
      </c>
      <c r="E1823">
        <v>159.94999999999999</v>
      </c>
      <c r="F1823" t="s">
        <v>9</v>
      </c>
      <c r="G18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23">
        <f>IF(Table1[[#This Row],[is_ups_overcharge]]="ups overcharged",Table1[[#This Row],[ups ship charge]]-Table1[[#This Row],[ada ship charge]],0)</f>
        <v>0</v>
      </c>
    </row>
    <row r="1824" spans="1:9" x14ac:dyDescent="0.2">
      <c r="A1824">
        <v>1025242</v>
      </c>
      <c r="B1824" t="s">
        <v>20</v>
      </c>
      <c r="C1824">
        <v>12.81</v>
      </c>
      <c r="D1824">
        <v>0</v>
      </c>
      <c r="E1824">
        <v>206.9</v>
      </c>
      <c r="F1824" t="s">
        <v>9</v>
      </c>
      <c r="G18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2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24">
        <f>IF(Table1[[#This Row],[is_ups_overcharge]]="ups overcharged",Table1[[#This Row],[ups ship charge]]-Table1[[#This Row],[ada ship charge]],0)</f>
        <v>0</v>
      </c>
    </row>
    <row r="1825" spans="1:9" x14ac:dyDescent="0.2">
      <c r="A1825">
        <v>1025244</v>
      </c>
      <c r="B1825" t="s">
        <v>20</v>
      </c>
      <c r="C1825">
        <v>12.55</v>
      </c>
      <c r="D1825">
        <v>0</v>
      </c>
      <c r="E1825">
        <v>2059.59</v>
      </c>
      <c r="F1825" t="s">
        <v>6</v>
      </c>
      <c r="G18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2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25">
        <f>IF(Table1[[#This Row],[is_ups_overcharge]]="ups overcharged",Table1[[#This Row],[ups ship charge]]-Table1[[#This Row],[ada ship charge]],0)</f>
        <v>0</v>
      </c>
    </row>
    <row r="1826" spans="1:9" x14ac:dyDescent="0.2">
      <c r="A1826">
        <v>1025258</v>
      </c>
      <c r="B1826" t="s">
        <v>20</v>
      </c>
      <c r="C1826">
        <v>13.7</v>
      </c>
      <c r="D1826">
        <v>13.75</v>
      </c>
      <c r="E1826">
        <v>44.95</v>
      </c>
      <c r="F1826" t="s">
        <v>9</v>
      </c>
      <c r="G18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26">
        <f>IF(Table1[[#This Row],[is_ups_overcharge]]="ups overcharged",Table1[[#This Row],[ups ship charge]]-Table1[[#This Row],[ada ship charge]],0)</f>
        <v>0</v>
      </c>
    </row>
    <row r="1827" spans="1:9" x14ac:dyDescent="0.2">
      <c r="A1827">
        <v>1025270</v>
      </c>
      <c r="B1827" t="s">
        <v>20</v>
      </c>
      <c r="C1827">
        <v>13.7</v>
      </c>
      <c r="D1827">
        <v>13.99</v>
      </c>
      <c r="E1827">
        <v>99.95</v>
      </c>
      <c r="F1827" t="s">
        <v>9</v>
      </c>
      <c r="G18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27">
        <f>IF(Table1[[#This Row],[is_ups_overcharge]]="ups overcharged",Table1[[#This Row],[ups ship charge]]-Table1[[#This Row],[ada ship charge]],0)</f>
        <v>0</v>
      </c>
    </row>
    <row r="1828" spans="1:9" x14ac:dyDescent="0.2">
      <c r="A1828">
        <v>1025276</v>
      </c>
      <c r="B1828" t="s">
        <v>20</v>
      </c>
      <c r="C1828">
        <v>13.7</v>
      </c>
      <c r="D1828">
        <v>13.75</v>
      </c>
      <c r="E1828">
        <v>40.9</v>
      </c>
      <c r="F1828" t="s">
        <v>9</v>
      </c>
      <c r="G18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28">
        <f>IF(Table1[[#This Row],[is_ups_overcharge]]="ups overcharged",Table1[[#This Row],[ups ship charge]]-Table1[[#This Row],[ada ship charge]],0)</f>
        <v>0</v>
      </c>
    </row>
    <row r="1829" spans="1:9" x14ac:dyDescent="0.2">
      <c r="A1829">
        <v>1025291</v>
      </c>
      <c r="B1829" t="s">
        <v>20</v>
      </c>
      <c r="C1829">
        <v>11.02</v>
      </c>
      <c r="D1829">
        <v>15.49</v>
      </c>
      <c r="E1829">
        <v>49.95</v>
      </c>
      <c r="F1829" t="s">
        <v>14</v>
      </c>
      <c r="G18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29">
        <f>IF(Table1[[#This Row],[is_ups_overcharge]]="ups overcharged",Table1[[#This Row],[ups ship charge]]-Table1[[#This Row],[ada ship charge]],0)</f>
        <v>0</v>
      </c>
    </row>
    <row r="1830" spans="1:9" x14ac:dyDescent="0.2">
      <c r="A1830">
        <v>1025316</v>
      </c>
      <c r="B1830" t="s">
        <v>20</v>
      </c>
      <c r="C1830">
        <v>10.7</v>
      </c>
      <c r="D1830">
        <v>0</v>
      </c>
      <c r="E1830">
        <v>468</v>
      </c>
      <c r="F1830" t="s">
        <v>6</v>
      </c>
      <c r="G18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3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30">
        <f>IF(Table1[[#This Row],[is_ups_overcharge]]="ups overcharged",Table1[[#This Row],[ups ship charge]]-Table1[[#This Row],[ada ship charge]],0)</f>
        <v>0</v>
      </c>
    </row>
    <row r="1831" spans="1:9" x14ac:dyDescent="0.2">
      <c r="A1831">
        <v>1025385</v>
      </c>
      <c r="B1831" t="s">
        <v>20</v>
      </c>
      <c r="C1831">
        <v>9.6999999999999993</v>
      </c>
      <c r="D1831">
        <v>9.75</v>
      </c>
      <c r="E1831">
        <v>14.9</v>
      </c>
      <c r="F1831" t="s">
        <v>6</v>
      </c>
      <c r="G18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31">
        <f>IF(Table1[[#This Row],[is_ups_overcharge]]="ups overcharged",Table1[[#This Row],[ups ship charge]]-Table1[[#This Row],[ada ship charge]],0)</f>
        <v>0</v>
      </c>
    </row>
    <row r="1832" spans="1:9" x14ac:dyDescent="0.2">
      <c r="A1832">
        <v>1025416</v>
      </c>
      <c r="B1832" t="s">
        <v>20</v>
      </c>
      <c r="C1832">
        <v>12.35</v>
      </c>
      <c r="D1832">
        <v>12.4</v>
      </c>
      <c r="E1832">
        <v>26.4</v>
      </c>
      <c r="F1832" t="s">
        <v>13</v>
      </c>
      <c r="G18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32">
        <f>IF(Table1[[#This Row],[is_ups_overcharge]]="ups overcharged",Table1[[#This Row],[ups ship charge]]-Table1[[#This Row],[ada ship charge]],0)</f>
        <v>0</v>
      </c>
    </row>
    <row r="1833" spans="1:9" x14ac:dyDescent="0.2">
      <c r="A1833">
        <v>1025442</v>
      </c>
      <c r="B1833" t="s">
        <v>20</v>
      </c>
      <c r="C1833">
        <v>9.7100000000000009</v>
      </c>
      <c r="D1833">
        <v>9.76</v>
      </c>
      <c r="E1833">
        <v>9.9499999999999993</v>
      </c>
      <c r="F1833" t="s">
        <v>6</v>
      </c>
      <c r="G18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33">
        <f>IF(Table1[[#This Row],[is_ups_overcharge]]="ups overcharged",Table1[[#This Row],[ups ship charge]]-Table1[[#This Row],[ada ship charge]],0)</f>
        <v>0</v>
      </c>
    </row>
    <row r="1834" spans="1:9" x14ac:dyDescent="0.2">
      <c r="A1834">
        <v>1025461</v>
      </c>
      <c r="B1834" t="s">
        <v>20</v>
      </c>
      <c r="C1834">
        <v>16.77</v>
      </c>
      <c r="D1834">
        <v>18.41</v>
      </c>
      <c r="E1834">
        <v>162.69999999999999</v>
      </c>
      <c r="F1834" t="s">
        <v>10</v>
      </c>
      <c r="G18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34">
        <f>IF(Table1[[#This Row],[is_ups_overcharge]]="ups overcharged",Table1[[#This Row],[ups ship charge]]-Table1[[#This Row],[ada ship charge]],0)</f>
        <v>0</v>
      </c>
    </row>
    <row r="1835" spans="1:9" x14ac:dyDescent="0.2">
      <c r="A1835">
        <v>1025462</v>
      </c>
      <c r="B1835" t="s">
        <v>20</v>
      </c>
      <c r="C1835">
        <v>15.44</v>
      </c>
      <c r="D1835">
        <v>15.49</v>
      </c>
      <c r="E1835">
        <v>43.9</v>
      </c>
      <c r="F1835" t="s">
        <v>12</v>
      </c>
      <c r="G18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35">
        <f>IF(Table1[[#This Row],[is_ups_overcharge]]="ups overcharged",Table1[[#This Row],[ups ship charge]]-Table1[[#This Row],[ada ship charge]],0)</f>
        <v>0</v>
      </c>
    </row>
    <row r="1836" spans="1:9" x14ac:dyDescent="0.2">
      <c r="A1836">
        <v>1025488</v>
      </c>
      <c r="B1836" t="s">
        <v>20</v>
      </c>
      <c r="C1836">
        <v>12.81</v>
      </c>
      <c r="D1836">
        <v>10</v>
      </c>
      <c r="E1836">
        <v>79.95</v>
      </c>
      <c r="F1836" t="s">
        <v>9</v>
      </c>
      <c r="G18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36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836">
        <f>IF(Table1[[#This Row],[is_ups_overcharge]]="ups overcharged",Table1[[#This Row],[ups ship charge]]-Table1[[#This Row],[ada ship charge]],0)</f>
        <v>2.8100000000000005</v>
      </c>
    </row>
    <row r="1837" spans="1:9" x14ac:dyDescent="0.2">
      <c r="A1837">
        <v>1025496</v>
      </c>
      <c r="B1837" t="s">
        <v>20</v>
      </c>
      <c r="C1837">
        <v>11.02</v>
      </c>
      <c r="D1837">
        <v>11.07</v>
      </c>
      <c r="E1837">
        <v>85</v>
      </c>
      <c r="F1837" t="s">
        <v>14</v>
      </c>
      <c r="G18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37">
        <f>IF(Table1[[#This Row],[is_ups_overcharge]]="ups overcharged",Table1[[#This Row],[ups ship charge]]-Table1[[#This Row],[ada ship charge]],0)</f>
        <v>0</v>
      </c>
    </row>
    <row r="1838" spans="1:9" x14ac:dyDescent="0.2">
      <c r="A1838">
        <v>1025528</v>
      </c>
      <c r="B1838" t="s">
        <v>20</v>
      </c>
      <c r="C1838">
        <v>15.45</v>
      </c>
      <c r="D1838">
        <v>18.98</v>
      </c>
      <c r="E1838">
        <v>114.95</v>
      </c>
      <c r="F1838" t="s">
        <v>12</v>
      </c>
      <c r="G18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38">
        <f>IF(Table1[[#This Row],[is_ups_overcharge]]="ups overcharged",Table1[[#This Row],[ups ship charge]]-Table1[[#This Row],[ada ship charge]],0)</f>
        <v>0</v>
      </c>
    </row>
    <row r="1839" spans="1:9" x14ac:dyDescent="0.2">
      <c r="A1839">
        <v>1025529</v>
      </c>
      <c r="B1839" t="s">
        <v>20</v>
      </c>
      <c r="C1839">
        <v>12.35</v>
      </c>
      <c r="D1839">
        <v>12.4</v>
      </c>
      <c r="E1839">
        <v>64.95</v>
      </c>
      <c r="F1839" t="s">
        <v>13</v>
      </c>
      <c r="G18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39">
        <f>IF(Table1[[#This Row],[is_ups_overcharge]]="ups overcharged",Table1[[#This Row],[ups ship charge]]-Table1[[#This Row],[ada ship charge]],0)</f>
        <v>0</v>
      </c>
    </row>
    <row r="1840" spans="1:9" x14ac:dyDescent="0.2">
      <c r="A1840">
        <v>1025532</v>
      </c>
      <c r="B1840" t="s">
        <v>20</v>
      </c>
      <c r="C1840">
        <v>9.6999999999999993</v>
      </c>
      <c r="D1840">
        <v>0</v>
      </c>
      <c r="E1840">
        <v>251.6</v>
      </c>
      <c r="F1840" t="s">
        <v>6</v>
      </c>
      <c r="G18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4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40">
        <f>IF(Table1[[#This Row],[is_ups_overcharge]]="ups overcharged",Table1[[#This Row],[ups ship charge]]-Table1[[#This Row],[ada ship charge]],0)</f>
        <v>0</v>
      </c>
    </row>
    <row r="1841" spans="1:9" x14ac:dyDescent="0.2">
      <c r="A1841">
        <v>1025539</v>
      </c>
      <c r="B1841" t="s">
        <v>20</v>
      </c>
      <c r="C1841">
        <v>13.7</v>
      </c>
      <c r="D1841">
        <v>13.75</v>
      </c>
      <c r="E1841">
        <v>74.900000000000006</v>
      </c>
      <c r="F1841" t="s">
        <v>9</v>
      </c>
      <c r="G18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41">
        <f>IF(Table1[[#This Row],[is_ups_overcharge]]="ups overcharged",Table1[[#This Row],[ups ship charge]]-Table1[[#This Row],[ada ship charge]],0)</f>
        <v>0</v>
      </c>
    </row>
    <row r="1842" spans="1:9" x14ac:dyDescent="0.2">
      <c r="A1842">
        <v>1025540</v>
      </c>
      <c r="B1842" t="s">
        <v>20</v>
      </c>
      <c r="C1842">
        <v>12.81</v>
      </c>
      <c r="D1842">
        <v>12.86</v>
      </c>
      <c r="E1842">
        <v>68.849999999999994</v>
      </c>
      <c r="F1842" t="s">
        <v>9</v>
      </c>
      <c r="G18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42">
        <f>IF(Table1[[#This Row],[is_ups_overcharge]]="ups overcharged",Table1[[#This Row],[ups ship charge]]-Table1[[#This Row],[ada ship charge]],0)</f>
        <v>0</v>
      </c>
    </row>
    <row r="1843" spans="1:9" x14ac:dyDescent="0.2">
      <c r="A1843">
        <v>1025545</v>
      </c>
      <c r="B1843" t="s">
        <v>20</v>
      </c>
      <c r="C1843">
        <v>9.6999999999999993</v>
      </c>
      <c r="D1843">
        <v>9.75</v>
      </c>
      <c r="E1843">
        <v>177.95</v>
      </c>
      <c r="F1843" t="s">
        <v>6</v>
      </c>
      <c r="G18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43">
        <f>IF(Table1[[#This Row],[is_ups_overcharge]]="ups overcharged",Table1[[#This Row],[ups ship charge]]-Table1[[#This Row],[ada ship charge]],0)</f>
        <v>0</v>
      </c>
    </row>
    <row r="1844" spans="1:9" x14ac:dyDescent="0.2">
      <c r="A1844">
        <v>1025556</v>
      </c>
      <c r="B1844" t="s">
        <v>20</v>
      </c>
      <c r="C1844">
        <v>12.55</v>
      </c>
      <c r="D1844">
        <v>0</v>
      </c>
      <c r="E1844">
        <v>717.21</v>
      </c>
      <c r="F1844" t="s">
        <v>6</v>
      </c>
      <c r="G18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4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44">
        <f>IF(Table1[[#This Row],[is_ups_overcharge]]="ups overcharged",Table1[[#This Row],[ups ship charge]]-Table1[[#This Row],[ada ship charge]],0)</f>
        <v>0</v>
      </c>
    </row>
    <row r="1845" spans="1:9" x14ac:dyDescent="0.2">
      <c r="A1845">
        <v>1025557</v>
      </c>
      <c r="B1845" t="s">
        <v>20</v>
      </c>
      <c r="C1845">
        <v>12.55</v>
      </c>
      <c r="D1845">
        <v>0</v>
      </c>
      <c r="E1845">
        <v>997.43</v>
      </c>
      <c r="F1845" t="s">
        <v>6</v>
      </c>
      <c r="G18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4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45">
        <f>IF(Table1[[#This Row],[is_ups_overcharge]]="ups overcharged",Table1[[#This Row],[ups ship charge]]-Table1[[#This Row],[ada ship charge]],0)</f>
        <v>0</v>
      </c>
    </row>
    <row r="1846" spans="1:9" x14ac:dyDescent="0.2">
      <c r="A1846">
        <v>1025559</v>
      </c>
      <c r="B1846" t="s">
        <v>20</v>
      </c>
      <c r="C1846">
        <v>13.71</v>
      </c>
      <c r="D1846">
        <v>13.76</v>
      </c>
      <c r="E1846">
        <v>119.95</v>
      </c>
      <c r="F1846" t="s">
        <v>9</v>
      </c>
      <c r="G18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46">
        <f>IF(Table1[[#This Row],[is_ups_overcharge]]="ups overcharged",Table1[[#This Row],[ups ship charge]]-Table1[[#This Row],[ada ship charge]],0)</f>
        <v>0</v>
      </c>
    </row>
    <row r="1847" spans="1:9" x14ac:dyDescent="0.2">
      <c r="A1847">
        <v>1025573</v>
      </c>
      <c r="B1847" t="s">
        <v>20</v>
      </c>
      <c r="C1847">
        <v>9.6999999999999993</v>
      </c>
      <c r="D1847">
        <v>9.75</v>
      </c>
      <c r="E1847">
        <v>136.75</v>
      </c>
      <c r="F1847" t="s">
        <v>6</v>
      </c>
      <c r="G18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47">
        <f>IF(Table1[[#This Row],[is_ups_overcharge]]="ups overcharged",Table1[[#This Row],[ups ship charge]]-Table1[[#This Row],[ada ship charge]],0)</f>
        <v>0</v>
      </c>
    </row>
    <row r="1848" spans="1:9" x14ac:dyDescent="0.2">
      <c r="A1848">
        <v>1025586</v>
      </c>
      <c r="B1848" t="s">
        <v>20</v>
      </c>
      <c r="C1848">
        <v>9.6999999999999993</v>
      </c>
      <c r="D1848">
        <v>9.75</v>
      </c>
      <c r="E1848">
        <v>149.69999999999999</v>
      </c>
      <c r="F1848" t="s">
        <v>6</v>
      </c>
      <c r="G18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48">
        <f>IF(Table1[[#This Row],[is_ups_overcharge]]="ups overcharged",Table1[[#This Row],[ups ship charge]]-Table1[[#This Row],[ada ship charge]],0)</f>
        <v>0</v>
      </c>
    </row>
    <row r="1849" spans="1:9" x14ac:dyDescent="0.2">
      <c r="A1849">
        <v>1025594</v>
      </c>
      <c r="B1849" t="s">
        <v>20</v>
      </c>
      <c r="C1849">
        <v>15.13</v>
      </c>
      <c r="D1849">
        <v>15.18</v>
      </c>
      <c r="E1849">
        <v>81.900000000000006</v>
      </c>
      <c r="F1849" t="s">
        <v>12</v>
      </c>
      <c r="G18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49">
        <f>IF(Table1[[#This Row],[is_ups_overcharge]]="ups overcharged",Table1[[#This Row],[ups ship charge]]-Table1[[#This Row],[ada ship charge]],0)</f>
        <v>0</v>
      </c>
    </row>
    <row r="1850" spans="1:9" x14ac:dyDescent="0.2">
      <c r="A1850">
        <v>1025606</v>
      </c>
      <c r="B1850" t="s">
        <v>20</v>
      </c>
      <c r="C1850">
        <v>12.81</v>
      </c>
      <c r="D1850">
        <v>12.86</v>
      </c>
      <c r="E1850">
        <v>12.85</v>
      </c>
      <c r="F1850" t="s">
        <v>9</v>
      </c>
      <c r="G18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50">
        <f>IF(Table1[[#This Row],[is_ups_overcharge]]="ups overcharged",Table1[[#This Row],[ups ship charge]]-Table1[[#This Row],[ada ship charge]],0)</f>
        <v>0</v>
      </c>
    </row>
    <row r="1851" spans="1:9" x14ac:dyDescent="0.2">
      <c r="A1851">
        <v>1025612</v>
      </c>
      <c r="B1851" t="s">
        <v>20</v>
      </c>
      <c r="C1851">
        <v>9.6999999999999993</v>
      </c>
      <c r="D1851">
        <v>9.75</v>
      </c>
      <c r="E1851">
        <v>107.6</v>
      </c>
      <c r="F1851" t="s">
        <v>6</v>
      </c>
      <c r="G18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51">
        <f>IF(Table1[[#This Row],[is_ups_overcharge]]="ups overcharged",Table1[[#This Row],[ups ship charge]]-Table1[[#This Row],[ada ship charge]],0)</f>
        <v>0</v>
      </c>
    </row>
    <row r="1852" spans="1:9" x14ac:dyDescent="0.2">
      <c r="A1852">
        <v>1025630</v>
      </c>
      <c r="B1852" t="s">
        <v>20</v>
      </c>
      <c r="C1852">
        <v>12.81</v>
      </c>
      <c r="D1852">
        <v>12.86</v>
      </c>
      <c r="E1852">
        <v>142.65</v>
      </c>
      <c r="F1852" t="s">
        <v>9</v>
      </c>
      <c r="G18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52">
        <f>IF(Table1[[#This Row],[is_ups_overcharge]]="ups overcharged",Table1[[#This Row],[ups ship charge]]-Table1[[#This Row],[ada ship charge]],0)</f>
        <v>0</v>
      </c>
    </row>
    <row r="1853" spans="1:9" x14ac:dyDescent="0.2">
      <c r="A1853">
        <v>1025636</v>
      </c>
      <c r="B1853" t="s">
        <v>20</v>
      </c>
      <c r="C1853">
        <v>12.55</v>
      </c>
      <c r="D1853">
        <v>0</v>
      </c>
      <c r="E1853">
        <v>688.77</v>
      </c>
      <c r="F1853" t="s">
        <v>6</v>
      </c>
      <c r="G18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5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53">
        <f>IF(Table1[[#This Row],[is_ups_overcharge]]="ups overcharged",Table1[[#This Row],[ups ship charge]]-Table1[[#This Row],[ada ship charge]],0)</f>
        <v>0</v>
      </c>
    </row>
    <row r="1854" spans="1:9" x14ac:dyDescent="0.2">
      <c r="A1854">
        <v>1025643</v>
      </c>
      <c r="B1854" t="s">
        <v>20</v>
      </c>
      <c r="C1854">
        <v>12.81</v>
      </c>
      <c r="D1854">
        <v>12.86</v>
      </c>
      <c r="E1854">
        <v>22.5</v>
      </c>
      <c r="F1854" t="s">
        <v>9</v>
      </c>
      <c r="G18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54">
        <f>IF(Table1[[#This Row],[is_ups_overcharge]]="ups overcharged",Table1[[#This Row],[ups ship charge]]-Table1[[#This Row],[ada ship charge]],0)</f>
        <v>0</v>
      </c>
    </row>
    <row r="1855" spans="1:9" x14ac:dyDescent="0.2">
      <c r="A1855">
        <v>1025656</v>
      </c>
      <c r="B1855" t="s">
        <v>20</v>
      </c>
      <c r="C1855">
        <v>9.6999999999999993</v>
      </c>
      <c r="D1855">
        <v>9.75</v>
      </c>
      <c r="E1855">
        <v>119.9</v>
      </c>
      <c r="F1855" t="s">
        <v>6</v>
      </c>
      <c r="G18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55">
        <f>IF(Table1[[#This Row],[is_ups_overcharge]]="ups overcharged",Table1[[#This Row],[ups ship charge]]-Table1[[#This Row],[ada ship charge]],0)</f>
        <v>0</v>
      </c>
    </row>
    <row r="1856" spans="1:9" x14ac:dyDescent="0.2">
      <c r="A1856">
        <v>1025676</v>
      </c>
      <c r="B1856" t="s">
        <v>20</v>
      </c>
      <c r="C1856">
        <v>13.7</v>
      </c>
      <c r="D1856">
        <v>13.75</v>
      </c>
      <c r="E1856">
        <v>138.19999999999999</v>
      </c>
      <c r="F1856" t="s">
        <v>9</v>
      </c>
      <c r="G18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56">
        <f>IF(Table1[[#This Row],[is_ups_overcharge]]="ups overcharged",Table1[[#This Row],[ups ship charge]]-Table1[[#This Row],[ada ship charge]],0)</f>
        <v>0</v>
      </c>
    </row>
    <row r="1857" spans="1:9" x14ac:dyDescent="0.2">
      <c r="A1857">
        <v>1025680</v>
      </c>
      <c r="B1857" t="s">
        <v>20</v>
      </c>
      <c r="C1857">
        <v>72</v>
      </c>
      <c r="D1857">
        <v>89.75</v>
      </c>
      <c r="E1857">
        <v>160</v>
      </c>
      <c r="F1857" t="s">
        <v>11</v>
      </c>
      <c r="G18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57">
        <f>IF(Table1[[#This Row],[is_ups_overcharge]]="ups overcharged",Table1[[#This Row],[ups ship charge]]-Table1[[#This Row],[ada ship charge]],0)</f>
        <v>0</v>
      </c>
    </row>
    <row r="1858" spans="1:9" x14ac:dyDescent="0.2">
      <c r="A1858">
        <v>1025694</v>
      </c>
      <c r="B1858" t="s">
        <v>20</v>
      </c>
      <c r="C1858">
        <v>16.87</v>
      </c>
      <c r="D1858">
        <v>18.77</v>
      </c>
      <c r="E1858">
        <v>137.5</v>
      </c>
      <c r="F1858" t="s">
        <v>10</v>
      </c>
      <c r="G18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58">
        <f>IF(Table1[[#This Row],[is_ups_overcharge]]="ups overcharged",Table1[[#This Row],[ups ship charge]]-Table1[[#This Row],[ada ship charge]],0)</f>
        <v>0</v>
      </c>
    </row>
    <row r="1859" spans="1:9" x14ac:dyDescent="0.2">
      <c r="A1859">
        <v>1025708</v>
      </c>
      <c r="B1859" t="s">
        <v>20</v>
      </c>
      <c r="C1859">
        <v>16.87</v>
      </c>
      <c r="D1859">
        <v>16.920000000000002</v>
      </c>
      <c r="E1859">
        <v>11.4</v>
      </c>
      <c r="F1859" t="s">
        <v>10</v>
      </c>
      <c r="G18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59">
        <f>IF(Table1[[#This Row],[is_ups_overcharge]]="ups overcharged",Table1[[#This Row],[ups ship charge]]-Table1[[#This Row],[ada ship charge]],0)</f>
        <v>0</v>
      </c>
    </row>
    <row r="1860" spans="1:9" x14ac:dyDescent="0.2">
      <c r="A1860">
        <v>1025714</v>
      </c>
      <c r="B1860" t="s">
        <v>20</v>
      </c>
      <c r="C1860">
        <v>12.35</v>
      </c>
      <c r="D1860">
        <v>12.4</v>
      </c>
      <c r="E1860">
        <v>44.85</v>
      </c>
      <c r="F1860" t="s">
        <v>13</v>
      </c>
      <c r="G18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60">
        <f>IF(Table1[[#This Row],[is_ups_overcharge]]="ups overcharged",Table1[[#This Row],[ups ship charge]]-Table1[[#This Row],[ada ship charge]],0)</f>
        <v>0</v>
      </c>
    </row>
    <row r="1861" spans="1:9" x14ac:dyDescent="0.2">
      <c r="A1861">
        <v>1025728</v>
      </c>
      <c r="B1861" t="s">
        <v>20</v>
      </c>
      <c r="C1861">
        <v>13.7</v>
      </c>
      <c r="D1861">
        <v>13.75</v>
      </c>
      <c r="E1861">
        <v>131.55000000000001</v>
      </c>
      <c r="F1861" t="s">
        <v>9</v>
      </c>
      <c r="G18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61">
        <f>IF(Table1[[#This Row],[is_ups_overcharge]]="ups overcharged",Table1[[#This Row],[ups ship charge]]-Table1[[#This Row],[ada ship charge]],0)</f>
        <v>0</v>
      </c>
    </row>
    <row r="1862" spans="1:9" x14ac:dyDescent="0.2">
      <c r="A1862">
        <v>1025772</v>
      </c>
      <c r="B1862" t="s">
        <v>20</v>
      </c>
      <c r="C1862">
        <v>13.7</v>
      </c>
      <c r="D1862">
        <v>13.75</v>
      </c>
      <c r="E1862">
        <v>97.8</v>
      </c>
      <c r="F1862" t="s">
        <v>9</v>
      </c>
      <c r="G18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62">
        <f>IF(Table1[[#This Row],[is_ups_overcharge]]="ups overcharged",Table1[[#This Row],[ups ship charge]]-Table1[[#This Row],[ada ship charge]],0)</f>
        <v>0</v>
      </c>
    </row>
    <row r="1863" spans="1:9" x14ac:dyDescent="0.2">
      <c r="A1863">
        <v>1025781</v>
      </c>
      <c r="B1863" t="s">
        <v>20</v>
      </c>
      <c r="C1863">
        <v>12.81</v>
      </c>
      <c r="D1863">
        <v>12.86</v>
      </c>
      <c r="E1863">
        <v>21.6</v>
      </c>
      <c r="F1863" t="s">
        <v>9</v>
      </c>
      <c r="G18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63">
        <f>IF(Table1[[#This Row],[is_ups_overcharge]]="ups overcharged",Table1[[#This Row],[ups ship charge]]-Table1[[#This Row],[ada ship charge]],0)</f>
        <v>0</v>
      </c>
    </row>
    <row r="1864" spans="1:9" x14ac:dyDescent="0.2">
      <c r="A1864">
        <v>1025805</v>
      </c>
      <c r="B1864" t="s">
        <v>20</v>
      </c>
      <c r="C1864">
        <v>16.77</v>
      </c>
      <c r="D1864">
        <v>16.82</v>
      </c>
      <c r="E1864">
        <v>217.3</v>
      </c>
      <c r="F1864" t="s">
        <v>10</v>
      </c>
      <c r="G18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64">
        <f>IF(Table1[[#This Row],[is_ups_overcharge]]="ups overcharged",Table1[[#This Row],[ups ship charge]]-Table1[[#This Row],[ada ship charge]],0)</f>
        <v>0</v>
      </c>
    </row>
    <row r="1865" spans="1:9" x14ac:dyDescent="0.2">
      <c r="A1865">
        <v>1025809</v>
      </c>
      <c r="B1865" t="s">
        <v>20</v>
      </c>
      <c r="C1865">
        <v>13.7</v>
      </c>
      <c r="D1865">
        <v>13.76</v>
      </c>
      <c r="E1865">
        <v>155.69999999999999</v>
      </c>
      <c r="F1865" t="s">
        <v>9</v>
      </c>
      <c r="G18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65">
        <f>IF(Table1[[#This Row],[is_ups_overcharge]]="ups overcharged",Table1[[#This Row],[ups ship charge]]-Table1[[#This Row],[ada ship charge]],0)</f>
        <v>0</v>
      </c>
    </row>
    <row r="1866" spans="1:9" x14ac:dyDescent="0.2">
      <c r="A1866">
        <v>1025811</v>
      </c>
      <c r="B1866" t="s">
        <v>20</v>
      </c>
      <c r="C1866">
        <v>12.81</v>
      </c>
      <c r="D1866">
        <v>12.86</v>
      </c>
      <c r="E1866">
        <v>49.95</v>
      </c>
      <c r="F1866" t="s">
        <v>9</v>
      </c>
      <c r="G18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66">
        <f>IF(Table1[[#This Row],[is_ups_overcharge]]="ups overcharged",Table1[[#This Row],[ups ship charge]]-Table1[[#This Row],[ada ship charge]],0)</f>
        <v>0</v>
      </c>
    </row>
    <row r="1867" spans="1:9" x14ac:dyDescent="0.2">
      <c r="A1867">
        <v>1025819</v>
      </c>
      <c r="B1867" t="s">
        <v>20</v>
      </c>
      <c r="C1867">
        <v>13.71</v>
      </c>
      <c r="D1867">
        <v>13.76</v>
      </c>
      <c r="E1867">
        <v>79.900000000000006</v>
      </c>
      <c r="F1867" t="s">
        <v>9</v>
      </c>
      <c r="G18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67">
        <f>IF(Table1[[#This Row],[is_ups_overcharge]]="ups overcharged",Table1[[#This Row],[ups ship charge]]-Table1[[#This Row],[ada ship charge]],0)</f>
        <v>0</v>
      </c>
    </row>
    <row r="1868" spans="1:9" x14ac:dyDescent="0.2">
      <c r="A1868">
        <v>1025841</v>
      </c>
      <c r="B1868" t="s">
        <v>20</v>
      </c>
      <c r="C1868">
        <v>9.6999999999999993</v>
      </c>
      <c r="D1868">
        <v>13.75</v>
      </c>
      <c r="E1868">
        <v>63</v>
      </c>
      <c r="F1868" t="s">
        <v>6</v>
      </c>
      <c r="G18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68">
        <f>IF(Table1[[#This Row],[is_ups_overcharge]]="ups overcharged",Table1[[#This Row],[ups ship charge]]-Table1[[#This Row],[ada ship charge]],0)</f>
        <v>0</v>
      </c>
    </row>
    <row r="1869" spans="1:9" x14ac:dyDescent="0.2">
      <c r="A1869">
        <v>1025862</v>
      </c>
      <c r="B1869" t="s">
        <v>20</v>
      </c>
      <c r="C1869">
        <v>18.149999999999999</v>
      </c>
      <c r="D1869">
        <v>19.97</v>
      </c>
      <c r="E1869">
        <v>41.8</v>
      </c>
      <c r="F1869" t="s">
        <v>10</v>
      </c>
      <c r="G18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69">
        <f>IF(Table1[[#This Row],[is_ups_overcharge]]="ups overcharged",Table1[[#This Row],[ups ship charge]]-Table1[[#This Row],[ada ship charge]],0)</f>
        <v>0</v>
      </c>
    </row>
    <row r="1870" spans="1:9" x14ac:dyDescent="0.2">
      <c r="A1870">
        <v>1025864</v>
      </c>
      <c r="B1870" t="s">
        <v>20</v>
      </c>
      <c r="C1870">
        <v>12.81</v>
      </c>
      <c r="D1870">
        <v>12.86</v>
      </c>
      <c r="E1870">
        <v>14.95</v>
      </c>
      <c r="F1870" t="s">
        <v>9</v>
      </c>
      <c r="G18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70">
        <f>IF(Table1[[#This Row],[is_ups_overcharge]]="ups overcharged",Table1[[#This Row],[ups ship charge]]-Table1[[#This Row],[ada ship charge]],0)</f>
        <v>0</v>
      </c>
    </row>
    <row r="1871" spans="1:9" x14ac:dyDescent="0.2">
      <c r="A1871">
        <v>1025867</v>
      </c>
      <c r="B1871" t="s">
        <v>20</v>
      </c>
      <c r="C1871">
        <v>12.81</v>
      </c>
      <c r="D1871">
        <v>12.86</v>
      </c>
      <c r="E1871">
        <v>16.850000000000001</v>
      </c>
      <c r="F1871" t="s">
        <v>9</v>
      </c>
      <c r="G18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71">
        <f>IF(Table1[[#This Row],[is_ups_overcharge]]="ups overcharged",Table1[[#This Row],[ups ship charge]]-Table1[[#This Row],[ada ship charge]],0)</f>
        <v>0</v>
      </c>
    </row>
    <row r="1872" spans="1:9" x14ac:dyDescent="0.2">
      <c r="A1872">
        <v>1025870</v>
      </c>
      <c r="B1872" t="s">
        <v>20</v>
      </c>
      <c r="C1872">
        <v>13.7</v>
      </c>
      <c r="D1872">
        <v>13.75</v>
      </c>
      <c r="E1872">
        <v>77.8</v>
      </c>
      <c r="F1872" t="s">
        <v>9</v>
      </c>
      <c r="G18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72">
        <f>IF(Table1[[#This Row],[is_ups_overcharge]]="ups overcharged",Table1[[#This Row],[ups ship charge]]-Table1[[#This Row],[ada ship charge]],0)</f>
        <v>0</v>
      </c>
    </row>
    <row r="1873" spans="1:9" x14ac:dyDescent="0.2">
      <c r="A1873">
        <v>1025874</v>
      </c>
      <c r="B1873" t="s">
        <v>20</v>
      </c>
      <c r="C1873">
        <v>13.7</v>
      </c>
      <c r="D1873">
        <v>13.75</v>
      </c>
      <c r="E1873">
        <v>7.95</v>
      </c>
      <c r="F1873" t="s">
        <v>9</v>
      </c>
      <c r="G18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73">
        <f>IF(Table1[[#This Row],[is_ups_overcharge]]="ups overcharged",Table1[[#This Row],[ups ship charge]]-Table1[[#This Row],[ada ship charge]],0)</f>
        <v>0</v>
      </c>
    </row>
    <row r="1874" spans="1:9" x14ac:dyDescent="0.2">
      <c r="A1874">
        <v>1025875</v>
      </c>
      <c r="B1874" t="s">
        <v>20</v>
      </c>
      <c r="C1874">
        <v>13.7</v>
      </c>
      <c r="D1874">
        <v>13.75</v>
      </c>
      <c r="E1874">
        <v>54.35</v>
      </c>
      <c r="F1874" t="s">
        <v>9</v>
      </c>
      <c r="G18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74">
        <f>IF(Table1[[#This Row],[is_ups_overcharge]]="ups overcharged",Table1[[#This Row],[ups ship charge]]-Table1[[#This Row],[ada ship charge]],0)</f>
        <v>0</v>
      </c>
    </row>
    <row r="1875" spans="1:9" x14ac:dyDescent="0.2">
      <c r="A1875">
        <v>1025876</v>
      </c>
      <c r="B1875" t="s">
        <v>20</v>
      </c>
      <c r="C1875">
        <v>12.81</v>
      </c>
      <c r="D1875">
        <v>12.86</v>
      </c>
      <c r="E1875">
        <v>53.4</v>
      </c>
      <c r="F1875" t="s">
        <v>9</v>
      </c>
      <c r="G18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75">
        <f>IF(Table1[[#This Row],[is_ups_overcharge]]="ups overcharged",Table1[[#This Row],[ups ship charge]]-Table1[[#This Row],[ada ship charge]],0)</f>
        <v>0</v>
      </c>
    </row>
    <row r="1876" spans="1:9" x14ac:dyDescent="0.2">
      <c r="A1876">
        <v>1025891</v>
      </c>
      <c r="B1876" t="s">
        <v>20</v>
      </c>
      <c r="C1876">
        <v>12.81</v>
      </c>
      <c r="D1876">
        <v>12.86</v>
      </c>
      <c r="E1876">
        <v>124.6</v>
      </c>
      <c r="F1876" t="s">
        <v>9</v>
      </c>
      <c r="G18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76">
        <f>IF(Table1[[#This Row],[is_ups_overcharge]]="ups overcharged",Table1[[#This Row],[ups ship charge]]-Table1[[#This Row],[ada ship charge]],0)</f>
        <v>0</v>
      </c>
    </row>
    <row r="1877" spans="1:9" x14ac:dyDescent="0.2">
      <c r="A1877">
        <v>1025897</v>
      </c>
      <c r="B1877" t="s">
        <v>20</v>
      </c>
      <c r="C1877">
        <v>13.7</v>
      </c>
      <c r="D1877">
        <v>13.75</v>
      </c>
      <c r="E1877">
        <v>21.95</v>
      </c>
      <c r="F1877" t="s">
        <v>9</v>
      </c>
      <c r="G18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77">
        <f>IF(Table1[[#This Row],[is_ups_overcharge]]="ups overcharged",Table1[[#This Row],[ups ship charge]]-Table1[[#This Row],[ada ship charge]],0)</f>
        <v>0</v>
      </c>
    </row>
    <row r="1878" spans="1:9" x14ac:dyDescent="0.2">
      <c r="A1878">
        <v>1025905</v>
      </c>
      <c r="B1878" t="s">
        <v>20</v>
      </c>
      <c r="C1878">
        <v>9.6999999999999993</v>
      </c>
      <c r="D1878">
        <v>9.75</v>
      </c>
      <c r="E1878">
        <v>33.9</v>
      </c>
      <c r="F1878" t="s">
        <v>6</v>
      </c>
      <c r="G18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78">
        <f>IF(Table1[[#This Row],[is_ups_overcharge]]="ups overcharged",Table1[[#This Row],[ups ship charge]]-Table1[[#This Row],[ada ship charge]],0)</f>
        <v>0</v>
      </c>
    </row>
    <row r="1879" spans="1:9" x14ac:dyDescent="0.2">
      <c r="A1879">
        <v>1025909</v>
      </c>
      <c r="B1879" t="s">
        <v>20</v>
      </c>
      <c r="C1879">
        <v>13.7</v>
      </c>
      <c r="D1879">
        <v>13.75</v>
      </c>
      <c r="E1879">
        <v>25</v>
      </c>
      <c r="F1879" t="s">
        <v>9</v>
      </c>
      <c r="G18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79">
        <f>IF(Table1[[#This Row],[is_ups_overcharge]]="ups overcharged",Table1[[#This Row],[ups ship charge]]-Table1[[#This Row],[ada ship charge]],0)</f>
        <v>0</v>
      </c>
    </row>
    <row r="1880" spans="1:9" x14ac:dyDescent="0.2">
      <c r="A1880">
        <v>1025915</v>
      </c>
      <c r="B1880" t="s">
        <v>20</v>
      </c>
      <c r="C1880">
        <v>12.81</v>
      </c>
      <c r="D1880">
        <v>0</v>
      </c>
      <c r="E1880">
        <v>207.35</v>
      </c>
      <c r="F1880" t="s">
        <v>9</v>
      </c>
      <c r="G18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88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880">
        <f>IF(Table1[[#This Row],[is_ups_overcharge]]="ups overcharged",Table1[[#This Row],[ups ship charge]]-Table1[[#This Row],[ada ship charge]],0)</f>
        <v>0</v>
      </c>
    </row>
    <row r="1881" spans="1:9" x14ac:dyDescent="0.2">
      <c r="A1881">
        <v>1025943</v>
      </c>
      <c r="B1881" t="s">
        <v>20</v>
      </c>
      <c r="C1881">
        <v>16.46</v>
      </c>
      <c r="D1881">
        <v>12.4</v>
      </c>
      <c r="E1881">
        <v>39.950000000000003</v>
      </c>
      <c r="F1881" t="s">
        <v>10</v>
      </c>
      <c r="G18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81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881">
        <f>IF(Table1[[#This Row],[is_ups_overcharge]]="ups overcharged",Table1[[#This Row],[ups ship charge]]-Table1[[#This Row],[ada ship charge]],0)</f>
        <v>4.0600000000000005</v>
      </c>
    </row>
    <row r="1882" spans="1:9" x14ac:dyDescent="0.2">
      <c r="A1882">
        <v>1025946</v>
      </c>
      <c r="B1882" t="s">
        <v>20</v>
      </c>
      <c r="C1882">
        <v>13.71</v>
      </c>
      <c r="D1882">
        <v>13.76</v>
      </c>
      <c r="E1882">
        <v>48.2</v>
      </c>
      <c r="F1882" t="s">
        <v>9</v>
      </c>
      <c r="G18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82">
        <f>IF(Table1[[#This Row],[is_ups_overcharge]]="ups overcharged",Table1[[#This Row],[ups ship charge]]-Table1[[#This Row],[ada ship charge]],0)</f>
        <v>0</v>
      </c>
    </row>
    <row r="1883" spans="1:9" x14ac:dyDescent="0.2">
      <c r="A1883">
        <v>1025954</v>
      </c>
      <c r="B1883" t="s">
        <v>20</v>
      </c>
      <c r="C1883">
        <v>12.81</v>
      </c>
      <c r="D1883">
        <v>12.86</v>
      </c>
      <c r="E1883">
        <v>61.8</v>
      </c>
      <c r="F1883" t="s">
        <v>9</v>
      </c>
      <c r="G18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83">
        <f>IF(Table1[[#This Row],[is_ups_overcharge]]="ups overcharged",Table1[[#This Row],[ups ship charge]]-Table1[[#This Row],[ada ship charge]],0)</f>
        <v>0</v>
      </c>
    </row>
    <row r="1884" spans="1:9" x14ac:dyDescent="0.2">
      <c r="A1884">
        <v>1025977</v>
      </c>
      <c r="B1884" t="s">
        <v>20</v>
      </c>
      <c r="C1884">
        <v>12.81</v>
      </c>
      <c r="D1884">
        <v>12.86</v>
      </c>
      <c r="E1884">
        <v>61.8</v>
      </c>
      <c r="F1884" t="s">
        <v>9</v>
      </c>
      <c r="G18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84">
        <f>IF(Table1[[#This Row],[is_ups_overcharge]]="ups overcharged",Table1[[#This Row],[ups ship charge]]-Table1[[#This Row],[ada ship charge]],0)</f>
        <v>0</v>
      </c>
    </row>
    <row r="1885" spans="1:9" x14ac:dyDescent="0.2">
      <c r="A1885">
        <v>1025982</v>
      </c>
      <c r="B1885" t="s">
        <v>20</v>
      </c>
      <c r="C1885">
        <v>12.81</v>
      </c>
      <c r="D1885">
        <v>12.86</v>
      </c>
      <c r="E1885">
        <v>64.25</v>
      </c>
      <c r="F1885" t="s">
        <v>9</v>
      </c>
      <c r="G18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85">
        <f>IF(Table1[[#This Row],[is_ups_overcharge]]="ups overcharged",Table1[[#This Row],[ups ship charge]]-Table1[[#This Row],[ada ship charge]],0)</f>
        <v>0</v>
      </c>
    </row>
    <row r="1886" spans="1:9" x14ac:dyDescent="0.2">
      <c r="A1886">
        <v>1025992</v>
      </c>
      <c r="B1886" t="s">
        <v>20</v>
      </c>
      <c r="C1886">
        <v>9.7100000000000009</v>
      </c>
      <c r="D1886">
        <v>9.76</v>
      </c>
      <c r="E1886">
        <v>4.2</v>
      </c>
      <c r="F1886" t="s">
        <v>6</v>
      </c>
      <c r="G18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86">
        <f>IF(Table1[[#This Row],[is_ups_overcharge]]="ups overcharged",Table1[[#This Row],[ups ship charge]]-Table1[[#This Row],[ada ship charge]],0)</f>
        <v>0</v>
      </c>
    </row>
    <row r="1887" spans="1:9" x14ac:dyDescent="0.2">
      <c r="A1887">
        <v>1025996</v>
      </c>
      <c r="B1887" t="s">
        <v>20</v>
      </c>
      <c r="C1887">
        <v>12.81</v>
      </c>
      <c r="D1887">
        <v>12.86</v>
      </c>
      <c r="E1887">
        <v>51.5</v>
      </c>
      <c r="F1887" t="s">
        <v>9</v>
      </c>
      <c r="G18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87">
        <f>IF(Table1[[#This Row],[is_ups_overcharge]]="ups overcharged",Table1[[#This Row],[ups ship charge]]-Table1[[#This Row],[ada ship charge]],0)</f>
        <v>0</v>
      </c>
    </row>
    <row r="1888" spans="1:9" x14ac:dyDescent="0.2">
      <c r="A1888">
        <v>1025997</v>
      </c>
      <c r="B1888" t="s">
        <v>20</v>
      </c>
      <c r="C1888">
        <v>9.6999999999999993</v>
      </c>
      <c r="D1888">
        <v>13.75</v>
      </c>
      <c r="E1888">
        <v>14.95</v>
      </c>
      <c r="F1888" t="s">
        <v>6</v>
      </c>
      <c r="G18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88">
        <f>IF(Table1[[#This Row],[is_ups_overcharge]]="ups overcharged",Table1[[#This Row],[ups ship charge]]-Table1[[#This Row],[ada ship charge]],0)</f>
        <v>0</v>
      </c>
    </row>
    <row r="1889" spans="1:9" x14ac:dyDescent="0.2">
      <c r="A1889">
        <v>1026001</v>
      </c>
      <c r="B1889" t="s">
        <v>20</v>
      </c>
      <c r="C1889">
        <v>15.13</v>
      </c>
      <c r="D1889">
        <v>15.18</v>
      </c>
      <c r="E1889">
        <v>59.9</v>
      </c>
      <c r="F1889" t="s">
        <v>12</v>
      </c>
      <c r="G18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89">
        <f>IF(Table1[[#This Row],[is_ups_overcharge]]="ups overcharged",Table1[[#This Row],[ups ship charge]]-Table1[[#This Row],[ada ship charge]],0)</f>
        <v>0</v>
      </c>
    </row>
    <row r="1890" spans="1:9" x14ac:dyDescent="0.2">
      <c r="A1890">
        <v>1026003</v>
      </c>
      <c r="B1890" t="s">
        <v>20</v>
      </c>
      <c r="C1890">
        <v>12.81</v>
      </c>
      <c r="D1890">
        <v>12.86</v>
      </c>
      <c r="E1890">
        <v>11.85</v>
      </c>
      <c r="F1890" t="s">
        <v>9</v>
      </c>
      <c r="G18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90">
        <f>IF(Table1[[#This Row],[is_ups_overcharge]]="ups overcharged",Table1[[#This Row],[ups ship charge]]-Table1[[#This Row],[ada ship charge]],0)</f>
        <v>0</v>
      </c>
    </row>
    <row r="1891" spans="1:9" x14ac:dyDescent="0.2">
      <c r="A1891">
        <v>1026004</v>
      </c>
      <c r="B1891" t="s">
        <v>20</v>
      </c>
      <c r="C1891">
        <v>12.81</v>
      </c>
      <c r="D1891">
        <v>12.86</v>
      </c>
      <c r="E1891">
        <v>38</v>
      </c>
      <c r="F1891" t="s">
        <v>9</v>
      </c>
      <c r="G18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91">
        <f>IF(Table1[[#This Row],[is_ups_overcharge]]="ups overcharged",Table1[[#This Row],[ups ship charge]]-Table1[[#This Row],[ada ship charge]],0)</f>
        <v>0</v>
      </c>
    </row>
    <row r="1892" spans="1:9" x14ac:dyDescent="0.2">
      <c r="A1892">
        <v>1026033</v>
      </c>
      <c r="B1892" t="s">
        <v>20</v>
      </c>
      <c r="C1892">
        <v>18.07</v>
      </c>
      <c r="D1892">
        <v>16.760000000000002</v>
      </c>
      <c r="E1892">
        <v>27.35</v>
      </c>
      <c r="F1892" t="s">
        <v>12</v>
      </c>
      <c r="G18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92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892">
        <f>IF(Table1[[#This Row],[is_ups_overcharge]]="ups overcharged",Table1[[#This Row],[ups ship charge]]-Table1[[#This Row],[ada ship charge]],0)</f>
        <v>1.3099999999999987</v>
      </c>
    </row>
    <row r="1893" spans="1:9" x14ac:dyDescent="0.2">
      <c r="A1893">
        <v>1026034</v>
      </c>
      <c r="B1893" t="s">
        <v>20</v>
      </c>
      <c r="C1893">
        <v>12.81</v>
      </c>
      <c r="D1893">
        <v>12.86</v>
      </c>
      <c r="E1893">
        <v>13.45</v>
      </c>
      <c r="F1893" t="s">
        <v>9</v>
      </c>
      <c r="G18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93">
        <f>IF(Table1[[#This Row],[is_ups_overcharge]]="ups overcharged",Table1[[#This Row],[ups ship charge]]-Table1[[#This Row],[ada ship charge]],0)</f>
        <v>0</v>
      </c>
    </row>
    <row r="1894" spans="1:9" x14ac:dyDescent="0.2">
      <c r="A1894">
        <v>1026037</v>
      </c>
      <c r="B1894" t="s">
        <v>20</v>
      </c>
      <c r="C1894">
        <v>13.7</v>
      </c>
      <c r="D1894">
        <v>13.75</v>
      </c>
      <c r="E1894">
        <v>89.8</v>
      </c>
      <c r="F1894" t="s">
        <v>9</v>
      </c>
      <c r="G18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94">
        <f>IF(Table1[[#This Row],[is_ups_overcharge]]="ups overcharged",Table1[[#This Row],[ups ship charge]]-Table1[[#This Row],[ada ship charge]],0)</f>
        <v>0</v>
      </c>
    </row>
    <row r="1895" spans="1:9" x14ac:dyDescent="0.2">
      <c r="A1895">
        <v>1026052</v>
      </c>
      <c r="B1895" t="s">
        <v>20</v>
      </c>
      <c r="C1895">
        <v>16.14</v>
      </c>
      <c r="D1895">
        <v>15.19</v>
      </c>
      <c r="E1895">
        <v>49.05</v>
      </c>
      <c r="F1895" t="s">
        <v>12</v>
      </c>
      <c r="G18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95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895">
        <f>IF(Table1[[#This Row],[is_ups_overcharge]]="ups overcharged",Table1[[#This Row],[ups ship charge]]-Table1[[#This Row],[ada ship charge]],0)</f>
        <v>0.95000000000000107</v>
      </c>
    </row>
    <row r="1896" spans="1:9" x14ac:dyDescent="0.2">
      <c r="A1896">
        <v>1026094</v>
      </c>
      <c r="B1896" t="s">
        <v>20</v>
      </c>
      <c r="C1896">
        <v>18.46</v>
      </c>
      <c r="D1896">
        <v>20.3</v>
      </c>
      <c r="E1896">
        <v>208.8</v>
      </c>
      <c r="F1896" t="s">
        <v>15</v>
      </c>
      <c r="G18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96">
        <f>IF(Table1[[#This Row],[is_ups_overcharge]]="ups overcharged",Table1[[#This Row],[ups ship charge]]-Table1[[#This Row],[ada ship charge]],0)</f>
        <v>0</v>
      </c>
    </row>
    <row r="1897" spans="1:9" x14ac:dyDescent="0.2">
      <c r="A1897">
        <v>1026101</v>
      </c>
      <c r="B1897" t="s">
        <v>20</v>
      </c>
      <c r="C1897">
        <v>16.77</v>
      </c>
      <c r="D1897">
        <v>16.82</v>
      </c>
      <c r="E1897">
        <v>104.9</v>
      </c>
      <c r="F1897" t="s">
        <v>10</v>
      </c>
      <c r="G18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97">
        <f>IF(Table1[[#This Row],[is_ups_overcharge]]="ups overcharged",Table1[[#This Row],[ups ship charge]]-Table1[[#This Row],[ada ship charge]],0)</f>
        <v>0</v>
      </c>
    </row>
    <row r="1898" spans="1:9" x14ac:dyDescent="0.2">
      <c r="A1898">
        <v>1026110</v>
      </c>
      <c r="B1898" t="s">
        <v>20</v>
      </c>
      <c r="C1898">
        <v>13.7</v>
      </c>
      <c r="D1898">
        <v>13.75</v>
      </c>
      <c r="E1898">
        <v>27.95</v>
      </c>
      <c r="F1898" t="s">
        <v>9</v>
      </c>
      <c r="G18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98">
        <f>IF(Table1[[#This Row],[is_ups_overcharge]]="ups overcharged",Table1[[#This Row],[ups ship charge]]-Table1[[#This Row],[ada ship charge]],0)</f>
        <v>0</v>
      </c>
    </row>
    <row r="1899" spans="1:9" x14ac:dyDescent="0.2">
      <c r="A1899">
        <v>1026144</v>
      </c>
      <c r="B1899" t="s">
        <v>20</v>
      </c>
      <c r="C1899">
        <v>16.77</v>
      </c>
      <c r="D1899">
        <v>16.82</v>
      </c>
      <c r="E1899">
        <v>33.700000000000003</v>
      </c>
      <c r="F1899" t="s">
        <v>10</v>
      </c>
      <c r="G18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8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899">
        <f>IF(Table1[[#This Row],[is_ups_overcharge]]="ups overcharged",Table1[[#This Row],[ups ship charge]]-Table1[[#This Row],[ada ship charge]],0)</f>
        <v>0</v>
      </c>
    </row>
    <row r="1900" spans="1:9" x14ac:dyDescent="0.2">
      <c r="A1900">
        <v>1026145</v>
      </c>
      <c r="B1900" t="s">
        <v>20</v>
      </c>
      <c r="C1900">
        <v>12.81</v>
      </c>
      <c r="D1900">
        <v>12.86</v>
      </c>
      <c r="E1900">
        <v>75.849999999999994</v>
      </c>
      <c r="F1900" t="s">
        <v>9</v>
      </c>
      <c r="G19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00">
        <f>IF(Table1[[#This Row],[is_ups_overcharge]]="ups overcharged",Table1[[#This Row],[ups ship charge]]-Table1[[#This Row],[ada ship charge]],0)</f>
        <v>0</v>
      </c>
    </row>
    <row r="1901" spans="1:9" x14ac:dyDescent="0.2">
      <c r="A1901">
        <v>1026151</v>
      </c>
      <c r="B1901" t="s">
        <v>20</v>
      </c>
      <c r="C1901">
        <v>12.81</v>
      </c>
      <c r="D1901">
        <v>12.86</v>
      </c>
      <c r="E1901">
        <v>56.31</v>
      </c>
      <c r="F1901" t="s">
        <v>9</v>
      </c>
      <c r="G19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01">
        <f>IF(Table1[[#This Row],[is_ups_overcharge]]="ups overcharged",Table1[[#This Row],[ups ship charge]]-Table1[[#This Row],[ada ship charge]],0)</f>
        <v>0</v>
      </c>
    </row>
    <row r="1902" spans="1:9" x14ac:dyDescent="0.2">
      <c r="A1902">
        <v>1026174</v>
      </c>
      <c r="B1902" t="s">
        <v>20</v>
      </c>
      <c r="C1902">
        <v>9.7100000000000009</v>
      </c>
      <c r="D1902">
        <v>9.76</v>
      </c>
      <c r="E1902">
        <v>8</v>
      </c>
      <c r="F1902" t="s">
        <v>6</v>
      </c>
      <c r="G19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02">
        <f>IF(Table1[[#This Row],[is_ups_overcharge]]="ups overcharged",Table1[[#This Row],[ups ship charge]]-Table1[[#This Row],[ada ship charge]],0)</f>
        <v>0</v>
      </c>
    </row>
    <row r="1903" spans="1:9" x14ac:dyDescent="0.2">
      <c r="A1903">
        <v>1026176</v>
      </c>
      <c r="B1903" t="s">
        <v>20</v>
      </c>
      <c r="C1903">
        <v>13.7</v>
      </c>
      <c r="D1903">
        <v>13.75</v>
      </c>
      <c r="E1903">
        <v>4</v>
      </c>
      <c r="F1903" t="s">
        <v>9</v>
      </c>
      <c r="G19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03">
        <f>IF(Table1[[#This Row],[is_ups_overcharge]]="ups overcharged",Table1[[#This Row],[ups ship charge]]-Table1[[#This Row],[ada ship charge]],0)</f>
        <v>0</v>
      </c>
    </row>
    <row r="1904" spans="1:9" x14ac:dyDescent="0.2">
      <c r="A1904">
        <v>1026183</v>
      </c>
      <c r="B1904" t="s">
        <v>20</v>
      </c>
      <c r="C1904">
        <v>13.7</v>
      </c>
      <c r="D1904">
        <v>13.75</v>
      </c>
      <c r="E1904">
        <v>32.85</v>
      </c>
      <c r="F1904" t="s">
        <v>9</v>
      </c>
      <c r="G19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04">
        <f>IF(Table1[[#This Row],[is_ups_overcharge]]="ups overcharged",Table1[[#This Row],[ups ship charge]]-Table1[[#This Row],[ada ship charge]],0)</f>
        <v>0</v>
      </c>
    </row>
    <row r="1905" spans="1:9" x14ac:dyDescent="0.2">
      <c r="A1905">
        <v>1026192</v>
      </c>
      <c r="B1905" t="s">
        <v>20</v>
      </c>
      <c r="C1905">
        <v>12.81</v>
      </c>
      <c r="D1905">
        <v>12.86</v>
      </c>
      <c r="E1905">
        <v>113.25</v>
      </c>
      <c r="F1905" t="s">
        <v>9</v>
      </c>
      <c r="G19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05">
        <f>IF(Table1[[#This Row],[is_ups_overcharge]]="ups overcharged",Table1[[#This Row],[ups ship charge]]-Table1[[#This Row],[ada ship charge]],0)</f>
        <v>0</v>
      </c>
    </row>
    <row r="1906" spans="1:9" x14ac:dyDescent="0.2">
      <c r="A1906">
        <v>1026201</v>
      </c>
      <c r="B1906" t="s">
        <v>20</v>
      </c>
      <c r="C1906">
        <v>16.46</v>
      </c>
      <c r="D1906">
        <v>16.510000000000002</v>
      </c>
      <c r="E1906">
        <v>81.849999999999994</v>
      </c>
      <c r="F1906" t="s">
        <v>10</v>
      </c>
      <c r="G19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06">
        <f>IF(Table1[[#This Row],[is_ups_overcharge]]="ups overcharged",Table1[[#This Row],[ups ship charge]]-Table1[[#This Row],[ada ship charge]],0)</f>
        <v>0</v>
      </c>
    </row>
    <row r="1907" spans="1:9" x14ac:dyDescent="0.2">
      <c r="A1907">
        <v>1026216</v>
      </c>
      <c r="B1907" t="s">
        <v>20</v>
      </c>
      <c r="C1907">
        <v>18.46</v>
      </c>
      <c r="D1907">
        <v>18.510000000000002</v>
      </c>
      <c r="E1907">
        <v>57.7</v>
      </c>
      <c r="F1907" t="s">
        <v>15</v>
      </c>
      <c r="G19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07">
        <f>IF(Table1[[#This Row],[is_ups_overcharge]]="ups overcharged",Table1[[#This Row],[ups ship charge]]-Table1[[#This Row],[ada ship charge]],0)</f>
        <v>0</v>
      </c>
    </row>
    <row r="1908" spans="1:9" x14ac:dyDescent="0.2">
      <c r="A1908">
        <v>1026219</v>
      </c>
      <c r="B1908" t="s">
        <v>20</v>
      </c>
      <c r="C1908">
        <v>9.6999999999999993</v>
      </c>
      <c r="D1908">
        <v>9.75</v>
      </c>
      <c r="E1908">
        <v>14.4</v>
      </c>
      <c r="F1908" t="s">
        <v>6</v>
      </c>
      <c r="G19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08">
        <f>IF(Table1[[#This Row],[is_ups_overcharge]]="ups overcharged",Table1[[#This Row],[ups ship charge]]-Table1[[#This Row],[ada ship charge]],0)</f>
        <v>0</v>
      </c>
    </row>
    <row r="1909" spans="1:9" x14ac:dyDescent="0.2">
      <c r="A1909">
        <v>1026231</v>
      </c>
      <c r="B1909" t="s">
        <v>20</v>
      </c>
      <c r="C1909">
        <v>12.55</v>
      </c>
      <c r="D1909">
        <v>0</v>
      </c>
      <c r="E1909">
        <v>3618.06</v>
      </c>
      <c r="F1909" t="s">
        <v>6</v>
      </c>
      <c r="G19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90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909">
        <f>IF(Table1[[#This Row],[is_ups_overcharge]]="ups overcharged",Table1[[#This Row],[ups ship charge]]-Table1[[#This Row],[ada ship charge]],0)</f>
        <v>0</v>
      </c>
    </row>
    <row r="1910" spans="1:9" x14ac:dyDescent="0.2">
      <c r="A1910">
        <v>1026276</v>
      </c>
      <c r="B1910" t="s">
        <v>20</v>
      </c>
      <c r="C1910">
        <v>13.7</v>
      </c>
      <c r="D1910">
        <v>13.75</v>
      </c>
      <c r="E1910">
        <v>29.95</v>
      </c>
      <c r="F1910" t="s">
        <v>9</v>
      </c>
      <c r="G19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10">
        <f>IF(Table1[[#This Row],[is_ups_overcharge]]="ups overcharged",Table1[[#This Row],[ups ship charge]]-Table1[[#This Row],[ada ship charge]],0)</f>
        <v>0</v>
      </c>
    </row>
    <row r="1911" spans="1:9" x14ac:dyDescent="0.2">
      <c r="A1911">
        <v>1026287</v>
      </c>
      <c r="B1911" t="s">
        <v>20</v>
      </c>
      <c r="C1911">
        <v>13.7</v>
      </c>
      <c r="D1911">
        <v>13.75</v>
      </c>
      <c r="E1911">
        <v>57.6</v>
      </c>
      <c r="F1911" t="s">
        <v>9</v>
      </c>
      <c r="G19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11">
        <f>IF(Table1[[#This Row],[is_ups_overcharge]]="ups overcharged",Table1[[#This Row],[ups ship charge]]-Table1[[#This Row],[ada ship charge]],0)</f>
        <v>0</v>
      </c>
    </row>
    <row r="1912" spans="1:9" x14ac:dyDescent="0.2">
      <c r="A1912">
        <v>1026294</v>
      </c>
      <c r="B1912" t="s">
        <v>20</v>
      </c>
      <c r="C1912">
        <v>12.81</v>
      </c>
      <c r="D1912">
        <v>12.86</v>
      </c>
      <c r="E1912">
        <v>35.9</v>
      </c>
      <c r="F1912" t="s">
        <v>9</v>
      </c>
      <c r="G19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12">
        <f>IF(Table1[[#This Row],[is_ups_overcharge]]="ups overcharged",Table1[[#This Row],[ups ship charge]]-Table1[[#This Row],[ada ship charge]],0)</f>
        <v>0</v>
      </c>
    </row>
    <row r="1913" spans="1:9" x14ac:dyDescent="0.2">
      <c r="A1913">
        <v>1026296</v>
      </c>
      <c r="B1913" t="s">
        <v>20</v>
      </c>
      <c r="C1913">
        <v>9.6999999999999993</v>
      </c>
      <c r="D1913">
        <v>13.75</v>
      </c>
      <c r="E1913">
        <v>29.95</v>
      </c>
      <c r="F1913" t="s">
        <v>6</v>
      </c>
      <c r="G19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13">
        <f>IF(Table1[[#This Row],[is_ups_overcharge]]="ups overcharged",Table1[[#This Row],[ups ship charge]]-Table1[[#This Row],[ada ship charge]],0)</f>
        <v>0</v>
      </c>
    </row>
    <row r="1914" spans="1:9" x14ac:dyDescent="0.2">
      <c r="A1914">
        <v>1026298</v>
      </c>
      <c r="B1914" t="s">
        <v>20</v>
      </c>
      <c r="C1914">
        <v>13.7</v>
      </c>
      <c r="D1914">
        <v>13.76</v>
      </c>
      <c r="E1914">
        <v>124.9</v>
      </c>
      <c r="F1914" t="s">
        <v>9</v>
      </c>
      <c r="G19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14">
        <f>IF(Table1[[#This Row],[is_ups_overcharge]]="ups overcharged",Table1[[#This Row],[ups ship charge]]-Table1[[#This Row],[ada ship charge]],0)</f>
        <v>0</v>
      </c>
    </row>
    <row r="1915" spans="1:9" x14ac:dyDescent="0.2">
      <c r="A1915">
        <v>1026317</v>
      </c>
      <c r="B1915" t="s">
        <v>20</v>
      </c>
      <c r="C1915">
        <v>12.81</v>
      </c>
      <c r="D1915">
        <v>12.86</v>
      </c>
      <c r="E1915">
        <v>81.900000000000006</v>
      </c>
      <c r="F1915" t="s">
        <v>9</v>
      </c>
      <c r="G19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15">
        <f>IF(Table1[[#This Row],[is_ups_overcharge]]="ups overcharged",Table1[[#This Row],[ups ship charge]]-Table1[[#This Row],[ada ship charge]],0)</f>
        <v>0</v>
      </c>
    </row>
    <row r="1916" spans="1:9" x14ac:dyDescent="0.2">
      <c r="A1916">
        <v>1026360</v>
      </c>
      <c r="B1916" t="s">
        <v>20</v>
      </c>
      <c r="C1916">
        <v>12.81</v>
      </c>
      <c r="D1916">
        <v>12.86</v>
      </c>
      <c r="E1916">
        <v>29.95</v>
      </c>
      <c r="F1916" t="s">
        <v>9</v>
      </c>
      <c r="G19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16">
        <f>IF(Table1[[#This Row],[is_ups_overcharge]]="ups overcharged",Table1[[#This Row],[ups ship charge]]-Table1[[#This Row],[ada ship charge]],0)</f>
        <v>0</v>
      </c>
    </row>
    <row r="1917" spans="1:9" x14ac:dyDescent="0.2">
      <c r="A1917">
        <v>1026365</v>
      </c>
      <c r="B1917" t="s">
        <v>20</v>
      </c>
      <c r="C1917">
        <v>12.81</v>
      </c>
      <c r="D1917">
        <v>12.86</v>
      </c>
      <c r="E1917">
        <v>40.85</v>
      </c>
      <c r="F1917" t="s">
        <v>9</v>
      </c>
      <c r="G19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17">
        <f>IF(Table1[[#This Row],[is_ups_overcharge]]="ups overcharged",Table1[[#This Row],[ups ship charge]]-Table1[[#This Row],[ada ship charge]],0)</f>
        <v>0</v>
      </c>
    </row>
    <row r="1918" spans="1:9" x14ac:dyDescent="0.2">
      <c r="A1918">
        <v>1026380</v>
      </c>
      <c r="B1918" t="s">
        <v>20</v>
      </c>
      <c r="C1918">
        <v>12.81</v>
      </c>
      <c r="D1918">
        <v>12.86</v>
      </c>
      <c r="E1918">
        <v>59.9</v>
      </c>
      <c r="F1918" t="s">
        <v>9</v>
      </c>
      <c r="G19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18">
        <f>IF(Table1[[#This Row],[is_ups_overcharge]]="ups overcharged",Table1[[#This Row],[ups ship charge]]-Table1[[#This Row],[ada ship charge]],0)</f>
        <v>0</v>
      </c>
    </row>
    <row r="1919" spans="1:9" x14ac:dyDescent="0.2">
      <c r="A1919">
        <v>1026421</v>
      </c>
      <c r="B1919" t="s">
        <v>20</v>
      </c>
      <c r="C1919">
        <v>13.71</v>
      </c>
      <c r="D1919">
        <v>13.75</v>
      </c>
      <c r="E1919">
        <v>34.9</v>
      </c>
      <c r="F1919" t="s">
        <v>9</v>
      </c>
      <c r="G19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19">
        <f>IF(Table1[[#This Row],[is_ups_overcharge]]="ups overcharged",Table1[[#This Row],[ups ship charge]]-Table1[[#This Row],[ada ship charge]],0)</f>
        <v>0</v>
      </c>
    </row>
    <row r="1920" spans="1:9" x14ac:dyDescent="0.2">
      <c r="A1920">
        <v>1026427</v>
      </c>
      <c r="B1920" t="s">
        <v>20</v>
      </c>
      <c r="C1920">
        <v>13.7</v>
      </c>
      <c r="D1920">
        <v>13.75</v>
      </c>
      <c r="E1920">
        <v>34.9</v>
      </c>
      <c r="F1920" t="s">
        <v>9</v>
      </c>
      <c r="G19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20">
        <f>IF(Table1[[#This Row],[is_ups_overcharge]]="ups overcharged",Table1[[#This Row],[ups ship charge]]-Table1[[#This Row],[ada ship charge]],0)</f>
        <v>0</v>
      </c>
    </row>
    <row r="1921" spans="1:9" x14ac:dyDescent="0.2">
      <c r="A1921">
        <v>1026430</v>
      </c>
      <c r="B1921" t="s">
        <v>20</v>
      </c>
      <c r="C1921">
        <v>9.6999999999999993</v>
      </c>
      <c r="D1921">
        <v>9.75</v>
      </c>
      <c r="E1921">
        <v>89.4</v>
      </c>
      <c r="F1921" t="s">
        <v>6</v>
      </c>
      <c r="G19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21">
        <f>IF(Table1[[#This Row],[is_ups_overcharge]]="ups overcharged",Table1[[#This Row],[ups ship charge]]-Table1[[#This Row],[ada ship charge]],0)</f>
        <v>0</v>
      </c>
    </row>
    <row r="1922" spans="1:9" x14ac:dyDescent="0.2">
      <c r="A1922">
        <v>1026439</v>
      </c>
      <c r="B1922" t="s">
        <v>20</v>
      </c>
      <c r="C1922">
        <v>13.71</v>
      </c>
      <c r="D1922">
        <v>13.75</v>
      </c>
      <c r="E1922">
        <v>39.9</v>
      </c>
      <c r="F1922" t="s">
        <v>9</v>
      </c>
      <c r="G19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22">
        <f>IF(Table1[[#This Row],[is_ups_overcharge]]="ups overcharged",Table1[[#This Row],[ups ship charge]]-Table1[[#This Row],[ada ship charge]],0)</f>
        <v>0</v>
      </c>
    </row>
    <row r="1923" spans="1:9" x14ac:dyDescent="0.2">
      <c r="A1923">
        <v>1026441</v>
      </c>
      <c r="B1923" t="s">
        <v>20</v>
      </c>
      <c r="C1923">
        <v>13.7</v>
      </c>
      <c r="D1923">
        <v>13.75</v>
      </c>
      <c r="E1923">
        <v>29.95</v>
      </c>
      <c r="F1923" t="s">
        <v>9</v>
      </c>
      <c r="G19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23">
        <f>IF(Table1[[#This Row],[is_ups_overcharge]]="ups overcharged",Table1[[#This Row],[ups ship charge]]-Table1[[#This Row],[ada ship charge]],0)</f>
        <v>0</v>
      </c>
    </row>
    <row r="1924" spans="1:9" x14ac:dyDescent="0.2">
      <c r="A1924">
        <v>1026451</v>
      </c>
      <c r="B1924" t="s">
        <v>20</v>
      </c>
      <c r="C1924">
        <v>18.149999999999999</v>
      </c>
      <c r="D1924">
        <v>18.2</v>
      </c>
      <c r="E1924">
        <v>35.9</v>
      </c>
      <c r="F1924" t="s">
        <v>15</v>
      </c>
      <c r="G19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24">
        <f>IF(Table1[[#This Row],[is_ups_overcharge]]="ups overcharged",Table1[[#This Row],[ups ship charge]]-Table1[[#This Row],[ada ship charge]],0)</f>
        <v>0</v>
      </c>
    </row>
    <row r="1925" spans="1:9" x14ac:dyDescent="0.2">
      <c r="A1925">
        <v>1026457</v>
      </c>
      <c r="B1925" t="s">
        <v>20</v>
      </c>
      <c r="C1925">
        <v>14.23</v>
      </c>
      <c r="D1925">
        <v>0</v>
      </c>
      <c r="E1925">
        <v>202.75</v>
      </c>
      <c r="F1925" t="s">
        <v>9</v>
      </c>
      <c r="G19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92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925">
        <f>IF(Table1[[#This Row],[is_ups_overcharge]]="ups overcharged",Table1[[#This Row],[ups ship charge]]-Table1[[#This Row],[ada ship charge]],0)</f>
        <v>0</v>
      </c>
    </row>
    <row r="1926" spans="1:9" x14ac:dyDescent="0.2">
      <c r="A1926">
        <v>1026465</v>
      </c>
      <c r="B1926" t="s">
        <v>20</v>
      </c>
      <c r="C1926">
        <v>12.81</v>
      </c>
      <c r="D1926">
        <v>12.86</v>
      </c>
      <c r="E1926">
        <v>34.9</v>
      </c>
      <c r="F1926" t="s">
        <v>9</v>
      </c>
      <c r="G19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26">
        <f>IF(Table1[[#This Row],[is_ups_overcharge]]="ups overcharged",Table1[[#This Row],[ups ship charge]]-Table1[[#This Row],[ada ship charge]],0)</f>
        <v>0</v>
      </c>
    </row>
    <row r="1927" spans="1:9" x14ac:dyDescent="0.2">
      <c r="A1927">
        <v>1026469</v>
      </c>
      <c r="B1927" t="s">
        <v>20</v>
      </c>
      <c r="C1927">
        <v>13.7</v>
      </c>
      <c r="D1927">
        <v>13.75</v>
      </c>
      <c r="E1927">
        <v>29.95</v>
      </c>
      <c r="F1927" t="s">
        <v>9</v>
      </c>
      <c r="G19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27">
        <f>IF(Table1[[#This Row],[is_ups_overcharge]]="ups overcharged",Table1[[#This Row],[ups ship charge]]-Table1[[#This Row],[ada ship charge]],0)</f>
        <v>0</v>
      </c>
    </row>
    <row r="1928" spans="1:9" x14ac:dyDescent="0.2">
      <c r="A1928">
        <v>1026476</v>
      </c>
      <c r="B1928" t="s">
        <v>20</v>
      </c>
      <c r="C1928">
        <v>12.81</v>
      </c>
      <c r="D1928">
        <v>12.86</v>
      </c>
      <c r="E1928">
        <v>79.849999999999994</v>
      </c>
      <c r="F1928" t="s">
        <v>9</v>
      </c>
      <c r="G19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28">
        <f>IF(Table1[[#This Row],[is_ups_overcharge]]="ups overcharged",Table1[[#This Row],[ups ship charge]]-Table1[[#This Row],[ada ship charge]],0)</f>
        <v>0</v>
      </c>
    </row>
    <row r="1929" spans="1:9" x14ac:dyDescent="0.2">
      <c r="A1929">
        <v>1026496</v>
      </c>
      <c r="B1929" t="s">
        <v>20</v>
      </c>
      <c r="C1929">
        <v>18.920000000000002</v>
      </c>
      <c r="D1929">
        <v>18.97</v>
      </c>
      <c r="E1929">
        <v>139.85</v>
      </c>
      <c r="F1929" t="s">
        <v>15</v>
      </c>
      <c r="G19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29">
        <f>IF(Table1[[#This Row],[is_ups_overcharge]]="ups overcharged",Table1[[#This Row],[ups ship charge]]-Table1[[#This Row],[ada ship charge]],0)</f>
        <v>0</v>
      </c>
    </row>
    <row r="1930" spans="1:9" x14ac:dyDescent="0.2">
      <c r="A1930">
        <v>1026498</v>
      </c>
      <c r="B1930" t="s">
        <v>20</v>
      </c>
      <c r="C1930">
        <v>12.81</v>
      </c>
      <c r="D1930">
        <v>18.329999999999998</v>
      </c>
      <c r="E1930">
        <v>59.9</v>
      </c>
      <c r="F1930" t="s">
        <v>9</v>
      </c>
      <c r="G19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30">
        <f>IF(Table1[[#This Row],[is_ups_overcharge]]="ups overcharged",Table1[[#This Row],[ups ship charge]]-Table1[[#This Row],[ada ship charge]],0)</f>
        <v>0</v>
      </c>
    </row>
    <row r="1931" spans="1:9" x14ac:dyDescent="0.2">
      <c r="A1931">
        <v>1026503</v>
      </c>
      <c r="B1931" t="s">
        <v>20</v>
      </c>
      <c r="C1931">
        <v>12.81</v>
      </c>
      <c r="D1931">
        <v>12.86</v>
      </c>
      <c r="E1931">
        <v>29.95</v>
      </c>
      <c r="F1931" t="s">
        <v>9</v>
      </c>
      <c r="G19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31">
        <f>IF(Table1[[#This Row],[is_ups_overcharge]]="ups overcharged",Table1[[#This Row],[ups ship charge]]-Table1[[#This Row],[ada ship charge]],0)</f>
        <v>0</v>
      </c>
    </row>
    <row r="1932" spans="1:9" x14ac:dyDescent="0.2">
      <c r="A1932">
        <v>1026516</v>
      </c>
      <c r="B1932" t="s">
        <v>20</v>
      </c>
      <c r="C1932">
        <v>12.81</v>
      </c>
      <c r="D1932">
        <v>12.86</v>
      </c>
      <c r="E1932">
        <v>59.95</v>
      </c>
      <c r="F1932" t="s">
        <v>9</v>
      </c>
      <c r="G19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32">
        <f>IF(Table1[[#This Row],[is_ups_overcharge]]="ups overcharged",Table1[[#This Row],[ups ship charge]]-Table1[[#This Row],[ada ship charge]],0)</f>
        <v>0</v>
      </c>
    </row>
    <row r="1933" spans="1:9" x14ac:dyDescent="0.2">
      <c r="A1933">
        <v>1026535</v>
      </c>
      <c r="B1933" t="s">
        <v>20</v>
      </c>
      <c r="C1933">
        <v>16.77</v>
      </c>
      <c r="D1933">
        <v>16.82</v>
      </c>
      <c r="E1933">
        <v>9.75</v>
      </c>
      <c r="F1933" t="s">
        <v>10</v>
      </c>
      <c r="G19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33">
        <f>IF(Table1[[#This Row],[is_ups_overcharge]]="ups overcharged",Table1[[#This Row],[ups ship charge]]-Table1[[#This Row],[ada ship charge]],0)</f>
        <v>0</v>
      </c>
    </row>
    <row r="1934" spans="1:9" x14ac:dyDescent="0.2">
      <c r="A1934">
        <v>1026536</v>
      </c>
      <c r="B1934" t="s">
        <v>20</v>
      </c>
      <c r="C1934">
        <v>9.6999999999999993</v>
      </c>
      <c r="D1934">
        <v>9.75</v>
      </c>
      <c r="E1934">
        <v>68.349999999999994</v>
      </c>
      <c r="F1934" t="s">
        <v>6</v>
      </c>
      <c r="G19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34">
        <f>IF(Table1[[#This Row],[is_ups_overcharge]]="ups overcharged",Table1[[#This Row],[ups ship charge]]-Table1[[#This Row],[ada ship charge]],0)</f>
        <v>0</v>
      </c>
    </row>
    <row r="1935" spans="1:9" x14ac:dyDescent="0.2">
      <c r="A1935">
        <v>1026547</v>
      </c>
      <c r="B1935" t="s">
        <v>20</v>
      </c>
      <c r="C1935">
        <v>12.81</v>
      </c>
      <c r="D1935">
        <v>12.86</v>
      </c>
      <c r="E1935">
        <v>15.75</v>
      </c>
      <c r="F1935" t="s">
        <v>9</v>
      </c>
      <c r="G19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35">
        <f>IF(Table1[[#This Row],[is_ups_overcharge]]="ups overcharged",Table1[[#This Row],[ups ship charge]]-Table1[[#This Row],[ada ship charge]],0)</f>
        <v>0</v>
      </c>
    </row>
    <row r="1936" spans="1:9" x14ac:dyDescent="0.2">
      <c r="A1936">
        <v>1026571</v>
      </c>
      <c r="B1936" t="s">
        <v>20</v>
      </c>
      <c r="C1936">
        <v>23.33</v>
      </c>
      <c r="D1936">
        <v>23.38</v>
      </c>
      <c r="E1936">
        <v>10.5</v>
      </c>
      <c r="F1936" t="s">
        <v>15</v>
      </c>
      <c r="G19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36">
        <f>IF(Table1[[#This Row],[is_ups_overcharge]]="ups overcharged",Table1[[#This Row],[ups ship charge]]-Table1[[#This Row],[ada ship charge]],0)</f>
        <v>0</v>
      </c>
    </row>
    <row r="1937" spans="1:9" x14ac:dyDescent="0.2">
      <c r="A1937">
        <v>1026576</v>
      </c>
      <c r="B1937" t="s">
        <v>20</v>
      </c>
      <c r="C1937">
        <v>15.44</v>
      </c>
      <c r="D1937">
        <v>15.49</v>
      </c>
      <c r="E1937">
        <v>19.95</v>
      </c>
      <c r="F1937" t="s">
        <v>12</v>
      </c>
      <c r="G19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37">
        <f>IF(Table1[[#This Row],[is_ups_overcharge]]="ups overcharged",Table1[[#This Row],[ups ship charge]]-Table1[[#This Row],[ada ship charge]],0)</f>
        <v>0</v>
      </c>
    </row>
    <row r="1938" spans="1:9" x14ac:dyDescent="0.2">
      <c r="A1938">
        <v>1026589</v>
      </c>
      <c r="B1938" t="s">
        <v>20</v>
      </c>
      <c r="C1938">
        <v>22.32</v>
      </c>
      <c r="D1938">
        <v>18.77</v>
      </c>
      <c r="E1938">
        <v>316.60000000000002</v>
      </c>
      <c r="F1938" t="s">
        <v>10</v>
      </c>
      <c r="G19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3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1938">
        <f>IF(Table1[[#This Row],[is_ups_overcharge]]="ups overcharged",Table1[[#This Row],[ups ship charge]]-Table1[[#This Row],[ada ship charge]],0)</f>
        <v>3.5500000000000007</v>
      </c>
    </row>
    <row r="1939" spans="1:9" x14ac:dyDescent="0.2">
      <c r="A1939">
        <v>1026593</v>
      </c>
      <c r="B1939" t="s">
        <v>20</v>
      </c>
      <c r="C1939">
        <v>13.7</v>
      </c>
      <c r="D1939">
        <v>13.76</v>
      </c>
      <c r="E1939">
        <v>108.2</v>
      </c>
      <c r="F1939" t="s">
        <v>9</v>
      </c>
      <c r="G19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39">
        <f>IF(Table1[[#This Row],[is_ups_overcharge]]="ups overcharged",Table1[[#This Row],[ups ship charge]]-Table1[[#This Row],[ada ship charge]],0)</f>
        <v>0</v>
      </c>
    </row>
    <row r="1940" spans="1:9" x14ac:dyDescent="0.2">
      <c r="A1940">
        <v>1026614</v>
      </c>
      <c r="B1940" t="s">
        <v>20</v>
      </c>
      <c r="C1940">
        <v>13.7</v>
      </c>
      <c r="D1940">
        <v>13.75</v>
      </c>
      <c r="E1940">
        <v>198.9</v>
      </c>
      <c r="F1940" t="s">
        <v>9</v>
      </c>
      <c r="G19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40">
        <f>IF(Table1[[#This Row],[is_ups_overcharge]]="ups overcharged",Table1[[#This Row],[ups ship charge]]-Table1[[#This Row],[ada ship charge]],0)</f>
        <v>0</v>
      </c>
    </row>
    <row r="1941" spans="1:9" x14ac:dyDescent="0.2">
      <c r="A1941">
        <v>1026627</v>
      </c>
      <c r="B1941" t="s">
        <v>20</v>
      </c>
      <c r="C1941">
        <v>12.81</v>
      </c>
      <c r="D1941">
        <v>0</v>
      </c>
      <c r="E1941">
        <v>220.85</v>
      </c>
      <c r="F1941" t="s">
        <v>9</v>
      </c>
      <c r="G19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94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941">
        <f>IF(Table1[[#This Row],[is_ups_overcharge]]="ups overcharged",Table1[[#This Row],[ups ship charge]]-Table1[[#This Row],[ada ship charge]],0)</f>
        <v>0</v>
      </c>
    </row>
    <row r="1942" spans="1:9" x14ac:dyDescent="0.2">
      <c r="A1942">
        <v>1026632</v>
      </c>
      <c r="B1942" t="s">
        <v>20</v>
      </c>
      <c r="C1942">
        <v>11.02</v>
      </c>
      <c r="D1942">
        <v>11.07</v>
      </c>
      <c r="E1942">
        <v>38.4</v>
      </c>
      <c r="F1942" t="s">
        <v>14</v>
      </c>
      <c r="G19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42">
        <f>IF(Table1[[#This Row],[is_ups_overcharge]]="ups overcharged",Table1[[#This Row],[ups ship charge]]-Table1[[#This Row],[ada ship charge]],0)</f>
        <v>0</v>
      </c>
    </row>
    <row r="1943" spans="1:9" x14ac:dyDescent="0.2">
      <c r="A1943">
        <v>1026639</v>
      </c>
      <c r="B1943" t="s">
        <v>20</v>
      </c>
      <c r="C1943">
        <v>16.46</v>
      </c>
      <c r="D1943">
        <v>16.510000000000002</v>
      </c>
      <c r="E1943">
        <v>19.95</v>
      </c>
      <c r="F1943" t="s">
        <v>10</v>
      </c>
      <c r="G19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43">
        <f>IF(Table1[[#This Row],[is_ups_overcharge]]="ups overcharged",Table1[[#This Row],[ups ship charge]]-Table1[[#This Row],[ada ship charge]],0)</f>
        <v>0</v>
      </c>
    </row>
    <row r="1944" spans="1:9" x14ac:dyDescent="0.2">
      <c r="A1944">
        <v>1026662</v>
      </c>
      <c r="B1944" t="s">
        <v>20</v>
      </c>
      <c r="C1944">
        <v>9.6999999999999993</v>
      </c>
      <c r="D1944">
        <v>9.75</v>
      </c>
      <c r="E1944">
        <v>6</v>
      </c>
      <c r="F1944" t="s">
        <v>6</v>
      </c>
      <c r="G19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44">
        <f>IF(Table1[[#This Row],[is_ups_overcharge]]="ups overcharged",Table1[[#This Row],[ups ship charge]]-Table1[[#This Row],[ada ship charge]],0)</f>
        <v>0</v>
      </c>
    </row>
    <row r="1945" spans="1:9" x14ac:dyDescent="0.2">
      <c r="A1945">
        <v>1026685</v>
      </c>
      <c r="B1945" t="s">
        <v>20</v>
      </c>
      <c r="C1945">
        <v>15.13</v>
      </c>
      <c r="D1945">
        <v>16.45</v>
      </c>
      <c r="E1945">
        <v>34.9</v>
      </c>
      <c r="F1945" t="s">
        <v>12</v>
      </c>
      <c r="G19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45">
        <f>IF(Table1[[#This Row],[is_ups_overcharge]]="ups overcharged",Table1[[#This Row],[ups ship charge]]-Table1[[#This Row],[ada ship charge]],0)</f>
        <v>0</v>
      </c>
    </row>
    <row r="1946" spans="1:9" x14ac:dyDescent="0.2">
      <c r="A1946">
        <v>1026693</v>
      </c>
      <c r="B1946" t="s">
        <v>20</v>
      </c>
      <c r="C1946">
        <v>9.6999999999999993</v>
      </c>
      <c r="D1946">
        <v>9.75</v>
      </c>
      <c r="E1946">
        <v>3.95</v>
      </c>
      <c r="F1946" t="s">
        <v>6</v>
      </c>
      <c r="G19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46">
        <f>IF(Table1[[#This Row],[is_ups_overcharge]]="ups overcharged",Table1[[#This Row],[ups ship charge]]-Table1[[#This Row],[ada ship charge]],0)</f>
        <v>0</v>
      </c>
    </row>
    <row r="1947" spans="1:9" x14ac:dyDescent="0.2">
      <c r="A1947">
        <v>1026706</v>
      </c>
      <c r="B1947" t="s">
        <v>20</v>
      </c>
      <c r="C1947">
        <v>15.44</v>
      </c>
      <c r="D1947">
        <v>16.760000000000002</v>
      </c>
      <c r="E1947">
        <v>34.9</v>
      </c>
      <c r="F1947" t="s">
        <v>12</v>
      </c>
      <c r="G19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47">
        <f>IF(Table1[[#This Row],[is_ups_overcharge]]="ups overcharged",Table1[[#This Row],[ups ship charge]]-Table1[[#This Row],[ada ship charge]],0)</f>
        <v>0</v>
      </c>
    </row>
    <row r="1948" spans="1:9" x14ac:dyDescent="0.2">
      <c r="A1948">
        <v>1026709</v>
      </c>
      <c r="B1948" t="s">
        <v>20</v>
      </c>
      <c r="C1948">
        <v>17.149999999999999</v>
      </c>
      <c r="D1948">
        <v>22.11</v>
      </c>
      <c r="E1948">
        <v>174.9</v>
      </c>
      <c r="F1948" t="s">
        <v>10</v>
      </c>
      <c r="G19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48">
        <f>IF(Table1[[#This Row],[is_ups_overcharge]]="ups overcharged",Table1[[#This Row],[ups ship charge]]-Table1[[#This Row],[ada ship charge]],0)</f>
        <v>0</v>
      </c>
    </row>
    <row r="1949" spans="1:9" x14ac:dyDescent="0.2">
      <c r="A1949">
        <v>1026717</v>
      </c>
      <c r="B1949" t="s">
        <v>20</v>
      </c>
      <c r="C1949">
        <v>13.7</v>
      </c>
      <c r="D1949">
        <v>13.91</v>
      </c>
      <c r="E1949">
        <v>56.8</v>
      </c>
      <c r="F1949" t="s">
        <v>9</v>
      </c>
      <c r="G19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49">
        <f>IF(Table1[[#This Row],[is_ups_overcharge]]="ups overcharged",Table1[[#This Row],[ups ship charge]]-Table1[[#This Row],[ada ship charge]],0)</f>
        <v>0</v>
      </c>
    </row>
    <row r="1950" spans="1:9" x14ac:dyDescent="0.2">
      <c r="A1950">
        <v>1026718</v>
      </c>
      <c r="B1950" t="s">
        <v>20</v>
      </c>
      <c r="C1950">
        <v>10.06</v>
      </c>
      <c r="D1950">
        <v>0</v>
      </c>
      <c r="E1950">
        <v>268.7</v>
      </c>
      <c r="F1950" t="s">
        <v>6</v>
      </c>
      <c r="G19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95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950">
        <f>IF(Table1[[#This Row],[is_ups_overcharge]]="ups overcharged",Table1[[#This Row],[ups ship charge]]-Table1[[#This Row],[ada ship charge]],0)</f>
        <v>0</v>
      </c>
    </row>
    <row r="1951" spans="1:9" x14ac:dyDescent="0.2">
      <c r="A1951">
        <v>1026722</v>
      </c>
      <c r="B1951" t="s">
        <v>20</v>
      </c>
      <c r="C1951">
        <v>12.81</v>
      </c>
      <c r="D1951">
        <v>12.86</v>
      </c>
      <c r="E1951">
        <v>156.05000000000001</v>
      </c>
      <c r="F1951" t="s">
        <v>9</v>
      </c>
      <c r="G19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51">
        <f>IF(Table1[[#This Row],[is_ups_overcharge]]="ups overcharged",Table1[[#This Row],[ups ship charge]]-Table1[[#This Row],[ada ship charge]],0)</f>
        <v>0</v>
      </c>
    </row>
    <row r="1952" spans="1:9" x14ac:dyDescent="0.2">
      <c r="A1952">
        <v>1026728</v>
      </c>
      <c r="B1952" t="s">
        <v>20</v>
      </c>
      <c r="C1952">
        <v>13.7</v>
      </c>
      <c r="D1952">
        <v>15.17</v>
      </c>
      <c r="E1952">
        <v>94.8</v>
      </c>
      <c r="F1952" t="s">
        <v>9</v>
      </c>
      <c r="G19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52">
        <f>IF(Table1[[#This Row],[is_ups_overcharge]]="ups overcharged",Table1[[#This Row],[ups ship charge]]-Table1[[#This Row],[ada ship charge]],0)</f>
        <v>0</v>
      </c>
    </row>
    <row r="1953" spans="1:9" x14ac:dyDescent="0.2">
      <c r="A1953">
        <v>1026731</v>
      </c>
      <c r="B1953" t="s">
        <v>20</v>
      </c>
      <c r="C1953">
        <v>12.81</v>
      </c>
      <c r="D1953">
        <v>12.86</v>
      </c>
      <c r="E1953">
        <v>32.9</v>
      </c>
      <c r="F1953" t="s">
        <v>9</v>
      </c>
      <c r="G19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53">
        <f>IF(Table1[[#This Row],[is_ups_overcharge]]="ups overcharged",Table1[[#This Row],[ups ship charge]]-Table1[[#This Row],[ada ship charge]],0)</f>
        <v>0</v>
      </c>
    </row>
    <row r="1954" spans="1:9" x14ac:dyDescent="0.2">
      <c r="A1954">
        <v>1026749</v>
      </c>
      <c r="B1954" t="s">
        <v>20</v>
      </c>
      <c r="C1954">
        <v>12.81</v>
      </c>
      <c r="D1954">
        <v>12.86</v>
      </c>
      <c r="E1954">
        <v>29.95</v>
      </c>
      <c r="F1954" t="s">
        <v>9</v>
      </c>
      <c r="G19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54">
        <f>IF(Table1[[#This Row],[is_ups_overcharge]]="ups overcharged",Table1[[#This Row],[ups ship charge]]-Table1[[#This Row],[ada ship charge]],0)</f>
        <v>0</v>
      </c>
    </row>
    <row r="1955" spans="1:9" x14ac:dyDescent="0.2">
      <c r="A1955">
        <v>1026763</v>
      </c>
      <c r="B1955" t="s">
        <v>20</v>
      </c>
      <c r="C1955">
        <v>12.81</v>
      </c>
      <c r="D1955">
        <v>12.86</v>
      </c>
      <c r="E1955">
        <v>59.95</v>
      </c>
      <c r="F1955" t="s">
        <v>9</v>
      </c>
      <c r="G19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55">
        <f>IF(Table1[[#This Row],[is_ups_overcharge]]="ups overcharged",Table1[[#This Row],[ups ship charge]]-Table1[[#This Row],[ada ship charge]],0)</f>
        <v>0</v>
      </c>
    </row>
    <row r="1956" spans="1:9" x14ac:dyDescent="0.2">
      <c r="A1956">
        <v>1026778</v>
      </c>
      <c r="B1956" t="s">
        <v>20</v>
      </c>
      <c r="C1956">
        <v>16.77</v>
      </c>
      <c r="D1956">
        <v>16.82</v>
      </c>
      <c r="E1956">
        <v>40.35</v>
      </c>
      <c r="F1956" t="s">
        <v>10</v>
      </c>
      <c r="G19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56">
        <f>IF(Table1[[#This Row],[is_ups_overcharge]]="ups overcharged",Table1[[#This Row],[ups ship charge]]-Table1[[#This Row],[ada ship charge]],0)</f>
        <v>0</v>
      </c>
    </row>
    <row r="1957" spans="1:9" x14ac:dyDescent="0.2">
      <c r="A1957">
        <v>1026781</v>
      </c>
      <c r="B1957" t="s">
        <v>20</v>
      </c>
      <c r="C1957">
        <v>16.559999999999999</v>
      </c>
      <c r="D1957">
        <v>18.47</v>
      </c>
      <c r="E1957">
        <v>64.900000000000006</v>
      </c>
      <c r="F1957" t="s">
        <v>10</v>
      </c>
      <c r="G19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57">
        <f>IF(Table1[[#This Row],[is_ups_overcharge]]="ups overcharged",Table1[[#This Row],[ups ship charge]]-Table1[[#This Row],[ada ship charge]],0)</f>
        <v>0</v>
      </c>
    </row>
    <row r="1958" spans="1:9" x14ac:dyDescent="0.2">
      <c r="A1958">
        <v>1026817</v>
      </c>
      <c r="B1958" t="s">
        <v>20</v>
      </c>
      <c r="C1958">
        <v>12.81</v>
      </c>
      <c r="D1958">
        <v>12.86</v>
      </c>
      <c r="E1958">
        <v>58.55</v>
      </c>
      <c r="F1958" t="s">
        <v>9</v>
      </c>
      <c r="G19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58">
        <f>IF(Table1[[#This Row],[is_ups_overcharge]]="ups overcharged",Table1[[#This Row],[ups ship charge]]-Table1[[#This Row],[ada ship charge]],0)</f>
        <v>0</v>
      </c>
    </row>
    <row r="1959" spans="1:9" x14ac:dyDescent="0.2">
      <c r="A1959">
        <v>1026827</v>
      </c>
      <c r="B1959" t="s">
        <v>20</v>
      </c>
      <c r="C1959">
        <v>9.7100000000000009</v>
      </c>
      <c r="D1959">
        <v>11.54</v>
      </c>
      <c r="E1959">
        <v>59.9</v>
      </c>
      <c r="F1959" t="s">
        <v>6</v>
      </c>
      <c r="G19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59">
        <f>IF(Table1[[#This Row],[is_ups_overcharge]]="ups overcharged",Table1[[#This Row],[ups ship charge]]-Table1[[#This Row],[ada ship charge]],0)</f>
        <v>0</v>
      </c>
    </row>
    <row r="1960" spans="1:9" x14ac:dyDescent="0.2">
      <c r="A1960">
        <v>1026840</v>
      </c>
      <c r="B1960" t="s">
        <v>20</v>
      </c>
      <c r="C1960">
        <v>12.81</v>
      </c>
      <c r="D1960">
        <v>12.86</v>
      </c>
      <c r="E1960">
        <v>4.95</v>
      </c>
      <c r="F1960" t="s">
        <v>9</v>
      </c>
      <c r="G19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60">
        <f>IF(Table1[[#This Row],[is_ups_overcharge]]="ups overcharged",Table1[[#This Row],[ups ship charge]]-Table1[[#This Row],[ada ship charge]],0)</f>
        <v>0</v>
      </c>
    </row>
    <row r="1961" spans="1:9" x14ac:dyDescent="0.2">
      <c r="A1961">
        <v>1031138</v>
      </c>
      <c r="B1961" t="s">
        <v>21</v>
      </c>
      <c r="C1961">
        <v>13.64</v>
      </c>
      <c r="D1961">
        <v>13.75</v>
      </c>
      <c r="E1961">
        <v>55.8</v>
      </c>
      <c r="F1961" t="s">
        <v>9</v>
      </c>
      <c r="G19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61">
        <f>IF(Table1[[#This Row],[is_ups_overcharge]]="ups overcharged",Table1[[#This Row],[ups ship charge]]-Table1[[#This Row],[ada ship charge]],0)</f>
        <v>0</v>
      </c>
    </row>
    <row r="1962" spans="1:9" x14ac:dyDescent="0.2">
      <c r="A1962">
        <v>1026868</v>
      </c>
      <c r="B1962" t="s">
        <v>20</v>
      </c>
      <c r="C1962">
        <v>9.7100000000000009</v>
      </c>
      <c r="D1962">
        <v>12.86</v>
      </c>
      <c r="E1962">
        <v>109.7</v>
      </c>
      <c r="F1962" t="s">
        <v>6</v>
      </c>
      <c r="G19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62">
        <f>IF(Table1[[#This Row],[is_ups_overcharge]]="ups overcharged",Table1[[#This Row],[ups ship charge]]-Table1[[#This Row],[ada ship charge]],0)</f>
        <v>0</v>
      </c>
    </row>
    <row r="1963" spans="1:9" x14ac:dyDescent="0.2">
      <c r="A1963">
        <v>1026911</v>
      </c>
      <c r="B1963" t="s">
        <v>20</v>
      </c>
      <c r="C1963">
        <v>12.81</v>
      </c>
      <c r="D1963">
        <v>12.86</v>
      </c>
      <c r="E1963">
        <v>75.900000000000006</v>
      </c>
      <c r="F1963" t="s">
        <v>9</v>
      </c>
      <c r="G19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63">
        <f>IF(Table1[[#This Row],[is_ups_overcharge]]="ups overcharged",Table1[[#This Row],[ups ship charge]]-Table1[[#This Row],[ada ship charge]],0)</f>
        <v>0</v>
      </c>
    </row>
    <row r="1964" spans="1:9" x14ac:dyDescent="0.2">
      <c r="A1964">
        <v>1026914</v>
      </c>
      <c r="B1964" t="s">
        <v>20</v>
      </c>
      <c r="C1964">
        <v>9.7100000000000009</v>
      </c>
      <c r="D1964">
        <v>9.76</v>
      </c>
      <c r="E1964">
        <v>99.8</v>
      </c>
      <c r="F1964" t="s">
        <v>6</v>
      </c>
      <c r="G19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64">
        <f>IF(Table1[[#This Row],[is_ups_overcharge]]="ups overcharged",Table1[[#This Row],[ups ship charge]]-Table1[[#This Row],[ada ship charge]],0)</f>
        <v>0</v>
      </c>
    </row>
    <row r="1965" spans="1:9" x14ac:dyDescent="0.2">
      <c r="A1965">
        <v>1026923</v>
      </c>
      <c r="B1965" t="s">
        <v>20</v>
      </c>
      <c r="C1965">
        <v>9.6999999999999993</v>
      </c>
      <c r="D1965">
        <v>0</v>
      </c>
      <c r="E1965">
        <v>274.55</v>
      </c>
      <c r="F1965" t="s">
        <v>6</v>
      </c>
      <c r="G19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96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965">
        <f>IF(Table1[[#This Row],[is_ups_overcharge]]="ups overcharged",Table1[[#This Row],[ups ship charge]]-Table1[[#This Row],[ada ship charge]],0)</f>
        <v>0</v>
      </c>
    </row>
    <row r="1966" spans="1:9" x14ac:dyDescent="0.2">
      <c r="A1966">
        <v>1026927</v>
      </c>
      <c r="B1966" t="s">
        <v>20</v>
      </c>
      <c r="C1966">
        <v>9.6999999999999993</v>
      </c>
      <c r="D1966">
        <v>9.76</v>
      </c>
      <c r="E1966">
        <v>79.400000000000006</v>
      </c>
      <c r="F1966" t="s">
        <v>6</v>
      </c>
      <c r="G19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66">
        <f>IF(Table1[[#This Row],[is_ups_overcharge]]="ups overcharged",Table1[[#This Row],[ups ship charge]]-Table1[[#This Row],[ada ship charge]],0)</f>
        <v>0</v>
      </c>
    </row>
    <row r="1967" spans="1:9" x14ac:dyDescent="0.2">
      <c r="A1967">
        <v>1026932</v>
      </c>
      <c r="B1967" t="s">
        <v>20</v>
      </c>
      <c r="C1967">
        <v>16.46</v>
      </c>
      <c r="D1967">
        <v>16.510000000000002</v>
      </c>
      <c r="E1967">
        <v>14.95</v>
      </c>
      <c r="F1967" t="s">
        <v>10</v>
      </c>
      <c r="G19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67">
        <f>IF(Table1[[#This Row],[is_ups_overcharge]]="ups overcharged",Table1[[#This Row],[ups ship charge]]-Table1[[#This Row],[ada ship charge]],0)</f>
        <v>0</v>
      </c>
    </row>
    <row r="1968" spans="1:9" x14ac:dyDescent="0.2">
      <c r="A1968">
        <v>1026934</v>
      </c>
      <c r="B1968" t="s">
        <v>20</v>
      </c>
      <c r="C1968">
        <v>13.7</v>
      </c>
      <c r="D1968">
        <v>13.76</v>
      </c>
      <c r="E1968">
        <v>141.69999999999999</v>
      </c>
      <c r="F1968" t="s">
        <v>9</v>
      </c>
      <c r="G19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68">
        <f>IF(Table1[[#This Row],[is_ups_overcharge]]="ups overcharged",Table1[[#This Row],[ups ship charge]]-Table1[[#This Row],[ada ship charge]],0)</f>
        <v>0</v>
      </c>
    </row>
    <row r="1969" spans="1:9" x14ac:dyDescent="0.2">
      <c r="A1969">
        <v>1026941</v>
      </c>
      <c r="B1969" t="s">
        <v>20</v>
      </c>
      <c r="C1969">
        <v>9.6999999999999993</v>
      </c>
      <c r="D1969">
        <v>9.75</v>
      </c>
      <c r="E1969">
        <v>49.75</v>
      </c>
      <c r="F1969" t="s">
        <v>6</v>
      </c>
      <c r="G19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69">
        <f>IF(Table1[[#This Row],[is_ups_overcharge]]="ups overcharged",Table1[[#This Row],[ups ship charge]]-Table1[[#This Row],[ada ship charge]],0)</f>
        <v>0</v>
      </c>
    </row>
    <row r="1970" spans="1:9" x14ac:dyDescent="0.2">
      <c r="A1970">
        <v>1026948</v>
      </c>
      <c r="B1970" t="s">
        <v>20</v>
      </c>
      <c r="C1970">
        <v>9.6999999999999993</v>
      </c>
      <c r="D1970">
        <v>12.86</v>
      </c>
      <c r="E1970">
        <v>93.7</v>
      </c>
      <c r="F1970" t="s">
        <v>6</v>
      </c>
      <c r="G19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70">
        <f>IF(Table1[[#This Row],[is_ups_overcharge]]="ups overcharged",Table1[[#This Row],[ups ship charge]]-Table1[[#This Row],[ada ship charge]],0)</f>
        <v>0</v>
      </c>
    </row>
    <row r="1971" spans="1:9" x14ac:dyDescent="0.2">
      <c r="A1971">
        <v>1026979</v>
      </c>
      <c r="B1971" t="s">
        <v>20</v>
      </c>
      <c r="C1971">
        <v>12.81</v>
      </c>
      <c r="D1971">
        <v>12.86</v>
      </c>
      <c r="E1971">
        <v>64.900000000000006</v>
      </c>
      <c r="F1971" t="s">
        <v>9</v>
      </c>
      <c r="G19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71">
        <f>IF(Table1[[#This Row],[is_ups_overcharge]]="ups overcharged",Table1[[#This Row],[ups ship charge]]-Table1[[#This Row],[ada ship charge]],0)</f>
        <v>0</v>
      </c>
    </row>
    <row r="1972" spans="1:9" x14ac:dyDescent="0.2">
      <c r="A1972">
        <v>1026983</v>
      </c>
      <c r="B1972" t="s">
        <v>20</v>
      </c>
      <c r="C1972">
        <v>13.7</v>
      </c>
      <c r="D1972">
        <v>13.75</v>
      </c>
      <c r="E1972">
        <v>26.45</v>
      </c>
      <c r="F1972" t="s">
        <v>9</v>
      </c>
      <c r="G19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72">
        <f>IF(Table1[[#This Row],[is_ups_overcharge]]="ups overcharged",Table1[[#This Row],[ups ship charge]]-Table1[[#This Row],[ada ship charge]],0)</f>
        <v>0</v>
      </c>
    </row>
    <row r="1973" spans="1:9" x14ac:dyDescent="0.2">
      <c r="A1973">
        <v>1026984</v>
      </c>
      <c r="B1973" t="s">
        <v>20</v>
      </c>
      <c r="C1973">
        <v>12.35</v>
      </c>
      <c r="D1973">
        <v>12.4</v>
      </c>
      <c r="E1973">
        <v>31.8</v>
      </c>
      <c r="F1973" t="s">
        <v>13</v>
      </c>
      <c r="G19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73">
        <f>IF(Table1[[#This Row],[is_ups_overcharge]]="ups overcharged",Table1[[#This Row],[ups ship charge]]-Table1[[#This Row],[ada ship charge]],0)</f>
        <v>0</v>
      </c>
    </row>
    <row r="1974" spans="1:9" x14ac:dyDescent="0.2">
      <c r="A1974">
        <v>1026992</v>
      </c>
      <c r="B1974" t="s">
        <v>20</v>
      </c>
      <c r="C1974">
        <v>12.81</v>
      </c>
      <c r="D1974">
        <v>12.86</v>
      </c>
      <c r="E1974">
        <v>34.9</v>
      </c>
      <c r="F1974" t="s">
        <v>9</v>
      </c>
      <c r="G19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74">
        <f>IF(Table1[[#This Row],[is_ups_overcharge]]="ups overcharged",Table1[[#This Row],[ups ship charge]]-Table1[[#This Row],[ada ship charge]],0)</f>
        <v>0</v>
      </c>
    </row>
    <row r="1975" spans="1:9" x14ac:dyDescent="0.2">
      <c r="A1975">
        <v>1026994</v>
      </c>
      <c r="B1975" t="s">
        <v>20</v>
      </c>
      <c r="C1975">
        <v>12.81</v>
      </c>
      <c r="D1975">
        <v>12.86</v>
      </c>
      <c r="E1975">
        <v>24.95</v>
      </c>
      <c r="F1975" t="s">
        <v>9</v>
      </c>
      <c r="G19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75">
        <f>IF(Table1[[#This Row],[is_ups_overcharge]]="ups overcharged",Table1[[#This Row],[ups ship charge]]-Table1[[#This Row],[ada ship charge]],0)</f>
        <v>0</v>
      </c>
    </row>
    <row r="1976" spans="1:9" x14ac:dyDescent="0.2">
      <c r="A1976">
        <v>1027012</v>
      </c>
      <c r="B1976" t="s">
        <v>20</v>
      </c>
      <c r="C1976">
        <v>9.7100000000000009</v>
      </c>
      <c r="D1976">
        <v>0</v>
      </c>
      <c r="E1976">
        <v>373.54</v>
      </c>
      <c r="F1976" t="s">
        <v>6</v>
      </c>
      <c r="G19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97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976">
        <f>IF(Table1[[#This Row],[is_ups_overcharge]]="ups overcharged",Table1[[#This Row],[ups ship charge]]-Table1[[#This Row],[ada ship charge]],0)</f>
        <v>0</v>
      </c>
    </row>
    <row r="1977" spans="1:9" x14ac:dyDescent="0.2">
      <c r="A1977">
        <v>1027013</v>
      </c>
      <c r="B1977" t="s">
        <v>20</v>
      </c>
      <c r="C1977">
        <v>9.6999999999999993</v>
      </c>
      <c r="D1977">
        <v>9.75</v>
      </c>
      <c r="E1977">
        <v>21.9</v>
      </c>
      <c r="F1977" t="s">
        <v>6</v>
      </c>
      <c r="G19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77">
        <f>IF(Table1[[#This Row],[is_ups_overcharge]]="ups overcharged",Table1[[#This Row],[ups ship charge]]-Table1[[#This Row],[ada ship charge]],0)</f>
        <v>0</v>
      </c>
    </row>
    <row r="1978" spans="1:9" x14ac:dyDescent="0.2">
      <c r="A1978">
        <v>1027014</v>
      </c>
      <c r="B1978" t="s">
        <v>20</v>
      </c>
      <c r="C1978">
        <v>13.7</v>
      </c>
      <c r="D1978">
        <v>13.75</v>
      </c>
      <c r="E1978">
        <v>39.1</v>
      </c>
      <c r="F1978" t="s">
        <v>9</v>
      </c>
      <c r="G19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78">
        <f>IF(Table1[[#This Row],[is_ups_overcharge]]="ups overcharged",Table1[[#This Row],[ups ship charge]]-Table1[[#This Row],[ada ship charge]],0)</f>
        <v>0</v>
      </c>
    </row>
    <row r="1979" spans="1:9" x14ac:dyDescent="0.2">
      <c r="A1979">
        <v>1027022</v>
      </c>
      <c r="B1979" t="s">
        <v>20</v>
      </c>
      <c r="C1979">
        <v>16.77</v>
      </c>
      <c r="D1979">
        <v>17.2</v>
      </c>
      <c r="E1979">
        <v>35.9</v>
      </c>
      <c r="F1979" t="s">
        <v>10</v>
      </c>
      <c r="G19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79">
        <f>IF(Table1[[#This Row],[is_ups_overcharge]]="ups overcharged",Table1[[#This Row],[ups ship charge]]-Table1[[#This Row],[ada ship charge]],0)</f>
        <v>0</v>
      </c>
    </row>
    <row r="1980" spans="1:9" x14ac:dyDescent="0.2">
      <c r="A1980">
        <v>1027063</v>
      </c>
      <c r="B1980" t="s">
        <v>20</v>
      </c>
      <c r="C1980">
        <v>9.6999999999999993</v>
      </c>
      <c r="D1980">
        <v>9.75</v>
      </c>
      <c r="E1980">
        <v>34.9</v>
      </c>
      <c r="F1980" t="s">
        <v>6</v>
      </c>
      <c r="G19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80">
        <f>IF(Table1[[#This Row],[is_ups_overcharge]]="ups overcharged",Table1[[#This Row],[ups ship charge]]-Table1[[#This Row],[ada ship charge]],0)</f>
        <v>0</v>
      </c>
    </row>
    <row r="1981" spans="1:9" x14ac:dyDescent="0.2">
      <c r="A1981">
        <v>1027064</v>
      </c>
      <c r="B1981" t="s">
        <v>20</v>
      </c>
      <c r="C1981">
        <v>12.59</v>
      </c>
      <c r="D1981">
        <v>0</v>
      </c>
      <c r="E1981">
        <v>1400</v>
      </c>
      <c r="F1981" t="s">
        <v>6</v>
      </c>
      <c r="G19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98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981">
        <f>IF(Table1[[#This Row],[is_ups_overcharge]]="ups overcharged",Table1[[#This Row],[ups ship charge]]-Table1[[#This Row],[ada ship charge]],0)</f>
        <v>0</v>
      </c>
    </row>
    <row r="1982" spans="1:9" x14ac:dyDescent="0.2">
      <c r="A1982">
        <v>1027085</v>
      </c>
      <c r="B1982" t="s">
        <v>20</v>
      </c>
      <c r="C1982">
        <v>12.81</v>
      </c>
      <c r="D1982">
        <v>12.86</v>
      </c>
      <c r="E1982">
        <v>64.900000000000006</v>
      </c>
      <c r="F1982" t="s">
        <v>9</v>
      </c>
      <c r="G19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82">
        <f>IF(Table1[[#This Row],[is_ups_overcharge]]="ups overcharged",Table1[[#This Row],[ups ship charge]]-Table1[[#This Row],[ada ship charge]],0)</f>
        <v>0</v>
      </c>
    </row>
    <row r="1983" spans="1:9" x14ac:dyDescent="0.2">
      <c r="A1983">
        <v>1027088</v>
      </c>
      <c r="B1983" t="s">
        <v>20</v>
      </c>
      <c r="C1983">
        <v>12.81</v>
      </c>
      <c r="D1983">
        <v>12.86</v>
      </c>
      <c r="E1983">
        <v>34.9</v>
      </c>
      <c r="F1983" t="s">
        <v>9</v>
      </c>
      <c r="G19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83">
        <f>IF(Table1[[#This Row],[is_ups_overcharge]]="ups overcharged",Table1[[#This Row],[ups ship charge]]-Table1[[#This Row],[ada ship charge]],0)</f>
        <v>0</v>
      </c>
    </row>
    <row r="1984" spans="1:9" x14ac:dyDescent="0.2">
      <c r="A1984">
        <v>1027096</v>
      </c>
      <c r="B1984" t="s">
        <v>20</v>
      </c>
      <c r="C1984">
        <v>13.7</v>
      </c>
      <c r="D1984">
        <v>13.75</v>
      </c>
      <c r="E1984">
        <v>6.9</v>
      </c>
      <c r="F1984" t="s">
        <v>9</v>
      </c>
      <c r="G19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84">
        <f>IF(Table1[[#This Row],[is_ups_overcharge]]="ups overcharged",Table1[[#This Row],[ups ship charge]]-Table1[[#This Row],[ada ship charge]],0)</f>
        <v>0</v>
      </c>
    </row>
    <row r="1985" spans="1:9" x14ac:dyDescent="0.2">
      <c r="A1985">
        <v>1027127</v>
      </c>
      <c r="B1985" t="s">
        <v>20</v>
      </c>
      <c r="C1985">
        <v>13.71</v>
      </c>
      <c r="D1985">
        <v>13.99</v>
      </c>
      <c r="E1985">
        <v>119.2</v>
      </c>
      <c r="F1985" t="s">
        <v>9</v>
      </c>
      <c r="G19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85">
        <f>IF(Table1[[#This Row],[is_ups_overcharge]]="ups overcharged",Table1[[#This Row],[ups ship charge]]-Table1[[#This Row],[ada ship charge]],0)</f>
        <v>0</v>
      </c>
    </row>
    <row r="1986" spans="1:9" x14ac:dyDescent="0.2">
      <c r="A1986">
        <v>1027134</v>
      </c>
      <c r="B1986" t="s">
        <v>20</v>
      </c>
      <c r="C1986">
        <v>16.77</v>
      </c>
      <c r="D1986">
        <v>16.82</v>
      </c>
      <c r="E1986">
        <v>71.849999999999994</v>
      </c>
      <c r="F1986" t="s">
        <v>10</v>
      </c>
      <c r="G19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86">
        <f>IF(Table1[[#This Row],[is_ups_overcharge]]="ups overcharged",Table1[[#This Row],[ups ship charge]]-Table1[[#This Row],[ada ship charge]],0)</f>
        <v>0</v>
      </c>
    </row>
    <row r="1987" spans="1:9" x14ac:dyDescent="0.2">
      <c r="A1987">
        <v>1027142</v>
      </c>
      <c r="B1987" t="s">
        <v>20</v>
      </c>
      <c r="C1987">
        <v>15.13</v>
      </c>
      <c r="D1987">
        <v>15.18</v>
      </c>
      <c r="E1987">
        <v>60.6</v>
      </c>
      <c r="F1987" t="s">
        <v>12</v>
      </c>
      <c r="G19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87">
        <f>IF(Table1[[#This Row],[is_ups_overcharge]]="ups overcharged",Table1[[#This Row],[ups ship charge]]-Table1[[#This Row],[ada ship charge]],0)</f>
        <v>0</v>
      </c>
    </row>
    <row r="1988" spans="1:9" x14ac:dyDescent="0.2">
      <c r="A1988">
        <v>1027148</v>
      </c>
      <c r="B1988" t="s">
        <v>20</v>
      </c>
      <c r="C1988">
        <v>13.7</v>
      </c>
      <c r="D1988">
        <v>13.75</v>
      </c>
      <c r="E1988">
        <v>34.9</v>
      </c>
      <c r="F1988" t="s">
        <v>9</v>
      </c>
      <c r="G19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88">
        <f>IF(Table1[[#This Row],[is_ups_overcharge]]="ups overcharged",Table1[[#This Row],[ups ship charge]]-Table1[[#This Row],[ada ship charge]],0)</f>
        <v>0</v>
      </c>
    </row>
    <row r="1989" spans="1:9" x14ac:dyDescent="0.2">
      <c r="A1989">
        <v>1027161</v>
      </c>
      <c r="B1989" t="s">
        <v>20</v>
      </c>
      <c r="C1989">
        <v>16.77</v>
      </c>
      <c r="D1989">
        <v>16.82</v>
      </c>
      <c r="E1989">
        <v>140.85</v>
      </c>
      <c r="F1989" t="s">
        <v>10</v>
      </c>
      <c r="G19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89">
        <f>IF(Table1[[#This Row],[is_ups_overcharge]]="ups overcharged",Table1[[#This Row],[ups ship charge]]-Table1[[#This Row],[ada ship charge]],0)</f>
        <v>0</v>
      </c>
    </row>
    <row r="1990" spans="1:9" x14ac:dyDescent="0.2">
      <c r="A1990">
        <v>1027179</v>
      </c>
      <c r="B1990" t="s">
        <v>20</v>
      </c>
      <c r="C1990">
        <v>19.96</v>
      </c>
      <c r="D1990">
        <v>0</v>
      </c>
      <c r="E1990">
        <v>468</v>
      </c>
      <c r="F1990" t="s">
        <v>9</v>
      </c>
      <c r="G19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99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990">
        <f>IF(Table1[[#This Row],[is_ups_overcharge]]="ups overcharged",Table1[[#This Row],[ups ship charge]]-Table1[[#This Row],[ada ship charge]],0)</f>
        <v>0</v>
      </c>
    </row>
    <row r="1991" spans="1:9" x14ac:dyDescent="0.2">
      <c r="A1991">
        <v>1027191</v>
      </c>
      <c r="B1991" t="s">
        <v>20</v>
      </c>
      <c r="C1991">
        <v>13.7</v>
      </c>
      <c r="D1991">
        <v>13.75</v>
      </c>
      <c r="E1991">
        <v>59.9</v>
      </c>
      <c r="F1991" t="s">
        <v>9</v>
      </c>
      <c r="G19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91">
        <f>IF(Table1[[#This Row],[is_ups_overcharge]]="ups overcharged",Table1[[#This Row],[ups ship charge]]-Table1[[#This Row],[ada ship charge]],0)</f>
        <v>0</v>
      </c>
    </row>
    <row r="1992" spans="1:9" x14ac:dyDescent="0.2">
      <c r="A1992">
        <v>1027224</v>
      </c>
      <c r="B1992" t="s">
        <v>20</v>
      </c>
      <c r="C1992">
        <v>15.13</v>
      </c>
      <c r="D1992">
        <v>16.45</v>
      </c>
      <c r="E1992">
        <v>64.900000000000006</v>
      </c>
      <c r="F1992" t="s">
        <v>12</v>
      </c>
      <c r="G19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92">
        <f>IF(Table1[[#This Row],[is_ups_overcharge]]="ups overcharged",Table1[[#This Row],[ups ship charge]]-Table1[[#This Row],[ada ship charge]],0)</f>
        <v>0</v>
      </c>
    </row>
    <row r="1993" spans="1:9" x14ac:dyDescent="0.2">
      <c r="A1993">
        <v>1027234</v>
      </c>
      <c r="B1993" t="s">
        <v>20</v>
      </c>
      <c r="C1993">
        <v>13.7</v>
      </c>
      <c r="D1993">
        <v>13.75</v>
      </c>
      <c r="E1993">
        <v>59.95</v>
      </c>
      <c r="F1993" t="s">
        <v>9</v>
      </c>
      <c r="G19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93">
        <f>IF(Table1[[#This Row],[is_ups_overcharge]]="ups overcharged",Table1[[#This Row],[ups ship charge]]-Table1[[#This Row],[ada ship charge]],0)</f>
        <v>0</v>
      </c>
    </row>
    <row r="1994" spans="1:9" x14ac:dyDescent="0.2">
      <c r="A1994">
        <v>1027271</v>
      </c>
      <c r="B1994" t="s">
        <v>20</v>
      </c>
      <c r="C1994">
        <v>12.81</v>
      </c>
      <c r="D1994">
        <v>12.86</v>
      </c>
      <c r="E1994">
        <v>102.1</v>
      </c>
      <c r="F1994" t="s">
        <v>9</v>
      </c>
      <c r="G19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94">
        <f>IF(Table1[[#This Row],[is_ups_overcharge]]="ups overcharged",Table1[[#This Row],[ups ship charge]]-Table1[[#This Row],[ada ship charge]],0)</f>
        <v>0</v>
      </c>
    </row>
    <row r="1995" spans="1:9" x14ac:dyDescent="0.2">
      <c r="A1995">
        <v>1027273</v>
      </c>
      <c r="B1995" t="s">
        <v>20</v>
      </c>
      <c r="C1995">
        <v>13.86</v>
      </c>
      <c r="D1995">
        <v>14.15</v>
      </c>
      <c r="E1995">
        <v>127.55</v>
      </c>
      <c r="F1995" t="s">
        <v>9</v>
      </c>
      <c r="G19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95">
        <f>IF(Table1[[#This Row],[is_ups_overcharge]]="ups overcharged",Table1[[#This Row],[ups ship charge]]-Table1[[#This Row],[ada ship charge]],0)</f>
        <v>0</v>
      </c>
    </row>
    <row r="1996" spans="1:9" x14ac:dyDescent="0.2">
      <c r="A1996">
        <v>1027278</v>
      </c>
      <c r="B1996" t="s">
        <v>20</v>
      </c>
      <c r="C1996">
        <v>12.81</v>
      </c>
      <c r="D1996">
        <v>13.31</v>
      </c>
      <c r="E1996">
        <v>37.35</v>
      </c>
      <c r="F1996" t="s">
        <v>9</v>
      </c>
      <c r="G19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96">
        <f>IF(Table1[[#This Row],[is_ups_overcharge]]="ups overcharged",Table1[[#This Row],[ups ship charge]]-Table1[[#This Row],[ada ship charge]],0)</f>
        <v>0</v>
      </c>
    </row>
    <row r="1997" spans="1:9" x14ac:dyDescent="0.2">
      <c r="A1997">
        <v>1027285</v>
      </c>
      <c r="B1997" t="s">
        <v>20</v>
      </c>
      <c r="C1997">
        <v>13.7</v>
      </c>
      <c r="D1997">
        <v>0</v>
      </c>
      <c r="E1997">
        <v>213.99</v>
      </c>
      <c r="F1997" t="s">
        <v>9</v>
      </c>
      <c r="G19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99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997">
        <f>IF(Table1[[#This Row],[is_ups_overcharge]]="ups overcharged",Table1[[#This Row],[ups ship charge]]-Table1[[#This Row],[ada ship charge]],0)</f>
        <v>0</v>
      </c>
    </row>
    <row r="1998" spans="1:9" x14ac:dyDescent="0.2">
      <c r="A1998">
        <v>1027287</v>
      </c>
      <c r="B1998" t="s">
        <v>20</v>
      </c>
      <c r="C1998">
        <v>13.7</v>
      </c>
      <c r="D1998">
        <v>13.75</v>
      </c>
      <c r="E1998">
        <v>99.8</v>
      </c>
      <c r="F1998" t="s">
        <v>9</v>
      </c>
      <c r="G19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19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1998">
        <f>IF(Table1[[#This Row],[is_ups_overcharge]]="ups overcharged",Table1[[#This Row],[ups ship charge]]-Table1[[#This Row],[ada ship charge]],0)</f>
        <v>0</v>
      </c>
    </row>
    <row r="1999" spans="1:9" x14ac:dyDescent="0.2">
      <c r="A1999">
        <v>1027295</v>
      </c>
      <c r="B1999" t="s">
        <v>20</v>
      </c>
      <c r="C1999">
        <v>12.55</v>
      </c>
      <c r="D1999">
        <v>0</v>
      </c>
      <c r="E1999">
        <v>573</v>
      </c>
      <c r="F1999" t="s">
        <v>6</v>
      </c>
      <c r="G19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199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1999">
        <f>IF(Table1[[#This Row],[is_ups_overcharge]]="ups overcharged",Table1[[#This Row],[ups ship charge]]-Table1[[#This Row],[ada ship charge]],0)</f>
        <v>0</v>
      </c>
    </row>
    <row r="2000" spans="1:9" x14ac:dyDescent="0.2">
      <c r="A2000">
        <v>1027300</v>
      </c>
      <c r="B2000" t="s">
        <v>20</v>
      </c>
      <c r="C2000">
        <v>12.81</v>
      </c>
      <c r="D2000">
        <v>12.86</v>
      </c>
      <c r="E2000">
        <v>45.2</v>
      </c>
      <c r="F2000" t="s">
        <v>9</v>
      </c>
      <c r="G20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00">
        <f>IF(Table1[[#This Row],[is_ups_overcharge]]="ups overcharged",Table1[[#This Row],[ups ship charge]]-Table1[[#This Row],[ada ship charge]],0)</f>
        <v>0</v>
      </c>
    </row>
    <row r="2001" spans="1:9" x14ac:dyDescent="0.2">
      <c r="A2001">
        <v>1027305</v>
      </c>
      <c r="B2001" t="s">
        <v>20</v>
      </c>
      <c r="C2001">
        <v>13.7</v>
      </c>
      <c r="D2001">
        <v>17.920000000000002</v>
      </c>
      <c r="E2001">
        <v>59.9</v>
      </c>
      <c r="F2001" t="s">
        <v>9</v>
      </c>
      <c r="G20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01">
        <f>IF(Table1[[#This Row],[is_ups_overcharge]]="ups overcharged",Table1[[#This Row],[ups ship charge]]-Table1[[#This Row],[ada ship charge]],0)</f>
        <v>0</v>
      </c>
    </row>
    <row r="2002" spans="1:9" x14ac:dyDescent="0.2">
      <c r="A2002">
        <v>1027311</v>
      </c>
      <c r="B2002" t="s">
        <v>20</v>
      </c>
      <c r="C2002">
        <v>10.32</v>
      </c>
      <c r="D2002">
        <v>0</v>
      </c>
      <c r="E2002">
        <v>420</v>
      </c>
      <c r="F2002" t="s">
        <v>6</v>
      </c>
      <c r="G20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00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002">
        <f>IF(Table1[[#This Row],[is_ups_overcharge]]="ups overcharged",Table1[[#This Row],[ups ship charge]]-Table1[[#This Row],[ada ship charge]],0)</f>
        <v>0</v>
      </c>
    </row>
    <row r="2003" spans="1:9" x14ac:dyDescent="0.2">
      <c r="A2003">
        <v>1027368</v>
      </c>
      <c r="B2003" t="s">
        <v>20</v>
      </c>
      <c r="C2003">
        <v>13.71</v>
      </c>
      <c r="D2003">
        <v>13.75</v>
      </c>
      <c r="E2003">
        <v>49.65</v>
      </c>
      <c r="F2003" t="s">
        <v>9</v>
      </c>
      <c r="G20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03">
        <f>IF(Table1[[#This Row],[is_ups_overcharge]]="ups overcharged",Table1[[#This Row],[ups ship charge]]-Table1[[#This Row],[ada ship charge]],0)</f>
        <v>0</v>
      </c>
    </row>
    <row r="2004" spans="1:9" x14ac:dyDescent="0.2">
      <c r="A2004">
        <v>1027376</v>
      </c>
      <c r="B2004" t="s">
        <v>20</v>
      </c>
      <c r="C2004">
        <v>13.71</v>
      </c>
      <c r="D2004">
        <v>13.76</v>
      </c>
      <c r="E2004">
        <v>17.350000000000001</v>
      </c>
      <c r="F2004" t="s">
        <v>9</v>
      </c>
      <c r="G20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04">
        <f>IF(Table1[[#This Row],[is_ups_overcharge]]="ups overcharged",Table1[[#This Row],[ups ship charge]]-Table1[[#This Row],[ada ship charge]],0)</f>
        <v>0</v>
      </c>
    </row>
    <row r="2005" spans="1:9" x14ac:dyDescent="0.2">
      <c r="A2005">
        <v>1027383</v>
      </c>
      <c r="B2005" t="s">
        <v>20</v>
      </c>
      <c r="C2005">
        <v>12.81</v>
      </c>
      <c r="D2005">
        <v>12.86</v>
      </c>
      <c r="E2005">
        <v>73.2</v>
      </c>
      <c r="F2005" t="s">
        <v>9</v>
      </c>
      <c r="G20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05">
        <f>IF(Table1[[#This Row],[is_ups_overcharge]]="ups overcharged",Table1[[#This Row],[ups ship charge]]-Table1[[#This Row],[ada ship charge]],0)</f>
        <v>0</v>
      </c>
    </row>
    <row r="2006" spans="1:9" x14ac:dyDescent="0.2">
      <c r="A2006">
        <v>1027384</v>
      </c>
      <c r="B2006" t="s">
        <v>20</v>
      </c>
      <c r="C2006">
        <v>16.77</v>
      </c>
      <c r="D2006">
        <v>17.13</v>
      </c>
      <c r="E2006">
        <v>203.05</v>
      </c>
      <c r="F2006" t="s">
        <v>10</v>
      </c>
      <c r="G20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06">
        <f>IF(Table1[[#This Row],[is_ups_overcharge]]="ups overcharged",Table1[[#This Row],[ups ship charge]]-Table1[[#This Row],[ada ship charge]],0)</f>
        <v>0</v>
      </c>
    </row>
    <row r="2007" spans="1:9" x14ac:dyDescent="0.2">
      <c r="A2007">
        <v>1027433</v>
      </c>
      <c r="B2007" t="s">
        <v>20</v>
      </c>
      <c r="C2007">
        <v>12.81</v>
      </c>
      <c r="D2007">
        <v>12.86</v>
      </c>
      <c r="E2007">
        <v>4.95</v>
      </c>
      <c r="F2007" t="s">
        <v>9</v>
      </c>
      <c r="G20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07">
        <f>IF(Table1[[#This Row],[is_ups_overcharge]]="ups overcharged",Table1[[#This Row],[ups ship charge]]-Table1[[#This Row],[ada ship charge]],0)</f>
        <v>0</v>
      </c>
    </row>
    <row r="2008" spans="1:9" x14ac:dyDescent="0.2">
      <c r="A2008">
        <v>1027454</v>
      </c>
      <c r="B2008" t="s">
        <v>20</v>
      </c>
      <c r="C2008">
        <v>12.81</v>
      </c>
      <c r="D2008">
        <v>12.86</v>
      </c>
      <c r="E2008">
        <v>64.900000000000006</v>
      </c>
      <c r="F2008" t="s">
        <v>9</v>
      </c>
      <c r="G20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08">
        <f>IF(Table1[[#This Row],[is_ups_overcharge]]="ups overcharged",Table1[[#This Row],[ups ship charge]]-Table1[[#This Row],[ada ship charge]],0)</f>
        <v>0</v>
      </c>
    </row>
    <row r="2009" spans="1:9" x14ac:dyDescent="0.2">
      <c r="A2009">
        <v>1027455</v>
      </c>
      <c r="B2009" t="s">
        <v>20</v>
      </c>
      <c r="C2009">
        <v>12.81</v>
      </c>
      <c r="D2009">
        <v>12.86</v>
      </c>
      <c r="E2009">
        <v>73.75</v>
      </c>
      <c r="F2009" t="s">
        <v>9</v>
      </c>
      <c r="G20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09">
        <f>IF(Table1[[#This Row],[is_ups_overcharge]]="ups overcharged",Table1[[#This Row],[ups ship charge]]-Table1[[#This Row],[ada ship charge]],0)</f>
        <v>0</v>
      </c>
    </row>
    <row r="2010" spans="1:9" x14ac:dyDescent="0.2">
      <c r="A2010">
        <v>1027457</v>
      </c>
      <c r="B2010" t="s">
        <v>20</v>
      </c>
      <c r="C2010">
        <v>9.6999999999999993</v>
      </c>
      <c r="D2010">
        <v>9.75</v>
      </c>
      <c r="E2010">
        <v>89.95</v>
      </c>
      <c r="F2010" t="s">
        <v>6</v>
      </c>
      <c r="G20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10">
        <f>IF(Table1[[#This Row],[is_ups_overcharge]]="ups overcharged",Table1[[#This Row],[ups ship charge]]-Table1[[#This Row],[ada ship charge]],0)</f>
        <v>0</v>
      </c>
    </row>
    <row r="2011" spans="1:9" x14ac:dyDescent="0.2">
      <c r="A2011">
        <v>1027460</v>
      </c>
      <c r="B2011" t="s">
        <v>20</v>
      </c>
      <c r="C2011">
        <v>13.7</v>
      </c>
      <c r="D2011">
        <v>13.75</v>
      </c>
      <c r="E2011">
        <v>58.5</v>
      </c>
      <c r="F2011" t="s">
        <v>9</v>
      </c>
      <c r="G20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11">
        <f>IF(Table1[[#This Row],[is_ups_overcharge]]="ups overcharged",Table1[[#This Row],[ups ship charge]]-Table1[[#This Row],[ada ship charge]],0)</f>
        <v>0</v>
      </c>
    </row>
    <row r="2012" spans="1:9" x14ac:dyDescent="0.2">
      <c r="A2012">
        <v>1027467</v>
      </c>
      <c r="B2012" t="s">
        <v>20</v>
      </c>
      <c r="C2012">
        <v>16.46</v>
      </c>
      <c r="D2012">
        <v>16.510000000000002</v>
      </c>
      <c r="E2012">
        <v>78.7</v>
      </c>
      <c r="F2012" t="s">
        <v>10</v>
      </c>
      <c r="G20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12">
        <f>IF(Table1[[#This Row],[is_ups_overcharge]]="ups overcharged",Table1[[#This Row],[ups ship charge]]-Table1[[#This Row],[ada ship charge]],0)</f>
        <v>0</v>
      </c>
    </row>
    <row r="2013" spans="1:9" x14ac:dyDescent="0.2">
      <c r="A2013">
        <v>1027475</v>
      </c>
      <c r="B2013" t="s">
        <v>20</v>
      </c>
      <c r="C2013">
        <v>9.6999999999999993</v>
      </c>
      <c r="D2013">
        <v>9.75</v>
      </c>
      <c r="E2013">
        <v>56.2</v>
      </c>
      <c r="F2013" t="s">
        <v>6</v>
      </c>
      <c r="G20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13">
        <f>IF(Table1[[#This Row],[is_ups_overcharge]]="ups overcharged",Table1[[#This Row],[ups ship charge]]-Table1[[#This Row],[ada ship charge]],0)</f>
        <v>0</v>
      </c>
    </row>
    <row r="2014" spans="1:9" x14ac:dyDescent="0.2">
      <c r="A2014">
        <v>1027481</v>
      </c>
      <c r="B2014" t="s">
        <v>20</v>
      </c>
      <c r="C2014">
        <v>12.81</v>
      </c>
      <c r="D2014">
        <v>12.86</v>
      </c>
      <c r="E2014">
        <v>62.8</v>
      </c>
      <c r="F2014" t="s">
        <v>9</v>
      </c>
      <c r="G20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14">
        <f>IF(Table1[[#This Row],[is_ups_overcharge]]="ups overcharged",Table1[[#This Row],[ups ship charge]]-Table1[[#This Row],[ada ship charge]],0)</f>
        <v>0</v>
      </c>
    </row>
    <row r="2015" spans="1:9" x14ac:dyDescent="0.2">
      <c r="A2015">
        <v>1027491</v>
      </c>
      <c r="B2015" t="s">
        <v>20</v>
      </c>
      <c r="C2015">
        <v>13.7</v>
      </c>
      <c r="D2015">
        <v>13.75</v>
      </c>
      <c r="E2015">
        <v>31.9</v>
      </c>
      <c r="F2015" t="s">
        <v>9</v>
      </c>
      <c r="G20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15">
        <f>IF(Table1[[#This Row],[is_ups_overcharge]]="ups overcharged",Table1[[#This Row],[ups ship charge]]-Table1[[#This Row],[ada ship charge]],0)</f>
        <v>0</v>
      </c>
    </row>
    <row r="2016" spans="1:9" x14ac:dyDescent="0.2">
      <c r="A2016">
        <v>1027497</v>
      </c>
      <c r="B2016" t="s">
        <v>20</v>
      </c>
      <c r="C2016">
        <v>9.6999999999999993</v>
      </c>
      <c r="D2016">
        <v>12.9</v>
      </c>
      <c r="E2016">
        <v>96.75</v>
      </c>
      <c r="F2016" t="s">
        <v>6</v>
      </c>
      <c r="G20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16">
        <f>IF(Table1[[#This Row],[is_ups_overcharge]]="ups overcharged",Table1[[#This Row],[ups ship charge]]-Table1[[#This Row],[ada ship charge]],0)</f>
        <v>0</v>
      </c>
    </row>
    <row r="2017" spans="1:9" x14ac:dyDescent="0.2">
      <c r="A2017">
        <v>1027504</v>
      </c>
      <c r="B2017" t="s">
        <v>20</v>
      </c>
      <c r="C2017">
        <v>12.81</v>
      </c>
      <c r="D2017">
        <v>12.86</v>
      </c>
      <c r="E2017">
        <v>65.099999999999994</v>
      </c>
      <c r="F2017" t="s">
        <v>9</v>
      </c>
      <c r="G20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17">
        <f>IF(Table1[[#This Row],[is_ups_overcharge]]="ups overcharged",Table1[[#This Row],[ups ship charge]]-Table1[[#This Row],[ada ship charge]],0)</f>
        <v>0</v>
      </c>
    </row>
    <row r="2018" spans="1:9" x14ac:dyDescent="0.2">
      <c r="A2018">
        <v>1027518</v>
      </c>
      <c r="B2018" t="s">
        <v>20</v>
      </c>
      <c r="C2018">
        <v>13.7</v>
      </c>
      <c r="D2018">
        <v>13.76</v>
      </c>
      <c r="E2018">
        <v>89.1</v>
      </c>
      <c r="F2018" t="s">
        <v>9</v>
      </c>
      <c r="G20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18">
        <f>IF(Table1[[#This Row],[is_ups_overcharge]]="ups overcharged",Table1[[#This Row],[ups ship charge]]-Table1[[#This Row],[ada ship charge]],0)</f>
        <v>0</v>
      </c>
    </row>
    <row r="2019" spans="1:9" x14ac:dyDescent="0.2">
      <c r="A2019">
        <v>1027529</v>
      </c>
      <c r="B2019" t="s">
        <v>20</v>
      </c>
      <c r="C2019">
        <v>12.81</v>
      </c>
      <c r="D2019">
        <v>12.86</v>
      </c>
      <c r="E2019">
        <v>9.9499999999999993</v>
      </c>
      <c r="F2019" t="s">
        <v>9</v>
      </c>
      <c r="G20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19">
        <f>IF(Table1[[#This Row],[is_ups_overcharge]]="ups overcharged",Table1[[#This Row],[ups ship charge]]-Table1[[#This Row],[ada ship charge]],0)</f>
        <v>0</v>
      </c>
    </row>
    <row r="2020" spans="1:9" x14ac:dyDescent="0.2">
      <c r="A2020">
        <v>1027533</v>
      </c>
      <c r="B2020" t="s">
        <v>20</v>
      </c>
      <c r="C2020">
        <v>13.7</v>
      </c>
      <c r="D2020">
        <v>13.75</v>
      </c>
      <c r="E2020">
        <v>26.9</v>
      </c>
      <c r="F2020" t="s">
        <v>9</v>
      </c>
      <c r="G20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20">
        <f>IF(Table1[[#This Row],[is_ups_overcharge]]="ups overcharged",Table1[[#This Row],[ups ship charge]]-Table1[[#This Row],[ada ship charge]],0)</f>
        <v>0</v>
      </c>
    </row>
    <row r="2021" spans="1:9" x14ac:dyDescent="0.2">
      <c r="A2021">
        <v>1027539</v>
      </c>
      <c r="B2021" t="s">
        <v>20</v>
      </c>
      <c r="C2021">
        <v>13.7</v>
      </c>
      <c r="D2021">
        <v>13.75</v>
      </c>
      <c r="E2021">
        <v>34.9</v>
      </c>
      <c r="F2021" t="s">
        <v>9</v>
      </c>
      <c r="G20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21">
        <f>IF(Table1[[#This Row],[is_ups_overcharge]]="ups overcharged",Table1[[#This Row],[ups ship charge]]-Table1[[#This Row],[ada ship charge]],0)</f>
        <v>0</v>
      </c>
    </row>
    <row r="2022" spans="1:9" x14ac:dyDescent="0.2">
      <c r="A2022">
        <v>1027540</v>
      </c>
      <c r="B2022" t="s">
        <v>20</v>
      </c>
      <c r="C2022">
        <v>13.7</v>
      </c>
      <c r="D2022">
        <v>13.76</v>
      </c>
      <c r="E2022">
        <v>29.95</v>
      </c>
      <c r="F2022" t="s">
        <v>9</v>
      </c>
      <c r="G20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22">
        <f>IF(Table1[[#This Row],[is_ups_overcharge]]="ups overcharged",Table1[[#This Row],[ups ship charge]]-Table1[[#This Row],[ada ship charge]],0)</f>
        <v>0</v>
      </c>
    </row>
    <row r="2023" spans="1:9" x14ac:dyDescent="0.2">
      <c r="A2023">
        <v>1027560</v>
      </c>
      <c r="B2023" t="s">
        <v>20</v>
      </c>
      <c r="C2023">
        <v>9.6999999999999993</v>
      </c>
      <c r="D2023">
        <v>9.75</v>
      </c>
      <c r="E2023">
        <v>69.849999999999994</v>
      </c>
      <c r="F2023" t="s">
        <v>6</v>
      </c>
      <c r="G20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23">
        <f>IF(Table1[[#This Row],[is_ups_overcharge]]="ups overcharged",Table1[[#This Row],[ups ship charge]]-Table1[[#This Row],[ada ship charge]],0)</f>
        <v>0</v>
      </c>
    </row>
    <row r="2024" spans="1:9" x14ac:dyDescent="0.2">
      <c r="A2024">
        <v>1027582</v>
      </c>
      <c r="B2024" t="s">
        <v>20</v>
      </c>
      <c r="C2024">
        <v>13.7</v>
      </c>
      <c r="D2024">
        <v>13.76</v>
      </c>
      <c r="E2024">
        <v>59.9</v>
      </c>
      <c r="F2024" t="s">
        <v>9</v>
      </c>
      <c r="G20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24">
        <f>IF(Table1[[#This Row],[is_ups_overcharge]]="ups overcharged",Table1[[#This Row],[ups ship charge]]-Table1[[#This Row],[ada ship charge]],0)</f>
        <v>0</v>
      </c>
    </row>
    <row r="2025" spans="1:9" x14ac:dyDescent="0.2">
      <c r="A2025">
        <v>1027606</v>
      </c>
      <c r="B2025" t="s">
        <v>20</v>
      </c>
      <c r="C2025">
        <v>12.81</v>
      </c>
      <c r="D2025">
        <v>12.86</v>
      </c>
      <c r="E2025">
        <v>29.95</v>
      </c>
      <c r="F2025" t="s">
        <v>9</v>
      </c>
      <c r="G20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25">
        <f>IF(Table1[[#This Row],[is_ups_overcharge]]="ups overcharged",Table1[[#This Row],[ups ship charge]]-Table1[[#This Row],[ada ship charge]],0)</f>
        <v>0</v>
      </c>
    </row>
    <row r="2026" spans="1:9" x14ac:dyDescent="0.2">
      <c r="A2026">
        <v>1027623</v>
      </c>
      <c r="B2026" t="s">
        <v>20</v>
      </c>
      <c r="C2026">
        <v>12.81</v>
      </c>
      <c r="D2026">
        <v>12.86</v>
      </c>
      <c r="E2026">
        <v>128.6</v>
      </c>
      <c r="F2026" t="s">
        <v>9</v>
      </c>
      <c r="G20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26">
        <f>IF(Table1[[#This Row],[is_ups_overcharge]]="ups overcharged",Table1[[#This Row],[ups ship charge]]-Table1[[#This Row],[ada ship charge]],0)</f>
        <v>0</v>
      </c>
    </row>
    <row r="2027" spans="1:9" x14ac:dyDescent="0.2">
      <c r="A2027">
        <v>1027629</v>
      </c>
      <c r="B2027" t="s">
        <v>20</v>
      </c>
      <c r="C2027">
        <v>14.67</v>
      </c>
      <c r="D2027">
        <v>0</v>
      </c>
      <c r="E2027">
        <v>251.75</v>
      </c>
      <c r="F2027" t="s">
        <v>9</v>
      </c>
      <c r="G20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02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027">
        <f>IF(Table1[[#This Row],[is_ups_overcharge]]="ups overcharged",Table1[[#This Row],[ups ship charge]]-Table1[[#This Row],[ada ship charge]],0)</f>
        <v>0</v>
      </c>
    </row>
    <row r="2028" spans="1:9" x14ac:dyDescent="0.2">
      <c r="A2028">
        <v>1027655</v>
      </c>
      <c r="B2028" t="s">
        <v>20</v>
      </c>
      <c r="C2028">
        <v>9.6999999999999993</v>
      </c>
      <c r="D2028">
        <v>9.75</v>
      </c>
      <c r="E2028">
        <v>29.95</v>
      </c>
      <c r="F2028" t="s">
        <v>6</v>
      </c>
      <c r="G20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28">
        <f>IF(Table1[[#This Row],[is_ups_overcharge]]="ups overcharged",Table1[[#This Row],[ups ship charge]]-Table1[[#This Row],[ada ship charge]],0)</f>
        <v>0</v>
      </c>
    </row>
    <row r="2029" spans="1:9" x14ac:dyDescent="0.2">
      <c r="A2029">
        <v>1027684</v>
      </c>
      <c r="B2029" t="s">
        <v>20</v>
      </c>
      <c r="C2029">
        <v>13.7</v>
      </c>
      <c r="D2029">
        <v>0</v>
      </c>
      <c r="E2029">
        <v>200.05</v>
      </c>
      <c r="F2029" t="s">
        <v>9</v>
      </c>
      <c r="G20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02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029">
        <f>IF(Table1[[#This Row],[is_ups_overcharge]]="ups overcharged",Table1[[#This Row],[ups ship charge]]-Table1[[#This Row],[ada ship charge]],0)</f>
        <v>0</v>
      </c>
    </row>
    <row r="2030" spans="1:9" x14ac:dyDescent="0.2">
      <c r="A2030">
        <v>1027703</v>
      </c>
      <c r="B2030" t="s">
        <v>20</v>
      </c>
      <c r="C2030">
        <v>12.81</v>
      </c>
      <c r="D2030">
        <v>12.86</v>
      </c>
      <c r="E2030">
        <v>14.85</v>
      </c>
      <c r="F2030" t="s">
        <v>9</v>
      </c>
      <c r="G20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30">
        <f>IF(Table1[[#This Row],[is_ups_overcharge]]="ups overcharged",Table1[[#This Row],[ups ship charge]]-Table1[[#This Row],[ada ship charge]],0)</f>
        <v>0</v>
      </c>
    </row>
    <row r="2031" spans="1:9" x14ac:dyDescent="0.2">
      <c r="A2031">
        <v>1027705</v>
      </c>
      <c r="B2031" t="s">
        <v>20</v>
      </c>
      <c r="C2031">
        <v>15.44</v>
      </c>
      <c r="D2031">
        <v>15.49</v>
      </c>
      <c r="E2031">
        <v>59.95</v>
      </c>
      <c r="F2031" t="s">
        <v>12</v>
      </c>
      <c r="G20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31">
        <f>IF(Table1[[#This Row],[is_ups_overcharge]]="ups overcharged",Table1[[#This Row],[ups ship charge]]-Table1[[#This Row],[ada ship charge]],0)</f>
        <v>0</v>
      </c>
    </row>
    <row r="2032" spans="1:9" x14ac:dyDescent="0.2">
      <c r="A2032">
        <v>1027713</v>
      </c>
      <c r="B2032" t="s">
        <v>20</v>
      </c>
      <c r="C2032">
        <v>12.81</v>
      </c>
      <c r="D2032">
        <v>12.86</v>
      </c>
      <c r="E2032">
        <v>32.75</v>
      </c>
      <c r="F2032" t="s">
        <v>9</v>
      </c>
      <c r="G20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32">
        <f>IF(Table1[[#This Row],[is_ups_overcharge]]="ups overcharged",Table1[[#This Row],[ups ship charge]]-Table1[[#This Row],[ada ship charge]],0)</f>
        <v>0</v>
      </c>
    </row>
    <row r="2033" spans="1:9" x14ac:dyDescent="0.2">
      <c r="A2033">
        <v>1027739</v>
      </c>
      <c r="B2033" t="s">
        <v>20</v>
      </c>
      <c r="C2033">
        <v>12.81</v>
      </c>
      <c r="D2033">
        <v>12.86</v>
      </c>
      <c r="E2033">
        <v>57.6</v>
      </c>
      <c r="F2033" t="s">
        <v>9</v>
      </c>
      <c r="G20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33">
        <f>IF(Table1[[#This Row],[is_ups_overcharge]]="ups overcharged",Table1[[#This Row],[ups ship charge]]-Table1[[#This Row],[ada ship charge]],0)</f>
        <v>0</v>
      </c>
    </row>
    <row r="2034" spans="1:9" x14ac:dyDescent="0.2">
      <c r="A2034">
        <v>1027783</v>
      </c>
      <c r="B2034" t="s">
        <v>20</v>
      </c>
      <c r="C2034">
        <v>38.14</v>
      </c>
      <c r="D2034">
        <v>33.159999999999997</v>
      </c>
      <c r="E2034">
        <v>304</v>
      </c>
      <c r="F2034" t="s">
        <v>15</v>
      </c>
      <c r="G20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3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034">
        <f>IF(Table1[[#This Row],[is_ups_overcharge]]="ups overcharged",Table1[[#This Row],[ups ship charge]]-Table1[[#This Row],[ada ship charge]],0)</f>
        <v>4.980000000000004</v>
      </c>
    </row>
    <row r="2035" spans="1:9" x14ac:dyDescent="0.2">
      <c r="A2035">
        <v>1027826</v>
      </c>
      <c r="B2035" t="s">
        <v>20</v>
      </c>
      <c r="C2035">
        <v>12.81</v>
      </c>
      <c r="D2035">
        <v>12.86</v>
      </c>
      <c r="E2035">
        <v>23.25</v>
      </c>
      <c r="F2035" t="s">
        <v>9</v>
      </c>
      <c r="G20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35">
        <f>IF(Table1[[#This Row],[is_ups_overcharge]]="ups overcharged",Table1[[#This Row],[ups ship charge]]-Table1[[#This Row],[ada ship charge]],0)</f>
        <v>0</v>
      </c>
    </row>
    <row r="2036" spans="1:9" x14ac:dyDescent="0.2">
      <c r="A2036">
        <v>1027828</v>
      </c>
      <c r="B2036" t="s">
        <v>20</v>
      </c>
      <c r="C2036">
        <v>13.7</v>
      </c>
      <c r="D2036">
        <v>13.75</v>
      </c>
      <c r="E2036">
        <v>67.650000000000006</v>
      </c>
      <c r="F2036" t="s">
        <v>9</v>
      </c>
      <c r="G20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36">
        <f>IF(Table1[[#This Row],[is_ups_overcharge]]="ups overcharged",Table1[[#This Row],[ups ship charge]]-Table1[[#This Row],[ada ship charge]],0)</f>
        <v>0</v>
      </c>
    </row>
    <row r="2037" spans="1:9" x14ac:dyDescent="0.2">
      <c r="A2037">
        <v>1027854</v>
      </c>
      <c r="B2037" t="s">
        <v>20</v>
      </c>
      <c r="C2037">
        <v>17.7</v>
      </c>
      <c r="D2037">
        <v>17.75</v>
      </c>
      <c r="E2037">
        <v>43.65</v>
      </c>
      <c r="F2037" t="s">
        <v>15</v>
      </c>
      <c r="G20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37">
        <f>IF(Table1[[#This Row],[is_ups_overcharge]]="ups overcharged",Table1[[#This Row],[ups ship charge]]-Table1[[#This Row],[ada ship charge]],0)</f>
        <v>0</v>
      </c>
    </row>
    <row r="2038" spans="1:9" x14ac:dyDescent="0.2">
      <c r="A2038">
        <v>1027856</v>
      </c>
      <c r="B2038" t="s">
        <v>20</v>
      </c>
      <c r="C2038">
        <v>12.81</v>
      </c>
      <c r="D2038">
        <v>12.86</v>
      </c>
      <c r="E2038">
        <v>67.849999999999994</v>
      </c>
      <c r="F2038" t="s">
        <v>9</v>
      </c>
      <c r="G20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38">
        <f>IF(Table1[[#This Row],[is_ups_overcharge]]="ups overcharged",Table1[[#This Row],[ups ship charge]]-Table1[[#This Row],[ada ship charge]],0)</f>
        <v>0</v>
      </c>
    </row>
    <row r="2039" spans="1:9" x14ac:dyDescent="0.2">
      <c r="A2039">
        <v>1027857</v>
      </c>
      <c r="B2039" t="s">
        <v>20</v>
      </c>
      <c r="C2039">
        <v>12.81</v>
      </c>
      <c r="D2039">
        <v>12.86</v>
      </c>
      <c r="E2039">
        <v>37.15</v>
      </c>
      <c r="F2039" t="s">
        <v>9</v>
      </c>
      <c r="G20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39">
        <f>IF(Table1[[#This Row],[is_ups_overcharge]]="ups overcharged",Table1[[#This Row],[ups ship charge]]-Table1[[#This Row],[ada ship charge]],0)</f>
        <v>0</v>
      </c>
    </row>
    <row r="2040" spans="1:9" x14ac:dyDescent="0.2">
      <c r="A2040">
        <v>1027858</v>
      </c>
      <c r="B2040" t="s">
        <v>20</v>
      </c>
      <c r="C2040">
        <v>9.7100000000000009</v>
      </c>
      <c r="D2040">
        <v>0</v>
      </c>
      <c r="E2040">
        <v>18</v>
      </c>
      <c r="F2040" t="s">
        <v>6</v>
      </c>
      <c r="G20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40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040">
        <f>IF(Table1[[#This Row],[is_ups_overcharge]]="ups overcharged",Table1[[#This Row],[ups ship charge]]-Table1[[#This Row],[ada ship charge]],0)</f>
        <v>9.7100000000000009</v>
      </c>
    </row>
    <row r="2041" spans="1:9" x14ac:dyDescent="0.2">
      <c r="A2041">
        <v>1027872</v>
      </c>
      <c r="B2041" t="s">
        <v>20</v>
      </c>
      <c r="C2041">
        <v>13.7</v>
      </c>
      <c r="D2041">
        <v>13.76</v>
      </c>
      <c r="E2041">
        <v>59.3</v>
      </c>
      <c r="F2041" t="s">
        <v>9</v>
      </c>
      <c r="G20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41">
        <f>IF(Table1[[#This Row],[is_ups_overcharge]]="ups overcharged",Table1[[#This Row],[ups ship charge]]-Table1[[#This Row],[ada ship charge]],0)</f>
        <v>0</v>
      </c>
    </row>
    <row r="2042" spans="1:9" x14ac:dyDescent="0.2">
      <c r="A2042">
        <v>1027881</v>
      </c>
      <c r="B2042" t="s">
        <v>20</v>
      </c>
      <c r="C2042">
        <v>17.149999999999999</v>
      </c>
      <c r="D2042">
        <v>17.2</v>
      </c>
      <c r="E2042">
        <v>41.9</v>
      </c>
      <c r="F2042" t="s">
        <v>10</v>
      </c>
      <c r="G20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42">
        <f>IF(Table1[[#This Row],[is_ups_overcharge]]="ups overcharged",Table1[[#This Row],[ups ship charge]]-Table1[[#This Row],[ada ship charge]],0)</f>
        <v>0</v>
      </c>
    </row>
    <row r="2043" spans="1:9" x14ac:dyDescent="0.2">
      <c r="A2043">
        <v>1027894</v>
      </c>
      <c r="B2043" t="s">
        <v>20</v>
      </c>
      <c r="C2043">
        <v>12.81</v>
      </c>
      <c r="D2043">
        <v>12.86</v>
      </c>
      <c r="E2043">
        <v>19.55</v>
      </c>
      <c r="F2043" t="s">
        <v>9</v>
      </c>
      <c r="G20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43">
        <f>IF(Table1[[#This Row],[is_ups_overcharge]]="ups overcharged",Table1[[#This Row],[ups ship charge]]-Table1[[#This Row],[ada ship charge]],0)</f>
        <v>0</v>
      </c>
    </row>
    <row r="2044" spans="1:9" x14ac:dyDescent="0.2">
      <c r="A2044">
        <v>1027902</v>
      </c>
      <c r="B2044" t="s">
        <v>20</v>
      </c>
      <c r="C2044">
        <v>9.7100000000000009</v>
      </c>
      <c r="D2044">
        <v>12.86</v>
      </c>
      <c r="E2044">
        <v>30</v>
      </c>
      <c r="F2044" t="s">
        <v>6</v>
      </c>
      <c r="G20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44">
        <f>IF(Table1[[#This Row],[is_ups_overcharge]]="ups overcharged",Table1[[#This Row],[ups ship charge]]-Table1[[#This Row],[ada ship charge]],0)</f>
        <v>0</v>
      </c>
    </row>
    <row r="2045" spans="1:9" x14ac:dyDescent="0.2">
      <c r="A2045">
        <v>1027913</v>
      </c>
      <c r="B2045" t="s">
        <v>20</v>
      </c>
      <c r="C2045">
        <v>13.7</v>
      </c>
      <c r="D2045">
        <v>13.75</v>
      </c>
      <c r="E2045">
        <v>26.95</v>
      </c>
      <c r="F2045" t="s">
        <v>9</v>
      </c>
      <c r="G20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45">
        <f>IF(Table1[[#This Row],[is_ups_overcharge]]="ups overcharged",Table1[[#This Row],[ups ship charge]]-Table1[[#This Row],[ada ship charge]],0)</f>
        <v>0</v>
      </c>
    </row>
    <row r="2046" spans="1:9" x14ac:dyDescent="0.2">
      <c r="A2046">
        <v>1027919</v>
      </c>
      <c r="B2046" t="s">
        <v>20</v>
      </c>
      <c r="C2046">
        <v>33.9</v>
      </c>
      <c r="D2046">
        <v>33.950000000000003</v>
      </c>
      <c r="E2046">
        <v>270.7</v>
      </c>
      <c r="F2046" t="s">
        <v>15</v>
      </c>
      <c r="G20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46">
        <f>IF(Table1[[#This Row],[is_ups_overcharge]]="ups overcharged",Table1[[#This Row],[ups ship charge]]-Table1[[#This Row],[ada ship charge]],0)</f>
        <v>0</v>
      </c>
    </row>
    <row r="2047" spans="1:9" x14ac:dyDescent="0.2">
      <c r="A2047">
        <v>1027952</v>
      </c>
      <c r="B2047" t="s">
        <v>20</v>
      </c>
      <c r="C2047">
        <v>12.81</v>
      </c>
      <c r="D2047">
        <v>12.86</v>
      </c>
      <c r="E2047">
        <v>101.75</v>
      </c>
      <c r="F2047" t="s">
        <v>9</v>
      </c>
      <c r="G20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47">
        <f>IF(Table1[[#This Row],[is_ups_overcharge]]="ups overcharged",Table1[[#This Row],[ups ship charge]]-Table1[[#This Row],[ada ship charge]],0)</f>
        <v>0</v>
      </c>
    </row>
    <row r="2048" spans="1:9" x14ac:dyDescent="0.2">
      <c r="A2048">
        <v>1031140</v>
      </c>
      <c r="B2048" t="s">
        <v>21</v>
      </c>
      <c r="C2048">
        <v>18.79</v>
      </c>
      <c r="D2048">
        <v>19.989999999999998</v>
      </c>
      <c r="E2048">
        <v>86.85</v>
      </c>
      <c r="F2048" t="s">
        <v>15</v>
      </c>
      <c r="G20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48">
        <f>IF(Table1[[#This Row],[is_ups_overcharge]]="ups overcharged",Table1[[#This Row],[ups ship charge]]-Table1[[#This Row],[ada ship charge]],0)</f>
        <v>0</v>
      </c>
    </row>
    <row r="2049" spans="1:9" x14ac:dyDescent="0.2">
      <c r="A2049">
        <v>1027957</v>
      </c>
      <c r="B2049" t="s">
        <v>20</v>
      </c>
      <c r="C2049">
        <v>9.6999999999999993</v>
      </c>
      <c r="D2049">
        <v>9.75</v>
      </c>
      <c r="E2049">
        <v>69.95</v>
      </c>
      <c r="F2049" t="s">
        <v>6</v>
      </c>
      <c r="G20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49">
        <f>IF(Table1[[#This Row],[is_ups_overcharge]]="ups overcharged",Table1[[#This Row],[ups ship charge]]-Table1[[#This Row],[ada ship charge]],0)</f>
        <v>0</v>
      </c>
    </row>
    <row r="2050" spans="1:9" x14ac:dyDescent="0.2">
      <c r="A2050">
        <v>1027979</v>
      </c>
      <c r="B2050" t="s">
        <v>20</v>
      </c>
      <c r="C2050">
        <v>12.81</v>
      </c>
      <c r="D2050">
        <v>12.86</v>
      </c>
      <c r="E2050">
        <v>49.9</v>
      </c>
      <c r="F2050" t="s">
        <v>9</v>
      </c>
      <c r="G20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50">
        <f>IF(Table1[[#This Row],[is_ups_overcharge]]="ups overcharged",Table1[[#This Row],[ups ship charge]]-Table1[[#This Row],[ada ship charge]],0)</f>
        <v>0</v>
      </c>
    </row>
    <row r="2051" spans="1:9" x14ac:dyDescent="0.2">
      <c r="A2051">
        <v>1027989</v>
      </c>
      <c r="B2051" t="s">
        <v>20</v>
      </c>
      <c r="C2051">
        <v>13.7</v>
      </c>
      <c r="D2051">
        <v>13.75</v>
      </c>
      <c r="E2051">
        <v>49.75</v>
      </c>
      <c r="F2051" t="s">
        <v>9</v>
      </c>
      <c r="G20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51">
        <f>IF(Table1[[#This Row],[is_ups_overcharge]]="ups overcharged",Table1[[#This Row],[ups ship charge]]-Table1[[#This Row],[ada ship charge]],0)</f>
        <v>0</v>
      </c>
    </row>
    <row r="2052" spans="1:9" x14ac:dyDescent="0.2">
      <c r="A2052">
        <v>1028014</v>
      </c>
      <c r="B2052" t="s">
        <v>20</v>
      </c>
      <c r="C2052">
        <v>9.7100000000000009</v>
      </c>
      <c r="D2052">
        <v>23.78</v>
      </c>
      <c r="E2052">
        <v>178.35</v>
      </c>
      <c r="F2052" t="s">
        <v>6</v>
      </c>
      <c r="G20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52">
        <f>IF(Table1[[#This Row],[is_ups_overcharge]]="ups overcharged",Table1[[#This Row],[ups ship charge]]-Table1[[#This Row],[ada ship charge]],0)</f>
        <v>0</v>
      </c>
    </row>
    <row r="2053" spans="1:9" x14ac:dyDescent="0.2">
      <c r="A2053">
        <v>1028019</v>
      </c>
      <c r="B2053" t="s">
        <v>20</v>
      </c>
      <c r="C2053">
        <v>9.7100000000000009</v>
      </c>
      <c r="D2053">
        <v>9.76</v>
      </c>
      <c r="E2053">
        <v>62.45</v>
      </c>
      <c r="F2053" t="s">
        <v>6</v>
      </c>
      <c r="G20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53">
        <f>IF(Table1[[#This Row],[is_ups_overcharge]]="ups overcharged",Table1[[#This Row],[ups ship charge]]-Table1[[#This Row],[ada ship charge]],0)</f>
        <v>0</v>
      </c>
    </row>
    <row r="2054" spans="1:9" x14ac:dyDescent="0.2">
      <c r="A2054">
        <v>1028023</v>
      </c>
      <c r="B2054" t="s">
        <v>20</v>
      </c>
      <c r="C2054">
        <v>13.71</v>
      </c>
      <c r="D2054">
        <v>14.2</v>
      </c>
      <c r="E2054">
        <v>20.399999999999999</v>
      </c>
      <c r="F2054" t="s">
        <v>9</v>
      </c>
      <c r="G20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54">
        <f>IF(Table1[[#This Row],[is_ups_overcharge]]="ups overcharged",Table1[[#This Row],[ups ship charge]]-Table1[[#This Row],[ada ship charge]],0)</f>
        <v>0</v>
      </c>
    </row>
    <row r="2055" spans="1:9" x14ac:dyDescent="0.2">
      <c r="A2055">
        <v>1028040</v>
      </c>
      <c r="B2055" t="s">
        <v>20</v>
      </c>
      <c r="C2055">
        <v>13.7</v>
      </c>
      <c r="D2055">
        <v>13.75</v>
      </c>
      <c r="E2055">
        <v>26.9</v>
      </c>
      <c r="F2055" t="s">
        <v>9</v>
      </c>
      <c r="G20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55">
        <f>IF(Table1[[#This Row],[is_ups_overcharge]]="ups overcharged",Table1[[#This Row],[ups ship charge]]-Table1[[#This Row],[ada ship charge]],0)</f>
        <v>0</v>
      </c>
    </row>
    <row r="2056" spans="1:9" x14ac:dyDescent="0.2">
      <c r="A2056">
        <v>1028042</v>
      </c>
      <c r="B2056" t="s">
        <v>20</v>
      </c>
      <c r="C2056">
        <v>9.6999999999999993</v>
      </c>
      <c r="D2056">
        <v>12.86</v>
      </c>
      <c r="E2056">
        <v>13.65</v>
      </c>
      <c r="F2056" t="s">
        <v>6</v>
      </c>
      <c r="G20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56">
        <f>IF(Table1[[#This Row],[is_ups_overcharge]]="ups overcharged",Table1[[#This Row],[ups ship charge]]-Table1[[#This Row],[ada ship charge]],0)</f>
        <v>0</v>
      </c>
    </row>
    <row r="2057" spans="1:9" x14ac:dyDescent="0.2">
      <c r="A2057">
        <v>1028043</v>
      </c>
      <c r="B2057" t="s">
        <v>20</v>
      </c>
      <c r="C2057">
        <v>13.71</v>
      </c>
      <c r="D2057">
        <v>13.99</v>
      </c>
      <c r="E2057">
        <v>163.35</v>
      </c>
      <c r="F2057" t="s">
        <v>9</v>
      </c>
      <c r="G20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57">
        <f>IF(Table1[[#This Row],[is_ups_overcharge]]="ups overcharged",Table1[[#This Row],[ups ship charge]]-Table1[[#This Row],[ada ship charge]],0)</f>
        <v>0</v>
      </c>
    </row>
    <row r="2058" spans="1:9" x14ac:dyDescent="0.2">
      <c r="A2058">
        <v>1028052</v>
      </c>
      <c r="B2058" t="s">
        <v>20</v>
      </c>
      <c r="C2058">
        <v>12.81</v>
      </c>
      <c r="D2058">
        <v>12.86</v>
      </c>
      <c r="E2058">
        <v>97.45</v>
      </c>
      <c r="F2058" t="s">
        <v>9</v>
      </c>
      <c r="G20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58">
        <f>IF(Table1[[#This Row],[is_ups_overcharge]]="ups overcharged",Table1[[#This Row],[ups ship charge]]-Table1[[#This Row],[ada ship charge]],0)</f>
        <v>0</v>
      </c>
    </row>
    <row r="2059" spans="1:9" x14ac:dyDescent="0.2">
      <c r="A2059">
        <v>1028060</v>
      </c>
      <c r="B2059" t="s">
        <v>20</v>
      </c>
      <c r="C2059">
        <v>13.7</v>
      </c>
      <c r="D2059">
        <v>13.75</v>
      </c>
      <c r="E2059">
        <v>44.8</v>
      </c>
      <c r="F2059" t="s">
        <v>9</v>
      </c>
      <c r="G20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59">
        <f>IF(Table1[[#This Row],[is_ups_overcharge]]="ups overcharged",Table1[[#This Row],[ups ship charge]]-Table1[[#This Row],[ada ship charge]],0)</f>
        <v>0</v>
      </c>
    </row>
    <row r="2060" spans="1:9" x14ac:dyDescent="0.2">
      <c r="A2060">
        <v>1028084</v>
      </c>
      <c r="B2060" t="s">
        <v>20</v>
      </c>
      <c r="C2060">
        <v>9.7100000000000009</v>
      </c>
      <c r="D2060">
        <v>9.75</v>
      </c>
      <c r="E2060">
        <v>74.25</v>
      </c>
      <c r="F2060" t="s">
        <v>6</v>
      </c>
      <c r="G20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60">
        <f>IF(Table1[[#This Row],[is_ups_overcharge]]="ups overcharged",Table1[[#This Row],[ups ship charge]]-Table1[[#This Row],[ada ship charge]],0)</f>
        <v>0</v>
      </c>
    </row>
    <row r="2061" spans="1:9" x14ac:dyDescent="0.2">
      <c r="A2061">
        <v>1028089</v>
      </c>
      <c r="B2061" t="s">
        <v>20</v>
      </c>
      <c r="C2061">
        <v>13.7</v>
      </c>
      <c r="D2061">
        <v>13.75</v>
      </c>
      <c r="E2061">
        <v>34.950000000000003</v>
      </c>
      <c r="F2061" t="s">
        <v>9</v>
      </c>
      <c r="G20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61">
        <f>IF(Table1[[#This Row],[is_ups_overcharge]]="ups overcharged",Table1[[#This Row],[ups ship charge]]-Table1[[#This Row],[ada ship charge]],0)</f>
        <v>0</v>
      </c>
    </row>
    <row r="2062" spans="1:9" x14ac:dyDescent="0.2">
      <c r="A2062">
        <v>1028093</v>
      </c>
      <c r="B2062" t="s">
        <v>20</v>
      </c>
      <c r="C2062">
        <v>13.7</v>
      </c>
      <c r="D2062">
        <v>0</v>
      </c>
      <c r="E2062">
        <v>227.3</v>
      </c>
      <c r="F2062" t="s">
        <v>9</v>
      </c>
      <c r="G20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06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062">
        <f>IF(Table1[[#This Row],[is_ups_overcharge]]="ups overcharged",Table1[[#This Row],[ups ship charge]]-Table1[[#This Row],[ada ship charge]],0)</f>
        <v>0</v>
      </c>
    </row>
    <row r="2063" spans="1:9" x14ac:dyDescent="0.2">
      <c r="A2063">
        <v>1028125</v>
      </c>
      <c r="B2063" t="s">
        <v>20</v>
      </c>
      <c r="C2063">
        <v>9.6999999999999993</v>
      </c>
      <c r="D2063">
        <v>9.75</v>
      </c>
      <c r="E2063">
        <v>125</v>
      </c>
      <c r="F2063" t="s">
        <v>6</v>
      </c>
      <c r="G20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63">
        <f>IF(Table1[[#This Row],[is_ups_overcharge]]="ups overcharged",Table1[[#This Row],[ups ship charge]]-Table1[[#This Row],[ada ship charge]],0)</f>
        <v>0</v>
      </c>
    </row>
    <row r="2064" spans="1:9" x14ac:dyDescent="0.2">
      <c r="A2064">
        <v>1028134</v>
      </c>
      <c r="B2064" t="s">
        <v>20</v>
      </c>
      <c r="C2064">
        <v>12.81</v>
      </c>
      <c r="D2064">
        <v>12.86</v>
      </c>
      <c r="E2064">
        <v>9.9</v>
      </c>
      <c r="F2064" t="s">
        <v>9</v>
      </c>
      <c r="G20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64">
        <f>IF(Table1[[#This Row],[is_ups_overcharge]]="ups overcharged",Table1[[#This Row],[ups ship charge]]-Table1[[#This Row],[ada ship charge]],0)</f>
        <v>0</v>
      </c>
    </row>
    <row r="2065" spans="1:9" x14ac:dyDescent="0.2">
      <c r="A2065">
        <v>1028154</v>
      </c>
      <c r="B2065" t="s">
        <v>20</v>
      </c>
      <c r="C2065">
        <v>12.81</v>
      </c>
      <c r="D2065">
        <v>12.86</v>
      </c>
      <c r="E2065">
        <v>34.9</v>
      </c>
      <c r="F2065" t="s">
        <v>9</v>
      </c>
      <c r="G20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65">
        <f>IF(Table1[[#This Row],[is_ups_overcharge]]="ups overcharged",Table1[[#This Row],[ups ship charge]]-Table1[[#This Row],[ada ship charge]],0)</f>
        <v>0</v>
      </c>
    </row>
    <row r="2066" spans="1:9" x14ac:dyDescent="0.2">
      <c r="A2066">
        <v>1028184</v>
      </c>
      <c r="B2066" t="s">
        <v>20</v>
      </c>
      <c r="C2066">
        <v>12.81</v>
      </c>
      <c r="D2066">
        <v>12.86</v>
      </c>
      <c r="E2066">
        <v>9.9499999999999993</v>
      </c>
      <c r="F2066" t="s">
        <v>9</v>
      </c>
      <c r="G20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66">
        <f>IF(Table1[[#This Row],[is_ups_overcharge]]="ups overcharged",Table1[[#This Row],[ups ship charge]]-Table1[[#This Row],[ada ship charge]],0)</f>
        <v>0</v>
      </c>
    </row>
    <row r="2067" spans="1:9" x14ac:dyDescent="0.2">
      <c r="A2067">
        <v>1028203</v>
      </c>
      <c r="B2067" t="s">
        <v>20</v>
      </c>
      <c r="C2067">
        <v>13.7</v>
      </c>
      <c r="D2067">
        <v>13.75</v>
      </c>
      <c r="E2067">
        <v>34.9</v>
      </c>
      <c r="F2067" t="s">
        <v>9</v>
      </c>
      <c r="G20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67">
        <f>IF(Table1[[#This Row],[is_ups_overcharge]]="ups overcharged",Table1[[#This Row],[ups ship charge]]-Table1[[#This Row],[ada ship charge]],0)</f>
        <v>0</v>
      </c>
    </row>
    <row r="2068" spans="1:9" x14ac:dyDescent="0.2">
      <c r="A2068">
        <v>1028222</v>
      </c>
      <c r="B2068" t="s">
        <v>20</v>
      </c>
      <c r="C2068">
        <v>13.7</v>
      </c>
      <c r="D2068">
        <v>13.75</v>
      </c>
      <c r="E2068">
        <v>104.85</v>
      </c>
      <c r="F2068" t="s">
        <v>9</v>
      </c>
      <c r="G20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68">
        <f>IF(Table1[[#This Row],[is_ups_overcharge]]="ups overcharged",Table1[[#This Row],[ups ship charge]]-Table1[[#This Row],[ada ship charge]],0)</f>
        <v>0</v>
      </c>
    </row>
    <row r="2069" spans="1:9" x14ac:dyDescent="0.2">
      <c r="A2069">
        <v>1028224</v>
      </c>
      <c r="B2069" t="s">
        <v>20</v>
      </c>
      <c r="C2069">
        <v>12.81</v>
      </c>
      <c r="D2069">
        <v>12.86</v>
      </c>
      <c r="E2069">
        <v>7.95</v>
      </c>
      <c r="F2069" t="s">
        <v>9</v>
      </c>
      <c r="G20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69">
        <f>IF(Table1[[#This Row],[is_ups_overcharge]]="ups overcharged",Table1[[#This Row],[ups ship charge]]-Table1[[#This Row],[ada ship charge]],0)</f>
        <v>0</v>
      </c>
    </row>
    <row r="2070" spans="1:9" x14ac:dyDescent="0.2">
      <c r="A2070">
        <v>1028235</v>
      </c>
      <c r="B2070" t="s">
        <v>20</v>
      </c>
      <c r="C2070">
        <v>13.7</v>
      </c>
      <c r="D2070">
        <v>13.75</v>
      </c>
      <c r="E2070">
        <v>13.9</v>
      </c>
      <c r="F2070" t="s">
        <v>9</v>
      </c>
      <c r="G20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70">
        <f>IF(Table1[[#This Row],[is_ups_overcharge]]="ups overcharged",Table1[[#This Row],[ups ship charge]]-Table1[[#This Row],[ada ship charge]],0)</f>
        <v>0</v>
      </c>
    </row>
    <row r="2071" spans="1:9" x14ac:dyDescent="0.2">
      <c r="A2071">
        <v>1028240</v>
      </c>
      <c r="B2071" t="s">
        <v>20</v>
      </c>
      <c r="C2071">
        <v>13.7</v>
      </c>
      <c r="D2071">
        <v>13.75</v>
      </c>
      <c r="E2071">
        <v>5</v>
      </c>
      <c r="F2071" t="s">
        <v>9</v>
      </c>
      <c r="G20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71">
        <f>IF(Table1[[#This Row],[is_ups_overcharge]]="ups overcharged",Table1[[#This Row],[ups ship charge]]-Table1[[#This Row],[ada ship charge]],0)</f>
        <v>0</v>
      </c>
    </row>
    <row r="2072" spans="1:9" x14ac:dyDescent="0.2">
      <c r="A2072">
        <v>1028243</v>
      </c>
      <c r="B2072" t="s">
        <v>20</v>
      </c>
      <c r="C2072">
        <v>12.81</v>
      </c>
      <c r="D2072">
        <v>12.86</v>
      </c>
      <c r="E2072">
        <v>64.95</v>
      </c>
      <c r="F2072" t="s">
        <v>9</v>
      </c>
      <c r="G20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72">
        <f>IF(Table1[[#This Row],[is_ups_overcharge]]="ups overcharged",Table1[[#This Row],[ups ship charge]]-Table1[[#This Row],[ada ship charge]],0)</f>
        <v>0</v>
      </c>
    </row>
    <row r="2073" spans="1:9" x14ac:dyDescent="0.2">
      <c r="A2073">
        <v>1028258</v>
      </c>
      <c r="B2073" t="s">
        <v>20</v>
      </c>
      <c r="C2073">
        <v>12.81</v>
      </c>
      <c r="D2073">
        <v>12.86</v>
      </c>
      <c r="E2073">
        <v>34.9</v>
      </c>
      <c r="F2073" t="s">
        <v>9</v>
      </c>
      <c r="G20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73">
        <f>IF(Table1[[#This Row],[is_ups_overcharge]]="ups overcharged",Table1[[#This Row],[ups ship charge]]-Table1[[#This Row],[ada ship charge]],0)</f>
        <v>0</v>
      </c>
    </row>
    <row r="2074" spans="1:9" x14ac:dyDescent="0.2">
      <c r="A2074">
        <v>1028272</v>
      </c>
      <c r="B2074" t="s">
        <v>20</v>
      </c>
      <c r="C2074">
        <v>12.81</v>
      </c>
      <c r="D2074">
        <v>12.86</v>
      </c>
      <c r="E2074">
        <v>29.95</v>
      </c>
      <c r="F2074" t="s">
        <v>9</v>
      </c>
      <c r="G20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74">
        <f>IF(Table1[[#This Row],[is_ups_overcharge]]="ups overcharged",Table1[[#This Row],[ups ship charge]]-Table1[[#This Row],[ada ship charge]],0)</f>
        <v>0</v>
      </c>
    </row>
    <row r="2075" spans="1:9" x14ac:dyDescent="0.2">
      <c r="A2075">
        <v>1028273</v>
      </c>
      <c r="B2075" t="s">
        <v>20</v>
      </c>
      <c r="C2075">
        <v>9.7100000000000009</v>
      </c>
      <c r="D2075">
        <v>9.76</v>
      </c>
      <c r="E2075">
        <v>39.950000000000003</v>
      </c>
      <c r="F2075" t="s">
        <v>6</v>
      </c>
      <c r="G20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75">
        <f>IF(Table1[[#This Row],[is_ups_overcharge]]="ups overcharged",Table1[[#This Row],[ups ship charge]]-Table1[[#This Row],[ada ship charge]],0)</f>
        <v>0</v>
      </c>
    </row>
    <row r="2076" spans="1:9" x14ac:dyDescent="0.2">
      <c r="A2076">
        <v>1028292</v>
      </c>
      <c r="B2076" t="s">
        <v>20</v>
      </c>
      <c r="C2076">
        <v>9.6999999999999993</v>
      </c>
      <c r="D2076">
        <v>9.75</v>
      </c>
      <c r="E2076">
        <v>100.35</v>
      </c>
      <c r="F2076" t="s">
        <v>6</v>
      </c>
      <c r="G20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76">
        <f>IF(Table1[[#This Row],[is_ups_overcharge]]="ups overcharged",Table1[[#This Row],[ups ship charge]]-Table1[[#This Row],[ada ship charge]],0)</f>
        <v>0</v>
      </c>
    </row>
    <row r="2077" spans="1:9" x14ac:dyDescent="0.2">
      <c r="A2077">
        <v>1028296</v>
      </c>
      <c r="B2077" t="s">
        <v>20</v>
      </c>
      <c r="C2077">
        <v>12.81</v>
      </c>
      <c r="D2077">
        <v>12.86</v>
      </c>
      <c r="E2077">
        <v>29.95</v>
      </c>
      <c r="F2077" t="s">
        <v>9</v>
      </c>
      <c r="G20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77">
        <f>IF(Table1[[#This Row],[is_ups_overcharge]]="ups overcharged",Table1[[#This Row],[ups ship charge]]-Table1[[#This Row],[ada ship charge]],0)</f>
        <v>0</v>
      </c>
    </row>
    <row r="2078" spans="1:9" x14ac:dyDescent="0.2">
      <c r="A2078">
        <v>1028305</v>
      </c>
      <c r="B2078" t="s">
        <v>20</v>
      </c>
      <c r="C2078">
        <v>13.71</v>
      </c>
      <c r="D2078">
        <v>13.76</v>
      </c>
      <c r="E2078">
        <v>39.950000000000003</v>
      </c>
      <c r="F2078" t="s">
        <v>9</v>
      </c>
      <c r="G20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78">
        <f>IF(Table1[[#This Row],[is_ups_overcharge]]="ups overcharged",Table1[[#This Row],[ups ship charge]]-Table1[[#This Row],[ada ship charge]],0)</f>
        <v>0</v>
      </c>
    </row>
    <row r="2079" spans="1:9" x14ac:dyDescent="0.2">
      <c r="A2079">
        <v>1028320</v>
      </c>
      <c r="B2079" t="s">
        <v>20</v>
      </c>
      <c r="C2079">
        <v>15.13</v>
      </c>
      <c r="D2079">
        <v>15.18</v>
      </c>
      <c r="E2079">
        <v>209.4</v>
      </c>
      <c r="F2079" t="s">
        <v>12</v>
      </c>
      <c r="G20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79">
        <f>IF(Table1[[#This Row],[is_ups_overcharge]]="ups overcharged",Table1[[#This Row],[ups ship charge]]-Table1[[#This Row],[ada ship charge]],0)</f>
        <v>0</v>
      </c>
    </row>
    <row r="2080" spans="1:9" x14ac:dyDescent="0.2">
      <c r="A2080">
        <v>1028321</v>
      </c>
      <c r="B2080" t="s">
        <v>20</v>
      </c>
      <c r="C2080">
        <v>9.6999999999999993</v>
      </c>
      <c r="D2080">
        <v>12.86</v>
      </c>
      <c r="E2080">
        <v>53.8</v>
      </c>
      <c r="F2080" t="s">
        <v>6</v>
      </c>
      <c r="G20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80">
        <f>IF(Table1[[#This Row],[is_ups_overcharge]]="ups overcharged",Table1[[#This Row],[ups ship charge]]-Table1[[#This Row],[ada ship charge]],0)</f>
        <v>0</v>
      </c>
    </row>
    <row r="2081" spans="1:9" x14ac:dyDescent="0.2">
      <c r="A2081">
        <v>1028327</v>
      </c>
      <c r="B2081" t="s">
        <v>20</v>
      </c>
      <c r="C2081">
        <v>9.6999999999999993</v>
      </c>
      <c r="D2081">
        <v>9.75</v>
      </c>
      <c r="E2081">
        <v>39.950000000000003</v>
      </c>
      <c r="F2081" t="s">
        <v>6</v>
      </c>
      <c r="G20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81">
        <f>IF(Table1[[#This Row],[is_ups_overcharge]]="ups overcharged",Table1[[#This Row],[ups ship charge]]-Table1[[#This Row],[ada ship charge]],0)</f>
        <v>0</v>
      </c>
    </row>
    <row r="2082" spans="1:9" x14ac:dyDescent="0.2">
      <c r="A2082">
        <v>1028389</v>
      </c>
      <c r="B2082" t="s">
        <v>20</v>
      </c>
      <c r="C2082">
        <v>18.72</v>
      </c>
      <c r="D2082">
        <v>18.77</v>
      </c>
      <c r="E2082">
        <v>17.399999999999999</v>
      </c>
      <c r="F2082" t="s">
        <v>10</v>
      </c>
      <c r="G20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82">
        <f>IF(Table1[[#This Row],[is_ups_overcharge]]="ups overcharged",Table1[[#This Row],[ups ship charge]]-Table1[[#This Row],[ada ship charge]],0)</f>
        <v>0</v>
      </c>
    </row>
    <row r="2083" spans="1:9" x14ac:dyDescent="0.2">
      <c r="A2083">
        <v>1028413</v>
      </c>
      <c r="B2083" t="s">
        <v>20</v>
      </c>
      <c r="C2083">
        <v>9.6999999999999993</v>
      </c>
      <c r="D2083">
        <v>9.75</v>
      </c>
      <c r="E2083">
        <v>86.05</v>
      </c>
      <c r="F2083" t="s">
        <v>6</v>
      </c>
      <c r="G20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83">
        <f>IF(Table1[[#This Row],[is_ups_overcharge]]="ups overcharged",Table1[[#This Row],[ups ship charge]]-Table1[[#This Row],[ada ship charge]],0)</f>
        <v>0</v>
      </c>
    </row>
    <row r="2084" spans="1:9" x14ac:dyDescent="0.2">
      <c r="A2084">
        <v>1028442</v>
      </c>
      <c r="B2084" t="s">
        <v>20</v>
      </c>
      <c r="C2084">
        <v>13.7</v>
      </c>
      <c r="D2084">
        <v>13.75</v>
      </c>
      <c r="E2084">
        <v>34.950000000000003</v>
      </c>
      <c r="F2084" t="s">
        <v>9</v>
      </c>
      <c r="G20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84">
        <f>IF(Table1[[#This Row],[is_ups_overcharge]]="ups overcharged",Table1[[#This Row],[ups ship charge]]-Table1[[#This Row],[ada ship charge]],0)</f>
        <v>0</v>
      </c>
    </row>
    <row r="2085" spans="1:9" x14ac:dyDescent="0.2">
      <c r="A2085">
        <v>1028467</v>
      </c>
      <c r="B2085" t="s">
        <v>20</v>
      </c>
      <c r="C2085">
        <v>9.6999999999999993</v>
      </c>
      <c r="D2085">
        <v>9.75</v>
      </c>
      <c r="E2085">
        <v>110</v>
      </c>
      <c r="F2085" t="s">
        <v>6</v>
      </c>
      <c r="G20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85">
        <f>IF(Table1[[#This Row],[is_ups_overcharge]]="ups overcharged",Table1[[#This Row],[ups ship charge]]-Table1[[#This Row],[ada ship charge]],0)</f>
        <v>0</v>
      </c>
    </row>
    <row r="2086" spans="1:9" x14ac:dyDescent="0.2">
      <c r="A2086">
        <v>1028476</v>
      </c>
      <c r="B2086" t="s">
        <v>20</v>
      </c>
      <c r="C2086">
        <v>12.81</v>
      </c>
      <c r="D2086">
        <v>12.86</v>
      </c>
      <c r="E2086">
        <v>28.85</v>
      </c>
      <c r="F2086" t="s">
        <v>9</v>
      </c>
      <c r="G20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86">
        <f>IF(Table1[[#This Row],[is_ups_overcharge]]="ups overcharged",Table1[[#This Row],[ups ship charge]]-Table1[[#This Row],[ada ship charge]],0)</f>
        <v>0</v>
      </c>
    </row>
    <row r="2087" spans="1:9" x14ac:dyDescent="0.2">
      <c r="A2087">
        <v>1028478</v>
      </c>
      <c r="B2087" t="s">
        <v>20</v>
      </c>
      <c r="C2087">
        <v>13.7</v>
      </c>
      <c r="D2087">
        <v>13.75</v>
      </c>
      <c r="E2087">
        <v>24.95</v>
      </c>
      <c r="F2087" t="s">
        <v>9</v>
      </c>
      <c r="G20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87">
        <f>IF(Table1[[#This Row],[is_ups_overcharge]]="ups overcharged",Table1[[#This Row],[ups ship charge]]-Table1[[#This Row],[ada ship charge]],0)</f>
        <v>0</v>
      </c>
    </row>
    <row r="2088" spans="1:9" x14ac:dyDescent="0.2">
      <c r="A2088">
        <v>1028511</v>
      </c>
      <c r="B2088" t="s">
        <v>20</v>
      </c>
      <c r="C2088">
        <v>12.81</v>
      </c>
      <c r="D2088">
        <v>12.86</v>
      </c>
      <c r="E2088">
        <v>24.95</v>
      </c>
      <c r="F2088" t="s">
        <v>9</v>
      </c>
      <c r="G20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88">
        <f>IF(Table1[[#This Row],[is_ups_overcharge]]="ups overcharged",Table1[[#This Row],[ups ship charge]]-Table1[[#This Row],[ada ship charge]],0)</f>
        <v>0</v>
      </c>
    </row>
    <row r="2089" spans="1:9" x14ac:dyDescent="0.2">
      <c r="A2089">
        <v>1028519</v>
      </c>
      <c r="B2089" t="s">
        <v>20</v>
      </c>
      <c r="C2089">
        <v>13.71</v>
      </c>
      <c r="D2089">
        <v>0</v>
      </c>
      <c r="E2089">
        <v>276.75</v>
      </c>
      <c r="F2089" t="s">
        <v>9</v>
      </c>
      <c r="G20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08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089">
        <f>IF(Table1[[#This Row],[is_ups_overcharge]]="ups overcharged",Table1[[#This Row],[ups ship charge]]-Table1[[#This Row],[ada ship charge]],0)</f>
        <v>0</v>
      </c>
    </row>
    <row r="2090" spans="1:9" x14ac:dyDescent="0.2">
      <c r="A2090">
        <v>1028520</v>
      </c>
      <c r="B2090" t="s">
        <v>20</v>
      </c>
      <c r="C2090">
        <v>9.7100000000000009</v>
      </c>
      <c r="D2090">
        <v>9.76</v>
      </c>
      <c r="E2090">
        <v>32.5</v>
      </c>
      <c r="F2090" t="s">
        <v>6</v>
      </c>
      <c r="G20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90">
        <f>IF(Table1[[#This Row],[is_ups_overcharge]]="ups overcharged",Table1[[#This Row],[ups ship charge]]-Table1[[#This Row],[ada ship charge]],0)</f>
        <v>0</v>
      </c>
    </row>
    <row r="2091" spans="1:9" x14ac:dyDescent="0.2">
      <c r="A2091">
        <v>1028521</v>
      </c>
      <c r="B2091" t="s">
        <v>20</v>
      </c>
      <c r="C2091">
        <v>13.7</v>
      </c>
      <c r="D2091">
        <v>13.76</v>
      </c>
      <c r="E2091">
        <v>58.15</v>
      </c>
      <c r="F2091" t="s">
        <v>9</v>
      </c>
      <c r="G20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91">
        <f>IF(Table1[[#This Row],[is_ups_overcharge]]="ups overcharged",Table1[[#This Row],[ups ship charge]]-Table1[[#This Row],[ada ship charge]],0)</f>
        <v>0</v>
      </c>
    </row>
    <row r="2092" spans="1:9" x14ac:dyDescent="0.2">
      <c r="A2092">
        <v>1028524</v>
      </c>
      <c r="B2092" t="s">
        <v>20</v>
      </c>
      <c r="C2092">
        <v>9.6999999999999993</v>
      </c>
      <c r="D2092">
        <v>9.75</v>
      </c>
      <c r="E2092">
        <v>74.900000000000006</v>
      </c>
      <c r="F2092" t="s">
        <v>6</v>
      </c>
      <c r="G20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92">
        <f>IF(Table1[[#This Row],[is_ups_overcharge]]="ups overcharged",Table1[[#This Row],[ups ship charge]]-Table1[[#This Row],[ada ship charge]],0)</f>
        <v>0</v>
      </c>
    </row>
    <row r="2093" spans="1:9" x14ac:dyDescent="0.2">
      <c r="A2093">
        <v>1028528</v>
      </c>
      <c r="B2093" t="s">
        <v>20</v>
      </c>
      <c r="C2093">
        <v>13.7</v>
      </c>
      <c r="D2093">
        <v>13.75</v>
      </c>
      <c r="E2093">
        <v>99.95</v>
      </c>
      <c r="F2093" t="s">
        <v>9</v>
      </c>
      <c r="G20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93">
        <f>IF(Table1[[#This Row],[is_ups_overcharge]]="ups overcharged",Table1[[#This Row],[ups ship charge]]-Table1[[#This Row],[ada ship charge]],0)</f>
        <v>0</v>
      </c>
    </row>
    <row r="2094" spans="1:9" x14ac:dyDescent="0.2">
      <c r="A2094">
        <v>1028533</v>
      </c>
      <c r="B2094" t="s">
        <v>20</v>
      </c>
      <c r="C2094">
        <v>9.73</v>
      </c>
      <c r="D2094">
        <v>10.31</v>
      </c>
      <c r="E2094">
        <v>40.799999999999997</v>
      </c>
      <c r="F2094" t="s">
        <v>6</v>
      </c>
      <c r="G20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94">
        <f>IF(Table1[[#This Row],[is_ups_overcharge]]="ups overcharged",Table1[[#This Row],[ups ship charge]]-Table1[[#This Row],[ada ship charge]],0)</f>
        <v>0</v>
      </c>
    </row>
    <row r="2095" spans="1:9" x14ac:dyDescent="0.2">
      <c r="A2095">
        <v>1028549</v>
      </c>
      <c r="B2095" t="s">
        <v>20</v>
      </c>
      <c r="C2095">
        <v>9.6999999999999993</v>
      </c>
      <c r="D2095">
        <v>13.75</v>
      </c>
      <c r="E2095">
        <v>74.8</v>
      </c>
      <c r="F2095" t="s">
        <v>6</v>
      </c>
      <c r="G20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95">
        <f>IF(Table1[[#This Row],[is_ups_overcharge]]="ups overcharged",Table1[[#This Row],[ups ship charge]]-Table1[[#This Row],[ada ship charge]],0)</f>
        <v>0</v>
      </c>
    </row>
    <row r="2096" spans="1:9" x14ac:dyDescent="0.2">
      <c r="A2096">
        <v>1028555</v>
      </c>
      <c r="B2096" t="s">
        <v>20</v>
      </c>
      <c r="C2096">
        <v>10.08</v>
      </c>
      <c r="D2096">
        <v>15.56</v>
      </c>
      <c r="E2096">
        <v>44.95</v>
      </c>
      <c r="F2096" t="s">
        <v>6</v>
      </c>
      <c r="G20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96">
        <f>IF(Table1[[#This Row],[is_ups_overcharge]]="ups overcharged",Table1[[#This Row],[ups ship charge]]-Table1[[#This Row],[ada ship charge]],0)</f>
        <v>0</v>
      </c>
    </row>
    <row r="2097" spans="1:9" x14ac:dyDescent="0.2">
      <c r="A2097">
        <v>1028566</v>
      </c>
      <c r="B2097" t="s">
        <v>20</v>
      </c>
      <c r="C2097">
        <v>9.6999999999999993</v>
      </c>
      <c r="D2097">
        <v>9.75</v>
      </c>
      <c r="E2097">
        <v>20.45</v>
      </c>
      <c r="F2097" t="s">
        <v>6</v>
      </c>
      <c r="G20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97">
        <f>IF(Table1[[#This Row],[is_ups_overcharge]]="ups overcharged",Table1[[#This Row],[ups ship charge]]-Table1[[#This Row],[ada ship charge]],0)</f>
        <v>0</v>
      </c>
    </row>
    <row r="2098" spans="1:9" x14ac:dyDescent="0.2">
      <c r="A2098">
        <v>1028585</v>
      </c>
      <c r="B2098" t="s">
        <v>20</v>
      </c>
      <c r="C2098">
        <v>9.6999999999999993</v>
      </c>
      <c r="D2098">
        <v>0</v>
      </c>
      <c r="E2098">
        <v>357.35</v>
      </c>
      <c r="F2098" t="s">
        <v>6</v>
      </c>
      <c r="G20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09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098">
        <f>IF(Table1[[#This Row],[is_ups_overcharge]]="ups overcharged",Table1[[#This Row],[ups ship charge]]-Table1[[#This Row],[ada ship charge]],0)</f>
        <v>0</v>
      </c>
    </row>
    <row r="2099" spans="1:9" x14ac:dyDescent="0.2">
      <c r="A2099">
        <v>1028608</v>
      </c>
      <c r="B2099" t="s">
        <v>20</v>
      </c>
      <c r="C2099">
        <v>12.81</v>
      </c>
      <c r="D2099">
        <v>12.86</v>
      </c>
      <c r="E2099">
        <v>5</v>
      </c>
      <c r="F2099" t="s">
        <v>9</v>
      </c>
      <c r="G20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0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099">
        <f>IF(Table1[[#This Row],[is_ups_overcharge]]="ups overcharged",Table1[[#This Row],[ups ship charge]]-Table1[[#This Row],[ada ship charge]],0)</f>
        <v>0</v>
      </c>
    </row>
    <row r="2100" spans="1:9" x14ac:dyDescent="0.2">
      <c r="A2100">
        <v>1028630</v>
      </c>
      <c r="B2100" t="s">
        <v>20</v>
      </c>
      <c r="C2100">
        <v>9.6999999999999993</v>
      </c>
      <c r="D2100">
        <v>9.75</v>
      </c>
      <c r="E2100">
        <v>14.85</v>
      </c>
      <c r="F2100" t="s">
        <v>6</v>
      </c>
      <c r="G21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00">
        <f>IF(Table1[[#This Row],[is_ups_overcharge]]="ups overcharged",Table1[[#This Row],[ups ship charge]]-Table1[[#This Row],[ada ship charge]],0)</f>
        <v>0</v>
      </c>
    </row>
    <row r="2101" spans="1:9" x14ac:dyDescent="0.2">
      <c r="A2101">
        <v>1028631</v>
      </c>
      <c r="B2101" t="s">
        <v>20</v>
      </c>
      <c r="C2101">
        <v>13.7</v>
      </c>
      <c r="D2101">
        <v>13.75</v>
      </c>
      <c r="E2101">
        <v>113.8</v>
      </c>
      <c r="F2101" t="s">
        <v>9</v>
      </c>
      <c r="G21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01">
        <f>IF(Table1[[#This Row],[is_ups_overcharge]]="ups overcharged",Table1[[#This Row],[ups ship charge]]-Table1[[#This Row],[ada ship charge]],0)</f>
        <v>0</v>
      </c>
    </row>
    <row r="2102" spans="1:9" x14ac:dyDescent="0.2">
      <c r="A2102">
        <v>1028639</v>
      </c>
      <c r="B2102" t="s">
        <v>20</v>
      </c>
      <c r="C2102">
        <v>14.15</v>
      </c>
      <c r="D2102">
        <v>14.77</v>
      </c>
      <c r="E2102">
        <v>181.1</v>
      </c>
      <c r="F2102" t="s">
        <v>9</v>
      </c>
      <c r="G21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02">
        <f>IF(Table1[[#This Row],[is_ups_overcharge]]="ups overcharged",Table1[[#This Row],[ups ship charge]]-Table1[[#This Row],[ada ship charge]],0)</f>
        <v>0</v>
      </c>
    </row>
    <row r="2103" spans="1:9" x14ac:dyDescent="0.2">
      <c r="A2103">
        <v>1028646</v>
      </c>
      <c r="B2103" t="s">
        <v>20</v>
      </c>
      <c r="C2103">
        <v>9.6999999999999993</v>
      </c>
      <c r="D2103">
        <v>0</v>
      </c>
      <c r="E2103">
        <v>249.8</v>
      </c>
      <c r="F2103" t="s">
        <v>6</v>
      </c>
      <c r="G21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10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103">
        <f>IF(Table1[[#This Row],[is_ups_overcharge]]="ups overcharged",Table1[[#This Row],[ups ship charge]]-Table1[[#This Row],[ada ship charge]],0)</f>
        <v>0</v>
      </c>
    </row>
    <row r="2104" spans="1:9" x14ac:dyDescent="0.2">
      <c r="A2104">
        <v>1028655</v>
      </c>
      <c r="B2104" t="s">
        <v>20</v>
      </c>
      <c r="C2104">
        <v>12.81</v>
      </c>
      <c r="D2104">
        <v>12.86</v>
      </c>
      <c r="E2104">
        <v>44.9</v>
      </c>
      <c r="F2104" t="s">
        <v>9</v>
      </c>
      <c r="G21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04">
        <f>IF(Table1[[#This Row],[is_ups_overcharge]]="ups overcharged",Table1[[#This Row],[ups ship charge]]-Table1[[#This Row],[ada ship charge]],0)</f>
        <v>0</v>
      </c>
    </row>
    <row r="2105" spans="1:9" x14ac:dyDescent="0.2">
      <c r="A2105">
        <v>1028691</v>
      </c>
      <c r="B2105" t="s">
        <v>20</v>
      </c>
      <c r="C2105">
        <v>16.77</v>
      </c>
      <c r="D2105">
        <v>16.82</v>
      </c>
      <c r="E2105">
        <v>9.9</v>
      </c>
      <c r="F2105" t="s">
        <v>10</v>
      </c>
      <c r="G21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05">
        <f>IF(Table1[[#This Row],[is_ups_overcharge]]="ups overcharged",Table1[[#This Row],[ups ship charge]]-Table1[[#This Row],[ada ship charge]],0)</f>
        <v>0</v>
      </c>
    </row>
    <row r="2106" spans="1:9" x14ac:dyDescent="0.2">
      <c r="A2106">
        <v>1028706</v>
      </c>
      <c r="B2106" t="s">
        <v>20</v>
      </c>
      <c r="C2106">
        <v>13.7</v>
      </c>
      <c r="D2106">
        <v>13.75</v>
      </c>
      <c r="E2106">
        <v>13.9</v>
      </c>
      <c r="F2106" t="s">
        <v>9</v>
      </c>
      <c r="G21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06">
        <f>IF(Table1[[#This Row],[is_ups_overcharge]]="ups overcharged",Table1[[#This Row],[ups ship charge]]-Table1[[#This Row],[ada ship charge]],0)</f>
        <v>0</v>
      </c>
    </row>
    <row r="2107" spans="1:9" x14ac:dyDescent="0.2">
      <c r="A2107">
        <v>1028725</v>
      </c>
      <c r="B2107" t="s">
        <v>20</v>
      </c>
      <c r="C2107">
        <v>16.71</v>
      </c>
      <c r="D2107">
        <v>16.760000000000002</v>
      </c>
      <c r="E2107">
        <v>163.19999999999999</v>
      </c>
      <c r="F2107" t="s">
        <v>12</v>
      </c>
      <c r="G21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07">
        <f>IF(Table1[[#This Row],[is_ups_overcharge]]="ups overcharged",Table1[[#This Row],[ups ship charge]]-Table1[[#This Row],[ada ship charge]],0)</f>
        <v>0</v>
      </c>
    </row>
    <row r="2108" spans="1:9" x14ac:dyDescent="0.2">
      <c r="A2108">
        <v>1028729</v>
      </c>
      <c r="B2108" t="s">
        <v>20</v>
      </c>
      <c r="C2108">
        <v>13.7</v>
      </c>
      <c r="D2108">
        <v>13.75</v>
      </c>
      <c r="E2108">
        <v>74.75</v>
      </c>
      <c r="F2108" t="s">
        <v>9</v>
      </c>
      <c r="G21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08">
        <f>IF(Table1[[#This Row],[is_ups_overcharge]]="ups overcharged",Table1[[#This Row],[ups ship charge]]-Table1[[#This Row],[ada ship charge]],0)</f>
        <v>0</v>
      </c>
    </row>
    <row r="2109" spans="1:9" x14ac:dyDescent="0.2">
      <c r="A2109">
        <v>1028735</v>
      </c>
      <c r="B2109" t="s">
        <v>20</v>
      </c>
      <c r="C2109">
        <v>12.81</v>
      </c>
      <c r="D2109">
        <v>12.86</v>
      </c>
      <c r="E2109">
        <v>65.849999999999994</v>
      </c>
      <c r="F2109" t="s">
        <v>9</v>
      </c>
      <c r="G21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09">
        <f>IF(Table1[[#This Row],[is_ups_overcharge]]="ups overcharged",Table1[[#This Row],[ups ship charge]]-Table1[[#This Row],[ada ship charge]],0)</f>
        <v>0</v>
      </c>
    </row>
    <row r="2110" spans="1:9" x14ac:dyDescent="0.2">
      <c r="A2110">
        <v>1028744</v>
      </c>
      <c r="B2110" t="s">
        <v>20</v>
      </c>
      <c r="C2110">
        <v>13.7</v>
      </c>
      <c r="D2110">
        <v>13.75</v>
      </c>
      <c r="E2110">
        <v>83.9</v>
      </c>
      <c r="F2110" t="s">
        <v>9</v>
      </c>
      <c r="G21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10">
        <f>IF(Table1[[#This Row],[is_ups_overcharge]]="ups overcharged",Table1[[#This Row],[ups ship charge]]-Table1[[#This Row],[ada ship charge]],0)</f>
        <v>0</v>
      </c>
    </row>
    <row r="2111" spans="1:9" x14ac:dyDescent="0.2">
      <c r="A2111">
        <v>1028751</v>
      </c>
      <c r="B2111" t="s">
        <v>20</v>
      </c>
      <c r="C2111">
        <v>12.45</v>
      </c>
      <c r="D2111">
        <v>12.5</v>
      </c>
      <c r="E2111">
        <v>94.85</v>
      </c>
      <c r="F2111" t="s">
        <v>13</v>
      </c>
      <c r="G21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11">
        <f>IF(Table1[[#This Row],[is_ups_overcharge]]="ups overcharged",Table1[[#This Row],[ups ship charge]]-Table1[[#This Row],[ada ship charge]],0)</f>
        <v>0</v>
      </c>
    </row>
    <row r="2112" spans="1:9" x14ac:dyDescent="0.2">
      <c r="A2112">
        <v>1028764</v>
      </c>
      <c r="B2112" t="s">
        <v>20</v>
      </c>
      <c r="C2112">
        <v>9.6999999999999993</v>
      </c>
      <c r="D2112">
        <v>9.75</v>
      </c>
      <c r="E2112">
        <v>43.2</v>
      </c>
      <c r="F2112" t="s">
        <v>6</v>
      </c>
      <c r="G21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12">
        <f>IF(Table1[[#This Row],[is_ups_overcharge]]="ups overcharged",Table1[[#This Row],[ups ship charge]]-Table1[[#This Row],[ada ship charge]],0)</f>
        <v>0</v>
      </c>
    </row>
    <row r="2113" spans="1:9" x14ac:dyDescent="0.2">
      <c r="A2113">
        <v>1028826</v>
      </c>
      <c r="B2113" t="s">
        <v>20</v>
      </c>
      <c r="C2113">
        <v>13.7</v>
      </c>
      <c r="D2113">
        <v>13.75</v>
      </c>
      <c r="E2113">
        <v>82.55</v>
      </c>
      <c r="F2113" t="s">
        <v>9</v>
      </c>
      <c r="G21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13">
        <f>IF(Table1[[#This Row],[is_ups_overcharge]]="ups overcharged",Table1[[#This Row],[ups ship charge]]-Table1[[#This Row],[ada ship charge]],0)</f>
        <v>0</v>
      </c>
    </row>
    <row r="2114" spans="1:9" x14ac:dyDescent="0.2">
      <c r="A2114">
        <v>1028843</v>
      </c>
      <c r="B2114" t="s">
        <v>20</v>
      </c>
      <c r="C2114">
        <v>17.760000000000002</v>
      </c>
      <c r="D2114">
        <v>17.82</v>
      </c>
      <c r="E2114">
        <v>79.900000000000006</v>
      </c>
      <c r="F2114" t="s">
        <v>12</v>
      </c>
      <c r="G21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14">
        <f>IF(Table1[[#This Row],[is_ups_overcharge]]="ups overcharged",Table1[[#This Row],[ups ship charge]]-Table1[[#This Row],[ada ship charge]],0)</f>
        <v>0</v>
      </c>
    </row>
    <row r="2115" spans="1:9" x14ac:dyDescent="0.2">
      <c r="A2115">
        <v>1028871</v>
      </c>
      <c r="B2115" t="s">
        <v>20</v>
      </c>
      <c r="C2115">
        <v>16.46</v>
      </c>
      <c r="D2115">
        <v>16.510000000000002</v>
      </c>
      <c r="E2115">
        <v>132.44999999999999</v>
      </c>
      <c r="F2115" t="s">
        <v>10</v>
      </c>
      <c r="G21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15">
        <f>IF(Table1[[#This Row],[is_ups_overcharge]]="ups overcharged",Table1[[#This Row],[ups ship charge]]-Table1[[#This Row],[ada ship charge]],0)</f>
        <v>0</v>
      </c>
    </row>
    <row r="2116" spans="1:9" x14ac:dyDescent="0.2">
      <c r="A2116">
        <v>1028898</v>
      </c>
      <c r="B2116" t="s">
        <v>20</v>
      </c>
      <c r="C2116">
        <v>12.45</v>
      </c>
      <c r="D2116">
        <v>12.5</v>
      </c>
      <c r="E2116">
        <v>48.4</v>
      </c>
      <c r="F2116" t="s">
        <v>13</v>
      </c>
      <c r="G21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16">
        <f>IF(Table1[[#This Row],[is_ups_overcharge]]="ups overcharged",Table1[[#This Row],[ups ship charge]]-Table1[[#This Row],[ada ship charge]],0)</f>
        <v>0</v>
      </c>
    </row>
    <row r="2117" spans="1:9" x14ac:dyDescent="0.2">
      <c r="A2117">
        <v>1028899</v>
      </c>
      <c r="B2117" t="s">
        <v>20</v>
      </c>
      <c r="C2117">
        <v>13.71</v>
      </c>
      <c r="D2117">
        <v>13.75</v>
      </c>
      <c r="E2117">
        <v>32.15</v>
      </c>
      <c r="F2117" t="s">
        <v>9</v>
      </c>
      <c r="G21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17">
        <f>IF(Table1[[#This Row],[is_ups_overcharge]]="ups overcharged",Table1[[#This Row],[ups ship charge]]-Table1[[#This Row],[ada ship charge]],0)</f>
        <v>0</v>
      </c>
    </row>
    <row r="2118" spans="1:9" x14ac:dyDescent="0.2">
      <c r="A2118">
        <v>1028913</v>
      </c>
      <c r="B2118" t="s">
        <v>20</v>
      </c>
      <c r="C2118">
        <v>13.7</v>
      </c>
      <c r="D2118">
        <v>13.75</v>
      </c>
      <c r="E2118">
        <v>47.95</v>
      </c>
      <c r="F2118" t="s">
        <v>9</v>
      </c>
      <c r="G21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18">
        <f>IF(Table1[[#This Row],[is_ups_overcharge]]="ups overcharged",Table1[[#This Row],[ups ship charge]]-Table1[[#This Row],[ada ship charge]],0)</f>
        <v>0</v>
      </c>
    </row>
    <row r="2119" spans="1:9" x14ac:dyDescent="0.2">
      <c r="A2119">
        <v>1028931</v>
      </c>
      <c r="B2119" t="s">
        <v>20</v>
      </c>
      <c r="C2119">
        <v>12.81</v>
      </c>
      <c r="D2119">
        <v>12.86</v>
      </c>
      <c r="E2119">
        <v>27.9</v>
      </c>
      <c r="F2119" t="s">
        <v>9</v>
      </c>
      <c r="G21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19">
        <f>IF(Table1[[#This Row],[is_ups_overcharge]]="ups overcharged",Table1[[#This Row],[ups ship charge]]-Table1[[#This Row],[ada ship charge]],0)</f>
        <v>0</v>
      </c>
    </row>
    <row r="2120" spans="1:9" x14ac:dyDescent="0.2">
      <c r="A2120">
        <v>1028942</v>
      </c>
      <c r="B2120" t="s">
        <v>20</v>
      </c>
      <c r="C2120">
        <v>16.46</v>
      </c>
      <c r="D2120">
        <v>16.510000000000002</v>
      </c>
      <c r="E2120">
        <v>64.099999999999994</v>
      </c>
      <c r="F2120" t="s">
        <v>10</v>
      </c>
      <c r="G21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20">
        <f>IF(Table1[[#This Row],[is_ups_overcharge]]="ups overcharged",Table1[[#This Row],[ups ship charge]]-Table1[[#This Row],[ada ship charge]],0)</f>
        <v>0</v>
      </c>
    </row>
    <row r="2121" spans="1:9" x14ac:dyDescent="0.2">
      <c r="A2121">
        <v>1028981</v>
      </c>
      <c r="B2121" t="s">
        <v>20</v>
      </c>
      <c r="C2121">
        <v>12.81</v>
      </c>
      <c r="D2121">
        <v>12.86</v>
      </c>
      <c r="E2121">
        <v>24.95</v>
      </c>
      <c r="F2121" t="s">
        <v>9</v>
      </c>
      <c r="G21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21">
        <f>IF(Table1[[#This Row],[is_ups_overcharge]]="ups overcharged",Table1[[#This Row],[ups ship charge]]-Table1[[#This Row],[ada ship charge]],0)</f>
        <v>0</v>
      </c>
    </row>
    <row r="2122" spans="1:9" x14ac:dyDescent="0.2">
      <c r="A2122">
        <v>1028994</v>
      </c>
      <c r="B2122" t="s">
        <v>20</v>
      </c>
      <c r="C2122">
        <v>12.81</v>
      </c>
      <c r="D2122">
        <v>12.86</v>
      </c>
      <c r="E2122">
        <v>63.15</v>
      </c>
      <c r="F2122" t="s">
        <v>9</v>
      </c>
      <c r="G21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22">
        <f>IF(Table1[[#This Row],[is_ups_overcharge]]="ups overcharged",Table1[[#This Row],[ups ship charge]]-Table1[[#This Row],[ada ship charge]],0)</f>
        <v>0</v>
      </c>
    </row>
    <row r="2123" spans="1:9" x14ac:dyDescent="0.2">
      <c r="A2123">
        <v>1029005</v>
      </c>
      <c r="B2123" t="s">
        <v>20</v>
      </c>
      <c r="C2123">
        <v>12.81</v>
      </c>
      <c r="D2123">
        <v>12.86</v>
      </c>
      <c r="E2123">
        <v>93.7</v>
      </c>
      <c r="F2123" t="s">
        <v>9</v>
      </c>
      <c r="G21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23">
        <f>IF(Table1[[#This Row],[is_ups_overcharge]]="ups overcharged",Table1[[#This Row],[ups ship charge]]-Table1[[#This Row],[ada ship charge]],0)</f>
        <v>0</v>
      </c>
    </row>
    <row r="2124" spans="1:9" x14ac:dyDescent="0.2">
      <c r="A2124">
        <v>1029006</v>
      </c>
      <c r="B2124" t="s">
        <v>20</v>
      </c>
      <c r="C2124">
        <v>9.6999999999999993</v>
      </c>
      <c r="D2124">
        <v>9.75</v>
      </c>
      <c r="E2124">
        <v>89.7</v>
      </c>
      <c r="F2124" t="s">
        <v>6</v>
      </c>
      <c r="G21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24">
        <f>IF(Table1[[#This Row],[is_ups_overcharge]]="ups overcharged",Table1[[#This Row],[ups ship charge]]-Table1[[#This Row],[ada ship charge]],0)</f>
        <v>0</v>
      </c>
    </row>
    <row r="2125" spans="1:9" x14ac:dyDescent="0.2">
      <c r="A2125">
        <v>1029017</v>
      </c>
      <c r="B2125" t="s">
        <v>20</v>
      </c>
      <c r="C2125">
        <v>12.81</v>
      </c>
      <c r="D2125">
        <v>12.86</v>
      </c>
      <c r="E2125">
        <v>70.75</v>
      </c>
      <c r="F2125" t="s">
        <v>9</v>
      </c>
      <c r="G21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25">
        <f>IF(Table1[[#This Row],[is_ups_overcharge]]="ups overcharged",Table1[[#This Row],[ups ship charge]]-Table1[[#This Row],[ada ship charge]],0)</f>
        <v>0</v>
      </c>
    </row>
    <row r="2126" spans="1:9" x14ac:dyDescent="0.2">
      <c r="A2126">
        <v>1029026</v>
      </c>
      <c r="B2126" t="s">
        <v>20</v>
      </c>
      <c r="C2126">
        <v>13.71</v>
      </c>
      <c r="D2126">
        <v>13.76</v>
      </c>
      <c r="E2126">
        <v>17.95</v>
      </c>
      <c r="F2126" t="s">
        <v>9</v>
      </c>
      <c r="G21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26">
        <f>IF(Table1[[#This Row],[is_ups_overcharge]]="ups overcharged",Table1[[#This Row],[ups ship charge]]-Table1[[#This Row],[ada ship charge]],0)</f>
        <v>0</v>
      </c>
    </row>
    <row r="2127" spans="1:9" x14ac:dyDescent="0.2">
      <c r="A2127">
        <v>1029028</v>
      </c>
      <c r="B2127" t="s">
        <v>20</v>
      </c>
      <c r="C2127">
        <v>13.71</v>
      </c>
      <c r="D2127">
        <v>0</v>
      </c>
      <c r="E2127">
        <v>233.2</v>
      </c>
      <c r="F2127" t="s">
        <v>9</v>
      </c>
      <c r="G21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12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127">
        <f>IF(Table1[[#This Row],[is_ups_overcharge]]="ups overcharged",Table1[[#This Row],[ups ship charge]]-Table1[[#This Row],[ada ship charge]],0)</f>
        <v>0</v>
      </c>
    </row>
    <row r="2128" spans="1:9" x14ac:dyDescent="0.2">
      <c r="A2128">
        <v>1029045</v>
      </c>
      <c r="B2128" t="s">
        <v>20</v>
      </c>
      <c r="C2128">
        <v>25.68</v>
      </c>
      <c r="D2128">
        <v>28.31</v>
      </c>
      <c r="E2128">
        <v>206.15</v>
      </c>
      <c r="F2128" t="s">
        <v>16</v>
      </c>
      <c r="G21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28">
        <f>IF(Table1[[#This Row],[is_ups_overcharge]]="ups overcharged",Table1[[#This Row],[ups ship charge]]-Table1[[#This Row],[ada ship charge]],0)</f>
        <v>0</v>
      </c>
    </row>
    <row r="2129" spans="1:9" x14ac:dyDescent="0.2">
      <c r="A2129">
        <v>1029056</v>
      </c>
      <c r="B2129" t="s">
        <v>20</v>
      </c>
      <c r="C2129">
        <v>30.97</v>
      </c>
      <c r="D2129">
        <v>28.94</v>
      </c>
      <c r="E2129">
        <v>352.37</v>
      </c>
      <c r="F2129" t="s">
        <v>15</v>
      </c>
      <c r="G21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29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129">
        <f>IF(Table1[[#This Row],[is_ups_overcharge]]="ups overcharged",Table1[[#This Row],[ups ship charge]]-Table1[[#This Row],[ada ship charge]],0)</f>
        <v>2.0299999999999976</v>
      </c>
    </row>
    <row r="2130" spans="1:9" x14ac:dyDescent="0.2">
      <c r="A2130">
        <v>1029061</v>
      </c>
      <c r="B2130" t="s">
        <v>20</v>
      </c>
      <c r="C2130">
        <v>9.6999999999999993</v>
      </c>
      <c r="D2130">
        <v>0</v>
      </c>
      <c r="E2130">
        <v>205.2</v>
      </c>
      <c r="F2130" t="s">
        <v>6</v>
      </c>
      <c r="G21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13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130">
        <f>IF(Table1[[#This Row],[is_ups_overcharge]]="ups overcharged",Table1[[#This Row],[ups ship charge]]-Table1[[#This Row],[ada ship charge]],0)</f>
        <v>0</v>
      </c>
    </row>
    <row r="2131" spans="1:9" x14ac:dyDescent="0.2">
      <c r="A2131">
        <v>1029066</v>
      </c>
      <c r="B2131" t="s">
        <v>20</v>
      </c>
      <c r="C2131">
        <v>12.45</v>
      </c>
      <c r="D2131">
        <v>12.5</v>
      </c>
      <c r="E2131">
        <v>22.5</v>
      </c>
      <c r="F2131" t="s">
        <v>13</v>
      </c>
      <c r="G21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31">
        <f>IF(Table1[[#This Row],[is_ups_overcharge]]="ups overcharged",Table1[[#This Row],[ups ship charge]]-Table1[[#This Row],[ada ship charge]],0)</f>
        <v>0</v>
      </c>
    </row>
    <row r="2132" spans="1:9" x14ac:dyDescent="0.2">
      <c r="A2132">
        <v>1029073</v>
      </c>
      <c r="B2132" t="s">
        <v>20</v>
      </c>
      <c r="C2132">
        <v>17.7</v>
      </c>
      <c r="D2132">
        <v>17.75</v>
      </c>
      <c r="E2132">
        <v>19.95</v>
      </c>
      <c r="F2132" t="s">
        <v>15</v>
      </c>
      <c r="G21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32">
        <f>IF(Table1[[#This Row],[is_ups_overcharge]]="ups overcharged",Table1[[#This Row],[ups ship charge]]-Table1[[#This Row],[ada ship charge]],0)</f>
        <v>0</v>
      </c>
    </row>
    <row r="2133" spans="1:9" x14ac:dyDescent="0.2">
      <c r="A2133">
        <v>1029083</v>
      </c>
      <c r="B2133" t="s">
        <v>20</v>
      </c>
      <c r="C2133">
        <v>12.81</v>
      </c>
      <c r="D2133">
        <v>12.86</v>
      </c>
      <c r="E2133">
        <v>11.8</v>
      </c>
      <c r="F2133" t="s">
        <v>9</v>
      </c>
      <c r="G21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33">
        <f>IF(Table1[[#This Row],[is_ups_overcharge]]="ups overcharged",Table1[[#This Row],[ups ship charge]]-Table1[[#This Row],[ada ship charge]],0)</f>
        <v>0</v>
      </c>
    </row>
    <row r="2134" spans="1:9" x14ac:dyDescent="0.2">
      <c r="A2134">
        <v>1029084</v>
      </c>
      <c r="B2134" t="s">
        <v>20</v>
      </c>
      <c r="C2134">
        <v>16.559999999999999</v>
      </c>
      <c r="D2134">
        <v>16.61</v>
      </c>
      <c r="E2134">
        <v>19.899999999999999</v>
      </c>
      <c r="F2134" t="s">
        <v>10</v>
      </c>
      <c r="G21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34">
        <f>IF(Table1[[#This Row],[is_ups_overcharge]]="ups overcharged",Table1[[#This Row],[ups ship charge]]-Table1[[#This Row],[ada ship charge]],0)</f>
        <v>0</v>
      </c>
    </row>
    <row r="2135" spans="1:9" x14ac:dyDescent="0.2">
      <c r="A2135">
        <v>1029089</v>
      </c>
      <c r="B2135" t="s">
        <v>20</v>
      </c>
      <c r="C2135">
        <v>24.56</v>
      </c>
      <c r="D2135">
        <v>22.46</v>
      </c>
      <c r="E2135">
        <v>104.7</v>
      </c>
      <c r="F2135" t="s">
        <v>16</v>
      </c>
      <c r="G21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35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135">
        <f>IF(Table1[[#This Row],[is_ups_overcharge]]="ups overcharged",Table1[[#This Row],[ups ship charge]]-Table1[[#This Row],[ada ship charge]],0)</f>
        <v>2.0999999999999979</v>
      </c>
    </row>
    <row r="2136" spans="1:9" x14ac:dyDescent="0.2">
      <c r="A2136">
        <v>1029091</v>
      </c>
      <c r="B2136" t="s">
        <v>20</v>
      </c>
      <c r="C2136">
        <v>12.81</v>
      </c>
      <c r="D2136">
        <v>12.86</v>
      </c>
      <c r="E2136">
        <v>74.650000000000006</v>
      </c>
      <c r="F2136" t="s">
        <v>9</v>
      </c>
      <c r="G21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36">
        <f>IF(Table1[[#This Row],[is_ups_overcharge]]="ups overcharged",Table1[[#This Row],[ups ship charge]]-Table1[[#This Row],[ada ship charge]],0)</f>
        <v>0</v>
      </c>
    </row>
    <row r="2137" spans="1:9" x14ac:dyDescent="0.2">
      <c r="A2137">
        <v>1029102</v>
      </c>
      <c r="B2137" t="s">
        <v>20</v>
      </c>
      <c r="C2137">
        <v>13.7</v>
      </c>
      <c r="D2137">
        <v>13.75</v>
      </c>
      <c r="E2137">
        <v>107.35</v>
      </c>
      <c r="F2137" t="s">
        <v>9</v>
      </c>
      <c r="G21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37">
        <f>IF(Table1[[#This Row],[is_ups_overcharge]]="ups overcharged",Table1[[#This Row],[ups ship charge]]-Table1[[#This Row],[ada ship charge]],0)</f>
        <v>0</v>
      </c>
    </row>
    <row r="2138" spans="1:9" x14ac:dyDescent="0.2">
      <c r="A2138">
        <v>1029127</v>
      </c>
      <c r="B2138" t="s">
        <v>20</v>
      </c>
      <c r="C2138">
        <v>12.81</v>
      </c>
      <c r="D2138">
        <v>12.86</v>
      </c>
      <c r="E2138">
        <v>59.9</v>
      </c>
      <c r="F2138" t="s">
        <v>9</v>
      </c>
      <c r="G21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38">
        <f>IF(Table1[[#This Row],[is_ups_overcharge]]="ups overcharged",Table1[[#This Row],[ups ship charge]]-Table1[[#This Row],[ada ship charge]],0)</f>
        <v>0</v>
      </c>
    </row>
    <row r="2139" spans="1:9" x14ac:dyDescent="0.2">
      <c r="A2139">
        <v>1029148</v>
      </c>
      <c r="B2139" t="s">
        <v>20</v>
      </c>
      <c r="C2139">
        <v>12.81</v>
      </c>
      <c r="D2139">
        <v>12.86</v>
      </c>
      <c r="E2139">
        <v>19.45</v>
      </c>
      <c r="F2139" t="s">
        <v>9</v>
      </c>
      <c r="G21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39">
        <f>IF(Table1[[#This Row],[is_ups_overcharge]]="ups overcharged",Table1[[#This Row],[ups ship charge]]-Table1[[#This Row],[ada ship charge]],0)</f>
        <v>0</v>
      </c>
    </row>
    <row r="2140" spans="1:9" x14ac:dyDescent="0.2">
      <c r="A2140">
        <v>1029159</v>
      </c>
      <c r="B2140" t="s">
        <v>20</v>
      </c>
      <c r="C2140">
        <v>9.6999999999999993</v>
      </c>
      <c r="D2140">
        <v>9.75</v>
      </c>
      <c r="E2140">
        <v>97.6</v>
      </c>
      <c r="F2140" t="s">
        <v>6</v>
      </c>
      <c r="G21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40">
        <f>IF(Table1[[#This Row],[is_ups_overcharge]]="ups overcharged",Table1[[#This Row],[ups ship charge]]-Table1[[#This Row],[ada ship charge]],0)</f>
        <v>0</v>
      </c>
    </row>
    <row r="2141" spans="1:9" x14ac:dyDescent="0.2">
      <c r="A2141">
        <v>1029168</v>
      </c>
      <c r="B2141" t="s">
        <v>20</v>
      </c>
      <c r="C2141">
        <v>12.81</v>
      </c>
      <c r="D2141">
        <v>12.86</v>
      </c>
      <c r="E2141">
        <v>7.45</v>
      </c>
      <c r="F2141" t="s">
        <v>9</v>
      </c>
      <c r="G21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41">
        <f>IF(Table1[[#This Row],[is_ups_overcharge]]="ups overcharged",Table1[[#This Row],[ups ship charge]]-Table1[[#This Row],[ada ship charge]],0)</f>
        <v>0</v>
      </c>
    </row>
    <row r="2142" spans="1:9" x14ac:dyDescent="0.2">
      <c r="A2142">
        <v>1029172</v>
      </c>
      <c r="B2142" t="s">
        <v>20</v>
      </c>
      <c r="C2142">
        <v>13.6</v>
      </c>
      <c r="D2142">
        <v>13.65</v>
      </c>
      <c r="E2142">
        <v>117.2</v>
      </c>
      <c r="F2142" t="s">
        <v>16</v>
      </c>
      <c r="G21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42">
        <f>IF(Table1[[#This Row],[is_ups_overcharge]]="ups overcharged",Table1[[#This Row],[ups ship charge]]-Table1[[#This Row],[ada ship charge]],0)</f>
        <v>0</v>
      </c>
    </row>
    <row r="2143" spans="1:9" x14ac:dyDescent="0.2">
      <c r="A2143">
        <v>1029175</v>
      </c>
      <c r="B2143" t="s">
        <v>20</v>
      </c>
      <c r="C2143">
        <v>12.81</v>
      </c>
      <c r="D2143">
        <v>12.86</v>
      </c>
      <c r="E2143">
        <v>19.899999999999999</v>
      </c>
      <c r="F2143" t="s">
        <v>9</v>
      </c>
      <c r="G21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43">
        <f>IF(Table1[[#This Row],[is_ups_overcharge]]="ups overcharged",Table1[[#This Row],[ups ship charge]]-Table1[[#This Row],[ada ship charge]],0)</f>
        <v>0</v>
      </c>
    </row>
    <row r="2144" spans="1:9" x14ac:dyDescent="0.2">
      <c r="A2144">
        <v>1029178</v>
      </c>
      <c r="B2144" t="s">
        <v>20</v>
      </c>
      <c r="C2144">
        <v>12.81</v>
      </c>
      <c r="D2144">
        <v>12.86</v>
      </c>
      <c r="E2144">
        <v>39.950000000000003</v>
      </c>
      <c r="F2144" t="s">
        <v>9</v>
      </c>
      <c r="G21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44">
        <f>IF(Table1[[#This Row],[is_ups_overcharge]]="ups overcharged",Table1[[#This Row],[ups ship charge]]-Table1[[#This Row],[ada ship charge]],0)</f>
        <v>0</v>
      </c>
    </row>
    <row r="2145" spans="1:9" x14ac:dyDescent="0.2">
      <c r="A2145">
        <v>1029189</v>
      </c>
      <c r="B2145" t="s">
        <v>20</v>
      </c>
      <c r="C2145">
        <v>12.81</v>
      </c>
      <c r="D2145">
        <v>0</v>
      </c>
      <c r="E2145">
        <v>204</v>
      </c>
      <c r="F2145" t="s">
        <v>9</v>
      </c>
      <c r="G21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14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145">
        <f>IF(Table1[[#This Row],[is_ups_overcharge]]="ups overcharged",Table1[[#This Row],[ups ship charge]]-Table1[[#This Row],[ada ship charge]],0)</f>
        <v>0</v>
      </c>
    </row>
    <row r="2146" spans="1:9" x14ac:dyDescent="0.2">
      <c r="A2146">
        <v>1031142</v>
      </c>
      <c r="B2146" t="s">
        <v>21</v>
      </c>
      <c r="C2146">
        <v>11.02</v>
      </c>
      <c r="D2146">
        <v>12.64</v>
      </c>
      <c r="E2146">
        <v>44.5</v>
      </c>
      <c r="F2146" t="s">
        <v>14</v>
      </c>
      <c r="G21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46">
        <f>IF(Table1[[#This Row],[is_ups_overcharge]]="ups overcharged",Table1[[#This Row],[ups ship charge]]-Table1[[#This Row],[ada ship charge]],0)</f>
        <v>0</v>
      </c>
    </row>
    <row r="2147" spans="1:9" x14ac:dyDescent="0.2">
      <c r="A2147">
        <v>1029247</v>
      </c>
      <c r="B2147" t="s">
        <v>20</v>
      </c>
      <c r="C2147">
        <v>12.81</v>
      </c>
      <c r="D2147">
        <v>0</v>
      </c>
      <c r="E2147">
        <v>219.6</v>
      </c>
      <c r="F2147" t="s">
        <v>9</v>
      </c>
      <c r="G21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14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147">
        <f>IF(Table1[[#This Row],[is_ups_overcharge]]="ups overcharged",Table1[[#This Row],[ups ship charge]]-Table1[[#This Row],[ada ship charge]],0)</f>
        <v>0</v>
      </c>
    </row>
    <row r="2148" spans="1:9" x14ac:dyDescent="0.2">
      <c r="A2148">
        <v>1029261</v>
      </c>
      <c r="B2148" t="s">
        <v>20</v>
      </c>
      <c r="C2148">
        <v>9.6999999999999993</v>
      </c>
      <c r="D2148">
        <v>9.75</v>
      </c>
      <c r="E2148">
        <v>68.099999999999994</v>
      </c>
      <c r="F2148" t="s">
        <v>6</v>
      </c>
      <c r="G21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48">
        <f>IF(Table1[[#This Row],[is_ups_overcharge]]="ups overcharged",Table1[[#This Row],[ups ship charge]]-Table1[[#This Row],[ada ship charge]],0)</f>
        <v>0</v>
      </c>
    </row>
    <row r="2149" spans="1:9" x14ac:dyDescent="0.2">
      <c r="A2149">
        <v>1029265</v>
      </c>
      <c r="B2149" t="s">
        <v>20</v>
      </c>
      <c r="C2149">
        <v>13.7</v>
      </c>
      <c r="D2149">
        <v>13.75</v>
      </c>
      <c r="E2149">
        <v>24.95</v>
      </c>
      <c r="F2149" t="s">
        <v>9</v>
      </c>
      <c r="G21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49">
        <f>IF(Table1[[#This Row],[is_ups_overcharge]]="ups overcharged",Table1[[#This Row],[ups ship charge]]-Table1[[#This Row],[ada ship charge]],0)</f>
        <v>0</v>
      </c>
    </row>
    <row r="2150" spans="1:9" x14ac:dyDescent="0.2">
      <c r="A2150">
        <v>1029290</v>
      </c>
      <c r="B2150" t="s">
        <v>20</v>
      </c>
      <c r="C2150">
        <v>9.6999999999999993</v>
      </c>
      <c r="D2150">
        <v>9.75</v>
      </c>
      <c r="E2150">
        <v>15</v>
      </c>
      <c r="F2150" t="s">
        <v>6</v>
      </c>
      <c r="G21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50">
        <f>IF(Table1[[#This Row],[is_ups_overcharge]]="ups overcharged",Table1[[#This Row],[ups ship charge]]-Table1[[#This Row],[ada ship charge]],0)</f>
        <v>0</v>
      </c>
    </row>
    <row r="2151" spans="1:9" x14ac:dyDescent="0.2">
      <c r="A2151">
        <v>1029299</v>
      </c>
      <c r="B2151" t="s">
        <v>20</v>
      </c>
      <c r="C2151">
        <v>12.35</v>
      </c>
      <c r="D2151">
        <v>12.4</v>
      </c>
      <c r="E2151">
        <v>17.5</v>
      </c>
      <c r="F2151" t="s">
        <v>13</v>
      </c>
      <c r="G21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51">
        <f>IF(Table1[[#This Row],[is_ups_overcharge]]="ups overcharged",Table1[[#This Row],[ups ship charge]]-Table1[[#This Row],[ada ship charge]],0)</f>
        <v>0</v>
      </c>
    </row>
    <row r="2152" spans="1:9" x14ac:dyDescent="0.2">
      <c r="A2152">
        <v>1029342</v>
      </c>
      <c r="B2152" t="s">
        <v>20</v>
      </c>
      <c r="C2152">
        <v>15.13</v>
      </c>
      <c r="D2152">
        <v>15.77</v>
      </c>
      <c r="E2152">
        <v>54.85</v>
      </c>
      <c r="F2152" t="s">
        <v>12</v>
      </c>
      <c r="G21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52">
        <f>IF(Table1[[#This Row],[is_ups_overcharge]]="ups overcharged",Table1[[#This Row],[ups ship charge]]-Table1[[#This Row],[ada ship charge]],0)</f>
        <v>0</v>
      </c>
    </row>
    <row r="2153" spans="1:9" x14ac:dyDescent="0.2">
      <c r="A2153">
        <v>1029345</v>
      </c>
      <c r="B2153" t="s">
        <v>20</v>
      </c>
      <c r="C2153">
        <v>13.7</v>
      </c>
      <c r="D2153">
        <v>13.75</v>
      </c>
      <c r="E2153">
        <v>36.549999999999997</v>
      </c>
      <c r="F2153" t="s">
        <v>9</v>
      </c>
      <c r="G21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53">
        <f>IF(Table1[[#This Row],[is_ups_overcharge]]="ups overcharged",Table1[[#This Row],[ups ship charge]]-Table1[[#This Row],[ada ship charge]],0)</f>
        <v>0</v>
      </c>
    </row>
    <row r="2154" spans="1:9" x14ac:dyDescent="0.2">
      <c r="A2154">
        <v>1029348</v>
      </c>
      <c r="B2154" t="s">
        <v>20</v>
      </c>
      <c r="C2154">
        <v>12.81</v>
      </c>
      <c r="D2154">
        <v>0</v>
      </c>
      <c r="E2154">
        <v>246.95</v>
      </c>
      <c r="F2154" t="s">
        <v>9</v>
      </c>
      <c r="G21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15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154">
        <f>IF(Table1[[#This Row],[is_ups_overcharge]]="ups overcharged",Table1[[#This Row],[ups ship charge]]-Table1[[#This Row],[ada ship charge]],0)</f>
        <v>0</v>
      </c>
    </row>
    <row r="2155" spans="1:9" x14ac:dyDescent="0.2">
      <c r="A2155">
        <v>1029361</v>
      </c>
      <c r="B2155" t="s">
        <v>20</v>
      </c>
      <c r="C2155">
        <v>16.46</v>
      </c>
      <c r="D2155">
        <v>17.91</v>
      </c>
      <c r="E2155">
        <v>319</v>
      </c>
      <c r="F2155" t="s">
        <v>10</v>
      </c>
      <c r="G21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55">
        <f>IF(Table1[[#This Row],[is_ups_overcharge]]="ups overcharged",Table1[[#This Row],[ups ship charge]]-Table1[[#This Row],[ada ship charge]],0)</f>
        <v>0</v>
      </c>
    </row>
    <row r="2156" spans="1:9" x14ac:dyDescent="0.2">
      <c r="A2156">
        <v>1029378</v>
      </c>
      <c r="B2156" t="s">
        <v>20</v>
      </c>
      <c r="C2156">
        <v>16.46</v>
      </c>
      <c r="D2156">
        <v>16.510000000000002</v>
      </c>
      <c r="E2156">
        <v>13.85</v>
      </c>
      <c r="F2156" t="s">
        <v>10</v>
      </c>
      <c r="G21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56">
        <f>IF(Table1[[#This Row],[is_ups_overcharge]]="ups overcharged",Table1[[#This Row],[ups ship charge]]-Table1[[#This Row],[ada ship charge]],0)</f>
        <v>0</v>
      </c>
    </row>
    <row r="2157" spans="1:9" x14ac:dyDescent="0.2">
      <c r="A2157">
        <v>1029382</v>
      </c>
      <c r="B2157" t="s">
        <v>20</v>
      </c>
      <c r="C2157">
        <v>13.7</v>
      </c>
      <c r="D2157">
        <v>13.75</v>
      </c>
      <c r="E2157">
        <v>9.4499999999999993</v>
      </c>
      <c r="F2157" t="s">
        <v>9</v>
      </c>
      <c r="G21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57">
        <f>IF(Table1[[#This Row],[is_ups_overcharge]]="ups overcharged",Table1[[#This Row],[ups ship charge]]-Table1[[#This Row],[ada ship charge]],0)</f>
        <v>0</v>
      </c>
    </row>
    <row r="2158" spans="1:9" x14ac:dyDescent="0.2">
      <c r="A2158">
        <v>1029386</v>
      </c>
      <c r="B2158" t="s">
        <v>20</v>
      </c>
      <c r="C2158">
        <v>16.46</v>
      </c>
      <c r="D2158">
        <v>16.510000000000002</v>
      </c>
      <c r="E2158">
        <v>24.95</v>
      </c>
      <c r="F2158" t="s">
        <v>10</v>
      </c>
      <c r="G21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58">
        <f>IF(Table1[[#This Row],[is_ups_overcharge]]="ups overcharged",Table1[[#This Row],[ups ship charge]]-Table1[[#This Row],[ada ship charge]],0)</f>
        <v>0</v>
      </c>
    </row>
    <row r="2159" spans="1:9" x14ac:dyDescent="0.2">
      <c r="A2159">
        <v>1029390</v>
      </c>
      <c r="B2159" t="s">
        <v>20</v>
      </c>
      <c r="C2159">
        <v>12.81</v>
      </c>
      <c r="D2159">
        <v>12.86</v>
      </c>
      <c r="E2159">
        <v>29.9</v>
      </c>
      <c r="F2159" t="s">
        <v>9</v>
      </c>
      <c r="G21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59">
        <f>IF(Table1[[#This Row],[is_ups_overcharge]]="ups overcharged",Table1[[#This Row],[ups ship charge]]-Table1[[#This Row],[ada ship charge]],0)</f>
        <v>0</v>
      </c>
    </row>
    <row r="2160" spans="1:9" x14ac:dyDescent="0.2">
      <c r="A2160">
        <v>1029394</v>
      </c>
      <c r="B2160" t="s">
        <v>20</v>
      </c>
      <c r="C2160">
        <v>12.81</v>
      </c>
      <c r="D2160">
        <v>19.62</v>
      </c>
      <c r="E2160">
        <v>179.8</v>
      </c>
      <c r="F2160" t="s">
        <v>13</v>
      </c>
      <c r="G21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60">
        <f>IF(Table1[[#This Row],[is_ups_overcharge]]="ups overcharged",Table1[[#This Row],[ups ship charge]]-Table1[[#This Row],[ada ship charge]],0)</f>
        <v>0</v>
      </c>
    </row>
    <row r="2161" spans="1:9" x14ac:dyDescent="0.2">
      <c r="A2161">
        <v>1029430</v>
      </c>
      <c r="B2161" t="s">
        <v>20</v>
      </c>
      <c r="C2161">
        <v>9.7100000000000009</v>
      </c>
      <c r="D2161">
        <v>9.76</v>
      </c>
      <c r="E2161">
        <v>18.850000000000001</v>
      </c>
      <c r="F2161" t="s">
        <v>6</v>
      </c>
      <c r="G21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61">
        <f>IF(Table1[[#This Row],[is_ups_overcharge]]="ups overcharged",Table1[[#This Row],[ups ship charge]]-Table1[[#This Row],[ada ship charge]],0)</f>
        <v>0</v>
      </c>
    </row>
    <row r="2162" spans="1:9" x14ac:dyDescent="0.2">
      <c r="A2162">
        <v>1029436</v>
      </c>
      <c r="B2162" t="s">
        <v>20</v>
      </c>
      <c r="C2162">
        <v>14.81</v>
      </c>
      <c r="D2162">
        <v>14.86</v>
      </c>
      <c r="E2162">
        <v>164.05</v>
      </c>
      <c r="F2162" t="s">
        <v>16</v>
      </c>
      <c r="G21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62">
        <f>IF(Table1[[#This Row],[is_ups_overcharge]]="ups overcharged",Table1[[#This Row],[ups ship charge]]-Table1[[#This Row],[ada ship charge]],0)</f>
        <v>0</v>
      </c>
    </row>
    <row r="2163" spans="1:9" x14ac:dyDescent="0.2">
      <c r="A2163">
        <v>1029470</v>
      </c>
      <c r="B2163" t="s">
        <v>20</v>
      </c>
      <c r="C2163">
        <v>13.7</v>
      </c>
      <c r="D2163">
        <v>13.75</v>
      </c>
      <c r="E2163">
        <v>2.95</v>
      </c>
      <c r="F2163" t="s">
        <v>9</v>
      </c>
      <c r="G21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63">
        <f>IF(Table1[[#This Row],[is_ups_overcharge]]="ups overcharged",Table1[[#This Row],[ups ship charge]]-Table1[[#This Row],[ada ship charge]],0)</f>
        <v>0</v>
      </c>
    </row>
    <row r="2164" spans="1:9" x14ac:dyDescent="0.2">
      <c r="A2164">
        <v>1029473</v>
      </c>
      <c r="B2164" t="s">
        <v>20</v>
      </c>
      <c r="C2164">
        <v>12.81</v>
      </c>
      <c r="D2164">
        <v>12.86</v>
      </c>
      <c r="E2164">
        <v>42.1</v>
      </c>
      <c r="F2164" t="s">
        <v>9</v>
      </c>
      <c r="G21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64">
        <f>IF(Table1[[#This Row],[is_ups_overcharge]]="ups overcharged",Table1[[#This Row],[ups ship charge]]-Table1[[#This Row],[ada ship charge]],0)</f>
        <v>0</v>
      </c>
    </row>
    <row r="2165" spans="1:9" x14ac:dyDescent="0.2">
      <c r="A2165">
        <v>1029483</v>
      </c>
      <c r="B2165" t="s">
        <v>20</v>
      </c>
      <c r="C2165">
        <v>9.6999999999999993</v>
      </c>
      <c r="D2165">
        <v>9.75</v>
      </c>
      <c r="E2165">
        <v>13.95</v>
      </c>
      <c r="F2165" t="s">
        <v>6</v>
      </c>
      <c r="G21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65">
        <f>IF(Table1[[#This Row],[is_ups_overcharge]]="ups overcharged",Table1[[#This Row],[ups ship charge]]-Table1[[#This Row],[ada ship charge]],0)</f>
        <v>0</v>
      </c>
    </row>
    <row r="2166" spans="1:9" x14ac:dyDescent="0.2">
      <c r="A2166">
        <v>1029502</v>
      </c>
      <c r="B2166" t="s">
        <v>20</v>
      </c>
      <c r="C2166">
        <v>13.7</v>
      </c>
      <c r="D2166">
        <v>13.75</v>
      </c>
      <c r="E2166">
        <v>11.8</v>
      </c>
      <c r="F2166" t="s">
        <v>9</v>
      </c>
      <c r="G21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66">
        <f>IF(Table1[[#This Row],[is_ups_overcharge]]="ups overcharged",Table1[[#This Row],[ups ship charge]]-Table1[[#This Row],[ada ship charge]],0)</f>
        <v>0</v>
      </c>
    </row>
    <row r="2167" spans="1:9" x14ac:dyDescent="0.2">
      <c r="A2167">
        <v>1029503</v>
      </c>
      <c r="B2167" t="s">
        <v>20</v>
      </c>
      <c r="C2167">
        <v>12.81</v>
      </c>
      <c r="D2167">
        <v>0</v>
      </c>
      <c r="E2167">
        <v>225</v>
      </c>
      <c r="F2167" t="s">
        <v>9</v>
      </c>
      <c r="G21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16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167">
        <f>IF(Table1[[#This Row],[is_ups_overcharge]]="ups overcharged",Table1[[#This Row],[ups ship charge]]-Table1[[#This Row],[ada ship charge]],0)</f>
        <v>0</v>
      </c>
    </row>
    <row r="2168" spans="1:9" x14ac:dyDescent="0.2">
      <c r="A2168">
        <v>1029519</v>
      </c>
      <c r="B2168" t="s">
        <v>20</v>
      </c>
      <c r="C2168">
        <v>12.81</v>
      </c>
      <c r="D2168">
        <v>12.86</v>
      </c>
      <c r="E2168">
        <v>3.7</v>
      </c>
      <c r="F2168" t="s">
        <v>9</v>
      </c>
      <c r="G21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68">
        <f>IF(Table1[[#This Row],[is_ups_overcharge]]="ups overcharged",Table1[[#This Row],[ups ship charge]]-Table1[[#This Row],[ada ship charge]],0)</f>
        <v>0</v>
      </c>
    </row>
    <row r="2169" spans="1:9" x14ac:dyDescent="0.2">
      <c r="A2169">
        <v>1029537</v>
      </c>
      <c r="B2169" t="s">
        <v>20</v>
      </c>
      <c r="C2169">
        <v>13.7</v>
      </c>
      <c r="D2169">
        <v>13.76</v>
      </c>
      <c r="E2169">
        <v>119.75</v>
      </c>
      <c r="F2169" t="s">
        <v>9</v>
      </c>
      <c r="G21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69">
        <f>IF(Table1[[#This Row],[is_ups_overcharge]]="ups overcharged",Table1[[#This Row],[ups ship charge]]-Table1[[#This Row],[ada ship charge]],0)</f>
        <v>0</v>
      </c>
    </row>
    <row r="2170" spans="1:9" x14ac:dyDescent="0.2">
      <c r="A2170">
        <v>1029543</v>
      </c>
      <c r="B2170" t="s">
        <v>20</v>
      </c>
      <c r="C2170">
        <v>12.81</v>
      </c>
      <c r="D2170">
        <v>12.86</v>
      </c>
      <c r="E2170">
        <v>174.55</v>
      </c>
      <c r="F2170" t="s">
        <v>9</v>
      </c>
      <c r="G21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70">
        <f>IF(Table1[[#This Row],[is_ups_overcharge]]="ups overcharged",Table1[[#This Row],[ups ship charge]]-Table1[[#This Row],[ada ship charge]],0)</f>
        <v>0</v>
      </c>
    </row>
    <row r="2171" spans="1:9" x14ac:dyDescent="0.2">
      <c r="A2171">
        <v>1031170</v>
      </c>
      <c r="B2171" t="s">
        <v>21</v>
      </c>
      <c r="C2171">
        <v>12.81</v>
      </c>
      <c r="D2171">
        <v>12.86</v>
      </c>
      <c r="E2171">
        <v>10.4</v>
      </c>
      <c r="F2171" t="s">
        <v>9</v>
      </c>
      <c r="G21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71">
        <f>IF(Table1[[#This Row],[is_ups_overcharge]]="ups overcharged",Table1[[#This Row],[ups ship charge]]-Table1[[#This Row],[ada ship charge]],0)</f>
        <v>0</v>
      </c>
    </row>
    <row r="2172" spans="1:9" x14ac:dyDescent="0.2">
      <c r="A2172">
        <v>1029548</v>
      </c>
      <c r="B2172" t="s">
        <v>20</v>
      </c>
      <c r="C2172">
        <v>9.6999999999999993</v>
      </c>
      <c r="D2172">
        <v>9.75</v>
      </c>
      <c r="E2172">
        <v>63.4</v>
      </c>
      <c r="F2172" t="s">
        <v>6</v>
      </c>
      <c r="G21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72">
        <f>IF(Table1[[#This Row],[is_ups_overcharge]]="ups overcharged",Table1[[#This Row],[ups ship charge]]-Table1[[#This Row],[ada ship charge]],0)</f>
        <v>0</v>
      </c>
    </row>
    <row r="2173" spans="1:9" x14ac:dyDescent="0.2">
      <c r="A2173">
        <v>1031187</v>
      </c>
      <c r="B2173" t="s">
        <v>21</v>
      </c>
      <c r="C2173">
        <v>58.59</v>
      </c>
      <c r="D2173">
        <v>59.07</v>
      </c>
      <c r="E2173">
        <v>116.05</v>
      </c>
      <c r="F2173" t="s">
        <v>8</v>
      </c>
      <c r="G21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73">
        <f>IF(Table1[[#This Row],[is_ups_overcharge]]="ups overcharged",Table1[[#This Row],[ups ship charge]]-Table1[[#This Row],[ada ship charge]],0)</f>
        <v>0</v>
      </c>
    </row>
    <row r="2174" spans="1:9" x14ac:dyDescent="0.2">
      <c r="A2174">
        <v>1029567</v>
      </c>
      <c r="B2174" t="s">
        <v>20</v>
      </c>
      <c r="C2174">
        <v>12.81</v>
      </c>
      <c r="D2174">
        <v>12.86</v>
      </c>
      <c r="E2174">
        <v>104.65</v>
      </c>
      <c r="F2174" t="s">
        <v>9</v>
      </c>
      <c r="G21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74">
        <f>IF(Table1[[#This Row],[is_ups_overcharge]]="ups overcharged",Table1[[#This Row],[ups ship charge]]-Table1[[#This Row],[ada ship charge]],0)</f>
        <v>0</v>
      </c>
    </row>
    <row r="2175" spans="1:9" x14ac:dyDescent="0.2">
      <c r="A2175">
        <v>1029577</v>
      </c>
      <c r="B2175" t="s">
        <v>20</v>
      </c>
      <c r="C2175">
        <v>9.6999999999999993</v>
      </c>
      <c r="D2175">
        <v>12.86</v>
      </c>
      <c r="E2175">
        <v>17.8</v>
      </c>
      <c r="F2175" t="s">
        <v>6</v>
      </c>
      <c r="G21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75">
        <f>IF(Table1[[#This Row],[is_ups_overcharge]]="ups overcharged",Table1[[#This Row],[ups ship charge]]-Table1[[#This Row],[ada ship charge]],0)</f>
        <v>0</v>
      </c>
    </row>
    <row r="2176" spans="1:9" x14ac:dyDescent="0.2">
      <c r="A2176">
        <v>1029580</v>
      </c>
      <c r="B2176" t="s">
        <v>20</v>
      </c>
      <c r="C2176">
        <v>12.81</v>
      </c>
      <c r="D2176">
        <v>12.86</v>
      </c>
      <c r="E2176">
        <v>49.4</v>
      </c>
      <c r="F2176" t="s">
        <v>9</v>
      </c>
      <c r="G21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76">
        <f>IF(Table1[[#This Row],[is_ups_overcharge]]="ups overcharged",Table1[[#This Row],[ups ship charge]]-Table1[[#This Row],[ada ship charge]],0)</f>
        <v>0</v>
      </c>
    </row>
    <row r="2177" spans="1:9" x14ac:dyDescent="0.2">
      <c r="A2177">
        <v>1029583</v>
      </c>
      <c r="B2177" t="s">
        <v>20</v>
      </c>
      <c r="C2177">
        <v>12.81</v>
      </c>
      <c r="D2177">
        <v>12.86</v>
      </c>
      <c r="E2177">
        <v>60.85</v>
      </c>
      <c r="F2177" t="s">
        <v>9</v>
      </c>
      <c r="G21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77">
        <f>IF(Table1[[#This Row],[is_ups_overcharge]]="ups overcharged",Table1[[#This Row],[ups ship charge]]-Table1[[#This Row],[ada ship charge]],0)</f>
        <v>0</v>
      </c>
    </row>
    <row r="2178" spans="1:9" x14ac:dyDescent="0.2">
      <c r="A2178">
        <v>1029591</v>
      </c>
      <c r="B2178" t="s">
        <v>20</v>
      </c>
      <c r="C2178">
        <v>13.7</v>
      </c>
      <c r="D2178">
        <v>13.75</v>
      </c>
      <c r="E2178">
        <v>39.9</v>
      </c>
      <c r="F2178" t="s">
        <v>9</v>
      </c>
      <c r="G21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78">
        <f>IF(Table1[[#This Row],[is_ups_overcharge]]="ups overcharged",Table1[[#This Row],[ups ship charge]]-Table1[[#This Row],[ada ship charge]],0)</f>
        <v>0</v>
      </c>
    </row>
    <row r="2179" spans="1:9" x14ac:dyDescent="0.2">
      <c r="A2179">
        <v>1029594</v>
      </c>
      <c r="B2179" t="s">
        <v>20</v>
      </c>
      <c r="C2179">
        <v>12.81</v>
      </c>
      <c r="D2179">
        <v>12.86</v>
      </c>
      <c r="E2179">
        <v>32.700000000000003</v>
      </c>
      <c r="F2179" t="s">
        <v>9</v>
      </c>
      <c r="G21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79">
        <f>IF(Table1[[#This Row],[is_ups_overcharge]]="ups overcharged",Table1[[#This Row],[ups ship charge]]-Table1[[#This Row],[ada ship charge]],0)</f>
        <v>0</v>
      </c>
    </row>
    <row r="2180" spans="1:9" x14ac:dyDescent="0.2">
      <c r="A2180">
        <v>1029601</v>
      </c>
      <c r="B2180" t="s">
        <v>20</v>
      </c>
      <c r="C2180">
        <v>13.7</v>
      </c>
      <c r="D2180">
        <v>14.27</v>
      </c>
      <c r="E2180">
        <v>81.900000000000006</v>
      </c>
      <c r="F2180" t="s">
        <v>9</v>
      </c>
      <c r="G21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80">
        <f>IF(Table1[[#This Row],[is_ups_overcharge]]="ups overcharged",Table1[[#This Row],[ups ship charge]]-Table1[[#This Row],[ada ship charge]],0)</f>
        <v>0</v>
      </c>
    </row>
    <row r="2181" spans="1:9" x14ac:dyDescent="0.2">
      <c r="A2181">
        <v>1029607</v>
      </c>
      <c r="B2181" t="s">
        <v>20</v>
      </c>
      <c r="C2181">
        <v>13.7</v>
      </c>
      <c r="D2181">
        <v>13.75</v>
      </c>
      <c r="E2181">
        <v>26.4</v>
      </c>
      <c r="F2181" t="s">
        <v>9</v>
      </c>
      <c r="G21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81">
        <f>IF(Table1[[#This Row],[is_ups_overcharge]]="ups overcharged",Table1[[#This Row],[ups ship charge]]-Table1[[#This Row],[ada ship charge]],0)</f>
        <v>0</v>
      </c>
    </row>
    <row r="2182" spans="1:9" x14ac:dyDescent="0.2">
      <c r="A2182">
        <v>1029610</v>
      </c>
      <c r="B2182" t="s">
        <v>20</v>
      </c>
      <c r="C2182">
        <v>17.7</v>
      </c>
      <c r="D2182">
        <v>17.75</v>
      </c>
      <c r="E2182">
        <v>19.95</v>
      </c>
      <c r="F2182" t="s">
        <v>15</v>
      </c>
      <c r="G21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82">
        <f>IF(Table1[[#This Row],[is_ups_overcharge]]="ups overcharged",Table1[[#This Row],[ups ship charge]]-Table1[[#This Row],[ada ship charge]],0)</f>
        <v>0</v>
      </c>
    </row>
    <row r="2183" spans="1:9" x14ac:dyDescent="0.2">
      <c r="A2183">
        <v>1029619</v>
      </c>
      <c r="B2183" t="s">
        <v>20</v>
      </c>
      <c r="C2183">
        <v>13.7</v>
      </c>
      <c r="D2183">
        <v>13.75</v>
      </c>
      <c r="E2183">
        <v>49.9</v>
      </c>
      <c r="F2183" t="s">
        <v>9</v>
      </c>
      <c r="G21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83">
        <f>IF(Table1[[#This Row],[is_ups_overcharge]]="ups overcharged",Table1[[#This Row],[ups ship charge]]-Table1[[#This Row],[ada ship charge]],0)</f>
        <v>0</v>
      </c>
    </row>
    <row r="2184" spans="1:9" x14ac:dyDescent="0.2">
      <c r="A2184">
        <v>1029628</v>
      </c>
      <c r="B2184" t="s">
        <v>20</v>
      </c>
      <c r="C2184">
        <v>13.7</v>
      </c>
      <c r="D2184">
        <v>13.75</v>
      </c>
      <c r="E2184">
        <v>19.8</v>
      </c>
      <c r="F2184" t="s">
        <v>9</v>
      </c>
      <c r="G21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84">
        <f>IF(Table1[[#This Row],[is_ups_overcharge]]="ups overcharged",Table1[[#This Row],[ups ship charge]]-Table1[[#This Row],[ada ship charge]],0)</f>
        <v>0</v>
      </c>
    </row>
    <row r="2185" spans="1:9" x14ac:dyDescent="0.2">
      <c r="A2185">
        <v>1029635</v>
      </c>
      <c r="B2185" t="s">
        <v>20</v>
      </c>
      <c r="C2185">
        <v>11.02</v>
      </c>
      <c r="D2185">
        <v>11.07</v>
      </c>
      <c r="E2185">
        <v>39.950000000000003</v>
      </c>
      <c r="F2185" t="s">
        <v>14</v>
      </c>
      <c r="G21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85">
        <f>IF(Table1[[#This Row],[is_ups_overcharge]]="ups overcharged",Table1[[#This Row],[ups ship charge]]-Table1[[#This Row],[ada ship charge]],0)</f>
        <v>0</v>
      </c>
    </row>
    <row r="2186" spans="1:9" x14ac:dyDescent="0.2">
      <c r="A2186">
        <v>1029637</v>
      </c>
      <c r="B2186" t="s">
        <v>20</v>
      </c>
      <c r="C2186">
        <v>11.02</v>
      </c>
      <c r="D2186">
        <v>11.07</v>
      </c>
      <c r="E2186">
        <v>24.95</v>
      </c>
      <c r="F2186" t="s">
        <v>14</v>
      </c>
      <c r="G21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86">
        <f>IF(Table1[[#This Row],[is_ups_overcharge]]="ups overcharged",Table1[[#This Row],[ups ship charge]]-Table1[[#This Row],[ada ship charge]],0)</f>
        <v>0</v>
      </c>
    </row>
    <row r="2187" spans="1:9" x14ac:dyDescent="0.2">
      <c r="A2187">
        <v>1029640</v>
      </c>
      <c r="B2187" t="s">
        <v>20</v>
      </c>
      <c r="C2187">
        <v>16.77</v>
      </c>
      <c r="D2187">
        <v>16.82</v>
      </c>
      <c r="E2187">
        <v>79.95</v>
      </c>
      <c r="F2187" t="s">
        <v>10</v>
      </c>
      <c r="G21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87">
        <f>IF(Table1[[#This Row],[is_ups_overcharge]]="ups overcharged",Table1[[#This Row],[ups ship charge]]-Table1[[#This Row],[ada ship charge]],0)</f>
        <v>0</v>
      </c>
    </row>
    <row r="2188" spans="1:9" x14ac:dyDescent="0.2">
      <c r="A2188">
        <v>1029641</v>
      </c>
      <c r="B2188" t="s">
        <v>20</v>
      </c>
      <c r="C2188">
        <v>13.7</v>
      </c>
      <c r="D2188">
        <v>13.75</v>
      </c>
      <c r="E2188">
        <v>9.4499999999999993</v>
      </c>
      <c r="F2188" t="s">
        <v>9</v>
      </c>
      <c r="G21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88">
        <f>IF(Table1[[#This Row],[is_ups_overcharge]]="ups overcharged",Table1[[#This Row],[ups ship charge]]-Table1[[#This Row],[ada ship charge]],0)</f>
        <v>0</v>
      </c>
    </row>
    <row r="2189" spans="1:9" x14ac:dyDescent="0.2">
      <c r="A2189">
        <v>1029643</v>
      </c>
      <c r="B2189" t="s">
        <v>20</v>
      </c>
      <c r="C2189">
        <v>12.81</v>
      </c>
      <c r="D2189">
        <v>12.86</v>
      </c>
      <c r="E2189">
        <v>52.45</v>
      </c>
      <c r="F2189" t="s">
        <v>9</v>
      </c>
      <c r="G21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89">
        <f>IF(Table1[[#This Row],[is_ups_overcharge]]="ups overcharged",Table1[[#This Row],[ups ship charge]]-Table1[[#This Row],[ada ship charge]],0)</f>
        <v>0</v>
      </c>
    </row>
    <row r="2190" spans="1:9" x14ac:dyDescent="0.2">
      <c r="A2190">
        <v>1029654</v>
      </c>
      <c r="B2190" t="s">
        <v>20</v>
      </c>
      <c r="C2190">
        <v>15.44</v>
      </c>
      <c r="D2190">
        <v>15.49</v>
      </c>
      <c r="E2190">
        <v>112.85</v>
      </c>
      <c r="F2190" t="s">
        <v>12</v>
      </c>
      <c r="G21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90">
        <f>IF(Table1[[#This Row],[is_ups_overcharge]]="ups overcharged",Table1[[#This Row],[ups ship charge]]-Table1[[#This Row],[ada ship charge]],0)</f>
        <v>0</v>
      </c>
    </row>
    <row r="2191" spans="1:9" x14ac:dyDescent="0.2">
      <c r="A2191">
        <v>1029666</v>
      </c>
      <c r="B2191" t="s">
        <v>20</v>
      </c>
      <c r="C2191">
        <v>13.7</v>
      </c>
      <c r="D2191">
        <v>13.75</v>
      </c>
      <c r="E2191">
        <v>32.65</v>
      </c>
      <c r="F2191" t="s">
        <v>9</v>
      </c>
      <c r="G21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91">
        <f>IF(Table1[[#This Row],[is_ups_overcharge]]="ups overcharged",Table1[[#This Row],[ups ship charge]]-Table1[[#This Row],[ada ship charge]],0)</f>
        <v>0</v>
      </c>
    </row>
    <row r="2192" spans="1:9" x14ac:dyDescent="0.2">
      <c r="A2192">
        <v>1029669</v>
      </c>
      <c r="B2192" t="s">
        <v>20</v>
      </c>
      <c r="C2192">
        <v>12.81</v>
      </c>
      <c r="D2192">
        <v>12.86</v>
      </c>
      <c r="E2192">
        <v>39.950000000000003</v>
      </c>
      <c r="F2192" t="s">
        <v>9</v>
      </c>
      <c r="G21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92">
        <f>IF(Table1[[#This Row],[is_ups_overcharge]]="ups overcharged",Table1[[#This Row],[ups ship charge]]-Table1[[#This Row],[ada ship charge]],0)</f>
        <v>0</v>
      </c>
    </row>
    <row r="2193" spans="1:9" x14ac:dyDescent="0.2">
      <c r="A2193">
        <v>1029670</v>
      </c>
      <c r="B2193" t="s">
        <v>20</v>
      </c>
      <c r="C2193">
        <v>16.77</v>
      </c>
      <c r="D2193">
        <v>16.82</v>
      </c>
      <c r="E2193">
        <v>36.85</v>
      </c>
      <c r="F2193" t="s">
        <v>10</v>
      </c>
      <c r="G21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93">
        <f>IF(Table1[[#This Row],[is_ups_overcharge]]="ups overcharged",Table1[[#This Row],[ups ship charge]]-Table1[[#This Row],[ada ship charge]],0)</f>
        <v>0</v>
      </c>
    </row>
    <row r="2194" spans="1:9" x14ac:dyDescent="0.2">
      <c r="A2194">
        <v>1029671</v>
      </c>
      <c r="B2194" t="s">
        <v>20</v>
      </c>
      <c r="C2194">
        <v>13.7</v>
      </c>
      <c r="D2194">
        <v>0</v>
      </c>
      <c r="E2194">
        <v>216.35</v>
      </c>
      <c r="F2194" t="s">
        <v>9</v>
      </c>
      <c r="G21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19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194">
        <f>IF(Table1[[#This Row],[is_ups_overcharge]]="ups overcharged",Table1[[#This Row],[ups ship charge]]-Table1[[#This Row],[ada ship charge]],0)</f>
        <v>0</v>
      </c>
    </row>
    <row r="2195" spans="1:9" x14ac:dyDescent="0.2">
      <c r="A2195">
        <v>1029680</v>
      </c>
      <c r="B2195" t="s">
        <v>20</v>
      </c>
      <c r="C2195">
        <v>16.559999999999999</v>
      </c>
      <c r="D2195">
        <v>0</v>
      </c>
      <c r="E2195">
        <v>506.45</v>
      </c>
      <c r="F2195" t="s">
        <v>9</v>
      </c>
      <c r="G21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19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195">
        <f>IF(Table1[[#This Row],[is_ups_overcharge]]="ups overcharged",Table1[[#This Row],[ups ship charge]]-Table1[[#This Row],[ada ship charge]],0)</f>
        <v>0</v>
      </c>
    </row>
    <row r="2196" spans="1:9" x14ac:dyDescent="0.2">
      <c r="A2196">
        <v>1029683</v>
      </c>
      <c r="B2196" t="s">
        <v>20</v>
      </c>
      <c r="C2196">
        <v>12.81</v>
      </c>
      <c r="D2196">
        <v>12.86</v>
      </c>
      <c r="E2196">
        <v>97.35</v>
      </c>
      <c r="F2196" t="s">
        <v>9</v>
      </c>
      <c r="G21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96">
        <f>IF(Table1[[#This Row],[is_ups_overcharge]]="ups overcharged",Table1[[#This Row],[ups ship charge]]-Table1[[#This Row],[ada ship charge]],0)</f>
        <v>0</v>
      </c>
    </row>
    <row r="2197" spans="1:9" x14ac:dyDescent="0.2">
      <c r="A2197">
        <v>1029696</v>
      </c>
      <c r="B2197" t="s">
        <v>20</v>
      </c>
      <c r="C2197">
        <v>12.81</v>
      </c>
      <c r="D2197">
        <v>12.86</v>
      </c>
      <c r="E2197">
        <v>121.05</v>
      </c>
      <c r="F2197" t="s">
        <v>9</v>
      </c>
      <c r="G21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97">
        <f>IF(Table1[[#This Row],[is_ups_overcharge]]="ups overcharged",Table1[[#This Row],[ups ship charge]]-Table1[[#This Row],[ada ship charge]],0)</f>
        <v>0</v>
      </c>
    </row>
    <row r="2198" spans="1:9" x14ac:dyDescent="0.2">
      <c r="A2198">
        <v>1029709</v>
      </c>
      <c r="B2198" t="s">
        <v>20</v>
      </c>
      <c r="C2198">
        <v>12.81</v>
      </c>
      <c r="D2198">
        <v>12.86</v>
      </c>
      <c r="E2198">
        <v>14.9</v>
      </c>
      <c r="F2198" t="s">
        <v>9</v>
      </c>
      <c r="G21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98">
        <f>IF(Table1[[#This Row],[is_ups_overcharge]]="ups overcharged",Table1[[#This Row],[ups ship charge]]-Table1[[#This Row],[ada ship charge]],0)</f>
        <v>0</v>
      </c>
    </row>
    <row r="2199" spans="1:9" x14ac:dyDescent="0.2">
      <c r="A2199">
        <v>1029711</v>
      </c>
      <c r="B2199" t="s">
        <v>20</v>
      </c>
      <c r="C2199">
        <v>12.81</v>
      </c>
      <c r="D2199">
        <v>12.86</v>
      </c>
      <c r="E2199">
        <v>114.25</v>
      </c>
      <c r="F2199" t="s">
        <v>9</v>
      </c>
      <c r="G21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1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199">
        <f>IF(Table1[[#This Row],[is_ups_overcharge]]="ups overcharged",Table1[[#This Row],[ups ship charge]]-Table1[[#This Row],[ada ship charge]],0)</f>
        <v>0</v>
      </c>
    </row>
    <row r="2200" spans="1:9" x14ac:dyDescent="0.2">
      <c r="A2200">
        <v>1029725</v>
      </c>
      <c r="B2200" t="s">
        <v>20</v>
      </c>
      <c r="C2200">
        <v>12.81</v>
      </c>
      <c r="D2200">
        <v>12.86</v>
      </c>
      <c r="E2200">
        <v>56.1</v>
      </c>
      <c r="F2200" t="s">
        <v>9</v>
      </c>
      <c r="G22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00">
        <f>IF(Table1[[#This Row],[is_ups_overcharge]]="ups overcharged",Table1[[#This Row],[ups ship charge]]-Table1[[#This Row],[ada ship charge]],0)</f>
        <v>0</v>
      </c>
    </row>
    <row r="2201" spans="1:9" x14ac:dyDescent="0.2">
      <c r="A2201">
        <v>1029754</v>
      </c>
      <c r="B2201" t="s">
        <v>20</v>
      </c>
      <c r="C2201">
        <v>13.7</v>
      </c>
      <c r="D2201">
        <v>13.75</v>
      </c>
      <c r="E2201">
        <v>21.85</v>
      </c>
      <c r="F2201" t="s">
        <v>9</v>
      </c>
      <c r="G22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01">
        <f>IF(Table1[[#This Row],[is_ups_overcharge]]="ups overcharged",Table1[[#This Row],[ups ship charge]]-Table1[[#This Row],[ada ship charge]],0)</f>
        <v>0</v>
      </c>
    </row>
    <row r="2202" spans="1:9" x14ac:dyDescent="0.2">
      <c r="A2202">
        <v>1029772</v>
      </c>
      <c r="B2202" t="s">
        <v>20</v>
      </c>
      <c r="C2202">
        <v>13.7</v>
      </c>
      <c r="D2202">
        <v>13.75</v>
      </c>
      <c r="E2202">
        <v>49.9</v>
      </c>
      <c r="F2202" t="s">
        <v>9</v>
      </c>
      <c r="G22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02">
        <f>IF(Table1[[#This Row],[is_ups_overcharge]]="ups overcharged",Table1[[#This Row],[ups ship charge]]-Table1[[#This Row],[ada ship charge]],0)</f>
        <v>0</v>
      </c>
    </row>
    <row r="2203" spans="1:9" x14ac:dyDescent="0.2">
      <c r="A2203">
        <v>1029780</v>
      </c>
      <c r="B2203" t="s">
        <v>20</v>
      </c>
      <c r="C2203">
        <v>23.33</v>
      </c>
      <c r="D2203">
        <v>23.38</v>
      </c>
      <c r="E2203">
        <v>122.5</v>
      </c>
      <c r="F2203" t="s">
        <v>15</v>
      </c>
      <c r="G22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03">
        <f>IF(Table1[[#This Row],[is_ups_overcharge]]="ups overcharged",Table1[[#This Row],[ups ship charge]]-Table1[[#This Row],[ada ship charge]],0)</f>
        <v>0</v>
      </c>
    </row>
    <row r="2204" spans="1:9" x14ac:dyDescent="0.2">
      <c r="A2204">
        <v>1029785</v>
      </c>
      <c r="B2204" t="s">
        <v>20</v>
      </c>
      <c r="C2204">
        <v>9.6999999999999993</v>
      </c>
      <c r="D2204">
        <v>9.75</v>
      </c>
      <c r="E2204">
        <v>174.4</v>
      </c>
      <c r="F2204" t="s">
        <v>6</v>
      </c>
      <c r="G22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04">
        <f>IF(Table1[[#This Row],[is_ups_overcharge]]="ups overcharged",Table1[[#This Row],[ups ship charge]]-Table1[[#This Row],[ada ship charge]],0)</f>
        <v>0</v>
      </c>
    </row>
    <row r="2205" spans="1:9" x14ac:dyDescent="0.2">
      <c r="A2205">
        <v>1029799</v>
      </c>
      <c r="B2205" t="s">
        <v>20</v>
      </c>
      <c r="C2205">
        <v>9.6999999999999993</v>
      </c>
      <c r="D2205">
        <v>10.31</v>
      </c>
      <c r="E2205">
        <v>98.1</v>
      </c>
      <c r="F2205" t="s">
        <v>6</v>
      </c>
      <c r="G22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05">
        <f>IF(Table1[[#This Row],[is_ups_overcharge]]="ups overcharged",Table1[[#This Row],[ups ship charge]]-Table1[[#This Row],[ada ship charge]],0)</f>
        <v>0</v>
      </c>
    </row>
    <row r="2206" spans="1:9" x14ac:dyDescent="0.2">
      <c r="A2206">
        <v>1029802</v>
      </c>
      <c r="B2206" t="s">
        <v>20</v>
      </c>
      <c r="C2206">
        <v>13.7</v>
      </c>
      <c r="D2206">
        <v>13.75</v>
      </c>
      <c r="E2206">
        <v>52.35</v>
      </c>
      <c r="F2206" t="s">
        <v>9</v>
      </c>
      <c r="G22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06">
        <f>IF(Table1[[#This Row],[is_ups_overcharge]]="ups overcharged",Table1[[#This Row],[ups ship charge]]-Table1[[#This Row],[ada ship charge]],0)</f>
        <v>0</v>
      </c>
    </row>
    <row r="2207" spans="1:9" x14ac:dyDescent="0.2">
      <c r="A2207">
        <v>1029804</v>
      </c>
      <c r="B2207" t="s">
        <v>20</v>
      </c>
      <c r="C2207">
        <v>9.6999999999999993</v>
      </c>
      <c r="D2207">
        <v>9.75</v>
      </c>
      <c r="E2207">
        <v>31.85</v>
      </c>
      <c r="F2207" t="s">
        <v>6</v>
      </c>
      <c r="G22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07">
        <f>IF(Table1[[#This Row],[is_ups_overcharge]]="ups overcharged",Table1[[#This Row],[ups ship charge]]-Table1[[#This Row],[ada ship charge]],0)</f>
        <v>0</v>
      </c>
    </row>
    <row r="2208" spans="1:9" x14ac:dyDescent="0.2">
      <c r="A2208">
        <v>1029808</v>
      </c>
      <c r="B2208" t="s">
        <v>20</v>
      </c>
      <c r="C2208">
        <v>12.81</v>
      </c>
      <c r="D2208">
        <v>12.86</v>
      </c>
      <c r="E2208">
        <v>25.35</v>
      </c>
      <c r="F2208" t="s">
        <v>9</v>
      </c>
      <c r="G22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08">
        <f>IF(Table1[[#This Row],[is_ups_overcharge]]="ups overcharged",Table1[[#This Row],[ups ship charge]]-Table1[[#This Row],[ada ship charge]],0)</f>
        <v>0</v>
      </c>
    </row>
    <row r="2209" spans="1:9" x14ac:dyDescent="0.2">
      <c r="A2209">
        <v>1029812</v>
      </c>
      <c r="B2209" t="s">
        <v>20</v>
      </c>
      <c r="C2209">
        <v>12.81</v>
      </c>
      <c r="D2209">
        <v>12.86</v>
      </c>
      <c r="E2209">
        <v>14.85</v>
      </c>
      <c r="F2209" t="s">
        <v>9</v>
      </c>
      <c r="G22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09">
        <f>IF(Table1[[#This Row],[is_ups_overcharge]]="ups overcharged",Table1[[#This Row],[ups ship charge]]-Table1[[#This Row],[ada ship charge]],0)</f>
        <v>0</v>
      </c>
    </row>
    <row r="2210" spans="1:9" x14ac:dyDescent="0.2">
      <c r="A2210">
        <v>1029832</v>
      </c>
      <c r="B2210" t="s">
        <v>20</v>
      </c>
      <c r="C2210">
        <v>12.81</v>
      </c>
      <c r="D2210">
        <v>12.86</v>
      </c>
      <c r="E2210">
        <v>20.95</v>
      </c>
      <c r="F2210" t="s">
        <v>9</v>
      </c>
      <c r="G22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10">
        <f>IF(Table1[[#This Row],[is_ups_overcharge]]="ups overcharged",Table1[[#This Row],[ups ship charge]]-Table1[[#This Row],[ada ship charge]],0)</f>
        <v>0</v>
      </c>
    </row>
    <row r="2211" spans="1:9" x14ac:dyDescent="0.2">
      <c r="A2211">
        <v>1029835</v>
      </c>
      <c r="B2211" t="s">
        <v>20</v>
      </c>
      <c r="C2211">
        <v>16.46</v>
      </c>
      <c r="D2211">
        <v>16.510000000000002</v>
      </c>
      <c r="E2211">
        <v>7.95</v>
      </c>
      <c r="F2211" t="s">
        <v>10</v>
      </c>
      <c r="G22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11">
        <f>IF(Table1[[#This Row],[is_ups_overcharge]]="ups overcharged",Table1[[#This Row],[ups ship charge]]-Table1[[#This Row],[ada ship charge]],0)</f>
        <v>0</v>
      </c>
    </row>
    <row r="2212" spans="1:9" x14ac:dyDescent="0.2">
      <c r="A2212">
        <v>1031191</v>
      </c>
      <c r="B2212" t="s">
        <v>21</v>
      </c>
      <c r="C2212">
        <v>9.6999999999999993</v>
      </c>
      <c r="D2212">
        <v>9.75</v>
      </c>
      <c r="E2212">
        <v>34.9</v>
      </c>
      <c r="F2212" t="s">
        <v>6</v>
      </c>
      <c r="G22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12">
        <f>IF(Table1[[#This Row],[is_ups_overcharge]]="ups overcharged",Table1[[#This Row],[ups ship charge]]-Table1[[#This Row],[ada ship charge]],0)</f>
        <v>0</v>
      </c>
    </row>
    <row r="2213" spans="1:9" x14ac:dyDescent="0.2">
      <c r="A2213">
        <v>1029843</v>
      </c>
      <c r="B2213" t="s">
        <v>20</v>
      </c>
      <c r="C2213">
        <v>9.6999999999999993</v>
      </c>
      <c r="D2213">
        <v>12.86</v>
      </c>
      <c r="E2213">
        <v>27.85</v>
      </c>
      <c r="F2213" t="s">
        <v>6</v>
      </c>
      <c r="G22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13">
        <f>IF(Table1[[#This Row],[is_ups_overcharge]]="ups overcharged",Table1[[#This Row],[ups ship charge]]-Table1[[#This Row],[ada ship charge]],0)</f>
        <v>0</v>
      </c>
    </row>
    <row r="2214" spans="1:9" x14ac:dyDescent="0.2">
      <c r="A2214">
        <v>1029848</v>
      </c>
      <c r="B2214" t="s">
        <v>20</v>
      </c>
      <c r="C2214">
        <v>13.71</v>
      </c>
      <c r="D2214">
        <v>13.76</v>
      </c>
      <c r="E2214">
        <v>62.95</v>
      </c>
      <c r="F2214" t="s">
        <v>9</v>
      </c>
      <c r="G22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14">
        <f>IF(Table1[[#This Row],[is_ups_overcharge]]="ups overcharged",Table1[[#This Row],[ups ship charge]]-Table1[[#This Row],[ada ship charge]],0)</f>
        <v>0</v>
      </c>
    </row>
    <row r="2215" spans="1:9" x14ac:dyDescent="0.2">
      <c r="A2215">
        <v>1029854</v>
      </c>
      <c r="B2215" t="s">
        <v>20</v>
      </c>
      <c r="C2215">
        <v>13.7</v>
      </c>
      <c r="D2215">
        <v>13.75</v>
      </c>
      <c r="E2215">
        <v>45.85</v>
      </c>
      <c r="F2215" t="s">
        <v>9</v>
      </c>
      <c r="G22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15">
        <f>IF(Table1[[#This Row],[is_ups_overcharge]]="ups overcharged",Table1[[#This Row],[ups ship charge]]-Table1[[#This Row],[ada ship charge]],0)</f>
        <v>0</v>
      </c>
    </row>
    <row r="2216" spans="1:9" x14ac:dyDescent="0.2">
      <c r="A2216">
        <v>1029856</v>
      </c>
      <c r="B2216" t="s">
        <v>20</v>
      </c>
      <c r="C2216">
        <v>9.6999999999999993</v>
      </c>
      <c r="D2216">
        <v>9.75</v>
      </c>
      <c r="E2216">
        <v>48.35</v>
      </c>
      <c r="F2216" t="s">
        <v>6</v>
      </c>
      <c r="G22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16">
        <f>IF(Table1[[#This Row],[is_ups_overcharge]]="ups overcharged",Table1[[#This Row],[ups ship charge]]-Table1[[#This Row],[ada ship charge]],0)</f>
        <v>0</v>
      </c>
    </row>
    <row r="2217" spans="1:9" x14ac:dyDescent="0.2">
      <c r="A2217">
        <v>1029860</v>
      </c>
      <c r="B2217" t="s">
        <v>20</v>
      </c>
      <c r="C2217">
        <v>9.6999999999999993</v>
      </c>
      <c r="D2217">
        <v>13.75</v>
      </c>
      <c r="E2217">
        <v>39.299999999999997</v>
      </c>
      <c r="F2217" t="s">
        <v>6</v>
      </c>
      <c r="G22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17">
        <f>IF(Table1[[#This Row],[is_ups_overcharge]]="ups overcharged",Table1[[#This Row],[ups ship charge]]-Table1[[#This Row],[ada ship charge]],0)</f>
        <v>0</v>
      </c>
    </row>
    <row r="2218" spans="1:9" x14ac:dyDescent="0.2">
      <c r="A2218">
        <v>1029866</v>
      </c>
      <c r="B2218" t="s">
        <v>20</v>
      </c>
      <c r="C2218">
        <v>13.7</v>
      </c>
      <c r="D2218">
        <v>13.76</v>
      </c>
      <c r="E2218">
        <v>35.75</v>
      </c>
      <c r="F2218" t="s">
        <v>9</v>
      </c>
      <c r="G22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18">
        <f>IF(Table1[[#This Row],[is_ups_overcharge]]="ups overcharged",Table1[[#This Row],[ups ship charge]]-Table1[[#This Row],[ada ship charge]],0)</f>
        <v>0</v>
      </c>
    </row>
    <row r="2219" spans="1:9" x14ac:dyDescent="0.2">
      <c r="A2219">
        <v>1029870</v>
      </c>
      <c r="B2219" t="s">
        <v>20</v>
      </c>
      <c r="C2219">
        <v>12.81</v>
      </c>
      <c r="D2219">
        <v>12.86</v>
      </c>
      <c r="E2219">
        <v>75.5</v>
      </c>
      <c r="F2219" t="s">
        <v>9</v>
      </c>
      <c r="G22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19">
        <f>IF(Table1[[#This Row],[is_ups_overcharge]]="ups overcharged",Table1[[#This Row],[ups ship charge]]-Table1[[#This Row],[ada ship charge]],0)</f>
        <v>0</v>
      </c>
    </row>
    <row r="2220" spans="1:9" x14ac:dyDescent="0.2">
      <c r="A2220">
        <v>1029902</v>
      </c>
      <c r="B2220" t="s">
        <v>20</v>
      </c>
      <c r="C2220">
        <v>13.7</v>
      </c>
      <c r="D2220">
        <v>13.75</v>
      </c>
      <c r="E2220">
        <v>64.95</v>
      </c>
      <c r="F2220" t="s">
        <v>9</v>
      </c>
      <c r="G22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20">
        <f>IF(Table1[[#This Row],[is_ups_overcharge]]="ups overcharged",Table1[[#This Row],[ups ship charge]]-Table1[[#This Row],[ada ship charge]],0)</f>
        <v>0</v>
      </c>
    </row>
    <row r="2221" spans="1:9" x14ac:dyDescent="0.2">
      <c r="A2221">
        <v>1029915</v>
      </c>
      <c r="B2221" t="s">
        <v>20</v>
      </c>
      <c r="C2221">
        <v>12.81</v>
      </c>
      <c r="D2221">
        <v>13.31</v>
      </c>
      <c r="E2221">
        <v>55.15</v>
      </c>
      <c r="F2221" t="s">
        <v>9</v>
      </c>
      <c r="G22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21">
        <f>IF(Table1[[#This Row],[is_ups_overcharge]]="ups overcharged",Table1[[#This Row],[ups ship charge]]-Table1[[#This Row],[ada ship charge]],0)</f>
        <v>0</v>
      </c>
    </row>
    <row r="2222" spans="1:9" x14ac:dyDescent="0.2">
      <c r="A2222">
        <v>1029918</v>
      </c>
      <c r="B2222" t="s">
        <v>20</v>
      </c>
      <c r="C2222">
        <v>16.77</v>
      </c>
      <c r="D2222">
        <v>16.82</v>
      </c>
      <c r="E2222">
        <v>33.5</v>
      </c>
      <c r="F2222" t="s">
        <v>10</v>
      </c>
      <c r="G22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22">
        <f>IF(Table1[[#This Row],[is_ups_overcharge]]="ups overcharged",Table1[[#This Row],[ups ship charge]]-Table1[[#This Row],[ada ship charge]],0)</f>
        <v>0</v>
      </c>
    </row>
    <row r="2223" spans="1:9" x14ac:dyDescent="0.2">
      <c r="A2223">
        <v>1029982</v>
      </c>
      <c r="B2223" t="s">
        <v>20</v>
      </c>
      <c r="C2223">
        <v>13.7</v>
      </c>
      <c r="D2223">
        <v>13.75</v>
      </c>
      <c r="E2223">
        <v>6.95</v>
      </c>
      <c r="F2223" t="s">
        <v>9</v>
      </c>
      <c r="G22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23">
        <f>IF(Table1[[#This Row],[is_ups_overcharge]]="ups overcharged",Table1[[#This Row],[ups ship charge]]-Table1[[#This Row],[ada ship charge]],0)</f>
        <v>0</v>
      </c>
    </row>
    <row r="2224" spans="1:9" x14ac:dyDescent="0.2">
      <c r="A2224">
        <v>1029986</v>
      </c>
      <c r="B2224" t="s">
        <v>20</v>
      </c>
      <c r="C2224">
        <v>12.81</v>
      </c>
      <c r="D2224">
        <v>12.86</v>
      </c>
      <c r="E2224">
        <v>19.45</v>
      </c>
      <c r="F2224" t="s">
        <v>9</v>
      </c>
      <c r="G22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24">
        <f>IF(Table1[[#This Row],[is_ups_overcharge]]="ups overcharged",Table1[[#This Row],[ups ship charge]]-Table1[[#This Row],[ada ship charge]],0)</f>
        <v>0</v>
      </c>
    </row>
    <row r="2225" spans="1:9" x14ac:dyDescent="0.2">
      <c r="A2225">
        <v>1029990</v>
      </c>
      <c r="B2225" t="s">
        <v>20</v>
      </c>
      <c r="C2225">
        <v>12.81</v>
      </c>
      <c r="D2225">
        <v>12.86</v>
      </c>
      <c r="E2225">
        <v>77.650000000000006</v>
      </c>
      <c r="F2225" t="s">
        <v>9</v>
      </c>
      <c r="G22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25">
        <f>IF(Table1[[#This Row],[is_ups_overcharge]]="ups overcharged",Table1[[#This Row],[ups ship charge]]-Table1[[#This Row],[ada ship charge]],0)</f>
        <v>0</v>
      </c>
    </row>
    <row r="2226" spans="1:9" x14ac:dyDescent="0.2">
      <c r="A2226">
        <v>1030007</v>
      </c>
      <c r="B2226" t="s">
        <v>20</v>
      </c>
      <c r="C2226">
        <v>12.81</v>
      </c>
      <c r="D2226">
        <v>12.86</v>
      </c>
      <c r="E2226">
        <v>91.45</v>
      </c>
      <c r="F2226" t="s">
        <v>9</v>
      </c>
      <c r="G22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26">
        <f>IF(Table1[[#This Row],[is_ups_overcharge]]="ups overcharged",Table1[[#This Row],[ups ship charge]]-Table1[[#This Row],[ada ship charge]],0)</f>
        <v>0</v>
      </c>
    </row>
    <row r="2227" spans="1:9" x14ac:dyDescent="0.2">
      <c r="A2227">
        <v>1030008</v>
      </c>
      <c r="B2227" t="s">
        <v>20</v>
      </c>
      <c r="C2227">
        <v>21.55</v>
      </c>
      <c r="D2227">
        <v>22.97</v>
      </c>
      <c r="E2227">
        <v>81.8</v>
      </c>
      <c r="F2227" t="s">
        <v>15</v>
      </c>
      <c r="G22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27">
        <f>IF(Table1[[#This Row],[is_ups_overcharge]]="ups overcharged",Table1[[#This Row],[ups ship charge]]-Table1[[#This Row],[ada ship charge]],0)</f>
        <v>0</v>
      </c>
    </row>
    <row r="2228" spans="1:9" x14ac:dyDescent="0.2">
      <c r="A2228">
        <v>1030009</v>
      </c>
      <c r="B2228" t="s">
        <v>20</v>
      </c>
      <c r="C2228">
        <v>12.81</v>
      </c>
      <c r="D2228">
        <v>12.86</v>
      </c>
      <c r="E2228">
        <v>32.450000000000003</v>
      </c>
      <c r="F2228" t="s">
        <v>9</v>
      </c>
      <c r="G22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28">
        <f>IF(Table1[[#This Row],[is_ups_overcharge]]="ups overcharged",Table1[[#This Row],[ups ship charge]]-Table1[[#This Row],[ada ship charge]],0)</f>
        <v>0</v>
      </c>
    </row>
    <row r="2229" spans="1:9" x14ac:dyDescent="0.2">
      <c r="A2229">
        <v>1030013</v>
      </c>
      <c r="B2229" t="s">
        <v>20</v>
      </c>
      <c r="C2229">
        <v>13.7</v>
      </c>
      <c r="D2229">
        <v>13.75</v>
      </c>
      <c r="E2229">
        <v>49.95</v>
      </c>
      <c r="F2229" t="s">
        <v>9</v>
      </c>
      <c r="G22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29">
        <f>IF(Table1[[#This Row],[is_ups_overcharge]]="ups overcharged",Table1[[#This Row],[ups ship charge]]-Table1[[#This Row],[ada ship charge]],0)</f>
        <v>0</v>
      </c>
    </row>
    <row r="2230" spans="1:9" x14ac:dyDescent="0.2">
      <c r="A2230">
        <v>1030026</v>
      </c>
      <c r="B2230" t="s">
        <v>20</v>
      </c>
      <c r="C2230">
        <v>12.81</v>
      </c>
      <c r="D2230">
        <v>12.86</v>
      </c>
      <c r="E2230">
        <v>18.95</v>
      </c>
      <c r="F2230" t="s">
        <v>9</v>
      </c>
      <c r="G22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30">
        <f>IF(Table1[[#This Row],[is_ups_overcharge]]="ups overcharged",Table1[[#This Row],[ups ship charge]]-Table1[[#This Row],[ada ship charge]],0)</f>
        <v>0</v>
      </c>
    </row>
    <row r="2231" spans="1:9" x14ac:dyDescent="0.2">
      <c r="A2231">
        <v>1030030</v>
      </c>
      <c r="B2231" t="s">
        <v>20</v>
      </c>
      <c r="C2231">
        <v>12.81</v>
      </c>
      <c r="D2231">
        <v>12.86</v>
      </c>
      <c r="E2231">
        <v>75.900000000000006</v>
      </c>
      <c r="F2231" t="s">
        <v>9</v>
      </c>
      <c r="G22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31">
        <f>IF(Table1[[#This Row],[is_ups_overcharge]]="ups overcharged",Table1[[#This Row],[ups ship charge]]-Table1[[#This Row],[ada ship charge]],0)</f>
        <v>0</v>
      </c>
    </row>
    <row r="2232" spans="1:9" x14ac:dyDescent="0.2">
      <c r="A2232">
        <v>1030040</v>
      </c>
      <c r="B2232" t="s">
        <v>20</v>
      </c>
      <c r="C2232">
        <v>13.7</v>
      </c>
      <c r="D2232">
        <v>13.75</v>
      </c>
      <c r="E2232">
        <v>60.2</v>
      </c>
      <c r="F2232" t="s">
        <v>9</v>
      </c>
      <c r="G22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32">
        <f>IF(Table1[[#This Row],[is_ups_overcharge]]="ups overcharged",Table1[[#This Row],[ups ship charge]]-Table1[[#This Row],[ada ship charge]],0)</f>
        <v>0</v>
      </c>
    </row>
    <row r="2233" spans="1:9" x14ac:dyDescent="0.2">
      <c r="A2233">
        <v>1030049</v>
      </c>
      <c r="B2233" t="s">
        <v>20</v>
      </c>
      <c r="C2233">
        <v>12.81</v>
      </c>
      <c r="D2233">
        <v>12.86</v>
      </c>
      <c r="E2233">
        <v>95.85</v>
      </c>
      <c r="F2233" t="s">
        <v>9</v>
      </c>
      <c r="G22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33">
        <f>IF(Table1[[#This Row],[is_ups_overcharge]]="ups overcharged",Table1[[#This Row],[ups ship charge]]-Table1[[#This Row],[ada ship charge]],0)</f>
        <v>0</v>
      </c>
    </row>
    <row r="2234" spans="1:9" x14ac:dyDescent="0.2">
      <c r="A2234">
        <v>1030067</v>
      </c>
      <c r="B2234" t="s">
        <v>20</v>
      </c>
      <c r="C2234">
        <v>12.81</v>
      </c>
      <c r="D2234">
        <v>12.86</v>
      </c>
      <c r="E2234">
        <v>23.55</v>
      </c>
      <c r="F2234" t="s">
        <v>9</v>
      </c>
      <c r="G22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34">
        <f>IF(Table1[[#This Row],[is_ups_overcharge]]="ups overcharged",Table1[[#This Row],[ups ship charge]]-Table1[[#This Row],[ada ship charge]],0)</f>
        <v>0</v>
      </c>
    </row>
    <row r="2235" spans="1:9" x14ac:dyDescent="0.2">
      <c r="A2235">
        <v>1030069</v>
      </c>
      <c r="B2235" t="s">
        <v>20</v>
      </c>
      <c r="C2235">
        <v>12.81</v>
      </c>
      <c r="D2235">
        <v>12.86</v>
      </c>
      <c r="E2235">
        <v>55.3</v>
      </c>
      <c r="F2235" t="s">
        <v>9</v>
      </c>
      <c r="G22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35">
        <f>IF(Table1[[#This Row],[is_ups_overcharge]]="ups overcharged",Table1[[#This Row],[ups ship charge]]-Table1[[#This Row],[ada ship charge]],0)</f>
        <v>0</v>
      </c>
    </row>
    <row r="2236" spans="1:9" x14ac:dyDescent="0.2">
      <c r="A2236">
        <v>1030082</v>
      </c>
      <c r="B2236" t="s">
        <v>20</v>
      </c>
      <c r="C2236">
        <v>15.44</v>
      </c>
      <c r="D2236">
        <v>15.49</v>
      </c>
      <c r="E2236">
        <v>52.45</v>
      </c>
      <c r="F2236" t="s">
        <v>12</v>
      </c>
      <c r="G22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36">
        <f>IF(Table1[[#This Row],[is_ups_overcharge]]="ups overcharged",Table1[[#This Row],[ups ship charge]]-Table1[[#This Row],[ada ship charge]],0)</f>
        <v>0</v>
      </c>
    </row>
    <row r="2237" spans="1:9" x14ac:dyDescent="0.2">
      <c r="A2237">
        <v>1030092</v>
      </c>
      <c r="B2237" t="s">
        <v>20</v>
      </c>
      <c r="C2237">
        <v>12.45</v>
      </c>
      <c r="D2237">
        <v>12.5</v>
      </c>
      <c r="E2237">
        <v>30</v>
      </c>
      <c r="F2237" t="s">
        <v>13</v>
      </c>
      <c r="G22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37">
        <f>IF(Table1[[#This Row],[is_ups_overcharge]]="ups overcharged",Table1[[#This Row],[ups ship charge]]-Table1[[#This Row],[ada ship charge]],0)</f>
        <v>0</v>
      </c>
    </row>
    <row r="2238" spans="1:9" x14ac:dyDescent="0.2">
      <c r="A2238">
        <v>1030098</v>
      </c>
      <c r="B2238" t="s">
        <v>20</v>
      </c>
      <c r="C2238">
        <v>12.81</v>
      </c>
      <c r="D2238">
        <v>12.86</v>
      </c>
      <c r="E2238">
        <v>59.9</v>
      </c>
      <c r="F2238" t="s">
        <v>9</v>
      </c>
      <c r="G22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38">
        <f>IF(Table1[[#This Row],[is_ups_overcharge]]="ups overcharged",Table1[[#This Row],[ups ship charge]]-Table1[[#This Row],[ada ship charge]],0)</f>
        <v>0</v>
      </c>
    </row>
    <row r="2239" spans="1:9" x14ac:dyDescent="0.2">
      <c r="A2239">
        <v>1030099</v>
      </c>
      <c r="B2239" t="s">
        <v>20</v>
      </c>
      <c r="C2239">
        <v>15.13</v>
      </c>
      <c r="D2239">
        <v>15.18</v>
      </c>
      <c r="E2239">
        <v>31.8</v>
      </c>
      <c r="F2239" t="s">
        <v>12</v>
      </c>
      <c r="G22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39">
        <f>IF(Table1[[#This Row],[is_ups_overcharge]]="ups overcharged",Table1[[#This Row],[ups ship charge]]-Table1[[#This Row],[ada ship charge]],0)</f>
        <v>0</v>
      </c>
    </row>
    <row r="2240" spans="1:9" x14ac:dyDescent="0.2">
      <c r="A2240">
        <v>1030109</v>
      </c>
      <c r="B2240" t="s">
        <v>20</v>
      </c>
      <c r="C2240">
        <v>12.81</v>
      </c>
      <c r="D2240">
        <v>12.86</v>
      </c>
      <c r="E2240">
        <v>27.5</v>
      </c>
      <c r="F2240" t="s">
        <v>9</v>
      </c>
      <c r="G22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40">
        <f>IF(Table1[[#This Row],[is_ups_overcharge]]="ups overcharged",Table1[[#This Row],[ups ship charge]]-Table1[[#This Row],[ada ship charge]],0)</f>
        <v>0</v>
      </c>
    </row>
    <row r="2241" spans="1:9" x14ac:dyDescent="0.2">
      <c r="A2241">
        <v>1030114</v>
      </c>
      <c r="B2241" t="s">
        <v>20</v>
      </c>
      <c r="C2241">
        <v>13.7</v>
      </c>
      <c r="D2241">
        <v>13.75</v>
      </c>
      <c r="E2241">
        <v>5.95</v>
      </c>
      <c r="F2241" t="s">
        <v>9</v>
      </c>
      <c r="G22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41">
        <f>IF(Table1[[#This Row],[is_ups_overcharge]]="ups overcharged",Table1[[#This Row],[ups ship charge]]-Table1[[#This Row],[ada ship charge]],0)</f>
        <v>0</v>
      </c>
    </row>
    <row r="2242" spans="1:9" x14ac:dyDescent="0.2">
      <c r="A2242">
        <v>1030138</v>
      </c>
      <c r="B2242" t="s">
        <v>20</v>
      </c>
      <c r="C2242">
        <v>15.44</v>
      </c>
      <c r="D2242">
        <v>15.49</v>
      </c>
      <c r="E2242">
        <v>29.95</v>
      </c>
      <c r="F2242" t="s">
        <v>12</v>
      </c>
      <c r="G22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42">
        <f>IF(Table1[[#This Row],[is_ups_overcharge]]="ups overcharged",Table1[[#This Row],[ups ship charge]]-Table1[[#This Row],[ada ship charge]],0)</f>
        <v>0</v>
      </c>
    </row>
    <row r="2243" spans="1:9" x14ac:dyDescent="0.2">
      <c r="A2243">
        <v>1030139</v>
      </c>
      <c r="B2243" t="s">
        <v>20</v>
      </c>
      <c r="C2243">
        <v>13.7</v>
      </c>
      <c r="D2243">
        <v>13.75</v>
      </c>
      <c r="E2243">
        <v>14.95</v>
      </c>
      <c r="F2243" t="s">
        <v>9</v>
      </c>
      <c r="G22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43">
        <f>IF(Table1[[#This Row],[is_ups_overcharge]]="ups overcharged",Table1[[#This Row],[ups ship charge]]-Table1[[#This Row],[ada ship charge]],0)</f>
        <v>0</v>
      </c>
    </row>
    <row r="2244" spans="1:9" x14ac:dyDescent="0.2">
      <c r="A2244">
        <v>1030140</v>
      </c>
      <c r="B2244" t="s">
        <v>20</v>
      </c>
      <c r="C2244">
        <v>16.77</v>
      </c>
      <c r="D2244">
        <v>16.82</v>
      </c>
      <c r="E2244">
        <v>49.95</v>
      </c>
      <c r="F2244" t="s">
        <v>10</v>
      </c>
      <c r="G22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44">
        <f>IF(Table1[[#This Row],[is_ups_overcharge]]="ups overcharged",Table1[[#This Row],[ups ship charge]]-Table1[[#This Row],[ada ship charge]],0)</f>
        <v>0</v>
      </c>
    </row>
    <row r="2245" spans="1:9" x14ac:dyDescent="0.2">
      <c r="A2245">
        <v>1030153</v>
      </c>
      <c r="B2245" t="s">
        <v>20</v>
      </c>
      <c r="C2245">
        <v>12.81</v>
      </c>
      <c r="D2245">
        <v>12.86</v>
      </c>
      <c r="E2245">
        <v>127.4</v>
      </c>
      <c r="F2245" t="s">
        <v>9</v>
      </c>
      <c r="G22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45">
        <f>IF(Table1[[#This Row],[is_ups_overcharge]]="ups overcharged",Table1[[#This Row],[ups ship charge]]-Table1[[#This Row],[ada ship charge]],0)</f>
        <v>0</v>
      </c>
    </row>
    <row r="2246" spans="1:9" x14ac:dyDescent="0.2">
      <c r="A2246">
        <v>1030155</v>
      </c>
      <c r="B2246" t="s">
        <v>20</v>
      </c>
      <c r="C2246">
        <v>15.13</v>
      </c>
      <c r="D2246">
        <v>15.18</v>
      </c>
      <c r="E2246">
        <v>54.9</v>
      </c>
      <c r="F2246" t="s">
        <v>12</v>
      </c>
      <c r="G22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46">
        <f>IF(Table1[[#This Row],[is_ups_overcharge]]="ups overcharged",Table1[[#This Row],[ups ship charge]]-Table1[[#This Row],[ada ship charge]],0)</f>
        <v>0</v>
      </c>
    </row>
    <row r="2247" spans="1:9" x14ac:dyDescent="0.2">
      <c r="A2247">
        <v>1030163</v>
      </c>
      <c r="B2247" t="s">
        <v>20</v>
      </c>
      <c r="C2247">
        <v>12.81</v>
      </c>
      <c r="D2247">
        <v>12.86</v>
      </c>
      <c r="E2247">
        <v>68.349999999999994</v>
      </c>
      <c r="F2247" t="s">
        <v>9</v>
      </c>
      <c r="G22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47">
        <f>IF(Table1[[#This Row],[is_ups_overcharge]]="ups overcharged",Table1[[#This Row],[ups ship charge]]-Table1[[#This Row],[ada ship charge]],0)</f>
        <v>0</v>
      </c>
    </row>
    <row r="2248" spans="1:9" x14ac:dyDescent="0.2">
      <c r="A2248">
        <v>1030170</v>
      </c>
      <c r="B2248" t="s">
        <v>20</v>
      </c>
      <c r="C2248">
        <v>13.7</v>
      </c>
      <c r="D2248">
        <v>13.75</v>
      </c>
      <c r="E2248">
        <v>11.95</v>
      </c>
      <c r="F2248" t="s">
        <v>9</v>
      </c>
      <c r="G22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48">
        <f>IF(Table1[[#This Row],[is_ups_overcharge]]="ups overcharged",Table1[[#This Row],[ups ship charge]]-Table1[[#This Row],[ada ship charge]],0)</f>
        <v>0</v>
      </c>
    </row>
    <row r="2249" spans="1:9" x14ac:dyDescent="0.2">
      <c r="A2249">
        <v>1030175</v>
      </c>
      <c r="B2249" t="s">
        <v>20</v>
      </c>
      <c r="C2249">
        <v>13.7</v>
      </c>
      <c r="D2249">
        <v>13.75</v>
      </c>
      <c r="E2249">
        <v>68.849999999999994</v>
      </c>
      <c r="F2249" t="s">
        <v>9</v>
      </c>
      <c r="G22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49">
        <f>IF(Table1[[#This Row],[is_ups_overcharge]]="ups overcharged",Table1[[#This Row],[ups ship charge]]-Table1[[#This Row],[ada ship charge]],0)</f>
        <v>0</v>
      </c>
    </row>
    <row r="2250" spans="1:9" x14ac:dyDescent="0.2">
      <c r="A2250">
        <v>1030187</v>
      </c>
      <c r="B2250" t="s">
        <v>20</v>
      </c>
      <c r="C2250">
        <v>15.44</v>
      </c>
      <c r="D2250">
        <v>15.49</v>
      </c>
      <c r="E2250">
        <v>33.9</v>
      </c>
      <c r="F2250" t="s">
        <v>12</v>
      </c>
      <c r="G22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50">
        <f>IF(Table1[[#This Row],[is_ups_overcharge]]="ups overcharged",Table1[[#This Row],[ups ship charge]]-Table1[[#This Row],[ada ship charge]],0)</f>
        <v>0</v>
      </c>
    </row>
    <row r="2251" spans="1:9" x14ac:dyDescent="0.2">
      <c r="A2251">
        <v>1030210</v>
      </c>
      <c r="B2251" t="s">
        <v>20</v>
      </c>
      <c r="C2251">
        <v>15.44</v>
      </c>
      <c r="D2251">
        <v>15.49</v>
      </c>
      <c r="E2251">
        <v>145.80000000000001</v>
      </c>
      <c r="F2251" t="s">
        <v>12</v>
      </c>
      <c r="G22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51">
        <f>IF(Table1[[#This Row],[is_ups_overcharge]]="ups overcharged",Table1[[#This Row],[ups ship charge]]-Table1[[#This Row],[ada ship charge]],0)</f>
        <v>0</v>
      </c>
    </row>
    <row r="2252" spans="1:9" x14ac:dyDescent="0.2">
      <c r="A2252">
        <v>1030217</v>
      </c>
      <c r="B2252" t="s">
        <v>20</v>
      </c>
      <c r="C2252">
        <v>15.13</v>
      </c>
      <c r="D2252">
        <v>15.18</v>
      </c>
      <c r="E2252">
        <v>9.9499999999999993</v>
      </c>
      <c r="F2252" t="s">
        <v>12</v>
      </c>
      <c r="G22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52">
        <f>IF(Table1[[#This Row],[is_ups_overcharge]]="ups overcharged",Table1[[#This Row],[ups ship charge]]-Table1[[#This Row],[ada ship charge]],0)</f>
        <v>0</v>
      </c>
    </row>
    <row r="2253" spans="1:9" x14ac:dyDescent="0.2">
      <c r="A2253">
        <v>1030249</v>
      </c>
      <c r="B2253" t="s">
        <v>20</v>
      </c>
      <c r="C2253">
        <v>12.81</v>
      </c>
      <c r="D2253">
        <v>12.86</v>
      </c>
      <c r="E2253">
        <v>35.549999999999997</v>
      </c>
      <c r="F2253" t="s">
        <v>9</v>
      </c>
      <c r="G22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53">
        <f>IF(Table1[[#This Row],[is_ups_overcharge]]="ups overcharged",Table1[[#This Row],[ups ship charge]]-Table1[[#This Row],[ada ship charge]],0)</f>
        <v>0</v>
      </c>
    </row>
    <row r="2254" spans="1:9" x14ac:dyDescent="0.2">
      <c r="A2254">
        <v>1031222</v>
      </c>
      <c r="B2254" t="s">
        <v>21</v>
      </c>
      <c r="C2254">
        <v>13.64</v>
      </c>
      <c r="D2254">
        <v>13.76</v>
      </c>
      <c r="E2254">
        <v>42.4</v>
      </c>
      <c r="F2254" t="s">
        <v>9</v>
      </c>
      <c r="G22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54">
        <f>IF(Table1[[#This Row],[is_ups_overcharge]]="ups overcharged",Table1[[#This Row],[ups ship charge]]-Table1[[#This Row],[ada ship charge]],0)</f>
        <v>0</v>
      </c>
    </row>
    <row r="2255" spans="1:9" x14ac:dyDescent="0.2">
      <c r="A2255">
        <v>1030329</v>
      </c>
      <c r="B2255" t="s">
        <v>20</v>
      </c>
      <c r="C2255">
        <v>9.6999999999999993</v>
      </c>
      <c r="D2255">
        <v>12.86</v>
      </c>
      <c r="E2255">
        <v>74.95</v>
      </c>
      <c r="F2255" t="s">
        <v>6</v>
      </c>
      <c r="G22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55">
        <f>IF(Table1[[#This Row],[is_ups_overcharge]]="ups overcharged",Table1[[#This Row],[ups ship charge]]-Table1[[#This Row],[ada ship charge]],0)</f>
        <v>0</v>
      </c>
    </row>
    <row r="2256" spans="1:9" x14ac:dyDescent="0.2">
      <c r="A2256">
        <v>1030334</v>
      </c>
      <c r="B2256" t="s">
        <v>20</v>
      </c>
      <c r="C2256">
        <v>16.46</v>
      </c>
      <c r="D2256">
        <v>16.510000000000002</v>
      </c>
      <c r="E2256">
        <v>35.799999999999997</v>
      </c>
      <c r="F2256" t="s">
        <v>10</v>
      </c>
      <c r="G22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56">
        <f>IF(Table1[[#This Row],[is_ups_overcharge]]="ups overcharged",Table1[[#This Row],[ups ship charge]]-Table1[[#This Row],[ada ship charge]],0)</f>
        <v>0</v>
      </c>
    </row>
    <row r="2257" spans="1:9" x14ac:dyDescent="0.2">
      <c r="A2257">
        <v>1030362</v>
      </c>
      <c r="B2257" t="s">
        <v>20</v>
      </c>
      <c r="C2257">
        <v>12.81</v>
      </c>
      <c r="D2257">
        <v>13.88</v>
      </c>
      <c r="E2257">
        <v>97.45</v>
      </c>
      <c r="F2257" t="s">
        <v>9</v>
      </c>
      <c r="G22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57">
        <f>IF(Table1[[#This Row],[is_ups_overcharge]]="ups overcharged",Table1[[#This Row],[ups ship charge]]-Table1[[#This Row],[ada ship charge]],0)</f>
        <v>0</v>
      </c>
    </row>
    <row r="2258" spans="1:9" x14ac:dyDescent="0.2">
      <c r="A2258">
        <v>1030372</v>
      </c>
      <c r="B2258" t="s">
        <v>20</v>
      </c>
      <c r="C2258">
        <v>16.46</v>
      </c>
      <c r="D2258">
        <v>16.510000000000002</v>
      </c>
      <c r="E2258">
        <v>59.05</v>
      </c>
      <c r="F2258" t="s">
        <v>10</v>
      </c>
      <c r="G22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58">
        <f>IF(Table1[[#This Row],[is_ups_overcharge]]="ups overcharged",Table1[[#This Row],[ups ship charge]]-Table1[[#This Row],[ada ship charge]],0)</f>
        <v>0</v>
      </c>
    </row>
    <row r="2259" spans="1:9" x14ac:dyDescent="0.2">
      <c r="A2259">
        <v>1030378</v>
      </c>
      <c r="B2259" t="s">
        <v>20</v>
      </c>
      <c r="C2259">
        <v>12.81</v>
      </c>
      <c r="D2259">
        <v>12.86</v>
      </c>
      <c r="E2259">
        <v>33.799999999999997</v>
      </c>
      <c r="F2259" t="s">
        <v>9</v>
      </c>
      <c r="G22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59">
        <f>IF(Table1[[#This Row],[is_ups_overcharge]]="ups overcharged",Table1[[#This Row],[ups ship charge]]-Table1[[#This Row],[ada ship charge]],0)</f>
        <v>0</v>
      </c>
    </row>
    <row r="2260" spans="1:9" x14ac:dyDescent="0.2">
      <c r="A2260">
        <v>1030388</v>
      </c>
      <c r="B2260" t="s">
        <v>20</v>
      </c>
      <c r="C2260">
        <v>12.81</v>
      </c>
      <c r="D2260">
        <v>12.86</v>
      </c>
      <c r="E2260">
        <v>26.3</v>
      </c>
      <c r="F2260" t="s">
        <v>9</v>
      </c>
      <c r="G22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60">
        <f>IF(Table1[[#This Row],[is_ups_overcharge]]="ups overcharged",Table1[[#This Row],[ups ship charge]]-Table1[[#This Row],[ada ship charge]],0)</f>
        <v>0</v>
      </c>
    </row>
    <row r="2261" spans="1:9" x14ac:dyDescent="0.2">
      <c r="A2261">
        <v>1030393</v>
      </c>
      <c r="B2261" t="s">
        <v>20</v>
      </c>
      <c r="C2261">
        <v>13.7</v>
      </c>
      <c r="D2261">
        <v>13.76</v>
      </c>
      <c r="E2261">
        <v>72.45</v>
      </c>
      <c r="F2261" t="s">
        <v>9</v>
      </c>
      <c r="G22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61">
        <f>IF(Table1[[#This Row],[is_ups_overcharge]]="ups overcharged",Table1[[#This Row],[ups ship charge]]-Table1[[#This Row],[ada ship charge]],0)</f>
        <v>0</v>
      </c>
    </row>
    <row r="2262" spans="1:9" x14ac:dyDescent="0.2">
      <c r="A2262">
        <v>1030403</v>
      </c>
      <c r="B2262" t="s">
        <v>20</v>
      </c>
      <c r="C2262">
        <v>15.44</v>
      </c>
      <c r="D2262">
        <v>16.079999999999998</v>
      </c>
      <c r="E2262">
        <v>91.7</v>
      </c>
      <c r="F2262" t="s">
        <v>12</v>
      </c>
      <c r="G22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62">
        <f>IF(Table1[[#This Row],[is_ups_overcharge]]="ups overcharged",Table1[[#This Row],[ups ship charge]]-Table1[[#This Row],[ada ship charge]],0)</f>
        <v>0</v>
      </c>
    </row>
    <row r="2263" spans="1:9" x14ac:dyDescent="0.2">
      <c r="A2263">
        <v>1030407</v>
      </c>
      <c r="B2263" t="s">
        <v>20</v>
      </c>
      <c r="C2263">
        <v>12.81</v>
      </c>
      <c r="D2263">
        <v>12.86</v>
      </c>
      <c r="E2263">
        <v>66.900000000000006</v>
      </c>
      <c r="F2263" t="s">
        <v>9</v>
      </c>
      <c r="G22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63">
        <f>IF(Table1[[#This Row],[is_ups_overcharge]]="ups overcharged",Table1[[#This Row],[ups ship charge]]-Table1[[#This Row],[ada ship charge]],0)</f>
        <v>0</v>
      </c>
    </row>
    <row r="2264" spans="1:9" x14ac:dyDescent="0.2">
      <c r="A2264">
        <v>1030412</v>
      </c>
      <c r="B2264" t="s">
        <v>20</v>
      </c>
      <c r="C2264">
        <v>12.81</v>
      </c>
      <c r="D2264">
        <v>0</v>
      </c>
      <c r="E2264">
        <v>202.7</v>
      </c>
      <c r="F2264" t="s">
        <v>9</v>
      </c>
      <c r="G22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26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264">
        <f>IF(Table1[[#This Row],[is_ups_overcharge]]="ups overcharged",Table1[[#This Row],[ups ship charge]]-Table1[[#This Row],[ada ship charge]],0)</f>
        <v>0</v>
      </c>
    </row>
    <row r="2265" spans="1:9" x14ac:dyDescent="0.2">
      <c r="A2265">
        <v>1030427</v>
      </c>
      <c r="B2265" t="s">
        <v>20</v>
      </c>
      <c r="C2265">
        <v>12.81</v>
      </c>
      <c r="D2265">
        <v>0</v>
      </c>
      <c r="E2265">
        <v>208.35</v>
      </c>
      <c r="F2265" t="s">
        <v>9</v>
      </c>
      <c r="G22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26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265">
        <f>IF(Table1[[#This Row],[is_ups_overcharge]]="ups overcharged",Table1[[#This Row],[ups ship charge]]-Table1[[#This Row],[ada ship charge]],0)</f>
        <v>0</v>
      </c>
    </row>
    <row r="2266" spans="1:9" x14ac:dyDescent="0.2">
      <c r="A2266">
        <v>1030444</v>
      </c>
      <c r="B2266" t="s">
        <v>20</v>
      </c>
      <c r="C2266">
        <v>15.44</v>
      </c>
      <c r="D2266">
        <v>16.760000000000002</v>
      </c>
      <c r="E2266">
        <v>85.8</v>
      </c>
      <c r="F2266" t="s">
        <v>12</v>
      </c>
      <c r="G22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66">
        <f>IF(Table1[[#This Row],[is_ups_overcharge]]="ups overcharged",Table1[[#This Row],[ups ship charge]]-Table1[[#This Row],[ada ship charge]],0)</f>
        <v>0</v>
      </c>
    </row>
    <row r="2267" spans="1:9" x14ac:dyDescent="0.2">
      <c r="A2267">
        <v>1030455</v>
      </c>
      <c r="B2267" t="s">
        <v>20</v>
      </c>
      <c r="C2267">
        <v>13.7</v>
      </c>
      <c r="D2267">
        <v>13.76</v>
      </c>
      <c r="E2267">
        <v>70.349999999999994</v>
      </c>
      <c r="F2267" t="s">
        <v>9</v>
      </c>
      <c r="G22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67">
        <f>IF(Table1[[#This Row],[is_ups_overcharge]]="ups overcharged",Table1[[#This Row],[ups ship charge]]-Table1[[#This Row],[ada ship charge]],0)</f>
        <v>0</v>
      </c>
    </row>
    <row r="2268" spans="1:9" x14ac:dyDescent="0.2">
      <c r="A2268">
        <v>1030461</v>
      </c>
      <c r="B2268" t="s">
        <v>20</v>
      </c>
      <c r="C2268">
        <v>12.81</v>
      </c>
      <c r="D2268">
        <v>12.86</v>
      </c>
      <c r="E2268">
        <v>62.9</v>
      </c>
      <c r="F2268" t="s">
        <v>9</v>
      </c>
      <c r="G22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68">
        <f>IF(Table1[[#This Row],[is_ups_overcharge]]="ups overcharged",Table1[[#This Row],[ups ship charge]]-Table1[[#This Row],[ada ship charge]],0)</f>
        <v>0</v>
      </c>
    </row>
    <row r="2269" spans="1:9" x14ac:dyDescent="0.2">
      <c r="A2269">
        <v>1030503</v>
      </c>
      <c r="B2269" t="s">
        <v>20</v>
      </c>
      <c r="C2269">
        <v>15.01</v>
      </c>
      <c r="D2269">
        <v>0</v>
      </c>
      <c r="E2269">
        <v>234.2</v>
      </c>
      <c r="F2269" t="s">
        <v>9</v>
      </c>
      <c r="G22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26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269">
        <f>IF(Table1[[#This Row],[is_ups_overcharge]]="ups overcharged",Table1[[#This Row],[ups ship charge]]-Table1[[#This Row],[ada ship charge]],0)</f>
        <v>0</v>
      </c>
    </row>
    <row r="2270" spans="1:9" x14ac:dyDescent="0.2">
      <c r="A2270">
        <v>1030517</v>
      </c>
      <c r="B2270" t="s">
        <v>20</v>
      </c>
      <c r="C2270">
        <v>12.81</v>
      </c>
      <c r="D2270">
        <v>12.86</v>
      </c>
      <c r="E2270">
        <v>26.95</v>
      </c>
      <c r="F2270" t="s">
        <v>9</v>
      </c>
      <c r="G22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70">
        <f>IF(Table1[[#This Row],[is_ups_overcharge]]="ups overcharged",Table1[[#This Row],[ups ship charge]]-Table1[[#This Row],[ada ship charge]],0)</f>
        <v>0</v>
      </c>
    </row>
    <row r="2271" spans="1:9" x14ac:dyDescent="0.2">
      <c r="A2271">
        <v>1030527</v>
      </c>
      <c r="B2271" t="s">
        <v>20</v>
      </c>
      <c r="C2271">
        <v>15.44</v>
      </c>
      <c r="D2271">
        <v>15.49</v>
      </c>
      <c r="E2271">
        <v>76.650000000000006</v>
      </c>
      <c r="F2271" t="s">
        <v>12</v>
      </c>
      <c r="G22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71">
        <f>IF(Table1[[#This Row],[is_ups_overcharge]]="ups overcharged",Table1[[#This Row],[ups ship charge]]-Table1[[#This Row],[ada ship charge]],0)</f>
        <v>0</v>
      </c>
    </row>
    <row r="2272" spans="1:9" x14ac:dyDescent="0.2">
      <c r="A2272">
        <v>1030540</v>
      </c>
      <c r="B2272" t="s">
        <v>20</v>
      </c>
      <c r="C2272">
        <v>15.13</v>
      </c>
      <c r="D2272">
        <v>15.18</v>
      </c>
      <c r="E2272">
        <v>30.8</v>
      </c>
      <c r="F2272" t="s">
        <v>12</v>
      </c>
      <c r="G22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72">
        <f>IF(Table1[[#This Row],[is_ups_overcharge]]="ups overcharged",Table1[[#This Row],[ups ship charge]]-Table1[[#This Row],[ada ship charge]],0)</f>
        <v>0</v>
      </c>
    </row>
    <row r="2273" spans="1:9" x14ac:dyDescent="0.2">
      <c r="A2273">
        <v>1030564</v>
      </c>
      <c r="B2273" t="s">
        <v>20</v>
      </c>
      <c r="C2273">
        <v>20.46</v>
      </c>
      <c r="D2273">
        <v>20.51</v>
      </c>
      <c r="E2273">
        <v>74.849999999999994</v>
      </c>
      <c r="F2273" t="s">
        <v>16</v>
      </c>
      <c r="G22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73">
        <f>IF(Table1[[#This Row],[is_ups_overcharge]]="ups overcharged",Table1[[#This Row],[ups ship charge]]-Table1[[#This Row],[ada ship charge]],0)</f>
        <v>0</v>
      </c>
    </row>
    <row r="2274" spans="1:9" x14ac:dyDescent="0.2">
      <c r="A2274">
        <v>1030579</v>
      </c>
      <c r="B2274" t="s">
        <v>20</v>
      </c>
      <c r="C2274">
        <v>12.81</v>
      </c>
      <c r="D2274">
        <v>12.86</v>
      </c>
      <c r="E2274">
        <v>9.9499999999999993</v>
      </c>
      <c r="F2274" t="s">
        <v>9</v>
      </c>
      <c r="G22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74">
        <f>IF(Table1[[#This Row],[is_ups_overcharge]]="ups overcharged",Table1[[#This Row],[ups ship charge]]-Table1[[#This Row],[ada ship charge]],0)</f>
        <v>0</v>
      </c>
    </row>
    <row r="2275" spans="1:9" x14ac:dyDescent="0.2">
      <c r="A2275">
        <v>1030595</v>
      </c>
      <c r="B2275" t="s">
        <v>20</v>
      </c>
      <c r="C2275">
        <v>12.81</v>
      </c>
      <c r="D2275">
        <v>12.86</v>
      </c>
      <c r="E2275">
        <v>22.95</v>
      </c>
      <c r="F2275" t="s">
        <v>9</v>
      </c>
      <c r="G22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75">
        <f>IF(Table1[[#This Row],[is_ups_overcharge]]="ups overcharged",Table1[[#This Row],[ups ship charge]]-Table1[[#This Row],[ada ship charge]],0)</f>
        <v>0</v>
      </c>
    </row>
    <row r="2276" spans="1:9" x14ac:dyDescent="0.2">
      <c r="A2276">
        <v>1030597</v>
      </c>
      <c r="B2276" t="s">
        <v>20</v>
      </c>
      <c r="C2276">
        <v>13.7</v>
      </c>
      <c r="D2276">
        <v>13.75</v>
      </c>
      <c r="E2276">
        <v>50.95</v>
      </c>
      <c r="F2276" t="s">
        <v>9</v>
      </c>
      <c r="G22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76">
        <f>IF(Table1[[#This Row],[is_ups_overcharge]]="ups overcharged",Table1[[#This Row],[ups ship charge]]-Table1[[#This Row],[ada ship charge]],0)</f>
        <v>0</v>
      </c>
    </row>
    <row r="2277" spans="1:9" x14ac:dyDescent="0.2">
      <c r="A2277">
        <v>1030603</v>
      </c>
      <c r="B2277" t="s">
        <v>20</v>
      </c>
      <c r="C2277">
        <v>16.46</v>
      </c>
      <c r="D2277">
        <v>16.510000000000002</v>
      </c>
      <c r="E2277">
        <v>45.5</v>
      </c>
      <c r="F2277" t="s">
        <v>10</v>
      </c>
      <c r="G22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77">
        <f>IF(Table1[[#This Row],[is_ups_overcharge]]="ups overcharged",Table1[[#This Row],[ups ship charge]]-Table1[[#This Row],[ada ship charge]],0)</f>
        <v>0</v>
      </c>
    </row>
    <row r="2278" spans="1:9" x14ac:dyDescent="0.2">
      <c r="A2278">
        <v>1030610</v>
      </c>
      <c r="B2278" t="s">
        <v>20</v>
      </c>
      <c r="C2278">
        <v>14.94</v>
      </c>
      <c r="D2278">
        <v>13.88</v>
      </c>
      <c r="E2278">
        <v>160.05000000000001</v>
      </c>
      <c r="F2278" t="s">
        <v>9</v>
      </c>
      <c r="G22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7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278">
        <f>IF(Table1[[#This Row],[is_ups_overcharge]]="ups overcharged",Table1[[#This Row],[ups ship charge]]-Table1[[#This Row],[ada ship charge]],0)</f>
        <v>1.0599999999999987</v>
      </c>
    </row>
    <row r="2279" spans="1:9" x14ac:dyDescent="0.2">
      <c r="A2279">
        <v>1030614</v>
      </c>
      <c r="B2279" t="s">
        <v>20</v>
      </c>
      <c r="C2279">
        <v>12.81</v>
      </c>
      <c r="D2279">
        <v>12.86</v>
      </c>
      <c r="E2279">
        <v>17.5</v>
      </c>
      <c r="F2279" t="s">
        <v>9</v>
      </c>
      <c r="G22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79">
        <f>IF(Table1[[#This Row],[is_ups_overcharge]]="ups overcharged",Table1[[#This Row],[ups ship charge]]-Table1[[#This Row],[ada ship charge]],0)</f>
        <v>0</v>
      </c>
    </row>
    <row r="2280" spans="1:9" x14ac:dyDescent="0.2">
      <c r="A2280">
        <v>1030618</v>
      </c>
      <c r="B2280" t="s">
        <v>20</v>
      </c>
      <c r="C2280">
        <v>13.7</v>
      </c>
      <c r="D2280">
        <v>13.75</v>
      </c>
      <c r="E2280">
        <v>6.95</v>
      </c>
      <c r="F2280" t="s">
        <v>9</v>
      </c>
      <c r="G22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80">
        <f>IF(Table1[[#This Row],[is_ups_overcharge]]="ups overcharged",Table1[[#This Row],[ups ship charge]]-Table1[[#This Row],[ada ship charge]],0)</f>
        <v>0</v>
      </c>
    </row>
    <row r="2281" spans="1:9" x14ac:dyDescent="0.2">
      <c r="A2281">
        <v>1030623</v>
      </c>
      <c r="B2281" t="s">
        <v>20</v>
      </c>
      <c r="C2281">
        <v>13.7</v>
      </c>
      <c r="D2281">
        <v>13.75</v>
      </c>
      <c r="E2281">
        <v>50.95</v>
      </c>
      <c r="F2281" t="s">
        <v>9</v>
      </c>
      <c r="G22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81">
        <f>IF(Table1[[#This Row],[is_ups_overcharge]]="ups overcharged",Table1[[#This Row],[ups ship charge]]-Table1[[#This Row],[ada ship charge]],0)</f>
        <v>0</v>
      </c>
    </row>
    <row r="2282" spans="1:9" x14ac:dyDescent="0.2">
      <c r="A2282">
        <v>1030643</v>
      </c>
      <c r="B2282" t="s">
        <v>20</v>
      </c>
      <c r="C2282">
        <v>16.87</v>
      </c>
      <c r="D2282">
        <v>20.5</v>
      </c>
      <c r="E2282">
        <v>69</v>
      </c>
      <c r="F2282" t="s">
        <v>10</v>
      </c>
      <c r="G22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82">
        <f>IF(Table1[[#This Row],[is_ups_overcharge]]="ups overcharged",Table1[[#This Row],[ups ship charge]]-Table1[[#This Row],[ada ship charge]],0)</f>
        <v>0</v>
      </c>
    </row>
    <row r="2283" spans="1:9" x14ac:dyDescent="0.2">
      <c r="A2283">
        <v>1030696</v>
      </c>
      <c r="B2283" t="s">
        <v>20</v>
      </c>
      <c r="C2283">
        <v>12.81</v>
      </c>
      <c r="D2283">
        <v>12.86</v>
      </c>
      <c r="E2283">
        <v>123.65</v>
      </c>
      <c r="F2283" t="s">
        <v>9</v>
      </c>
      <c r="G22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83">
        <f>IF(Table1[[#This Row],[is_ups_overcharge]]="ups overcharged",Table1[[#This Row],[ups ship charge]]-Table1[[#This Row],[ada ship charge]],0)</f>
        <v>0</v>
      </c>
    </row>
    <row r="2284" spans="1:9" x14ac:dyDescent="0.2">
      <c r="A2284">
        <v>1030704</v>
      </c>
      <c r="B2284" t="s">
        <v>20</v>
      </c>
      <c r="C2284">
        <v>16.46</v>
      </c>
      <c r="D2284">
        <v>16.510000000000002</v>
      </c>
      <c r="E2284">
        <v>53.35</v>
      </c>
      <c r="F2284" t="s">
        <v>10</v>
      </c>
      <c r="G22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84">
        <f>IF(Table1[[#This Row],[is_ups_overcharge]]="ups overcharged",Table1[[#This Row],[ups ship charge]]-Table1[[#This Row],[ada ship charge]],0)</f>
        <v>0</v>
      </c>
    </row>
    <row r="2285" spans="1:9" x14ac:dyDescent="0.2">
      <c r="A2285">
        <v>1030705</v>
      </c>
      <c r="B2285" t="s">
        <v>20</v>
      </c>
      <c r="C2285">
        <v>12.81</v>
      </c>
      <c r="D2285">
        <v>12.86</v>
      </c>
      <c r="E2285">
        <v>6.5</v>
      </c>
      <c r="F2285" t="s">
        <v>9</v>
      </c>
      <c r="G22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85">
        <f>IF(Table1[[#This Row],[is_ups_overcharge]]="ups overcharged",Table1[[#This Row],[ups ship charge]]-Table1[[#This Row],[ada ship charge]],0)</f>
        <v>0</v>
      </c>
    </row>
    <row r="2286" spans="1:9" x14ac:dyDescent="0.2">
      <c r="A2286">
        <v>1030721</v>
      </c>
      <c r="B2286" t="s">
        <v>20</v>
      </c>
      <c r="C2286">
        <v>13.71</v>
      </c>
      <c r="D2286">
        <v>13.75</v>
      </c>
      <c r="E2286">
        <v>79.95</v>
      </c>
      <c r="F2286" t="s">
        <v>9</v>
      </c>
      <c r="G22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86">
        <f>IF(Table1[[#This Row],[is_ups_overcharge]]="ups overcharged",Table1[[#This Row],[ups ship charge]]-Table1[[#This Row],[ada ship charge]],0)</f>
        <v>0</v>
      </c>
    </row>
    <row r="2287" spans="1:9" x14ac:dyDescent="0.2">
      <c r="A2287">
        <v>1030724</v>
      </c>
      <c r="B2287" t="s">
        <v>20</v>
      </c>
      <c r="C2287">
        <v>12.81</v>
      </c>
      <c r="D2287">
        <v>12.86</v>
      </c>
      <c r="E2287">
        <v>1.95</v>
      </c>
      <c r="F2287" t="s">
        <v>9</v>
      </c>
      <c r="G22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87">
        <f>IF(Table1[[#This Row],[is_ups_overcharge]]="ups overcharged",Table1[[#This Row],[ups ship charge]]-Table1[[#This Row],[ada ship charge]],0)</f>
        <v>0</v>
      </c>
    </row>
    <row r="2288" spans="1:9" x14ac:dyDescent="0.2">
      <c r="A2288">
        <v>1030738</v>
      </c>
      <c r="B2288" t="s">
        <v>20</v>
      </c>
      <c r="C2288">
        <v>12.81</v>
      </c>
      <c r="D2288">
        <v>12.86</v>
      </c>
      <c r="E2288">
        <v>64.45</v>
      </c>
      <c r="F2288" t="s">
        <v>9</v>
      </c>
      <c r="G22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88">
        <f>IF(Table1[[#This Row],[is_ups_overcharge]]="ups overcharged",Table1[[#This Row],[ups ship charge]]-Table1[[#This Row],[ada ship charge]],0)</f>
        <v>0</v>
      </c>
    </row>
    <row r="2289" spans="1:9" x14ac:dyDescent="0.2">
      <c r="A2289">
        <v>1030757</v>
      </c>
      <c r="B2289" t="s">
        <v>20</v>
      </c>
      <c r="C2289">
        <v>9.6999999999999993</v>
      </c>
      <c r="D2289">
        <v>9.75</v>
      </c>
      <c r="E2289">
        <v>10.9</v>
      </c>
      <c r="F2289" t="s">
        <v>6</v>
      </c>
      <c r="G22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89">
        <f>IF(Table1[[#This Row],[is_ups_overcharge]]="ups overcharged",Table1[[#This Row],[ups ship charge]]-Table1[[#This Row],[ada ship charge]],0)</f>
        <v>0</v>
      </c>
    </row>
    <row r="2290" spans="1:9" x14ac:dyDescent="0.2">
      <c r="A2290">
        <v>1030806</v>
      </c>
      <c r="B2290" t="s">
        <v>20</v>
      </c>
      <c r="C2290">
        <v>12.81</v>
      </c>
      <c r="D2290">
        <v>12.86</v>
      </c>
      <c r="E2290">
        <v>84.5</v>
      </c>
      <c r="F2290" t="s">
        <v>9</v>
      </c>
      <c r="G22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90">
        <f>IF(Table1[[#This Row],[is_ups_overcharge]]="ups overcharged",Table1[[#This Row],[ups ship charge]]-Table1[[#This Row],[ada ship charge]],0)</f>
        <v>0</v>
      </c>
    </row>
    <row r="2291" spans="1:9" x14ac:dyDescent="0.2">
      <c r="A2291">
        <v>1030809</v>
      </c>
      <c r="B2291" t="s">
        <v>20</v>
      </c>
      <c r="C2291">
        <v>13.7</v>
      </c>
      <c r="D2291">
        <v>0</v>
      </c>
      <c r="E2291">
        <v>203.55</v>
      </c>
      <c r="F2291" t="s">
        <v>9</v>
      </c>
      <c r="G22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229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2291">
        <f>IF(Table1[[#This Row],[is_ups_overcharge]]="ups overcharged",Table1[[#This Row],[ups ship charge]]-Table1[[#This Row],[ada ship charge]],0)</f>
        <v>0</v>
      </c>
    </row>
    <row r="2292" spans="1:9" x14ac:dyDescent="0.2">
      <c r="A2292">
        <v>1030814</v>
      </c>
      <c r="B2292" t="s">
        <v>20</v>
      </c>
      <c r="C2292">
        <v>12.81</v>
      </c>
      <c r="D2292">
        <v>12.86</v>
      </c>
      <c r="E2292">
        <v>13.9</v>
      </c>
      <c r="F2292" t="s">
        <v>9</v>
      </c>
      <c r="G22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92">
        <f>IF(Table1[[#This Row],[is_ups_overcharge]]="ups overcharged",Table1[[#This Row],[ups ship charge]]-Table1[[#This Row],[ada ship charge]],0)</f>
        <v>0</v>
      </c>
    </row>
    <row r="2293" spans="1:9" x14ac:dyDescent="0.2">
      <c r="A2293">
        <v>1030825</v>
      </c>
      <c r="B2293" t="s">
        <v>20</v>
      </c>
      <c r="C2293">
        <v>23.33</v>
      </c>
      <c r="D2293">
        <v>23.38</v>
      </c>
      <c r="E2293">
        <v>4.95</v>
      </c>
      <c r="F2293" t="s">
        <v>15</v>
      </c>
      <c r="G22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93">
        <f>IF(Table1[[#This Row],[is_ups_overcharge]]="ups overcharged",Table1[[#This Row],[ups ship charge]]-Table1[[#This Row],[ada ship charge]],0)</f>
        <v>0</v>
      </c>
    </row>
    <row r="2294" spans="1:9" x14ac:dyDescent="0.2">
      <c r="A2294">
        <v>1030846</v>
      </c>
      <c r="B2294" t="s">
        <v>20</v>
      </c>
      <c r="C2294">
        <v>12.81</v>
      </c>
      <c r="D2294">
        <v>12.86</v>
      </c>
      <c r="E2294">
        <v>24.95</v>
      </c>
      <c r="F2294" t="s">
        <v>9</v>
      </c>
      <c r="G22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94">
        <f>IF(Table1[[#This Row],[is_ups_overcharge]]="ups overcharged",Table1[[#This Row],[ups ship charge]]-Table1[[#This Row],[ada ship charge]],0)</f>
        <v>0</v>
      </c>
    </row>
    <row r="2295" spans="1:9" x14ac:dyDescent="0.2">
      <c r="A2295">
        <v>1030857</v>
      </c>
      <c r="B2295" t="s">
        <v>20</v>
      </c>
      <c r="C2295">
        <v>12.81</v>
      </c>
      <c r="D2295">
        <v>12.86</v>
      </c>
      <c r="E2295">
        <v>89.95</v>
      </c>
      <c r="F2295" t="s">
        <v>9</v>
      </c>
      <c r="G22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95">
        <f>IF(Table1[[#This Row],[is_ups_overcharge]]="ups overcharged",Table1[[#This Row],[ups ship charge]]-Table1[[#This Row],[ada ship charge]],0)</f>
        <v>0</v>
      </c>
    </row>
    <row r="2296" spans="1:9" x14ac:dyDescent="0.2">
      <c r="A2296">
        <v>1030864</v>
      </c>
      <c r="B2296" t="s">
        <v>20</v>
      </c>
      <c r="C2296">
        <v>13.7</v>
      </c>
      <c r="D2296">
        <v>13.75</v>
      </c>
      <c r="E2296">
        <v>29.9</v>
      </c>
      <c r="F2296" t="s">
        <v>9</v>
      </c>
      <c r="G22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96">
        <f>IF(Table1[[#This Row],[is_ups_overcharge]]="ups overcharged",Table1[[#This Row],[ups ship charge]]-Table1[[#This Row],[ada ship charge]],0)</f>
        <v>0</v>
      </c>
    </row>
    <row r="2297" spans="1:9" x14ac:dyDescent="0.2">
      <c r="A2297">
        <v>1030876</v>
      </c>
      <c r="B2297" t="s">
        <v>20</v>
      </c>
      <c r="C2297">
        <v>16.71</v>
      </c>
      <c r="D2297">
        <v>19.32</v>
      </c>
      <c r="E2297">
        <v>34.950000000000003</v>
      </c>
      <c r="F2297" t="s">
        <v>12</v>
      </c>
      <c r="G22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97">
        <f>IF(Table1[[#This Row],[is_ups_overcharge]]="ups overcharged",Table1[[#This Row],[ups ship charge]]-Table1[[#This Row],[ada ship charge]],0)</f>
        <v>0</v>
      </c>
    </row>
    <row r="2298" spans="1:9" x14ac:dyDescent="0.2">
      <c r="A2298">
        <v>1030889</v>
      </c>
      <c r="B2298" t="s">
        <v>20</v>
      </c>
      <c r="C2298">
        <v>12.81</v>
      </c>
      <c r="D2298">
        <v>12.86</v>
      </c>
      <c r="E2298">
        <v>9.9</v>
      </c>
      <c r="F2298" t="s">
        <v>9</v>
      </c>
      <c r="G22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98">
        <f>IF(Table1[[#This Row],[is_ups_overcharge]]="ups overcharged",Table1[[#This Row],[ups ship charge]]-Table1[[#This Row],[ada ship charge]],0)</f>
        <v>0</v>
      </c>
    </row>
    <row r="2299" spans="1:9" x14ac:dyDescent="0.2">
      <c r="A2299">
        <v>1030890</v>
      </c>
      <c r="B2299" t="s">
        <v>20</v>
      </c>
      <c r="C2299">
        <v>16.46</v>
      </c>
      <c r="D2299">
        <v>16.510000000000002</v>
      </c>
      <c r="E2299">
        <v>12</v>
      </c>
      <c r="F2299" t="s">
        <v>10</v>
      </c>
      <c r="G22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2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299">
        <f>IF(Table1[[#This Row],[is_ups_overcharge]]="ups overcharged",Table1[[#This Row],[ups ship charge]]-Table1[[#This Row],[ada ship charge]],0)</f>
        <v>0</v>
      </c>
    </row>
    <row r="2300" spans="1:9" x14ac:dyDescent="0.2">
      <c r="A2300">
        <v>1030916</v>
      </c>
      <c r="B2300" t="s">
        <v>20</v>
      </c>
      <c r="C2300">
        <v>32.47</v>
      </c>
      <c r="D2300">
        <v>32.520000000000003</v>
      </c>
      <c r="E2300">
        <v>252.05</v>
      </c>
      <c r="F2300" t="s">
        <v>15</v>
      </c>
      <c r="G23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00">
        <f>IF(Table1[[#This Row],[is_ups_overcharge]]="ups overcharged",Table1[[#This Row],[ups ship charge]]-Table1[[#This Row],[ada ship charge]],0)</f>
        <v>0</v>
      </c>
    </row>
    <row r="2301" spans="1:9" x14ac:dyDescent="0.2">
      <c r="A2301">
        <v>1030919</v>
      </c>
      <c r="B2301" t="s">
        <v>20</v>
      </c>
      <c r="C2301">
        <v>16.04</v>
      </c>
      <c r="D2301">
        <v>16.09</v>
      </c>
      <c r="E2301">
        <v>113.05</v>
      </c>
      <c r="F2301" t="s">
        <v>13</v>
      </c>
      <c r="G23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01">
        <f>IF(Table1[[#This Row],[is_ups_overcharge]]="ups overcharged",Table1[[#This Row],[ups ship charge]]-Table1[[#This Row],[ada ship charge]],0)</f>
        <v>0</v>
      </c>
    </row>
    <row r="2302" spans="1:9" x14ac:dyDescent="0.2">
      <c r="A2302">
        <v>1030939</v>
      </c>
      <c r="B2302" t="s">
        <v>20</v>
      </c>
      <c r="C2302">
        <v>13.71</v>
      </c>
      <c r="D2302">
        <v>13.75</v>
      </c>
      <c r="E2302">
        <v>56</v>
      </c>
      <c r="F2302" t="s">
        <v>9</v>
      </c>
      <c r="G23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02">
        <f>IF(Table1[[#This Row],[is_ups_overcharge]]="ups overcharged",Table1[[#This Row],[ups ship charge]]-Table1[[#This Row],[ada ship charge]],0)</f>
        <v>0</v>
      </c>
    </row>
    <row r="2303" spans="1:9" x14ac:dyDescent="0.2">
      <c r="A2303">
        <v>1030954</v>
      </c>
      <c r="B2303" t="s">
        <v>20</v>
      </c>
      <c r="C2303">
        <v>13.7</v>
      </c>
      <c r="D2303">
        <v>13.75</v>
      </c>
      <c r="E2303">
        <v>11.95</v>
      </c>
      <c r="F2303" t="s">
        <v>9</v>
      </c>
      <c r="G23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03">
        <f>IF(Table1[[#This Row],[is_ups_overcharge]]="ups overcharged",Table1[[#This Row],[ups ship charge]]-Table1[[#This Row],[ada ship charge]],0)</f>
        <v>0</v>
      </c>
    </row>
    <row r="2304" spans="1:9" x14ac:dyDescent="0.2">
      <c r="A2304">
        <v>1030958</v>
      </c>
      <c r="B2304" t="s">
        <v>20</v>
      </c>
      <c r="C2304">
        <v>12.81</v>
      </c>
      <c r="D2304">
        <v>12.86</v>
      </c>
      <c r="E2304">
        <v>58.9</v>
      </c>
      <c r="F2304" t="s">
        <v>9</v>
      </c>
      <c r="G23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04">
        <f>IF(Table1[[#This Row],[is_ups_overcharge]]="ups overcharged",Table1[[#This Row],[ups ship charge]]-Table1[[#This Row],[ada ship charge]],0)</f>
        <v>0</v>
      </c>
    </row>
    <row r="2305" spans="1:9" x14ac:dyDescent="0.2">
      <c r="A2305">
        <v>1030971</v>
      </c>
      <c r="B2305" t="s">
        <v>20</v>
      </c>
      <c r="C2305">
        <v>13.7</v>
      </c>
      <c r="D2305">
        <v>13.76</v>
      </c>
      <c r="E2305">
        <v>104.15</v>
      </c>
      <c r="F2305" t="s">
        <v>9</v>
      </c>
      <c r="G23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05">
        <f>IF(Table1[[#This Row],[is_ups_overcharge]]="ups overcharged",Table1[[#This Row],[ups ship charge]]-Table1[[#This Row],[ada ship charge]],0)</f>
        <v>0</v>
      </c>
    </row>
    <row r="2306" spans="1:9" x14ac:dyDescent="0.2">
      <c r="A2306">
        <v>1030973</v>
      </c>
      <c r="B2306" t="s">
        <v>20</v>
      </c>
      <c r="C2306">
        <v>13.04</v>
      </c>
      <c r="D2306">
        <v>12.94</v>
      </c>
      <c r="E2306">
        <v>153.30000000000001</v>
      </c>
      <c r="F2306" t="s">
        <v>9</v>
      </c>
      <c r="G23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06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306">
        <f>IF(Table1[[#This Row],[is_ups_overcharge]]="ups overcharged",Table1[[#This Row],[ups ship charge]]-Table1[[#This Row],[ada ship charge]],0)</f>
        <v>9.9999999999999645E-2</v>
      </c>
    </row>
    <row r="2307" spans="1:9" x14ac:dyDescent="0.2">
      <c r="A2307">
        <v>1031006</v>
      </c>
      <c r="B2307" t="s">
        <v>20</v>
      </c>
      <c r="C2307">
        <v>16.77</v>
      </c>
      <c r="D2307">
        <v>16.82</v>
      </c>
      <c r="E2307">
        <v>57.3</v>
      </c>
      <c r="F2307" t="s">
        <v>10</v>
      </c>
      <c r="G23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07">
        <f>IF(Table1[[#This Row],[is_ups_overcharge]]="ups overcharged",Table1[[#This Row],[ups ship charge]]-Table1[[#This Row],[ada ship charge]],0)</f>
        <v>0</v>
      </c>
    </row>
    <row r="2308" spans="1:9" x14ac:dyDescent="0.2">
      <c r="A2308">
        <v>1031041</v>
      </c>
      <c r="B2308" t="s">
        <v>20</v>
      </c>
      <c r="C2308">
        <v>13.7</v>
      </c>
      <c r="D2308">
        <v>13.75</v>
      </c>
      <c r="E2308">
        <v>54.95</v>
      </c>
      <c r="F2308" t="s">
        <v>9</v>
      </c>
      <c r="G23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08">
        <f>IF(Table1[[#This Row],[is_ups_overcharge]]="ups overcharged",Table1[[#This Row],[ups ship charge]]-Table1[[#This Row],[ada ship charge]],0)</f>
        <v>0</v>
      </c>
    </row>
    <row r="2309" spans="1:9" x14ac:dyDescent="0.2">
      <c r="A2309">
        <v>1031047</v>
      </c>
      <c r="B2309" t="s">
        <v>20</v>
      </c>
      <c r="C2309">
        <v>9.6999999999999993</v>
      </c>
      <c r="D2309">
        <v>9.75</v>
      </c>
      <c r="E2309">
        <v>4.95</v>
      </c>
      <c r="F2309" t="s">
        <v>6</v>
      </c>
      <c r="G23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09">
        <f>IF(Table1[[#This Row],[is_ups_overcharge]]="ups overcharged",Table1[[#This Row],[ups ship charge]]-Table1[[#This Row],[ada ship charge]],0)</f>
        <v>0</v>
      </c>
    </row>
    <row r="2310" spans="1:9" x14ac:dyDescent="0.2">
      <c r="A2310">
        <v>1031070</v>
      </c>
      <c r="B2310" t="s">
        <v>20</v>
      </c>
      <c r="C2310">
        <v>15.13</v>
      </c>
      <c r="D2310">
        <v>15.18</v>
      </c>
      <c r="E2310">
        <v>43.4</v>
      </c>
      <c r="F2310" t="s">
        <v>12</v>
      </c>
      <c r="G23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10">
        <f>IF(Table1[[#This Row],[is_ups_overcharge]]="ups overcharged",Table1[[#This Row],[ups ship charge]]-Table1[[#This Row],[ada ship charge]],0)</f>
        <v>0</v>
      </c>
    </row>
    <row r="2311" spans="1:9" x14ac:dyDescent="0.2">
      <c r="A2311">
        <v>1031098</v>
      </c>
      <c r="B2311" t="s">
        <v>20</v>
      </c>
      <c r="C2311">
        <v>14.04</v>
      </c>
      <c r="D2311">
        <v>14.09</v>
      </c>
      <c r="E2311">
        <v>7.95</v>
      </c>
      <c r="F2311" t="s">
        <v>16</v>
      </c>
      <c r="G23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11">
        <f>IF(Table1[[#This Row],[is_ups_overcharge]]="ups overcharged",Table1[[#This Row],[ups ship charge]]-Table1[[#This Row],[ada ship charge]],0)</f>
        <v>0</v>
      </c>
    </row>
    <row r="2312" spans="1:9" x14ac:dyDescent="0.2">
      <c r="A2312">
        <v>1031242</v>
      </c>
      <c r="B2312" t="s">
        <v>21</v>
      </c>
      <c r="C2312">
        <v>12.81</v>
      </c>
      <c r="D2312">
        <v>12.86</v>
      </c>
      <c r="E2312">
        <v>38.75</v>
      </c>
      <c r="F2312" t="s">
        <v>9</v>
      </c>
      <c r="G23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12">
        <f>IF(Table1[[#This Row],[is_ups_overcharge]]="ups overcharged",Table1[[#This Row],[ups ship charge]]-Table1[[#This Row],[ada ship charge]],0)</f>
        <v>0</v>
      </c>
    </row>
    <row r="2313" spans="1:9" x14ac:dyDescent="0.2">
      <c r="A2313">
        <v>1031121</v>
      </c>
      <c r="B2313" t="s">
        <v>20</v>
      </c>
      <c r="C2313">
        <v>12.35</v>
      </c>
      <c r="D2313">
        <v>12.4</v>
      </c>
      <c r="E2313">
        <v>34.9</v>
      </c>
      <c r="F2313" t="s">
        <v>13</v>
      </c>
      <c r="G23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13">
        <f>IF(Table1[[#This Row],[is_ups_overcharge]]="ups overcharged",Table1[[#This Row],[ups ship charge]]-Table1[[#This Row],[ada ship charge]],0)</f>
        <v>0</v>
      </c>
    </row>
    <row r="2314" spans="1:9" x14ac:dyDescent="0.2">
      <c r="A2314">
        <v>1031255</v>
      </c>
      <c r="B2314" t="s">
        <v>21</v>
      </c>
      <c r="C2314">
        <v>13.7</v>
      </c>
      <c r="D2314">
        <v>13.75</v>
      </c>
      <c r="E2314">
        <v>19.95</v>
      </c>
      <c r="F2314" t="s">
        <v>9</v>
      </c>
      <c r="G23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14">
        <f>IF(Table1[[#This Row],[is_ups_overcharge]]="ups overcharged",Table1[[#This Row],[ups ship charge]]-Table1[[#This Row],[ada ship charge]],0)</f>
        <v>0</v>
      </c>
    </row>
    <row r="2315" spans="1:9" x14ac:dyDescent="0.2">
      <c r="A2315">
        <v>1031262</v>
      </c>
      <c r="B2315" t="s">
        <v>21</v>
      </c>
      <c r="C2315">
        <v>13.7</v>
      </c>
      <c r="D2315">
        <v>13.75</v>
      </c>
      <c r="E2315">
        <v>34.9</v>
      </c>
      <c r="F2315" t="s">
        <v>9</v>
      </c>
      <c r="G23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15">
        <f>IF(Table1[[#This Row],[is_ups_overcharge]]="ups overcharged",Table1[[#This Row],[ups ship charge]]-Table1[[#This Row],[ada ship charge]],0)</f>
        <v>0</v>
      </c>
    </row>
    <row r="2316" spans="1:9" x14ac:dyDescent="0.2">
      <c r="A2316">
        <v>1031271</v>
      </c>
      <c r="B2316" t="s">
        <v>21</v>
      </c>
      <c r="C2316">
        <v>12.35</v>
      </c>
      <c r="D2316">
        <v>12.4</v>
      </c>
      <c r="E2316">
        <v>74.8</v>
      </c>
      <c r="F2316" t="s">
        <v>13</v>
      </c>
      <c r="G23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16">
        <f>IF(Table1[[#This Row],[is_ups_overcharge]]="ups overcharged",Table1[[#This Row],[ups ship charge]]-Table1[[#This Row],[ada ship charge]],0)</f>
        <v>0</v>
      </c>
    </row>
    <row r="2317" spans="1:9" x14ac:dyDescent="0.2">
      <c r="A2317">
        <v>1031295</v>
      </c>
      <c r="B2317" t="s">
        <v>21</v>
      </c>
      <c r="C2317">
        <v>12.81</v>
      </c>
      <c r="D2317">
        <v>12.86</v>
      </c>
      <c r="E2317">
        <v>19.95</v>
      </c>
      <c r="F2317" t="s">
        <v>9</v>
      </c>
      <c r="G23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17">
        <f>IF(Table1[[#This Row],[is_ups_overcharge]]="ups overcharged",Table1[[#This Row],[ups ship charge]]-Table1[[#This Row],[ada ship charge]],0)</f>
        <v>0</v>
      </c>
    </row>
    <row r="2318" spans="1:9" x14ac:dyDescent="0.2">
      <c r="A2318">
        <v>1031303</v>
      </c>
      <c r="B2318" t="s">
        <v>21</v>
      </c>
      <c r="C2318">
        <v>13.7</v>
      </c>
      <c r="D2318">
        <v>13.75</v>
      </c>
      <c r="E2318">
        <v>29.95</v>
      </c>
      <c r="F2318" t="s">
        <v>9</v>
      </c>
      <c r="G23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18">
        <f>IF(Table1[[#This Row],[is_ups_overcharge]]="ups overcharged",Table1[[#This Row],[ups ship charge]]-Table1[[#This Row],[ada ship charge]],0)</f>
        <v>0</v>
      </c>
    </row>
    <row r="2319" spans="1:9" x14ac:dyDescent="0.2">
      <c r="A2319">
        <v>1031304</v>
      </c>
      <c r="B2319" t="s">
        <v>21</v>
      </c>
      <c r="C2319">
        <v>9.6999999999999993</v>
      </c>
      <c r="D2319">
        <v>9.75</v>
      </c>
      <c r="E2319">
        <v>49.8</v>
      </c>
      <c r="F2319" t="s">
        <v>6</v>
      </c>
      <c r="G23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19">
        <f>IF(Table1[[#This Row],[is_ups_overcharge]]="ups overcharged",Table1[[#This Row],[ups ship charge]]-Table1[[#This Row],[ada ship charge]],0)</f>
        <v>0</v>
      </c>
    </row>
    <row r="2320" spans="1:9" x14ac:dyDescent="0.2">
      <c r="A2320">
        <v>1031313</v>
      </c>
      <c r="B2320" t="s">
        <v>21</v>
      </c>
      <c r="C2320">
        <v>12.75</v>
      </c>
      <c r="D2320">
        <v>13.31</v>
      </c>
      <c r="E2320">
        <v>72.599999999999994</v>
      </c>
      <c r="F2320" t="s">
        <v>9</v>
      </c>
      <c r="G23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20">
        <f>IF(Table1[[#This Row],[is_ups_overcharge]]="ups overcharged",Table1[[#This Row],[ups ship charge]]-Table1[[#This Row],[ada ship charge]],0)</f>
        <v>0</v>
      </c>
    </row>
    <row r="2321" spans="1:9" x14ac:dyDescent="0.2">
      <c r="A2321">
        <v>1031314</v>
      </c>
      <c r="B2321" t="s">
        <v>21</v>
      </c>
      <c r="C2321">
        <v>12.81</v>
      </c>
      <c r="D2321">
        <v>12.86</v>
      </c>
      <c r="E2321">
        <v>64.900000000000006</v>
      </c>
      <c r="F2321" t="s">
        <v>9</v>
      </c>
      <c r="G23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21">
        <f>IF(Table1[[#This Row],[is_ups_overcharge]]="ups overcharged",Table1[[#This Row],[ups ship charge]]-Table1[[#This Row],[ada ship charge]],0)</f>
        <v>0</v>
      </c>
    </row>
    <row r="2322" spans="1:9" x14ac:dyDescent="0.2">
      <c r="A2322">
        <v>1031327</v>
      </c>
      <c r="B2322" t="s">
        <v>21</v>
      </c>
      <c r="C2322">
        <v>12.81</v>
      </c>
      <c r="D2322">
        <v>12.86</v>
      </c>
      <c r="E2322">
        <v>26.9</v>
      </c>
      <c r="F2322" t="s">
        <v>9</v>
      </c>
      <c r="G23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22">
        <f>IF(Table1[[#This Row],[is_ups_overcharge]]="ups overcharged",Table1[[#This Row],[ups ship charge]]-Table1[[#This Row],[ada ship charge]],0)</f>
        <v>0</v>
      </c>
    </row>
    <row r="2323" spans="1:9" x14ac:dyDescent="0.2">
      <c r="A2323">
        <v>1031343</v>
      </c>
      <c r="B2323" t="s">
        <v>21</v>
      </c>
      <c r="C2323">
        <v>12.81</v>
      </c>
      <c r="D2323">
        <v>12.86</v>
      </c>
      <c r="E2323">
        <v>34.9</v>
      </c>
      <c r="F2323" t="s">
        <v>9</v>
      </c>
      <c r="G23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23">
        <f>IF(Table1[[#This Row],[is_ups_overcharge]]="ups overcharged",Table1[[#This Row],[ups ship charge]]-Table1[[#This Row],[ada ship charge]],0)</f>
        <v>0</v>
      </c>
    </row>
    <row r="2324" spans="1:9" x14ac:dyDescent="0.2">
      <c r="A2324">
        <v>1031355</v>
      </c>
      <c r="B2324" t="s">
        <v>21</v>
      </c>
      <c r="C2324">
        <v>9.7100000000000009</v>
      </c>
      <c r="D2324">
        <v>9.76</v>
      </c>
      <c r="E2324">
        <v>109.9</v>
      </c>
      <c r="F2324" t="s">
        <v>6</v>
      </c>
      <c r="G23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24">
        <f>IF(Table1[[#This Row],[is_ups_overcharge]]="ups overcharged",Table1[[#This Row],[ups ship charge]]-Table1[[#This Row],[ada ship charge]],0)</f>
        <v>0</v>
      </c>
    </row>
    <row r="2325" spans="1:9" x14ac:dyDescent="0.2">
      <c r="A2325">
        <v>1031366</v>
      </c>
      <c r="B2325" t="s">
        <v>21</v>
      </c>
      <c r="C2325">
        <v>12.81</v>
      </c>
      <c r="D2325">
        <v>12.86</v>
      </c>
      <c r="E2325">
        <v>53.7</v>
      </c>
      <c r="F2325" t="s">
        <v>9</v>
      </c>
      <c r="G23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25">
        <f>IF(Table1[[#This Row],[is_ups_overcharge]]="ups overcharged",Table1[[#This Row],[ups ship charge]]-Table1[[#This Row],[ada ship charge]],0)</f>
        <v>0</v>
      </c>
    </row>
    <row r="2326" spans="1:9" x14ac:dyDescent="0.2">
      <c r="A2326">
        <v>1031377</v>
      </c>
      <c r="B2326" t="s">
        <v>21</v>
      </c>
      <c r="C2326">
        <v>9.6999999999999993</v>
      </c>
      <c r="D2326">
        <v>9.75</v>
      </c>
      <c r="E2326">
        <v>34.75</v>
      </c>
      <c r="F2326" t="s">
        <v>6</v>
      </c>
      <c r="G23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26">
        <f>IF(Table1[[#This Row],[is_ups_overcharge]]="ups overcharged",Table1[[#This Row],[ups ship charge]]-Table1[[#This Row],[ada ship charge]],0)</f>
        <v>0</v>
      </c>
    </row>
    <row r="2327" spans="1:9" x14ac:dyDescent="0.2">
      <c r="A2327">
        <v>1031385</v>
      </c>
      <c r="B2327" t="s">
        <v>21</v>
      </c>
      <c r="C2327">
        <v>16.46</v>
      </c>
      <c r="D2327">
        <v>16.510000000000002</v>
      </c>
      <c r="E2327">
        <v>11.8</v>
      </c>
      <c r="F2327" t="s">
        <v>10</v>
      </c>
      <c r="G23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27">
        <f>IF(Table1[[#This Row],[is_ups_overcharge]]="ups overcharged",Table1[[#This Row],[ups ship charge]]-Table1[[#This Row],[ada ship charge]],0)</f>
        <v>0</v>
      </c>
    </row>
    <row r="2328" spans="1:9" x14ac:dyDescent="0.2">
      <c r="A2328">
        <v>1031408</v>
      </c>
      <c r="B2328" t="s">
        <v>21</v>
      </c>
      <c r="C2328">
        <v>17.7</v>
      </c>
      <c r="D2328">
        <v>17.75</v>
      </c>
      <c r="E2328">
        <v>80.7</v>
      </c>
      <c r="F2328" t="s">
        <v>15</v>
      </c>
      <c r="G23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28">
        <f>IF(Table1[[#This Row],[is_ups_overcharge]]="ups overcharged",Table1[[#This Row],[ups ship charge]]-Table1[[#This Row],[ada ship charge]],0)</f>
        <v>0</v>
      </c>
    </row>
    <row r="2329" spans="1:9" x14ac:dyDescent="0.2">
      <c r="A2329">
        <v>1031410</v>
      </c>
      <c r="B2329" t="s">
        <v>21</v>
      </c>
      <c r="C2329">
        <v>9.65</v>
      </c>
      <c r="D2329">
        <v>9.75</v>
      </c>
      <c r="E2329">
        <v>75.25</v>
      </c>
      <c r="F2329" t="s">
        <v>6</v>
      </c>
      <c r="G23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29">
        <f>IF(Table1[[#This Row],[is_ups_overcharge]]="ups overcharged",Table1[[#This Row],[ups ship charge]]-Table1[[#This Row],[ada ship charge]],0)</f>
        <v>0</v>
      </c>
    </row>
    <row r="2330" spans="1:9" x14ac:dyDescent="0.2">
      <c r="A2330">
        <v>1031414</v>
      </c>
      <c r="B2330" t="s">
        <v>21</v>
      </c>
      <c r="C2330">
        <v>12.81</v>
      </c>
      <c r="D2330">
        <v>12.86</v>
      </c>
      <c r="E2330">
        <v>29.95</v>
      </c>
      <c r="F2330" t="s">
        <v>9</v>
      </c>
      <c r="G23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30">
        <f>IF(Table1[[#This Row],[is_ups_overcharge]]="ups overcharged",Table1[[#This Row],[ups ship charge]]-Table1[[#This Row],[ada ship charge]],0)</f>
        <v>0</v>
      </c>
    </row>
    <row r="2331" spans="1:9" x14ac:dyDescent="0.2">
      <c r="A2331">
        <v>1031421</v>
      </c>
      <c r="B2331" t="s">
        <v>21</v>
      </c>
      <c r="C2331">
        <v>12.81</v>
      </c>
      <c r="D2331">
        <v>12.86</v>
      </c>
      <c r="E2331">
        <v>71</v>
      </c>
      <c r="F2331" t="s">
        <v>9</v>
      </c>
      <c r="G23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31">
        <f>IF(Table1[[#This Row],[is_ups_overcharge]]="ups overcharged",Table1[[#This Row],[ups ship charge]]-Table1[[#This Row],[ada ship charge]],0)</f>
        <v>0</v>
      </c>
    </row>
    <row r="2332" spans="1:9" x14ac:dyDescent="0.2">
      <c r="A2332">
        <v>1031423</v>
      </c>
      <c r="B2332" t="s">
        <v>21</v>
      </c>
      <c r="C2332">
        <v>16.559999999999999</v>
      </c>
      <c r="D2332">
        <v>16.61</v>
      </c>
      <c r="E2332">
        <v>40.6</v>
      </c>
      <c r="F2332" t="s">
        <v>10</v>
      </c>
      <c r="G23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32">
        <f>IF(Table1[[#This Row],[is_ups_overcharge]]="ups overcharged",Table1[[#This Row],[ups ship charge]]-Table1[[#This Row],[ada ship charge]],0)</f>
        <v>0</v>
      </c>
    </row>
    <row r="2333" spans="1:9" x14ac:dyDescent="0.2">
      <c r="A2333">
        <v>1031445</v>
      </c>
      <c r="B2333" t="s">
        <v>21</v>
      </c>
      <c r="C2333">
        <v>12.29</v>
      </c>
      <c r="D2333">
        <v>12.34</v>
      </c>
      <c r="E2333">
        <v>129.9</v>
      </c>
      <c r="F2333" t="s">
        <v>14</v>
      </c>
      <c r="G23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33">
        <f>IF(Table1[[#This Row],[is_ups_overcharge]]="ups overcharged",Table1[[#This Row],[ups ship charge]]-Table1[[#This Row],[ada ship charge]],0)</f>
        <v>0</v>
      </c>
    </row>
    <row r="2334" spans="1:9" x14ac:dyDescent="0.2">
      <c r="A2334">
        <v>1031453</v>
      </c>
      <c r="B2334" t="s">
        <v>21</v>
      </c>
      <c r="C2334">
        <v>11.02</v>
      </c>
      <c r="D2334">
        <v>11.07</v>
      </c>
      <c r="E2334">
        <v>65.900000000000006</v>
      </c>
      <c r="F2334" t="s">
        <v>14</v>
      </c>
      <c r="G23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34">
        <f>IF(Table1[[#This Row],[is_ups_overcharge]]="ups overcharged",Table1[[#This Row],[ups ship charge]]-Table1[[#This Row],[ada ship charge]],0)</f>
        <v>0</v>
      </c>
    </row>
    <row r="2335" spans="1:9" x14ac:dyDescent="0.2">
      <c r="A2335">
        <v>1031456</v>
      </c>
      <c r="B2335" t="s">
        <v>21</v>
      </c>
      <c r="C2335">
        <v>13.71</v>
      </c>
      <c r="D2335">
        <v>13.75</v>
      </c>
      <c r="E2335">
        <v>116.75</v>
      </c>
      <c r="F2335" t="s">
        <v>9</v>
      </c>
      <c r="G23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35">
        <f>IF(Table1[[#This Row],[is_ups_overcharge]]="ups overcharged",Table1[[#This Row],[ups ship charge]]-Table1[[#This Row],[ada ship charge]],0)</f>
        <v>0</v>
      </c>
    </row>
    <row r="2336" spans="1:9" x14ac:dyDescent="0.2">
      <c r="A2336">
        <v>1031461</v>
      </c>
      <c r="B2336" t="s">
        <v>21</v>
      </c>
      <c r="C2336">
        <v>12.81</v>
      </c>
      <c r="D2336">
        <v>13.09</v>
      </c>
      <c r="E2336">
        <v>83.2</v>
      </c>
      <c r="F2336" t="s">
        <v>9</v>
      </c>
      <c r="G23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36">
        <f>IF(Table1[[#This Row],[is_ups_overcharge]]="ups overcharged",Table1[[#This Row],[ups ship charge]]-Table1[[#This Row],[ada ship charge]],0)</f>
        <v>0</v>
      </c>
    </row>
    <row r="2337" spans="1:9" x14ac:dyDescent="0.2">
      <c r="A2337">
        <v>1031474</v>
      </c>
      <c r="B2337" t="s">
        <v>21</v>
      </c>
      <c r="C2337">
        <v>13.7</v>
      </c>
      <c r="D2337">
        <v>13.75</v>
      </c>
      <c r="E2337">
        <v>128.85</v>
      </c>
      <c r="F2337" t="s">
        <v>9</v>
      </c>
      <c r="G23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37">
        <f>IF(Table1[[#This Row],[is_ups_overcharge]]="ups overcharged",Table1[[#This Row],[ups ship charge]]-Table1[[#This Row],[ada ship charge]],0)</f>
        <v>0</v>
      </c>
    </row>
    <row r="2338" spans="1:9" x14ac:dyDescent="0.2">
      <c r="A2338">
        <v>1031489</v>
      </c>
      <c r="B2338" t="s">
        <v>21</v>
      </c>
      <c r="C2338">
        <v>11.02</v>
      </c>
      <c r="D2338">
        <v>11.07</v>
      </c>
      <c r="E2338">
        <v>25</v>
      </c>
      <c r="F2338" t="s">
        <v>14</v>
      </c>
      <c r="G23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38">
        <f>IF(Table1[[#This Row],[is_ups_overcharge]]="ups overcharged",Table1[[#This Row],[ups ship charge]]-Table1[[#This Row],[ada ship charge]],0)</f>
        <v>0</v>
      </c>
    </row>
    <row r="2339" spans="1:9" x14ac:dyDescent="0.2">
      <c r="A2339">
        <v>1031496</v>
      </c>
      <c r="B2339" t="s">
        <v>21</v>
      </c>
      <c r="C2339">
        <v>12.81</v>
      </c>
      <c r="D2339">
        <v>12.86</v>
      </c>
      <c r="E2339">
        <v>98.75</v>
      </c>
      <c r="F2339" t="s">
        <v>9</v>
      </c>
      <c r="G23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39">
        <f>IF(Table1[[#This Row],[is_ups_overcharge]]="ups overcharged",Table1[[#This Row],[ups ship charge]]-Table1[[#This Row],[ada ship charge]],0)</f>
        <v>0</v>
      </c>
    </row>
    <row r="2340" spans="1:9" x14ac:dyDescent="0.2">
      <c r="A2340">
        <v>1031515</v>
      </c>
      <c r="B2340" t="s">
        <v>21</v>
      </c>
      <c r="C2340">
        <v>12.81</v>
      </c>
      <c r="D2340">
        <v>12.86</v>
      </c>
      <c r="E2340">
        <v>84.1</v>
      </c>
      <c r="F2340" t="s">
        <v>9</v>
      </c>
      <c r="G23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40">
        <f>IF(Table1[[#This Row],[is_ups_overcharge]]="ups overcharged",Table1[[#This Row],[ups ship charge]]-Table1[[#This Row],[ada ship charge]],0)</f>
        <v>0</v>
      </c>
    </row>
    <row r="2341" spans="1:9" x14ac:dyDescent="0.2">
      <c r="A2341">
        <v>1031524</v>
      </c>
      <c r="B2341" t="s">
        <v>21</v>
      </c>
      <c r="C2341">
        <v>12.81</v>
      </c>
      <c r="D2341">
        <v>12.86</v>
      </c>
      <c r="E2341">
        <v>55.35</v>
      </c>
      <c r="F2341" t="s">
        <v>9</v>
      </c>
      <c r="G23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41">
        <f>IF(Table1[[#This Row],[is_ups_overcharge]]="ups overcharged",Table1[[#This Row],[ups ship charge]]-Table1[[#This Row],[ada ship charge]],0)</f>
        <v>0</v>
      </c>
    </row>
    <row r="2342" spans="1:9" x14ac:dyDescent="0.2">
      <c r="A2342">
        <v>1031535</v>
      </c>
      <c r="B2342" t="s">
        <v>21</v>
      </c>
      <c r="C2342">
        <v>9.6999999999999993</v>
      </c>
      <c r="D2342">
        <v>9.75</v>
      </c>
      <c r="E2342">
        <v>92.95</v>
      </c>
      <c r="F2342" t="s">
        <v>6</v>
      </c>
      <c r="G23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42">
        <f>IF(Table1[[#This Row],[is_ups_overcharge]]="ups overcharged",Table1[[#This Row],[ups ship charge]]-Table1[[#This Row],[ada ship charge]],0)</f>
        <v>0</v>
      </c>
    </row>
    <row r="2343" spans="1:9" x14ac:dyDescent="0.2">
      <c r="A2343">
        <v>1031540</v>
      </c>
      <c r="B2343" t="s">
        <v>21</v>
      </c>
      <c r="C2343">
        <v>9.6999999999999993</v>
      </c>
      <c r="D2343">
        <v>9.75</v>
      </c>
      <c r="E2343">
        <v>39.950000000000003</v>
      </c>
      <c r="F2343" t="s">
        <v>6</v>
      </c>
      <c r="G23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43">
        <f>IF(Table1[[#This Row],[is_ups_overcharge]]="ups overcharged",Table1[[#This Row],[ups ship charge]]-Table1[[#This Row],[ada ship charge]],0)</f>
        <v>0</v>
      </c>
    </row>
    <row r="2344" spans="1:9" x14ac:dyDescent="0.2">
      <c r="A2344">
        <v>1031583</v>
      </c>
      <c r="B2344" t="s">
        <v>21</v>
      </c>
      <c r="C2344">
        <v>9.6999999999999993</v>
      </c>
      <c r="D2344">
        <v>9.75</v>
      </c>
      <c r="E2344">
        <v>74.849999999999994</v>
      </c>
      <c r="F2344" t="s">
        <v>6</v>
      </c>
      <c r="G23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44">
        <f>IF(Table1[[#This Row],[is_ups_overcharge]]="ups overcharged",Table1[[#This Row],[ups ship charge]]-Table1[[#This Row],[ada ship charge]],0)</f>
        <v>0</v>
      </c>
    </row>
    <row r="2345" spans="1:9" x14ac:dyDescent="0.2">
      <c r="A2345">
        <v>1031609</v>
      </c>
      <c r="B2345" t="s">
        <v>21</v>
      </c>
      <c r="C2345">
        <v>12.81</v>
      </c>
      <c r="D2345">
        <v>12.86</v>
      </c>
      <c r="E2345">
        <v>24.95</v>
      </c>
      <c r="F2345" t="s">
        <v>9</v>
      </c>
      <c r="G23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45">
        <f>IF(Table1[[#This Row],[is_ups_overcharge]]="ups overcharged",Table1[[#This Row],[ups ship charge]]-Table1[[#This Row],[ada ship charge]],0)</f>
        <v>0</v>
      </c>
    </row>
    <row r="2346" spans="1:9" x14ac:dyDescent="0.2">
      <c r="A2346">
        <v>1031611</v>
      </c>
      <c r="B2346" t="s">
        <v>21</v>
      </c>
      <c r="C2346">
        <v>14.04</v>
      </c>
      <c r="D2346">
        <v>14.09</v>
      </c>
      <c r="E2346">
        <v>21.76</v>
      </c>
      <c r="F2346" t="s">
        <v>16</v>
      </c>
      <c r="G23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46">
        <f>IF(Table1[[#This Row],[is_ups_overcharge]]="ups overcharged",Table1[[#This Row],[ups ship charge]]-Table1[[#This Row],[ada ship charge]],0)</f>
        <v>0</v>
      </c>
    </row>
    <row r="2347" spans="1:9" x14ac:dyDescent="0.2">
      <c r="A2347">
        <v>1031615</v>
      </c>
      <c r="B2347" t="s">
        <v>21</v>
      </c>
      <c r="C2347">
        <v>12.81</v>
      </c>
      <c r="D2347">
        <v>13.31</v>
      </c>
      <c r="E2347">
        <v>65.150000000000006</v>
      </c>
      <c r="F2347" t="s">
        <v>9</v>
      </c>
      <c r="G23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47">
        <f>IF(Table1[[#This Row],[is_ups_overcharge]]="ups overcharged",Table1[[#This Row],[ups ship charge]]-Table1[[#This Row],[ada ship charge]],0)</f>
        <v>0</v>
      </c>
    </row>
    <row r="2348" spans="1:9" x14ac:dyDescent="0.2">
      <c r="A2348">
        <v>1031632</v>
      </c>
      <c r="B2348" t="s">
        <v>21</v>
      </c>
      <c r="C2348">
        <v>12.81</v>
      </c>
      <c r="D2348">
        <v>12.86</v>
      </c>
      <c r="E2348">
        <v>29.35</v>
      </c>
      <c r="F2348" t="s">
        <v>9</v>
      </c>
      <c r="G23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48">
        <f>IF(Table1[[#This Row],[is_ups_overcharge]]="ups overcharged",Table1[[#This Row],[ups ship charge]]-Table1[[#This Row],[ada ship charge]],0)</f>
        <v>0</v>
      </c>
    </row>
    <row r="2349" spans="1:9" x14ac:dyDescent="0.2">
      <c r="A2349">
        <v>1031635</v>
      </c>
      <c r="B2349" t="s">
        <v>21</v>
      </c>
      <c r="C2349">
        <v>13.63</v>
      </c>
      <c r="D2349">
        <v>13.75</v>
      </c>
      <c r="E2349">
        <v>134.65</v>
      </c>
      <c r="F2349" t="s">
        <v>9</v>
      </c>
      <c r="G23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49">
        <f>IF(Table1[[#This Row],[is_ups_overcharge]]="ups overcharged",Table1[[#This Row],[ups ship charge]]-Table1[[#This Row],[ada ship charge]],0)</f>
        <v>0</v>
      </c>
    </row>
    <row r="2350" spans="1:9" x14ac:dyDescent="0.2">
      <c r="A2350">
        <v>1031636</v>
      </c>
      <c r="B2350" t="s">
        <v>21</v>
      </c>
      <c r="C2350">
        <v>13.71</v>
      </c>
      <c r="D2350">
        <v>13.75</v>
      </c>
      <c r="E2350">
        <v>113.95</v>
      </c>
      <c r="F2350" t="s">
        <v>9</v>
      </c>
      <c r="G23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50">
        <f>IF(Table1[[#This Row],[is_ups_overcharge]]="ups overcharged",Table1[[#This Row],[ups ship charge]]-Table1[[#This Row],[ada ship charge]],0)</f>
        <v>0</v>
      </c>
    </row>
    <row r="2351" spans="1:9" x14ac:dyDescent="0.2">
      <c r="A2351">
        <v>1031655</v>
      </c>
      <c r="B2351" t="s">
        <v>21</v>
      </c>
      <c r="C2351">
        <v>16.77</v>
      </c>
      <c r="D2351">
        <v>16.82</v>
      </c>
      <c r="E2351">
        <v>127.65</v>
      </c>
      <c r="F2351" t="s">
        <v>10</v>
      </c>
      <c r="G23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51">
        <f>IF(Table1[[#This Row],[is_ups_overcharge]]="ups overcharged",Table1[[#This Row],[ups ship charge]]-Table1[[#This Row],[ada ship charge]],0)</f>
        <v>0</v>
      </c>
    </row>
    <row r="2352" spans="1:9" x14ac:dyDescent="0.2">
      <c r="A2352">
        <v>1031657</v>
      </c>
      <c r="B2352" t="s">
        <v>21</v>
      </c>
      <c r="C2352">
        <v>12.81</v>
      </c>
      <c r="D2352">
        <v>12.86</v>
      </c>
      <c r="E2352">
        <v>8</v>
      </c>
      <c r="F2352" t="s">
        <v>9</v>
      </c>
      <c r="G23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52">
        <f>IF(Table1[[#This Row],[is_ups_overcharge]]="ups overcharged",Table1[[#This Row],[ups ship charge]]-Table1[[#This Row],[ada ship charge]],0)</f>
        <v>0</v>
      </c>
    </row>
    <row r="2353" spans="1:9" x14ac:dyDescent="0.2">
      <c r="A2353">
        <v>1031675</v>
      </c>
      <c r="B2353" t="s">
        <v>21</v>
      </c>
      <c r="C2353">
        <v>12.81</v>
      </c>
      <c r="D2353">
        <v>12.86</v>
      </c>
      <c r="E2353">
        <v>5</v>
      </c>
      <c r="F2353" t="s">
        <v>9</v>
      </c>
      <c r="G23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53">
        <f>IF(Table1[[#This Row],[is_ups_overcharge]]="ups overcharged",Table1[[#This Row],[ups ship charge]]-Table1[[#This Row],[ada ship charge]],0)</f>
        <v>0</v>
      </c>
    </row>
    <row r="2354" spans="1:9" x14ac:dyDescent="0.2">
      <c r="A2354">
        <v>1031682</v>
      </c>
      <c r="B2354" t="s">
        <v>21</v>
      </c>
      <c r="C2354">
        <v>9.6999999999999993</v>
      </c>
      <c r="D2354">
        <v>9.75</v>
      </c>
      <c r="E2354">
        <v>29.95</v>
      </c>
      <c r="F2354" t="s">
        <v>6</v>
      </c>
      <c r="G23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54">
        <f>IF(Table1[[#This Row],[is_ups_overcharge]]="ups overcharged",Table1[[#This Row],[ups ship charge]]-Table1[[#This Row],[ada ship charge]],0)</f>
        <v>0</v>
      </c>
    </row>
    <row r="2355" spans="1:9" x14ac:dyDescent="0.2">
      <c r="A2355">
        <v>1031683</v>
      </c>
      <c r="B2355" t="s">
        <v>21</v>
      </c>
      <c r="C2355">
        <v>16.440000000000001</v>
      </c>
      <c r="D2355">
        <v>16.61</v>
      </c>
      <c r="E2355">
        <v>14.35</v>
      </c>
      <c r="F2355" t="s">
        <v>10</v>
      </c>
      <c r="G23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55">
        <f>IF(Table1[[#This Row],[is_ups_overcharge]]="ups overcharged",Table1[[#This Row],[ups ship charge]]-Table1[[#This Row],[ada ship charge]],0)</f>
        <v>0</v>
      </c>
    </row>
    <row r="2356" spans="1:9" x14ac:dyDescent="0.2">
      <c r="A2356">
        <v>1031691</v>
      </c>
      <c r="B2356" t="s">
        <v>21</v>
      </c>
      <c r="C2356">
        <v>13.64</v>
      </c>
      <c r="D2356">
        <v>13.75</v>
      </c>
      <c r="E2356">
        <v>7.95</v>
      </c>
      <c r="F2356" t="s">
        <v>9</v>
      </c>
      <c r="G23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56">
        <f>IF(Table1[[#This Row],[is_ups_overcharge]]="ups overcharged",Table1[[#This Row],[ups ship charge]]-Table1[[#This Row],[ada ship charge]],0)</f>
        <v>0</v>
      </c>
    </row>
    <row r="2357" spans="1:9" x14ac:dyDescent="0.2">
      <c r="A2357">
        <v>1031692</v>
      </c>
      <c r="B2357" t="s">
        <v>21</v>
      </c>
      <c r="C2357">
        <v>12.75</v>
      </c>
      <c r="D2357">
        <v>12.86</v>
      </c>
      <c r="E2357">
        <v>42.85</v>
      </c>
      <c r="F2357" t="s">
        <v>9</v>
      </c>
      <c r="G23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57">
        <f>IF(Table1[[#This Row],[is_ups_overcharge]]="ups overcharged",Table1[[#This Row],[ups ship charge]]-Table1[[#This Row],[ada ship charge]],0)</f>
        <v>0</v>
      </c>
    </row>
    <row r="2358" spans="1:9" x14ac:dyDescent="0.2">
      <c r="A2358">
        <v>1031711</v>
      </c>
      <c r="B2358" t="s">
        <v>21</v>
      </c>
      <c r="C2358">
        <v>12.75</v>
      </c>
      <c r="D2358">
        <v>12.86</v>
      </c>
      <c r="E2358">
        <v>51.8</v>
      </c>
      <c r="F2358" t="s">
        <v>9</v>
      </c>
      <c r="G23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58">
        <f>IF(Table1[[#This Row],[is_ups_overcharge]]="ups overcharged",Table1[[#This Row],[ups ship charge]]-Table1[[#This Row],[ada ship charge]],0)</f>
        <v>0</v>
      </c>
    </row>
    <row r="2359" spans="1:9" x14ac:dyDescent="0.2">
      <c r="A2359">
        <v>1031738</v>
      </c>
      <c r="B2359" t="s">
        <v>21</v>
      </c>
      <c r="C2359">
        <v>9.6999999999999993</v>
      </c>
      <c r="D2359">
        <v>9.75</v>
      </c>
      <c r="E2359">
        <v>59.8</v>
      </c>
      <c r="F2359" t="s">
        <v>6</v>
      </c>
      <c r="G23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59">
        <f>IF(Table1[[#This Row],[is_ups_overcharge]]="ups overcharged",Table1[[#This Row],[ups ship charge]]-Table1[[#This Row],[ada ship charge]],0)</f>
        <v>0</v>
      </c>
    </row>
    <row r="2360" spans="1:9" x14ac:dyDescent="0.2">
      <c r="A2360">
        <v>1031742</v>
      </c>
      <c r="B2360" t="s">
        <v>21</v>
      </c>
      <c r="C2360">
        <v>12.75</v>
      </c>
      <c r="D2360">
        <v>12.86</v>
      </c>
      <c r="E2360">
        <v>7.5</v>
      </c>
      <c r="F2360" t="s">
        <v>9</v>
      </c>
      <c r="G23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60">
        <f>IF(Table1[[#This Row],[is_ups_overcharge]]="ups overcharged",Table1[[#This Row],[ups ship charge]]-Table1[[#This Row],[ada ship charge]],0)</f>
        <v>0</v>
      </c>
    </row>
    <row r="2361" spans="1:9" x14ac:dyDescent="0.2">
      <c r="A2361">
        <v>1031744</v>
      </c>
      <c r="B2361" t="s">
        <v>21</v>
      </c>
      <c r="C2361">
        <v>13.64</v>
      </c>
      <c r="D2361">
        <v>13.75</v>
      </c>
      <c r="E2361">
        <v>59.95</v>
      </c>
      <c r="F2361" t="s">
        <v>9</v>
      </c>
      <c r="G23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61">
        <f>IF(Table1[[#This Row],[is_ups_overcharge]]="ups overcharged",Table1[[#This Row],[ups ship charge]]-Table1[[#This Row],[ada ship charge]],0)</f>
        <v>0</v>
      </c>
    </row>
    <row r="2362" spans="1:9" x14ac:dyDescent="0.2">
      <c r="A2362">
        <v>1031747</v>
      </c>
      <c r="B2362" t="s">
        <v>21</v>
      </c>
      <c r="C2362">
        <v>13.64</v>
      </c>
      <c r="D2362">
        <v>13.75</v>
      </c>
      <c r="E2362">
        <v>45.85</v>
      </c>
      <c r="F2362" t="s">
        <v>9</v>
      </c>
      <c r="G23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62">
        <f>IF(Table1[[#This Row],[is_ups_overcharge]]="ups overcharged",Table1[[#This Row],[ups ship charge]]-Table1[[#This Row],[ada ship charge]],0)</f>
        <v>0</v>
      </c>
    </row>
    <row r="2363" spans="1:9" x14ac:dyDescent="0.2">
      <c r="A2363">
        <v>1031749</v>
      </c>
      <c r="B2363" t="s">
        <v>21</v>
      </c>
      <c r="C2363">
        <v>12.81</v>
      </c>
      <c r="D2363">
        <v>12.86</v>
      </c>
      <c r="E2363">
        <v>33.75</v>
      </c>
      <c r="F2363" t="s">
        <v>9</v>
      </c>
      <c r="G23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63">
        <f>IF(Table1[[#This Row],[is_ups_overcharge]]="ups overcharged",Table1[[#This Row],[ups ship charge]]-Table1[[#This Row],[ada ship charge]],0)</f>
        <v>0</v>
      </c>
    </row>
    <row r="2364" spans="1:9" x14ac:dyDescent="0.2">
      <c r="A2364">
        <v>1031759</v>
      </c>
      <c r="B2364" t="s">
        <v>21</v>
      </c>
      <c r="C2364">
        <v>9.66</v>
      </c>
      <c r="D2364">
        <v>9.75</v>
      </c>
      <c r="E2364">
        <v>99.9</v>
      </c>
      <c r="F2364" t="s">
        <v>6</v>
      </c>
      <c r="G23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64">
        <f>IF(Table1[[#This Row],[is_ups_overcharge]]="ups overcharged",Table1[[#This Row],[ups ship charge]]-Table1[[#This Row],[ada ship charge]],0)</f>
        <v>0</v>
      </c>
    </row>
    <row r="2365" spans="1:9" x14ac:dyDescent="0.2">
      <c r="A2365">
        <v>1031760</v>
      </c>
      <c r="B2365" t="s">
        <v>21</v>
      </c>
      <c r="C2365">
        <v>9.6999999999999993</v>
      </c>
      <c r="D2365">
        <v>9.75</v>
      </c>
      <c r="E2365">
        <v>35.700000000000003</v>
      </c>
      <c r="F2365" t="s">
        <v>6</v>
      </c>
      <c r="G23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65">
        <f>IF(Table1[[#This Row],[is_ups_overcharge]]="ups overcharged",Table1[[#This Row],[ups ship charge]]-Table1[[#This Row],[ada ship charge]],0)</f>
        <v>0</v>
      </c>
    </row>
    <row r="2366" spans="1:9" x14ac:dyDescent="0.2">
      <c r="A2366">
        <v>1031766</v>
      </c>
      <c r="B2366" t="s">
        <v>21</v>
      </c>
      <c r="C2366">
        <v>13.64</v>
      </c>
      <c r="D2366">
        <v>13.75</v>
      </c>
      <c r="E2366">
        <v>59.9</v>
      </c>
      <c r="F2366" t="s">
        <v>9</v>
      </c>
      <c r="G23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66">
        <f>IF(Table1[[#This Row],[is_ups_overcharge]]="ups overcharged",Table1[[#This Row],[ups ship charge]]-Table1[[#This Row],[ada ship charge]],0)</f>
        <v>0</v>
      </c>
    </row>
    <row r="2367" spans="1:9" x14ac:dyDescent="0.2">
      <c r="A2367">
        <v>1031768</v>
      </c>
      <c r="B2367" t="s">
        <v>21</v>
      </c>
      <c r="C2367">
        <v>12.75</v>
      </c>
      <c r="D2367">
        <v>12.86</v>
      </c>
      <c r="E2367">
        <v>69.900000000000006</v>
      </c>
      <c r="F2367" t="s">
        <v>9</v>
      </c>
      <c r="G23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67">
        <f>IF(Table1[[#This Row],[is_ups_overcharge]]="ups overcharged",Table1[[#This Row],[ups ship charge]]-Table1[[#This Row],[ada ship charge]],0)</f>
        <v>0</v>
      </c>
    </row>
    <row r="2368" spans="1:9" x14ac:dyDescent="0.2">
      <c r="A2368">
        <v>1031771</v>
      </c>
      <c r="B2368" t="s">
        <v>21</v>
      </c>
      <c r="C2368">
        <v>12.75</v>
      </c>
      <c r="D2368">
        <v>12.86</v>
      </c>
      <c r="E2368">
        <v>34.950000000000003</v>
      </c>
      <c r="F2368" t="s">
        <v>9</v>
      </c>
      <c r="G23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68">
        <f>IF(Table1[[#This Row],[is_ups_overcharge]]="ups overcharged",Table1[[#This Row],[ups ship charge]]-Table1[[#This Row],[ada ship charge]],0)</f>
        <v>0</v>
      </c>
    </row>
    <row r="2369" spans="1:9" x14ac:dyDescent="0.2">
      <c r="A2369">
        <v>1031787</v>
      </c>
      <c r="B2369" t="s">
        <v>21</v>
      </c>
      <c r="C2369">
        <v>9.65</v>
      </c>
      <c r="D2369">
        <v>9.76</v>
      </c>
      <c r="E2369">
        <v>54.85</v>
      </c>
      <c r="F2369" t="s">
        <v>6</v>
      </c>
      <c r="G23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69">
        <f>IF(Table1[[#This Row],[is_ups_overcharge]]="ups overcharged",Table1[[#This Row],[ups ship charge]]-Table1[[#This Row],[ada ship charge]],0)</f>
        <v>0</v>
      </c>
    </row>
    <row r="2370" spans="1:9" x14ac:dyDescent="0.2">
      <c r="A2370">
        <v>1031791</v>
      </c>
      <c r="B2370" t="s">
        <v>21</v>
      </c>
      <c r="C2370">
        <v>15.33</v>
      </c>
      <c r="D2370">
        <v>15.49</v>
      </c>
      <c r="E2370">
        <v>7.95</v>
      </c>
      <c r="F2370" t="s">
        <v>12</v>
      </c>
      <c r="G23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70">
        <f>IF(Table1[[#This Row],[is_ups_overcharge]]="ups overcharged",Table1[[#This Row],[ups ship charge]]-Table1[[#This Row],[ada ship charge]],0)</f>
        <v>0</v>
      </c>
    </row>
    <row r="2371" spans="1:9" x14ac:dyDescent="0.2">
      <c r="A2371">
        <v>1031809</v>
      </c>
      <c r="B2371" t="s">
        <v>21</v>
      </c>
      <c r="C2371">
        <v>12.75</v>
      </c>
      <c r="D2371">
        <v>12.86</v>
      </c>
      <c r="E2371">
        <v>17.899999999999999</v>
      </c>
      <c r="F2371" t="s">
        <v>9</v>
      </c>
      <c r="G23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71">
        <f>IF(Table1[[#This Row],[is_ups_overcharge]]="ups overcharged",Table1[[#This Row],[ups ship charge]]-Table1[[#This Row],[ada ship charge]],0)</f>
        <v>0</v>
      </c>
    </row>
    <row r="2372" spans="1:9" x14ac:dyDescent="0.2">
      <c r="A2372">
        <v>1031815</v>
      </c>
      <c r="B2372" t="s">
        <v>21</v>
      </c>
      <c r="C2372">
        <v>13.7</v>
      </c>
      <c r="D2372">
        <v>14.56</v>
      </c>
      <c r="E2372">
        <v>99.95</v>
      </c>
      <c r="F2372" t="s">
        <v>9</v>
      </c>
      <c r="G23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72">
        <f>IF(Table1[[#This Row],[is_ups_overcharge]]="ups overcharged",Table1[[#This Row],[ups ship charge]]-Table1[[#This Row],[ada ship charge]],0)</f>
        <v>0</v>
      </c>
    </row>
    <row r="2373" spans="1:9" x14ac:dyDescent="0.2">
      <c r="A2373">
        <v>1031835</v>
      </c>
      <c r="B2373" t="s">
        <v>21</v>
      </c>
      <c r="C2373">
        <v>13.71</v>
      </c>
      <c r="D2373">
        <v>13.75</v>
      </c>
      <c r="E2373">
        <v>29.95</v>
      </c>
      <c r="F2373" t="s">
        <v>9</v>
      </c>
      <c r="G23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73">
        <f>IF(Table1[[#This Row],[is_ups_overcharge]]="ups overcharged",Table1[[#This Row],[ups ship charge]]-Table1[[#This Row],[ada ship charge]],0)</f>
        <v>0</v>
      </c>
    </row>
    <row r="2374" spans="1:9" x14ac:dyDescent="0.2">
      <c r="A2374">
        <v>1031840</v>
      </c>
      <c r="B2374" t="s">
        <v>21</v>
      </c>
      <c r="C2374">
        <v>12.81</v>
      </c>
      <c r="D2374">
        <v>12.86</v>
      </c>
      <c r="E2374">
        <v>90.6</v>
      </c>
      <c r="F2374" t="s">
        <v>9</v>
      </c>
      <c r="G23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74">
        <f>IF(Table1[[#This Row],[is_ups_overcharge]]="ups overcharged",Table1[[#This Row],[ups ship charge]]-Table1[[#This Row],[ada ship charge]],0)</f>
        <v>0</v>
      </c>
    </row>
    <row r="2375" spans="1:9" x14ac:dyDescent="0.2">
      <c r="A2375">
        <v>1031865</v>
      </c>
      <c r="B2375" t="s">
        <v>21</v>
      </c>
      <c r="C2375">
        <v>13.7</v>
      </c>
      <c r="D2375">
        <v>13.75</v>
      </c>
      <c r="E2375">
        <v>5</v>
      </c>
      <c r="F2375" t="s">
        <v>9</v>
      </c>
      <c r="G23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75">
        <f>IF(Table1[[#This Row],[is_ups_overcharge]]="ups overcharged",Table1[[#This Row],[ups ship charge]]-Table1[[#This Row],[ada ship charge]],0)</f>
        <v>0</v>
      </c>
    </row>
    <row r="2376" spans="1:9" x14ac:dyDescent="0.2">
      <c r="A2376">
        <v>1031872</v>
      </c>
      <c r="B2376" t="s">
        <v>21</v>
      </c>
      <c r="C2376">
        <v>12.75</v>
      </c>
      <c r="D2376">
        <v>12.86</v>
      </c>
      <c r="E2376">
        <v>39.9</v>
      </c>
      <c r="F2376" t="s">
        <v>9</v>
      </c>
      <c r="G23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76">
        <f>IF(Table1[[#This Row],[is_ups_overcharge]]="ups overcharged",Table1[[#This Row],[ups ship charge]]-Table1[[#This Row],[ada ship charge]],0)</f>
        <v>0</v>
      </c>
    </row>
    <row r="2377" spans="1:9" x14ac:dyDescent="0.2">
      <c r="A2377">
        <v>1031880</v>
      </c>
      <c r="B2377" t="s">
        <v>21</v>
      </c>
      <c r="C2377">
        <v>12.81</v>
      </c>
      <c r="D2377">
        <v>12.86</v>
      </c>
      <c r="E2377">
        <v>4.95</v>
      </c>
      <c r="F2377" t="s">
        <v>9</v>
      </c>
      <c r="G23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77">
        <f>IF(Table1[[#This Row],[is_ups_overcharge]]="ups overcharged",Table1[[#This Row],[ups ship charge]]-Table1[[#This Row],[ada ship charge]],0)</f>
        <v>0</v>
      </c>
    </row>
    <row r="2378" spans="1:9" x14ac:dyDescent="0.2">
      <c r="A2378">
        <v>1031885</v>
      </c>
      <c r="B2378" t="s">
        <v>21</v>
      </c>
      <c r="C2378">
        <v>13.7</v>
      </c>
      <c r="D2378">
        <v>13.75</v>
      </c>
      <c r="E2378">
        <v>65.849999999999994</v>
      </c>
      <c r="F2378" t="s">
        <v>9</v>
      </c>
      <c r="G23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78">
        <f>IF(Table1[[#This Row],[is_ups_overcharge]]="ups overcharged",Table1[[#This Row],[ups ship charge]]-Table1[[#This Row],[ada ship charge]],0)</f>
        <v>0</v>
      </c>
    </row>
    <row r="2379" spans="1:9" x14ac:dyDescent="0.2">
      <c r="A2379">
        <v>1031891</v>
      </c>
      <c r="B2379" t="s">
        <v>21</v>
      </c>
      <c r="C2379">
        <v>9.65</v>
      </c>
      <c r="D2379">
        <v>13.75</v>
      </c>
      <c r="E2379">
        <v>35.9</v>
      </c>
      <c r="F2379" t="s">
        <v>6</v>
      </c>
      <c r="G23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79">
        <f>IF(Table1[[#This Row],[is_ups_overcharge]]="ups overcharged",Table1[[#This Row],[ups ship charge]]-Table1[[#This Row],[ada ship charge]],0)</f>
        <v>0</v>
      </c>
    </row>
    <row r="2380" spans="1:9" x14ac:dyDescent="0.2">
      <c r="A2380">
        <v>1031893</v>
      </c>
      <c r="B2380" t="s">
        <v>21</v>
      </c>
      <c r="C2380">
        <v>12.81</v>
      </c>
      <c r="D2380">
        <v>12.86</v>
      </c>
      <c r="E2380">
        <v>44.4</v>
      </c>
      <c r="F2380" t="s">
        <v>9</v>
      </c>
      <c r="G23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80">
        <f>IF(Table1[[#This Row],[is_ups_overcharge]]="ups overcharged",Table1[[#This Row],[ups ship charge]]-Table1[[#This Row],[ada ship charge]],0)</f>
        <v>0</v>
      </c>
    </row>
    <row r="2381" spans="1:9" x14ac:dyDescent="0.2">
      <c r="A2381">
        <v>1031914</v>
      </c>
      <c r="B2381" t="s">
        <v>21</v>
      </c>
      <c r="C2381">
        <v>12.81</v>
      </c>
      <c r="D2381">
        <v>12.86</v>
      </c>
      <c r="E2381">
        <v>84.75</v>
      </c>
      <c r="F2381" t="s">
        <v>9</v>
      </c>
      <c r="G23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81">
        <f>IF(Table1[[#This Row],[is_ups_overcharge]]="ups overcharged",Table1[[#This Row],[ups ship charge]]-Table1[[#This Row],[ada ship charge]],0)</f>
        <v>0</v>
      </c>
    </row>
    <row r="2382" spans="1:9" x14ac:dyDescent="0.2">
      <c r="A2382">
        <v>1031919</v>
      </c>
      <c r="B2382" t="s">
        <v>21</v>
      </c>
      <c r="C2382">
        <v>13.7</v>
      </c>
      <c r="D2382">
        <v>15.17</v>
      </c>
      <c r="E2382">
        <v>99.95</v>
      </c>
      <c r="F2382" t="s">
        <v>9</v>
      </c>
      <c r="G23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82">
        <f>IF(Table1[[#This Row],[is_ups_overcharge]]="ups overcharged",Table1[[#This Row],[ups ship charge]]-Table1[[#This Row],[ada ship charge]],0)</f>
        <v>0</v>
      </c>
    </row>
    <row r="2383" spans="1:9" x14ac:dyDescent="0.2">
      <c r="A2383">
        <v>1031993</v>
      </c>
      <c r="B2383" t="s">
        <v>21</v>
      </c>
      <c r="C2383">
        <v>12.81</v>
      </c>
      <c r="D2383">
        <v>12.86</v>
      </c>
      <c r="E2383">
        <v>17.5</v>
      </c>
      <c r="F2383" t="s">
        <v>9</v>
      </c>
      <c r="G23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83">
        <f>IF(Table1[[#This Row],[is_ups_overcharge]]="ups overcharged",Table1[[#This Row],[ups ship charge]]-Table1[[#This Row],[ada ship charge]],0)</f>
        <v>0</v>
      </c>
    </row>
    <row r="2384" spans="1:9" x14ac:dyDescent="0.2">
      <c r="A2384">
        <v>1032009</v>
      </c>
      <c r="B2384" t="s">
        <v>21</v>
      </c>
      <c r="C2384">
        <v>9.6999999999999993</v>
      </c>
      <c r="D2384">
        <v>9.75</v>
      </c>
      <c r="E2384">
        <v>81.599999999999994</v>
      </c>
      <c r="F2384" t="s">
        <v>6</v>
      </c>
      <c r="G23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84">
        <f>IF(Table1[[#This Row],[is_ups_overcharge]]="ups overcharged",Table1[[#This Row],[ups ship charge]]-Table1[[#This Row],[ada ship charge]],0)</f>
        <v>0</v>
      </c>
    </row>
    <row r="2385" spans="1:9" x14ac:dyDescent="0.2">
      <c r="A2385">
        <v>1032019</v>
      </c>
      <c r="B2385" t="s">
        <v>21</v>
      </c>
      <c r="C2385">
        <v>16.77</v>
      </c>
      <c r="D2385">
        <v>16.82</v>
      </c>
      <c r="E2385">
        <v>29.95</v>
      </c>
      <c r="F2385" t="s">
        <v>10</v>
      </c>
      <c r="G23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85">
        <f>IF(Table1[[#This Row],[is_ups_overcharge]]="ups overcharged",Table1[[#This Row],[ups ship charge]]-Table1[[#This Row],[ada ship charge]],0)</f>
        <v>0</v>
      </c>
    </row>
    <row r="2386" spans="1:9" x14ac:dyDescent="0.2">
      <c r="A2386">
        <v>1032021</v>
      </c>
      <c r="B2386" t="s">
        <v>21</v>
      </c>
      <c r="C2386">
        <v>13.7</v>
      </c>
      <c r="D2386">
        <v>13.75</v>
      </c>
      <c r="E2386">
        <v>69.5</v>
      </c>
      <c r="F2386" t="s">
        <v>9</v>
      </c>
      <c r="G23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86">
        <f>IF(Table1[[#This Row],[is_ups_overcharge]]="ups overcharged",Table1[[#This Row],[ups ship charge]]-Table1[[#This Row],[ada ship charge]],0)</f>
        <v>0</v>
      </c>
    </row>
    <row r="2387" spans="1:9" x14ac:dyDescent="0.2">
      <c r="A2387">
        <v>1032029</v>
      </c>
      <c r="B2387" t="s">
        <v>21</v>
      </c>
      <c r="C2387">
        <v>12.35</v>
      </c>
      <c r="D2387">
        <v>16.510000000000002</v>
      </c>
      <c r="E2387">
        <v>17.7</v>
      </c>
      <c r="F2387" t="s">
        <v>13</v>
      </c>
      <c r="G23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87">
        <f>IF(Table1[[#This Row],[is_ups_overcharge]]="ups overcharged",Table1[[#This Row],[ups ship charge]]-Table1[[#This Row],[ada ship charge]],0)</f>
        <v>0</v>
      </c>
    </row>
    <row r="2388" spans="1:9" x14ac:dyDescent="0.2">
      <c r="A2388">
        <v>1032048</v>
      </c>
      <c r="B2388" t="s">
        <v>21</v>
      </c>
      <c r="C2388">
        <v>12.81</v>
      </c>
      <c r="D2388">
        <v>12.86</v>
      </c>
      <c r="E2388">
        <v>29.95</v>
      </c>
      <c r="F2388" t="s">
        <v>9</v>
      </c>
      <c r="G23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88">
        <f>IF(Table1[[#This Row],[is_ups_overcharge]]="ups overcharged",Table1[[#This Row],[ups ship charge]]-Table1[[#This Row],[ada ship charge]],0)</f>
        <v>0</v>
      </c>
    </row>
    <row r="2389" spans="1:9" x14ac:dyDescent="0.2">
      <c r="A2389">
        <v>1032052</v>
      </c>
      <c r="B2389" t="s">
        <v>21</v>
      </c>
      <c r="C2389">
        <v>12.81</v>
      </c>
      <c r="D2389">
        <v>12.86</v>
      </c>
      <c r="E2389">
        <v>61.95</v>
      </c>
      <c r="F2389" t="s">
        <v>9</v>
      </c>
      <c r="G23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89">
        <f>IF(Table1[[#This Row],[is_ups_overcharge]]="ups overcharged",Table1[[#This Row],[ups ship charge]]-Table1[[#This Row],[ada ship charge]],0)</f>
        <v>0</v>
      </c>
    </row>
    <row r="2390" spans="1:9" x14ac:dyDescent="0.2">
      <c r="A2390">
        <v>1032083</v>
      </c>
      <c r="B2390" t="s">
        <v>21</v>
      </c>
      <c r="C2390">
        <v>13.7</v>
      </c>
      <c r="D2390">
        <v>13.75</v>
      </c>
      <c r="E2390">
        <v>35.549999999999997</v>
      </c>
      <c r="F2390" t="s">
        <v>9</v>
      </c>
      <c r="G23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90">
        <f>IF(Table1[[#This Row],[is_ups_overcharge]]="ups overcharged",Table1[[#This Row],[ups ship charge]]-Table1[[#This Row],[ada ship charge]],0)</f>
        <v>0</v>
      </c>
    </row>
    <row r="2391" spans="1:9" x14ac:dyDescent="0.2">
      <c r="A2391">
        <v>1032099</v>
      </c>
      <c r="B2391" t="s">
        <v>21</v>
      </c>
      <c r="C2391">
        <v>12.81</v>
      </c>
      <c r="D2391">
        <v>12.86</v>
      </c>
      <c r="E2391">
        <v>29.95</v>
      </c>
      <c r="F2391" t="s">
        <v>9</v>
      </c>
      <c r="G23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91">
        <f>IF(Table1[[#This Row],[is_ups_overcharge]]="ups overcharged",Table1[[#This Row],[ups ship charge]]-Table1[[#This Row],[ada ship charge]],0)</f>
        <v>0</v>
      </c>
    </row>
    <row r="2392" spans="1:9" x14ac:dyDescent="0.2">
      <c r="A2392">
        <v>1032103</v>
      </c>
      <c r="B2392" t="s">
        <v>21</v>
      </c>
      <c r="C2392">
        <v>13.7</v>
      </c>
      <c r="D2392">
        <v>13.75</v>
      </c>
      <c r="E2392">
        <v>19.95</v>
      </c>
      <c r="F2392" t="s">
        <v>9</v>
      </c>
      <c r="G23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92">
        <f>IF(Table1[[#This Row],[is_ups_overcharge]]="ups overcharged",Table1[[#This Row],[ups ship charge]]-Table1[[#This Row],[ada ship charge]],0)</f>
        <v>0</v>
      </c>
    </row>
    <row r="2393" spans="1:9" x14ac:dyDescent="0.2">
      <c r="A2393">
        <v>1032119</v>
      </c>
      <c r="B2393" t="s">
        <v>21</v>
      </c>
      <c r="C2393">
        <v>13.7</v>
      </c>
      <c r="D2393">
        <v>13.76</v>
      </c>
      <c r="E2393">
        <v>29.95</v>
      </c>
      <c r="F2393" t="s">
        <v>9</v>
      </c>
      <c r="G23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93">
        <f>IF(Table1[[#This Row],[is_ups_overcharge]]="ups overcharged",Table1[[#This Row],[ups ship charge]]-Table1[[#This Row],[ada ship charge]],0)</f>
        <v>0</v>
      </c>
    </row>
    <row r="2394" spans="1:9" x14ac:dyDescent="0.2">
      <c r="A2394">
        <v>1032120</v>
      </c>
      <c r="B2394" t="s">
        <v>21</v>
      </c>
      <c r="C2394">
        <v>13.7</v>
      </c>
      <c r="D2394">
        <v>13.75</v>
      </c>
      <c r="E2394">
        <v>16.899999999999999</v>
      </c>
      <c r="F2394" t="s">
        <v>9</v>
      </c>
      <c r="G23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94">
        <f>IF(Table1[[#This Row],[is_ups_overcharge]]="ups overcharged",Table1[[#This Row],[ups ship charge]]-Table1[[#This Row],[ada ship charge]],0)</f>
        <v>0</v>
      </c>
    </row>
    <row r="2395" spans="1:9" x14ac:dyDescent="0.2">
      <c r="A2395">
        <v>1032132</v>
      </c>
      <c r="B2395" t="s">
        <v>21</v>
      </c>
      <c r="C2395">
        <v>9.6999999999999993</v>
      </c>
      <c r="D2395">
        <v>9.75</v>
      </c>
      <c r="E2395">
        <v>23.9</v>
      </c>
      <c r="F2395" t="s">
        <v>6</v>
      </c>
      <c r="G23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95">
        <f>IF(Table1[[#This Row],[is_ups_overcharge]]="ups overcharged",Table1[[#This Row],[ups ship charge]]-Table1[[#This Row],[ada ship charge]],0)</f>
        <v>0</v>
      </c>
    </row>
    <row r="2396" spans="1:9" x14ac:dyDescent="0.2">
      <c r="A2396">
        <v>1032146</v>
      </c>
      <c r="B2396" t="s">
        <v>21</v>
      </c>
      <c r="C2396">
        <v>15.44</v>
      </c>
      <c r="D2396">
        <v>15.49</v>
      </c>
      <c r="E2396">
        <v>15</v>
      </c>
      <c r="F2396" t="s">
        <v>12</v>
      </c>
      <c r="G23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96">
        <f>IF(Table1[[#This Row],[is_ups_overcharge]]="ups overcharged",Table1[[#This Row],[ups ship charge]]-Table1[[#This Row],[ada ship charge]],0)</f>
        <v>0</v>
      </c>
    </row>
    <row r="2397" spans="1:9" x14ac:dyDescent="0.2">
      <c r="A2397">
        <v>1032156</v>
      </c>
      <c r="B2397" t="s">
        <v>21</v>
      </c>
      <c r="C2397">
        <v>22.84</v>
      </c>
      <c r="D2397">
        <v>23.37</v>
      </c>
      <c r="E2397">
        <v>115.95</v>
      </c>
      <c r="F2397" t="s">
        <v>15</v>
      </c>
      <c r="G23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97">
        <f>IF(Table1[[#This Row],[is_ups_overcharge]]="ups overcharged",Table1[[#This Row],[ups ship charge]]-Table1[[#This Row],[ada ship charge]],0)</f>
        <v>0</v>
      </c>
    </row>
    <row r="2398" spans="1:9" x14ac:dyDescent="0.2">
      <c r="A2398">
        <v>1032167</v>
      </c>
      <c r="B2398" t="s">
        <v>21</v>
      </c>
      <c r="C2398">
        <v>12.81</v>
      </c>
      <c r="D2398">
        <v>12.86</v>
      </c>
      <c r="E2398">
        <v>29.95</v>
      </c>
      <c r="F2398" t="s">
        <v>9</v>
      </c>
      <c r="G23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98">
        <f>IF(Table1[[#This Row],[is_ups_overcharge]]="ups overcharged",Table1[[#This Row],[ups ship charge]]-Table1[[#This Row],[ada ship charge]],0)</f>
        <v>0</v>
      </c>
    </row>
    <row r="2399" spans="1:9" x14ac:dyDescent="0.2">
      <c r="A2399">
        <v>1032170</v>
      </c>
      <c r="B2399" t="s">
        <v>21</v>
      </c>
      <c r="C2399">
        <v>12.81</v>
      </c>
      <c r="D2399">
        <v>12.86</v>
      </c>
      <c r="E2399">
        <v>29.95</v>
      </c>
      <c r="F2399" t="s">
        <v>9</v>
      </c>
      <c r="G23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3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399">
        <f>IF(Table1[[#This Row],[is_ups_overcharge]]="ups overcharged",Table1[[#This Row],[ups ship charge]]-Table1[[#This Row],[ada ship charge]],0)</f>
        <v>0</v>
      </c>
    </row>
    <row r="2400" spans="1:9" x14ac:dyDescent="0.2">
      <c r="A2400">
        <v>1032197</v>
      </c>
      <c r="B2400" t="s">
        <v>21</v>
      </c>
      <c r="C2400">
        <v>12.81</v>
      </c>
      <c r="D2400">
        <v>12.86</v>
      </c>
      <c r="E2400">
        <v>85.8</v>
      </c>
      <c r="F2400" t="s">
        <v>9</v>
      </c>
      <c r="G24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00">
        <f>IF(Table1[[#This Row],[is_ups_overcharge]]="ups overcharged",Table1[[#This Row],[ups ship charge]]-Table1[[#This Row],[ada ship charge]],0)</f>
        <v>0</v>
      </c>
    </row>
    <row r="2401" spans="1:9" x14ac:dyDescent="0.2">
      <c r="A2401">
        <v>1032207</v>
      </c>
      <c r="B2401" t="s">
        <v>21</v>
      </c>
      <c r="C2401">
        <v>12.75</v>
      </c>
      <c r="D2401">
        <v>12.86</v>
      </c>
      <c r="E2401">
        <v>35.9</v>
      </c>
      <c r="F2401" t="s">
        <v>9</v>
      </c>
      <c r="G24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01">
        <f>IF(Table1[[#This Row],[is_ups_overcharge]]="ups overcharged",Table1[[#This Row],[ups ship charge]]-Table1[[#This Row],[ada ship charge]],0)</f>
        <v>0</v>
      </c>
    </row>
    <row r="2402" spans="1:9" x14ac:dyDescent="0.2">
      <c r="A2402">
        <v>1032209</v>
      </c>
      <c r="B2402" t="s">
        <v>21</v>
      </c>
      <c r="C2402">
        <v>12.81</v>
      </c>
      <c r="D2402">
        <v>12.86</v>
      </c>
      <c r="E2402">
        <v>13.45</v>
      </c>
      <c r="F2402" t="s">
        <v>9</v>
      </c>
      <c r="G24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02">
        <f>IF(Table1[[#This Row],[is_ups_overcharge]]="ups overcharged",Table1[[#This Row],[ups ship charge]]-Table1[[#This Row],[ada ship charge]],0)</f>
        <v>0</v>
      </c>
    </row>
    <row r="2403" spans="1:9" x14ac:dyDescent="0.2">
      <c r="A2403">
        <v>1032221</v>
      </c>
      <c r="B2403" t="s">
        <v>21</v>
      </c>
      <c r="C2403">
        <v>13.64</v>
      </c>
      <c r="D2403">
        <v>13.75</v>
      </c>
      <c r="E2403">
        <v>46.85</v>
      </c>
      <c r="F2403" t="s">
        <v>9</v>
      </c>
      <c r="G24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03">
        <f>IF(Table1[[#This Row],[is_ups_overcharge]]="ups overcharged",Table1[[#This Row],[ups ship charge]]-Table1[[#This Row],[ada ship charge]],0)</f>
        <v>0</v>
      </c>
    </row>
    <row r="2404" spans="1:9" x14ac:dyDescent="0.2">
      <c r="A2404">
        <v>1032229</v>
      </c>
      <c r="B2404" t="s">
        <v>21</v>
      </c>
      <c r="C2404">
        <v>9.6999999999999993</v>
      </c>
      <c r="D2404">
        <v>13.75</v>
      </c>
      <c r="E2404">
        <v>29.95</v>
      </c>
      <c r="F2404" t="s">
        <v>6</v>
      </c>
      <c r="G24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04">
        <f>IF(Table1[[#This Row],[is_ups_overcharge]]="ups overcharged",Table1[[#This Row],[ups ship charge]]-Table1[[#This Row],[ada ship charge]],0)</f>
        <v>0</v>
      </c>
    </row>
    <row r="2405" spans="1:9" x14ac:dyDescent="0.2">
      <c r="A2405">
        <v>1032245</v>
      </c>
      <c r="B2405" t="s">
        <v>21</v>
      </c>
      <c r="C2405">
        <v>13.64</v>
      </c>
      <c r="D2405">
        <v>13.75</v>
      </c>
      <c r="E2405">
        <v>34.9</v>
      </c>
      <c r="F2405" t="s">
        <v>9</v>
      </c>
      <c r="G24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05">
        <f>IF(Table1[[#This Row],[is_ups_overcharge]]="ups overcharged",Table1[[#This Row],[ups ship charge]]-Table1[[#This Row],[ada ship charge]],0)</f>
        <v>0</v>
      </c>
    </row>
    <row r="2406" spans="1:9" x14ac:dyDescent="0.2">
      <c r="A2406">
        <v>1032253</v>
      </c>
      <c r="B2406" t="s">
        <v>21</v>
      </c>
      <c r="C2406">
        <v>13.74</v>
      </c>
      <c r="D2406">
        <v>14.56</v>
      </c>
      <c r="E2406">
        <v>107</v>
      </c>
      <c r="F2406" t="s">
        <v>9</v>
      </c>
      <c r="G24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06">
        <f>IF(Table1[[#This Row],[is_ups_overcharge]]="ups overcharged",Table1[[#This Row],[ups ship charge]]-Table1[[#This Row],[ada ship charge]],0)</f>
        <v>0</v>
      </c>
    </row>
    <row r="2407" spans="1:9" x14ac:dyDescent="0.2">
      <c r="A2407">
        <v>1032264</v>
      </c>
      <c r="B2407" t="s">
        <v>21</v>
      </c>
      <c r="C2407">
        <v>12.81</v>
      </c>
      <c r="D2407">
        <v>12.86</v>
      </c>
      <c r="E2407">
        <v>29.95</v>
      </c>
      <c r="F2407" t="s">
        <v>9</v>
      </c>
      <c r="G24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07">
        <f>IF(Table1[[#This Row],[is_ups_overcharge]]="ups overcharged",Table1[[#This Row],[ups ship charge]]-Table1[[#This Row],[ada ship charge]],0)</f>
        <v>0</v>
      </c>
    </row>
    <row r="2408" spans="1:9" x14ac:dyDescent="0.2">
      <c r="A2408">
        <v>1032275</v>
      </c>
      <c r="B2408" t="s">
        <v>21</v>
      </c>
      <c r="C2408">
        <v>16.46</v>
      </c>
      <c r="D2408">
        <v>16.510000000000002</v>
      </c>
      <c r="E2408">
        <v>54.85</v>
      </c>
      <c r="F2408" t="s">
        <v>10</v>
      </c>
      <c r="G24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08">
        <f>IF(Table1[[#This Row],[is_ups_overcharge]]="ups overcharged",Table1[[#This Row],[ups ship charge]]-Table1[[#This Row],[ada ship charge]],0)</f>
        <v>0</v>
      </c>
    </row>
    <row r="2409" spans="1:9" x14ac:dyDescent="0.2">
      <c r="A2409">
        <v>1032280</v>
      </c>
      <c r="B2409" t="s">
        <v>21</v>
      </c>
      <c r="C2409">
        <v>18.149999999999999</v>
      </c>
      <c r="D2409">
        <v>18.2</v>
      </c>
      <c r="E2409">
        <v>130.19999999999999</v>
      </c>
      <c r="F2409" t="s">
        <v>10</v>
      </c>
      <c r="G24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09">
        <f>IF(Table1[[#This Row],[is_ups_overcharge]]="ups overcharged",Table1[[#This Row],[ups ship charge]]-Table1[[#This Row],[ada ship charge]],0)</f>
        <v>0</v>
      </c>
    </row>
    <row r="2410" spans="1:9" x14ac:dyDescent="0.2">
      <c r="A2410">
        <v>1032284</v>
      </c>
      <c r="B2410" t="s">
        <v>21</v>
      </c>
      <c r="C2410">
        <v>13.7</v>
      </c>
      <c r="D2410">
        <v>13.76</v>
      </c>
      <c r="E2410">
        <v>25.5</v>
      </c>
      <c r="F2410" t="s">
        <v>9</v>
      </c>
      <c r="G24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10">
        <f>IF(Table1[[#This Row],[is_ups_overcharge]]="ups overcharged",Table1[[#This Row],[ups ship charge]]-Table1[[#This Row],[ada ship charge]],0)</f>
        <v>0</v>
      </c>
    </row>
    <row r="2411" spans="1:9" x14ac:dyDescent="0.2">
      <c r="A2411">
        <v>1032290</v>
      </c>
      <c r="B2411" t="s">
        <v>21</v>
      </c>
      <c r="C2411">
        <v>16.46</v>
      </c>
      <c r="D2411">
        <v>16.510000000000002</v>
      </c>
      <c r="E2411">
        <v>67.400000000000006</v>
      </c>
      <c r="F2411" t="s">
        <v>10</v>
      </c>
      <c r="G24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11">
        <f>IF(Table1[[#This Row],[is_ups_overcharge]]="ups overcharged",Table1[[#This Row],[ups ship charge]]-Table1[[#This Row],[ada ship charge]],0)</f>
        <v>0</v>
      </c>
    </row>
    <row r="2412" spans="1:9" x14ac:dyDescent="0.2">
      <c r="A2412">
        <v>1032293</v>
      </c>
      <c r="B2412" t="s">
        <v>21</v>
      </c>
      <c r="C2412">
        <v>11.03</v>
      </c>
      <c r="D2412">
        <v>14.57</v>
      </c>
      <c r="E2412">
        <v>49.95</v>
      </c>
      <c r="F2412" t="s">
        <v>14</v>
      </c>
      <c r="G24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12">
        <f>IF(Table1[[#This Row],[is_ups_overcharge]]="ups overcharged",Table1[[#This Row],[ups ship charge]]-Table1[[#This Row],[ada ship charge]],0)</f>
        <v>0</v>
      </c>
    </row>
    <row r="2413" spans="1:9" x14ac:dyDescent="0.2">
      <c r="A2413">
        <v>1032297</v>
      </c>
      <c r="B2413" t="s">
        <v>21</v>
      </c>
      <c r="C2413">
        <v>13.7</v>
      </c>
      <c r="D2413">
        <v>13.75</v>
      </c>
      <c r="E2413">
        <v>35.4</v>
      </c>
      <c r="F2413" t="s">
        <v>9</v>
      </c>
      <c r="G24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13">
        <f>IF(Table1[[#This Row],[is_ups_overcharge]]="ups overcharged",Table1[[#This Row],[ups ship charge]]-Table1[[#This Row],[ada ship charge]],0)</f>
        <v>0</v>
      </c>
    </row>
    <row r="2414" spans="1:9" x14ac:dyDescent="0.2">
      <c r="A2414">
        <v>1032312</v>
      </c>
      <c r="B2414" t="s">
        <v>21</v>
      </c>
      <c r="C2414">
        <v>13.7</v>
      </c>
      <c r="D2414">
        <v>13.75</v>
      </c>
      <c r="E2414">
        <v>2.5</v>
      </c>
      <c r="F2414" t="s">
        <v>9</v>
      </c>
      <c r="G24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14">
        <f>IF(Table1[[#This Row],[is_ups_overcharge]]="ups overcharged",Table1[[#This Row],[ups ship charge]]-Table1[[#This Row],[ada ship charge]],0)</f>
        <v>0</v>
      </c>
    </row>
    <row r="2415" spans="1:9" x14ac:dyDescent="0.2">
      <c r="A2415">
        <v>1032342</v>
      </c>
      <c r="B2415" t="s">
        <v>21</v>
      </c>
      <c r="C2415">
        <v>13.7</v>
      </c>
      <c r="D2415">
        <v>13.75</v>
      </c>
      <c r="E2415">
        <v>30.15</v>
      </c>
      <c r="F2415" t="s">
        <v>9</v>
      </c>
      <c r="G24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15">
        <f>IF(Table1[[#This Row],[is_ups_overcharge]]="ups overcharged",Table1[[#This Row],[ups ship charge]]-Table1[[#This Row],[ada ship charge]],0)</f>
        <v>0</v>
      </c>
    </row>
    <row r="2416" spans="1:9" x14ac:dyDescent="0.2">
      <c r="A2416">
        <v>1032363</v>
      </c>
      <c r="B2416" t="s">
        <v>21</v>
      </c>
      <c r="C2416">
        <v>13.7</v>
      </c>
      <c r="D2416">
        <v>14.72</v>
      </c>
      <c r="E2416">
        <v>59.9</v>
      </c>
      <c r="F2416" t="s">
        <v>9</v>
      </c>
      <c r="G24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16">
        <f>IF(Table1[[#This Row],[is_ups_overcharge]]="ups overcharged",Table1[[#This Row],[ups ship charge]]-Table1[[#This Row],[ada ship charge]],0)</f>
        <v>0</v>
      </c>
    </row>
    <row r="2417" spans="1:9" x14ac:dyDescent="0.2">
      <c r="A2417">
        <v>1032371</v>
      </c>
      <c r="B2417" t="s">
        <v>21</v>
      </c>
      <c r="C2417">
        <v>13.7</v>
      </c>
      <c r="D2417">
        <v>13.75</v>
      </c>
      <c r="E2417">
        <v>73.150000000000006</v>
      </c>
      <c r="F2417" t="s">
        <v>9</v>
      </c>
      <c r="G24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17">
        <f>IF(Table1[[#This Row],[is_ups_overcharge]]="ups overcharged",Table1[[#This Row],[ups ship charge]]-Table1[[#This Row],[ada ship charge]],0)</f>
        <v>0</v>
      </c>
    </row>
    <row r="2418" spans="1:9" x14ac:dyDescent="0.2">
      <c r="A2418">
        <v>1032414</v>
      </c>
      <c r="B2418" t="s">
        <v>21</v>
      </c>
      <c r="C2418">
        <v>13.7</v>
      </c>
      <c r="D2418">
        <v>13.75</v>
      </c>
      <c r="E2418">
        <v>43.9</v>
      </c>
      <c r="F2418" t="s">
        <v>9</v>
      </c>
      <c r="G24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18">
        <f>IF(Table1[[#This Row],[is_ups_overcharge]]="ups overcharged",Table1[[#This Row],[ups ship charge]]-Table1[[#This Row],[ada ship charge]],0)</f>
        <v>0</v>
      </c>
    </row>
    <row r="2419" spans="1:9" x14ac:dyDescent="0.2">
      <c r="A2419">
        <v>1032447</v>
      </c>
      <c r="B2419" t="s">
        <v>21</v>
      </c>
      <c r="C2419">
        <v>12.81</v>
      </c>
      <c r="D2419">
        <v>12.86</v>
      </c>
      <c r="E2419">
        <v>35.65</v>
      </c>
      <c r="F2419" t="s">
        <v>9</v>
      </c>
      <c r="G24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19">
        <f>IF(Table1[[#This Row],[is_ups_overcharge]]="ups overcharged",Table1[[#This Row],[ups ship charge]]-Table1[[#This Row],[ada ship charge]],0)</f>
        <v>0</v>
      </c>
    </row>
    <row r="2420" spans="1:9" x14ac:dyDescent="0.2">
      <c r="A2420">
        <v>1032481</v>
      </c>
      <c r="B2420" t="s">
        <v>21</v>
      </c>
      <c r="C2420">
        <v>13.7</v>
      </c>
      <c r="D2420">
        <v>13.75</v>
      </c>
      <c r="E2420">
        <v>45.85</v>
      </c>
      <c r="F2420" t="s">
        <v>9</v>
      </c>
      <c r="G24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20">
        <f>IF(Table1[[#This Row],[is_ups_overcharge]]="ups overcharged",Table1[[#This Row],[ups ship charge]]-Table1[[#This Row],[ada ship charge]],0)</f>
        <v>0</v>
      </c>
    </row>
    <row r="2421" spans="1:9" x14ac:dyDescent="0.2">
      <c r="A2421">
        <v>1032487</v>
      </c>
      <c r="B2421" t="s">
        <v>21</v>
      </c>
      <c r="C2421">
        <v>18.920000000000002</v>
      </c>
      <c r="D2421">
        <v>18.97</v>
      </c>
      <c r="E2421">
        <v>181.05</v>
      </c>
      <c r="F2421" t="s">
        <v>15</v>
      </c>
      <c r="G24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21">
        <f>IF(Table1[[#This Row],[is_ups_overcharge]]="ups overcharged",Table1[[#This Row],[ups ship charge]]-Table1[[#This Row],[ada ship charge]],0)</f>
        <v>0</v>
      </c>
    </row>
    <row r="2422" spans="1:9" x14ac:dyDescent="0.2">
      <c r="A2422">
        <v>1032488</v>
      </c>
      <c r="B2422" t="s">
        <v>21</v>
      </c>
      <c r="C2422">
        <v>12.81</v>
      </c>
      <c r="D2422">
        <v>12.86</v>
      </c>
      <c r="E2422">
        <v>39.950000000000003</v>
      </c>
      <c r="F2422" t="s">
        <v>9</v>
      </c>
      <c r="G24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22">
        <f>IF(Table1[[#This Row],[is_ups_overcharge]]="ups overcharged",Table1[[#This Row],[ups ship charge]]-Table1[[#This Row],[ada ship charge]],0)</f>
        <v>0</v>
      </c>
    </row>
    <row r="2423" spans="1:9" x14ac:dyDescent="0.2">
      <c r="A2423">
        <v>1032524</v>
      </c>
      <c r="B2423" t="s">
        <v>21</v>
      </c>
      <c r="C2423">
        <v>9.6999999999999993</v>
      </c>
      <c r="D2423">
        <v>9.75</v>
      </c>
      <c r="E2423">
        <v>72.2</v>
      </c>
      <c r="F2423" t="s">
        <v>6</v>
      </c>
      <c r="G24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23">
        <f>IF(Table1[[#This Row],[is_ups_overcharge]]="ups overcharged",Table1[[#This Row],[ups ship charge]]-Table1[[#This Row],[ada ship charge]],0)</f>
        <v>0</v>
      </c>
    </row>
    <row r="2424" spans="1:9" x14ac:dyDescent="0.2">
      <c r="A2424">
        <v>1032527</v>
      </c>
      <c r="B2424" t="s">
        <v>21</v>
      </c>
      <c r="C2424">
        <v>13.7</v>
      </c>
      <c r="D2424">
        <v>13.75</v>
      </c>
      <c r="E2424">
        <v>62.3</v>
      </c>
      <c r="F2424" t="s">
        <v>9</v>
      </c>
      <c r="G24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24">
        <f>IF(Table1[[#This Row],[is_ups_overcharge]]="ups overcharged",Table1[[#This Row],[ups ship charge]]-Table1[[#This Row],[ada ship charge]],0)</f>
        <v>0</v>
      </c>
    </row>
    <row r="2425" spans="1:9" x14ac:dyDescent="0.2">
      <c r="A2425">
        <v>1032528</v>
      </c>
      <c r="B2425" t="s">
        <v>21</v>
      </c>
      <c r="C2425">
        <v>12.35</v>
      </c>
      <c r="D2425">
        <v>12.4</v>
      </c>
      <c r="E2425">
        <v>323.52</v>
      </c>
      <c r="F2425" t="s">
        <v>13</v>
      </c>
      <c r="G24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25">
        <f>IF(Table1[[#This Row],[is_ups_overcharge]]="ups overcharged",Table1[[#This Row],[ups ship charge]]-Table1[[#This Row],[ada ship charge]],0)</f>
        <v>0</v>
      </c>
    </row>
    <row r="2426" spans="1:9" x14ac:dyDescent="0.2">
      <c r="A2426">
        <v>1032529</v>
      </c>
      <c r="B2426" t="s">
        <v>21</v>
      </c>
      <c r="C2426">
        <v>12.75</v>
      </c>
      <c r="D2426">
        <v>12.86</v>
      </c>
      <c r="E2426">
        <v>121.25</v>
      </c>
      <c r="F2426" t="s">
        <v>9</v>
      </c>
      <c r="G24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26">
        <f>IF(Table1[[#This Row],[is_ups_overcharge]]="ups overcharged",Table1[[#This Row],[ups ship charge]]-Table1[[#This Row],[ada ship charge]],0)</f>
        <v>0</v>
      </c>
    </row>
    <row r="2427" spans="1:9" x14ac:dyDescent="0.2">
      <c r="A2427">
        <v>1032531</v>
      </c>
      <c r="B2427" t="s">
        <v>21</v>
      </c>
      <c r="C2427">
        <v>9.6999999999999993</v>
      </c>
      <c r="D2427">
        <v>9.76</v>
      </c>
      <c r="E2427">
        <v>38.15</v>
      </c>
      <c r="F2427" t="s">
        <v>6</v>
      </c>
      <c r="G24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27">
        <f>IF(Table1[[#This Row],[is_ups_overcharge]]="ups overcharged",Table1[[#This Row],[ups ship charge]]-Table1[[#This Row],[ada ship charge]],0)</f>
        <v>0</v>
      </c>
    </row>
    <row r="2428" spans="1:9" x14ac:dyDescent="0.2">
      <c r="A2428">
        <v>1032549</v>
      </c>
      <c r="B2428" t="s">
        <v>21</v>
      </c>
      <c r="C2428">
        <v>12.81</v>
      </c>
      <c r="D2428">
        <v>12.86</v>
      </c>
      <c r="E2428">
        <v>75.2</v>
      </c>
      <c r="F2428" t="s">
        <v>9</v>
      </c>
      <c r="G24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28">
        <f>IF(Table1[[#This Row],[is_ups_overcharge]]="ups overcharged",Table1[[#This Row],[ups ship charge]]-Table1[[#This Row],[ada ship charge]],0)</f>
        <v>0</v>
      </c>
    </row>
    <row r="2429" spans="1:9" x14ac:dyDescent="0.2">
      <c r="A2429">
        <v>1032562</v>
      </c>
      <c r="B2429" t="s">
        <v>21</v>
      </c>
      <c r="C2429">
        <v>13.71</v>
      </c>
      <c r="D2429">
        <v>13.76</v>
      </c>
      <c r="E2429">
        <v>84.84</v>
      </c>
      <c r="F2429" t="s">
        <v>9</v>
      </c>
      <c r="G24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29">
        <f>IF(Table1[[#This Row],[is_ups_overcharge]]="ups overcharged",Table1[[#This Row],[ups ship charge]]-Table1[[#This Row],[ada ship charge]],0)</f>
        <v>0</v>
      </c>
    </row>
    <row r="2430" spans="1:9" x14ac:dyDescent="0.2">
      <c r="A2430">
        <v>1032568</v>
      </c>
      <c r="B2430" t="s">
        <v>21</v>
      </c>
      <c r="C2430">
        <v>12.81</v>
      </c>
      <c r="D2430">
        <v>12.86</v>
      </c>
      <c r="E2430">
        <v>20</v>
      </c>
      <c r="F2430" t="s">
        <v>9</v>
      </c>
      <c r="G24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30">
        <f>IF(Table1[[#This Row],[is_ups_overcharge]]="ups overcharged",Table1[[#This Row],[ups ship charge]]-Table1[[#This Row],[ada ship charge]],0)</f>
        <v>0</v>
      </c>
    </row>
    <row r="2431" spans="1:9" x14ac:dyDescent="0.2">
      <c r="A2431">
        <v>1032571</v>
      </c>
      <c r="B2431" t="s">
        <v>21</v>
      </c>
      <c r="C2431">
        <v>13.7</v>
      </c>
      <c r="D2431">
        <v>13.75</v>
      </c>
      <c r="E2431">
        <v>47.6</v>
      </c>
      <c r="F2431" t="s">
        <v>9</v>
      </c>
      <c r="G24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31">
        <f>IF(Table1[[#This Row],[is_ups_overcharge]]="ups overcharged",Table1[[#This Row],[ups ship charge]]-Table1[[#This Row],[ada ship charge]],0)</f>
        <v>0</v>
      </c>
    </row>
    <row r="2432" spans="1:9" x14ac:dyDescent="0.2">
      <c r="A2432">
        <v>1032588</v>
      </c>
      <c r="B2432" t="s">
        <v>21</v>
      </c>
      <c r="C2432">
        <v>13.7</v>
      </c>
      <c r="D2432">
        <v>13.75</v>
      </c>
      <c r="E2432">
        <v>5</v>
      </c>
      <c r="F2432" t="s">
        <v>9</v>
      </c>
      <c r="G24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32">
        <f>IF(Table1[[#This Row],[is_ups_overcharge]]="ups overcharged",Table1[[#This Row],[ups ship charge]]-Table1[[#This Row],[ada ship charge]],0)</f>
        <v>0</v>
      </c>
    </row>
    <row r="2433" spans="1:9" x14ac:dyDescent="0.2">
      <c r="A2433">
        <v>1032625</v>
      </c>
      <c r="B2433" t="s">
        <v>21</v>
      </c>
      <c r="C2433">
        <v>13.7</v>
      </c>
      <c r="D2433">
        <v>13.75</v>
      </c>
      <c r="E2433">
        <v>5</v>
      </c>
      <c r="F2433" t="s">
        <v>9</v>
      </c>
      <c r="G24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33">
        <f>IF(Table1[[#This Row],[is_ups_overcharge]]="ups overcharged",Table1[[#This Row],[ups ship charge]]-Table1[[#This Row],[ada ship charge]],0)</f>
        <v>0</v>
      </c>
    </row>
    <row r="2434" spans="1:9" x14ac:dyDescent="0.2">
      <c r="A2434">
        <v>1032634</v>
      </c>
      <c r="B2434" t="s">
        <v>21</v>
      </c>
      <c r="C2434">
        <v>9.6999999999999993</v>
      </c>
      <c r="D2434">
        <v>9.75</v>
      </c>
      <c r="E2434">
        <v>5</v>
      </c>
      <c r="F2434" t="s">
        <v>6</v>
      </c>
      <c r="G24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34">
        <f>IF(Table1[[#This Row],[is_ups_overcharge]]="ups overcharged",Table1[[#This Row],[ups ship charge]]-Table1[[#This Row],[ada ship charge]],0)</f>
        <v>0</v>
      </c>
    </row>
    <row r="2435" spans="1:9" x14ac:dyDescent="0.2">
      <c r="A2435">
        <v>1032641</v>
      </c>
      <c r="B2435" t="s">
        <v>21</v>
      </c>
      <c r="C2435">
        <v>15.13</v>
      </c>
      <c r="D2435">
        <v>15.18</v>
      </c>
      <c r="E2435">
        <v>18.850000000000001</v>
      </c>
      <c r="F2435" t="s">
        <v>12</v>
      </c>
      <c r="G24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35">
        <f>IF(Table1[[#This Row],[is_ups_overcharge]]="ups overcharged",Table1[[#This Row],[ups ship charge]]-Table1[[#This Row],[ada ship charge]],0)</f>
        <v>0</v>
      </c>
    </row>
    <row r="2436" spans="1:9" x14ac:dyDescent="0.2">
      <c r="A2436">
        <v>1032653</v>
      </c>
      <c r="B2436" t="s">
        <v>21</v>
      </c>
      <c r="C2436">
        <v>13.7</v>
      </c>
      <c r="D2436">
        <v>13.75</v>
      </c>
      <c r="E2436">
        <v>5</v>
      </c>
      <c r="F2436" t="s">
        <v>9</v>
      </c>
      <c r="G24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36">
        <f>IF(Table1[[#This Row],[is_ups_overcharge]]="ups overcharged",Table1[[#This Row],[ups ship charge]]-Table1[[#This Row],[ada ship charge]],0)</f>
        <v>0</v>
      </c>
    </row>
    <row r="2437" spans="1:9" x14ac:dyDescent="0.2">
      <c r="A2437">
        <v>1032665</v>
      </c>
      <c r="B2437" t="s">
        <v>21</v>
      </c>
      <c r="C2437">
        <v>12.75</v>
      </c>
      <c r="D2437">
        <v>12.86</v>
      </c>
      <c r="E2437">
        <v>19.95</v>
      </c>
      <c r="F2437" t="s">
        <v>9</v>
      </c>
      <c r="G24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37">
        <f>IF(Table1[[#This Row],[is_ups_overcharge]]="ups overcharged",Table1[[#This Row],[ups ship charge]]-Table1[[#This Row],[ada ship charge]],0)</f>
        <v>0</v>
      </c>
    </row>
    <row r="2438" spans="1:9" x14ac:dyDescent="0.2">
      <c r="A2438">
        <v>1032694</v>
      </c>
      <c r="B2438" t="s">
        <v>21</v>
      </c>
      <c r="C2438">
        <v>12.81</v>
      </c>
      <c r="D2438">
        <v>12.86</v>
      </c>
      <c r="E2438">
        <v>179.45</v>
      </c>
      <c r="F2438" t="s">
        <v>9</v>
      </c>
      <c r="G24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38">
        <f>IF(Table1[[#This Row],[is_ups_overcharge]]="ups overcharged",Table1[[#This Row],[ups ship charge]]-Table1[[#This Row],[ada ship charge]],0)</f>
        <v>0</v>
      </c>
    </row>
    <row r="2439" spans="1:9" x14ac:dyDescent="0.2">
      <c r="A2439">
        <v>1032697</v>
      </c>
      <c r="B2439" t="s">
        <v>21</v>
      </c>
      <c r="C2439">
        <v>12.75</v>
      </c>
      <c r="D2439">
        <v>12.86</v>
      </c>
      <c r="E2439">
        <v>34.950000000000003</v>
      </c>
      <c r="F2439" t="s">
        <v>9</v>
      </c>
      <c r="G24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39">
        <f>IF(Table1[[#This Row],[is_ups_overcharge]]="ups overcharged",Table1[[#This Row],[ups ship charge]]-Table1[[#This Row],[ada ship charge]],0)</f>
        <v>0</v>
      </c>
    </row>
    <row r="2440" spans="1:9" x14ac:dyDescent="0.2">
      <c r="A2440">
        <v>1032709</v>
      </c>
      <c r="B2440" t="s">
        <v>21</v>
      </c>
      <c r="C2440">
        <v>12.81</v>
      </c>
      <c r="D2440">
        <v>12.86</v>
      </c>
      <c r="E2440">
        <v>34.950000000000003</v>
      </c>
      <c r="F2440" t="s">
        <v>9</v>
      </c>
      <c r="G24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40">
        <f>IF(Table1[[#This Row],[is_ups_overcharge]]="ups overcharged",Table1[[#This Row],[ups ship charge]]-Table1[[#This Row],[ada ship charge]],0)</f>
        <v>0</v>
      </c>
    </row>
    <row r="2441" spans="1:9" x14ac:dyDescent="0.2">
      <c r="A2441">
        <v>1032726</v>
      </c>
      <c r="B2441" t="s">
        <v>21</v>
      </c>
      <c r="C2441">
        <v>9.6999999999999993</v>
      </c>
      <c r="D2441">
        <v>9.75</v>
      </c>
      <c r="E2441">
        <v>5</v>
      </c>
      <c r="F2441" t="s">
        <v>6</v>
      </c>
      <c r="G24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41">
        <f>IF(Table1[[#This Row],[is_ups_overcharge]]="ups overcharged",Table1[[#This Row],[ups ship charge]]-Table1[[#This Row],[ada ship charge]],0)</f>
        <v>0</v>
      </c>
    </row>
    <row r="2442" spans="1:9" x14ac:dyDescent="0.2">
      <c r="A2442">
        <v>1032739</v>
      </c>
      <c r="B2442" t="s">
        <v>21</v>
      </c>
      <c r="C2442">
        <v>9.6999999999999993</v>
      </c>
      <c r="D2442">
        <v>9.75</v>
      </c>
      <c r="E2442">
        <v>14.95</v>
      </c>
      <c r="F2442" t="s">
        <v>6</v>
      </c>
      <c r="G24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42">
        <f>IF(Table1[[#This Row],[is_ups_overcharge]]="ups overcharged",Table1[[#This Row],[ups ship charge]]-Table1[[#This Row],[ada ship charge]],0)</f>
        <v>0</v>
      </c>
    </row>
    <row r="2443" spans="1:9" x14ac:dyDescent="0.2">
      <c r="A2443">
        <v>1032740</v>
      </c>
      <c r="B2443" t="s">
        <v>21</v>
      </c>
      <c r="C2443">
        <v>13.63</v>
      </c>
      <c r="D2443">
        <v>13.75</v>
      </c>
      <c r="E2443">
        <v>174.22</v>
      </c>
      <c r="F2443" t="s">
        <v>9</v>
      </c>
      <c r="G24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43">
        <f>IF(Table1[[#This Row],[is_ups_overcharge]]="ups overcharged",Table1[[#This Row],[ups ship charge]]-Table1[[#This Row],[ada ship charge]],0)</f>
        <v>0</v>
      </c>
    </row>
    <row r="2444" spans="1:9" x14ac:dyDescent="0.2">
      <c r="A2444">
        <v>1032759</v>
      </c>
      <c r="B2444" t="s">
        <v>21</v>
      </c>
      <c r="C2444">
        <v>13.64</v>
      </c>
      <c r="D2444">
        <v>13.75</v>
      </c>
      <c r="E2444">
        <v>9.9499999999999993</v>
      </c>
      <c r="F2444" t="s">
        <v>9</v>
      </c>
      <c r="G24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44">
        <f>IF(Table1[[#This Row],[is_ups_overcharge]]="ups overcharged",Table1[[#This Row],[ups ship charge]]-Table1[[#This Row],[ada ship charge]],0)</f>
        <v>0</v>
      </c>
    </row>
    <row r="2445" spans="1:9" x14ac:dyDescent="0.2">
      <c r="A2445">
        <v>1032764</v>
      </c>
      <c r="B2445" t="s">
        <v>21</v>
      </c>
      <c r="C2445">
        <v>9.65</v>
      </c>
      <c r="D2445">
        <v>12.86</v>
      </c>
      <c r="E2445">
        <v>31.3</v>
      </c>
      <c r="F2445" t="s">
        <v>6</v>
      </c>
      <c r="G24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45">
        <f>IF(Table1[[#This Row],[is_ups_overcharge]]="ups overcharged",Table1[[#This Row],[ups ship charge]]-Table1[[#This Row],[ada ship charge]],0)</f>
        <v>0</v>
      </c>
    </row>
    <row r="2446" spans="1:9" x14ac:dyDescent="0.2">
      <c r="A2446">
        <v>1032768</v>
      </c>
      <c r="B2446" t="s">
        <v>21</v>
      </c>
      <c r="C2446">
        <v>9.66</v>
      </c>
      <c r="D2446">
        <v>9.75</v>
      </c>
      <c r="E2446">
        <v>94.85</v>
      </c>
      <c r="F2446" t="s">
        <v>6</v>
      </c>
      <c r="G24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46">
        <f>IF(Table1[[#This Row],[is_ups_overcharge]]="ups overcharged",Table1[[#This Row],[ups ship charge]]-Table1[[#This Row],[ada ship charge]],0)</f>
        <v>0</v>
      </c>
    </row>
    <row r="2447" spans="1:9" x14ac:dyDescent="0.2">
      <c r="A2447">
        <v>1032778</v>
      </c>
      <c r="B2447" t="s">
        <v>21</v>
      </c>
      <c r="C2447">
        <v>12.81</v>
      </c>
      <c r="D2447">
        <v>12.86</v>
      </c>
      <c r="E2447">
        <v>22.9</v>
      </c>
      <c r="F2447" t="s">
        <v>9</v>
      </c>
      <c r="G24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47">
        <f>IF(Table1[[#This Row],[is_ups_overcharge]]="ups overcharged",Table1[[#This Row],[ups ship charge]]-Table1[[#This Row],[ada ship charge]],0)</f>
        <v>0</v>
      </c>
    </row>
    <row r="2448" spans="1:9" x14ac:dyDescent="0.2">
      <c r="A2448">
        <v>1032781</v>
      </c>
      <c r="B2448" t="s">
        <v>21</v>
      </c>
      <c r="C2448">
        <v>9.6999999999999993</v>
      </c>
      <c r="D2448">
        <v>9.75</v>
      </c>
      <c r="E2448">
        <v>31.8</v>
      </c>
      <c r="F2448" t="s">
        <v>6</v>
      </c>
      <c r="G24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48">
        <f>IF(Table1[[#This Row],[is_ups_overcharge]]="ups overcharged",Table1[[#This Row],[ups ship charge]]-Table1[[#This Row],[ada ship charge]],0)</f>
        <v>0</v>
      </c>
    </row>
    <row r="2449" spans="1:9" x14ac:dyDescent="0.2">
      <c r="A2449">
        <v>1032787</v>
      </c>
      <c r="B2449" t="s">
        <v>21</v>
      </c>
      <c r="C2449">
        <v>12.75</v>
      </c>
      <c r="D2449">
        <v>12.86</v>
      </c>
      <c r="E2449">
        <v>10.45</v>
      </c>
      <c r="F2449" t="s">
        <v>9</v>
      </c>
      <c r="G24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49">
        <f>IF(Table1[[#This Row],[is_ups_overcharge]]="ups overcharged",Table1[[#This Row],[ups ship charge]]-Table1[[#This Row],[ada ship charge]],0)</f>
        <v>0</v>
      </c>
    </row>
    <row r="2450" spans="1:9" x14ac:dyDescent="0.2">
      <c r="A2450">
        <v>1032796</v>
      </c>
      <c r="B2450" t="s">
        <v>21</v>
      </c>
      <c r="C2450">
        <v>13.7</v>
      </c>
      <c r="D2450">
        <v>13.75</v>
      </c>
      <c r="E2450">
        <v>5</v>
      </c>
      <c r="F2450" t="s">
        <v>9</v>
      </c>
      <c r="G24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50">
        <f>IF(Table1[[#This Row],[is_ups_overcharge]]="ups overcharged",Table1[[#This Row],[ups ship charge]]-Table1[[#This Row],[ada ship charge]],0)</f>
        <v>0</v>
      </c>
    </row>
    <row r="2451" spans="1:9" x14ac:dyDescent="0.2">
      <c r="A2451">
        <v>1032822</v>
      </c>
      <c r="B2451" t="s">
        <v>21</v>
      </c>
      <c r="C2451">
        <v>12.75</v>
      </c>
      <c r="D2451">
        <v>12.86</v>
      </c>
      <c r="E2451">
        <v>11.4</v>
      </c>
      <c r="F2451" t="s">
        <v>9</v>
      </c>
      <c r="G24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51">
        <f>IF(Table1[[#This Row],[is_ups_overcharge]]="ups overcharged",Table1[[#This Row],[ups ship charge]]-Table1[[#This Row],[ada ship charge]],0)</f>
        <v>0</v>
      </c>
    </row>
    <row r="2452" spans="1:9" x14ac:dyDescent="0.2">
      <c r="A2452">
        <v>1032835</v>
      </c>
      <c r="B2452" t="s">
        <v>21</v>
      </c>
      <c r="C2452">
        <v>12.81</v>
      </c>
      <c r="D2452">
        <v>12.86</v>
      </c>
      <c r="E2452">
        <v>29.95</v>
      </c>
      <c r="F2452" t="s">
        <v>9</v>
      </c>
      <c r="G24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52">
        <f>IF(Table1[[#This Row],[is_ups_overcharge]]="ups overcharged",Table1[[#This Row],[ups ship charge]]-Table1[[#This Row],[ada ship charge]],0)</f>
        <v>0</v>
      </c>
    </row>
    <row r="2453" spans="1:9" x14ac:dyDescent="0.2">
      <c r="A2453">
        <v>1032851</v>
      </c>
      <c r="B2453" t="s">
        <v>21</v>
      </c>
      <c r="C2453">
        <v>12.81</v>
      </c>
      <c r="D2453">
        <v>12.86</v>
      </c>
      <c r="E2453">
        <v>5</v>
      </c>
      <c r="F2453" t="s">
        <v>9</v>
      </c>
      <c r="G24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53">
        <f>IF(Table1[[#This Row],[is_ups_overcharge]]="ups overcharged",Table1[[#This Row],[ups ship charge]]-Table1[[#This Row],[ada ship charge]],0)</f>
        <v>0</v>
      </c>
    </row>
    <row r="2454" spans="1:9" x14ac:dyDescent="0.2">
      <c r="A2454">
        <v>1032864</v>
      </c>
      <c r="B2454" t="s">
        <v>21</v>
      </c>
      <c r="C2454">
        <v>13.7</v>
      </c>
      <c r="D2454">
        <v>13.75</v>
      </c>
      <c r="E2454">
        <v>5</v>
      </c>
      <c r="F2454" t="s">
        <v>9</v>
      </c>
      <c r="G24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54">
        <f>IF(Table1[[#This Row],[is_ups_overcharge]]="ups overcharged",Table1[[#This Row],[ups ship charge]]-Table1[[#This Row],[ada ship charge]],0)</f>
        <v>0</v>
      </c>
    </row>
    <row r="2455" spans="1:9" x14ac:dyDescent="0.2">
      <c r="A2455">
        <v>1032865</v>
      </c>
      <c r="B2455" t="s">
        <v>21</v>
      </c>
      <c r="C2455">
        <v>13.64</v>
      </c>
      <c r="D2455">
        <v>13.75</v>
      </c>
      <c r="E2455">
        <v>100.8</v>
      </c>
      <c r="F2455" t="s">
        <v>9</v>
      </c>
      <c r="G24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55">
        <f>IF(Table1[[#This Row],[is_ups_overcharge]]="ups overcharged",Table1[[#This Row],[ups ship charge]]-Table1[[#This Row],[ada ship charge]],0)</f>
        <v>0</v>
      </c>
    </row>
    <row r="2456" spans="1:9" x14ac:dyDescent="0.2">
      <c r="A2456">
        <v>1032874</v>
      </c>
      <c r="B2456" t="s">
        <v>21</v>
      </c>
      <c r="C2456">
        <v>12.81</v>
      </c>
      <c r="D2456">
        <v>12.86</v>
      </c>
      <c r="E2456">
        <v>5</v>
      </c>
      <c r="F2456" t="s">
        <v>9</v>
      </c>
      <c r="G24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56">
        <f>IF(Table1[[#This Row],[is_ups_overcharge]]="ups overcharged",Table1[[#This Row],[ups ship charge]]-Table1[[#This Row],[ada ship charge]],0)</f>
        <v>0</v>
      </c>
    </row>
    <row r="2457" spans="1:9" x14ac:dyDescent="0.2">
      <c r="A2457">
        <v>1032904</v>
      </c>
      <c r="B2457" t="s">
        <v>21</v>
      </c>
      <c r="C2457">
        <v>13.7</v>
      </c>
      <c r="D2457">
        <v>13.76</v>
      </c>
      <c r="E2457">
        <v>29.95</v>
      </c>
      <c r="F2457" t="s">
        <v>9</v>
      </c>
      <c r="G24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57">
        <f>IF(Table1[[#This Row],[is_ups_overcharge]]="ups overcharged",Table1[[#This Row],[ups ship charge]]-Table1[[#This Row],[ada ship charge]],0)</f>
        <v>0</v>
      </c>
    </row>
    <row r="2458" spans="1:9" x14ac:dyDescent="0.2">
      <c r="A2458">
        <v>1032910</v>
      </c>
      <c r="B2458" t="s">
        <v>21</v>
      </c>
      <c r="C2458">
        <v>12.75</v>
      </c>
      <c r="D2458">
        <v>12.86</v>
      </c>
      <c r="E2458">
        <v>35.9</v>
      </c>
      <c r="F2458" t="s">
        <v>9</v>
      </c>
      <c r="G24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58">
        <f>IF(Table1[[#This Row],[is_ups_overcharge]]="ups overcharged",Table1[[#This Row],[ups ship charge]]-Table1[[#This Row],[ada ship charge]],0)</f>
        <v>0</v>
      </c>
    </row>
    <row r="2459" spans="1:9" x14ac:dyDescent="0.2">
      <c r="A2459">
        <v>1032916</v>
      </c>
      <c r="B2459" t="s">
        <v>21</v>
      </c>
      <c r="C2459">
        <v>12.81</v>
      </c>
      <c r="D2459">
        <v>12.86</v>
      </c>
      <c r="E2459">
        <v>34.950000000000003</v>
      </c>
      <c r="F2459" t="s">
        <v>9</v>
      </c>
      <c r="G24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59">
        <f>IF(Table1[[#This Row],[is_ups_overcharge]]="ups overcharged",Table1[[#This Row],[ups ship charge]]-Table1[[#This Row],[ada ship charge]],0)</f>
        <v>0</v>
      </c>
    </row>
    <row r="2460" spans="1:9" x14ac:dyDescent="0.2">
      <c r="A2460">
        <v>1032923</v>
      </c>
      <c r="B2460" t="s">
        <v>21</v>
      </c>
      <c r="C2460">
        <v>9.6999999999999993</v>
      </c>
      <c r="D2460">
        <v>14</v>
      </c>
      <c r="E2460">
        <v>97.5</v>
      </c>
      <c r="F2460" t="s">
        <v>6</v>
      </c>
      <c r="G24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60">
        <f>IF(Table1[[#This Row],[is_ups_overcharge]]="ups overcharged",Table1[[#This Row],[ups ship charge]]-Table1[[#This Row],[ada ship charge]],0)</f>
        <v>0</v>
      </c>
    </row>
    <row r="2461" spans="1:9" x14ac:dyDescent="0.2">
      <c r="A2461">
        <v>1032925</v>
      </c>
      <c r="B2461" t="s">
        <v>21</v>
      </c>
      <c r="C2461">
        <v>12.81</v>
      </c>
      <c r="D2461">
        <v>12.86</v>
      </c>
      <c r="E2461">
        <v>59.65</v>
      </c>
      <c r="F2461" t="s">
        <v>9</v>
      </c>
      <c r="G24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61">
        <f>IF(Table1[[#This Row],[is_ups_overcharge]]="ups overcharged",Table1[[#This Row],[ups ship charge]]-Table1[[#This Row],[ada ship charge]],0)</f>
        <v>0</v>
      </c>
    </row>
    <row r="2462" spans="1:9" x14ac:dyDescent="0.2">
      <c r="A2462">
        <v>1032944</v>
      </c>
      <c r="B2462" t="s">
        <v>21</v>
      </c>
      <c r="C2462">
        <v>12.35</v>
      </c>
      <c r="D2462">
        <v>16.82</v>
      </c>
      <c r="E2462">
        <v>52.75</v>
      </c>
      <c r="F2462" t="s">
        <v>13</v>
      </c>
      <c r="G24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62">
        <f>IF(Table1[[#This Row],[is_ups_overcharge]]="ups overcharged",Table1[[#This Row],[ups ship charge]]-Table1[[#This Row],[ada ship charge]],0)</f>
        <v>0</v>
      </c>
    </row>
    <row r="2463" spans="1:9" x14ac:dyDescent="0.2">
      <c r="A2463">
        <v>1032988</v>
      </c>
      <c r="B2463" t="s">
        <v>21</v>
      </c>
      <c r="C2463">
        <v>13.7</v>
      </c>
      <c r="D2463">
        <v>13.75</v>
      </c>
      <c r="E2463">
        <v>18.899999999999999</v>
      </c>
      <c r="F2463" t="s">
        <v>9</v>
      </c>
      <c r="G24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63">
        <f>IF(Table1[[#This Row],[is_ups_overcharge]]="ups overcharged",Table1[[#This Row],[ups ship charge]]-Table1[[#This Row],[ada ship charge]],0)</f>
        <v>0</v>
      </c>
    </row>
    <row r="2464" spans="1:9" x14ac:dyDescent="0.2">
      <c r="A2464">
        <v>1033005</v>
      </c>
      <c r="B2464" t="s">
        <v>21</v>
      </c>
      <c r="C2464">
        <v>12.75</v>
      </c>
      <c r="D2464">
        <v>12.86</v>
      </c>
      <c r="E2464">
        <v>81.849999999999994</v>
      </c>
      <c r="F2464" t="s">
        <v>9</v>
      </c>
      <c r="G24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64">
        <f>IF(Table1[[#This Row],[is_ups_overcharge]]="ups overcharged",Table1[[#This Row],[ups ship charge]]-Table1[[#This Row],[ada ship charge]],0)</f>
        <v>0</v>
      </c>
    </row>
    <row r="2465" spans="1:9" x14ac:dyDescent="0.2">
      <c r="A2465">
        <v>1033008</v>
      </c>
      <c r="B2465" t="s">
        <v>21</v>
      </c>
      <c r="C2465">
        <v>13.7</v>
      </c>
      <c r="D2465">
        <v>13.75</v>
      </c>
      <c r="E2465">
        <v>8.9</v>
      </c>
      <c r="F2465" t="s">
        <v>9</v>
      </c>
      <c r="G24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65">
        <f>IF(Table1[[#This Row],[is_ups_overcharge]]="ups overcharged",Table1[[#This Row],[ups ship charge]]-Table1[[#This Row],[ada ship charge]],0)</f>
        <v>0</v>
      </c>
    </row>
    <row r="2466" spans="1:9" x14ac:dyDescent="0.2">
      <c r="A2466">
        <v>1033010</v>
      </c>
      <c r="B2466" t="s">
        <v>21</v>
      </c>
      <c r="C2466">
        <v>15.13</v>
      </c>
      <c r="D2466">
        <v>15.18</v>
      </c>
      <c r="E2466">
        <v>46.8</v>
      </c>
      <c r="F2466" t="s">
        <v>12</v>
      </c>
      <c r="G24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66">
        <f>IF(Table1[[#This Row],[is_ups_overcharge]]="ups overcharged",Table1[[#This Row],[ups ship charge]]-Table1[[#This Row],[ada ship charge]],0)</f>
        <v>0</v>
      </c>
    </row>
    <row r="2467" spans="1:9" x14ac:dyDescent="0.2">
      <c r="A2467">
        <v>1033042</v>
      </c>
      <c r="B2467" t="s">
        <v>21</v>
      </c>
      <c r="C2467">
        <v>12.35</v>
      </c>
      <c r="D2467">
        <v>16.82</v>
      </c>
      <c r="E2467">
        <v>36.9</v>
      </c>
      <c r="F2467" t="s">
        <v>13</v>
      </c>
      <c r="G24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67">
        <f>IF(Table1[[#This Row],[is_ups_overcharge]]="ups overcharged",Table1[[#This Row],[ups ship charge]]-Table1[[#This Row],[ada ship charge]],0)</f>
        <v>0</v>
      </c>
    </row>
    <row r="2468" spans="1:9" x14ac:dyDescent="0.2">
      <c r="A2468">
        <v>1033043</v>
      </c>
      <c r="B2468" t="s">
        <v>21</v>
      </c>
      <c r="C2468">
        <v>13.64</v>
      </c>
      <c r="D2468">
        <v>13.75</v>
      </c>
      <c r="E2468">
        <v>34.9</v>
      </c>
      <c r="F2468" t="s">
        <v>9</v>
      </c>
      <c r="G24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68">
        <f>IF(Table1[[#This Row],[is_ups_overcharge]]="ups overcharged",Table1[[#This Row],[ups ship charge]]-Table1[[#This Row],[ada ship charge]],0)</f>
        <v>0</v>
      </c>
    </row>
    <row r="2469" spans="1:9" x14ac:dyDescent="0.2">
      <c r="A2469">
        <v>1033045</v>
      </c>
      <c r="B2469" t="s">
        <v>21</v>
      </c>
      <c r="C2469">
        <v>12.81</v>
      </c>
      <c r="D2469">
        <v>12.86</v>
      </c>
      <c r="E2469">
        <v>29.95</v>
      </c>
      <c r="F2469" t="s">
        <v>9</v>
      </c>
      <c r="G24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69">
        <f>IF(Table1[[#This Row],[is_ups_overcharge]]="ups overcharged",Table1[[#This Row],[ups ship charge]]-Table1[[#This Row],[ada ship charge]],0)</f>
        <v>0</v>
      </c>
    </row>
    <row r="2470" spans="1:9" x14ac:dyDescent="0.2">
      <c r="A2470">
        <v>1033050</v>
      </c>
      <c r="B2470" t="s">
        <v>21</v>
      </c>
      <c r="C2470">
        <v>12.81</v>
      </c>
      <c r="D2470">
        <v>12.86</v>
      </c>
      <c r="E2470">
        <v>42.45</v>
      </c>
      <c r="F2470" t="s">
        <v>9</v>
      </c>
      <c r="G24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70">
        <f>IF(Table1[[#This Row],[is_ups_overcharge]]="ups overcharged",Table1[[#This Row],[ups ship charge]]-Table1[[#This Row],[ada ship charge]],0)</f>
        <v>0</v>
      </c>
    </row>
    <row r="2471" spans="1:9" x14ac:dyDescent="0.2">
      <c r="A2471">
        <v>1033052</v>
      </c>
      <c r="B2471" t="s">
        <v>21</v>
      </c>
      <c r="C2471">
        <v>13.71</v>
      </c>
      <c r="D2471">
        <v>13.76</v>
      </c>
      <c r="E2471">
        <v>84.85</v>
      </c>
      <c r="F2471" t="s">
        <v>9</v>
      </c>
      <c r="G24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71">
        <f>IF(Table1[[#This Row],[is_ups_overcharge]]="ups overcharged",Table1[[#This Row],[ups ship charge]]-Table1[[#This Row],[ada ship charge]],0)</f>
        <v>0</v>
      </c>
    </row>
    <row r="2472" spans="1:9" x14ac:dyDescent="0.2">
      <c r="A2472">
        <v>1033056</v>
      </c>
      <c r="B2472" t="s">
        <v>21</v>
      </c>
      <c r="C2472">
        <v>12.81</v>
      </c>
      <c r="D2472">
        <v>12.86</v>
      </c>
      <c r="E2472">
        <v>49.95</v>
      </c>
      <c r="F2472" t="s">
        <v>9</v>
      </c>
      <c r="G24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72">
        <f>IF(Table1[[#This Row],[is_ups_overcharge]]="ups overcharged",Table1[[#This Row],[ups ship charge]]-Table1[[#This Row],[ada ship charge]],0)</f>
        <v>0</v>
      </c>
    </row>
    <row r="2473" spans="1:9" x14ac:dyDescent="0.2">
      <c r="A2473">
        <v>1033057</v>
      </c>
      <c r="B2473" t="s">
        <v>21</v>
      </c>
      <c r="C2473">
        <v>16.77</v>
      </c>
      <c r="D2473">
        <v>16.82</v>
      </c>
      <c r="E2473">
        <v>74.849999999999994</v>
      </c>
      <c r="F2473" t="s">
        <v>10</v>
      </c>
      <c r="G24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73">
        <f>IF(Table1[[#This Row],[is_ups_overcharge]]="ups overcharged",Table1[[#This Row],[ups ship charge]]-Table1[[#This Row],[ada ship charge]],0)</f>
        <v>0</v>
      </c>
    </row>
    <row r="2474" spans="1:9" x14ac:dyDescent="0.2">
      <c r="A2474">
        <v>1033062</v>
      </c>
      <c r="B2474" t="s">
        <v>21</v>
      </c>
      <c r="C2474">
        <v>9.7100000000000009</v>
      </c>
      <c r="D2474">
        <v>9.76</v>
      </c>
      <c r="E2474">
        <v>29.7</v>
      </c>
      <c r="F2474" t="s">
        <v>6</v>
      </c>
      <c r="G24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74">
        <f>IF(Table1[[#This Row],[is_ups_overcharge]]="ups overcharged",Table1[[#This Row],[ups ship charge]]-Table1[[#This Row],[ada ship charge]],0)</f>
        <v>0</v>
      </c>
    </row>
    <row r="2475" spans="1:9" x14ac:dyDescent="0.2">
      <c r="A2475">
        <v>1033071</v>
      </c>
      <c r="B2475" t="s">
        <v>21</v>
      </c>
      <c r="C2475">
        <v>13.64</v>
      </c>
      <c r="D2475">
        <v>13.75</v>
      </c>
      <c r="E2475">
        <v>69.900000000000006</v>
      </c>
      <c r="F2475" t="s">
        <v>9</v>
      </c>
      <c r="G24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75">
        <f>IF(Table1[[#This Row],[is_ups_overcharge]]="ups overcharged",Table1[[#This Row],[ups ship charge]]-Table1[[#This Row],[ada ship charge]],0)</f>
        <v>0</v>
      </c>
    </row>
    <row r="2476" spans="1:9" x14ac:dyDescent="0.2">
      <c r="A2476">
        <v>1033073</v>
      </c>
      <c r="B2476" t="s">
        <v>21</v>
      </c>
      <c r="C2476">
        <v>13.7</v>
      </c>
      <c r="D2476">
        <v>13.75</v>
      </c>
      <c r="E2476">
        <v>67.75</v>
      </c>
      <c r="F2476" t="s">
        <v>9</v>
      </c>
      <c r="G24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76">
        <f>IF(Table1[[#This Row],[is_ups_overcharge]]="ups overcharged",Table1[[#This Row],[ups ship charge]]-Table1[[#This Row],[ada ship charge]],0)</f>
        <v>0</v>
      </c>
    </row>
    <row r="2477" spans="1:9" x14ac:dyDescent="0.2">
      <c r="A2477">
        <v>1033077</v>
      </c>
      <c r="B2477" t="s">
        <v>21</v>
      </c>
      <c r="C2477">
        <v>18.96</v>
      </c>
      <c r="D2477">
        <v>20.3</v>
      </c>
      <c r="E2477">
        <v>150.6</v>
      </c>
      <c r="F2477" t="s">
        <v>12</v>
      </c>
      <c r="G24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77">
        <f>IF(Table1[[#This Row],[is_ups_overcharge]]="ups overcharged",Table1[[#This Row],[ups ship charge]]-Table1[[#This Row],[ada ship charge]],0)</f>
        <v>0</v>
      </c>
    </row>
    <row r="2478" spans="1:9" x14ac:dyDescent="0.2">
      <c r="A2478">
        <v>1033082</v>
      </c>
      <c r="B2478" t="s">
        <v>21</v>
      </c>
      <c r="C2478">
        <v>13.7</v>
      </c>
      <c r="D2478">
        <v>14.15</v>
      </c>
      <c r="E2478">
        <v>115.45</v>
      </c>
      <c r="F2478" t="s">
        <v>9</v>
      </c>
      <c r="G24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78">
        <f>IF(Table1[[#This Row],[is_ups_overcharge]]="ups overcharged",Table1[[#This Row],[ups ship charge]]-Table1[[#This Row],[ada ship charge]],0)</f>
        <v>0</v>
      </c>
    </row>
    <row r="2479" spans="1:9" x14ac:dyDescent="0.2">
      <c r="A2479">
        <v>1033084</v>
      </c>
      <c r="B2479" t="s">
        <v>21</v>
      </c>
      <c r="C2479">
        <v>9.6999999999999993</v>
      </c>
      <c r="D2479">
        <v>9.75</v>
      </c>
      <c r="E2479">
        <v>59.9</v>
      </c>
      <c r="F2479" t="s">
        <v>6</v>
      </c>
      <c r="G24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79">
        <f>IF(Table1[[#This Row],[is_ups_overcharge]]="ups overcharged",Table1[[#This Row],[ups ship charge]]-Table1[[#This Row],[ada ship charge]],0)</f>
        <v>0</v>
      </c>
    </row>
    <row r="2480" spans="1:9" x14ac:dyDescent="0.2">
      <c r="A2480">
        <v>1033095</v>
      </c>
      <c r="B2480" t="s">
        <v>21</v>
      </c>
      <c r="C2480">
        <v>12.81</v>
      </c>
      <c r="D2480">
        <v>13.02</v>
      </c>
      <c r="E2480">
        <v>53.35</v>
      </c>
      <c r="F2480" t="s">
        <v>9</v>
      </c>
      <c r="G24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80">
        <f>IF(Table1[[#This Row],[is_ups_overcharge]]="ups overcharged",Table1[[#This Row],[ups ship charge]]-Table1[[#This Row],[ada ship charge]],0)</f>
        <v>0</v>
      </c>
    </row>
    <row r="2481" spans="1:9" x14ac:dyDescent="0.2">
      <c r="A2481">
        <v>1033101</v>
      </c>
      <c r="B2481" t="s">
        <v>21</v>
      </c>
      <c r="C2481">
        <v>15.44</v>
      </c>
      <c r="D2481">
        <v>15.49</v>
      </c>
      <c r="E2481">
        <v>44.9</v>
      </c>
      <c r="F2481" t="s">
        <v>12</v>
      </c>
      <c r="G24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81">
        <f>IF(Table1[[#This Row],[is_ups_overcharge]]="ups overcharged",Table1[[#This Row],[ups ship charge]]-Table1[[#This Row],[ada ship charge]],0)</f>
        <v>0</v>
      </c>
    </row>
    <row r="2482" spans="1:9" x14ac:dyDescent="0.2">
      <c r="A2482">
        <v>1033116</v>
      </c>
      <c r="B2482" t="s">
        <v>21</v>
      </c>
      <c r="C2482">
        <v>13.7</v>
      </c>
      <c r="D2482">
        <v>13.76</v>
      </c>
      <c r="E2482">
        <v>59.8</v>
      </c>
      <c r="F2482" t="s">
        <v>9</v>
      </c>
      <c r="G24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82">
        <f>IF(Table1[[#This Row],[is_ups_overcharge]]="ups overcharged",Table1[[#This Row],[ups ship charge]]-Table1[[#This Row],[ada ship charge]],0)</f>
        <v>0</v>
      </c>
    </row>
    <row r="2483" spans="1:9" x14ac:dyDescent="0.2">
      <c r="A2483">
        <v>1033118</v>
      </c>
      <c r="B2483" t="s">
        <v>21</v>
      </c>
      <c r="C2483">
        <v>13.7</v>
      </c>
      <c r="D2483">
        <v>13.75</v>
      </c>
      <c r="E2483">
        <v>3.95</v>
      </c>
      <c r="F2483" t="s">
        <v>9</v>
      </c>
      <c r="G24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83">
        <f>IF(Table1[[#This Row],[is_ups_overcharge]]="ups overcharged",Table1[[#This Row],[ups ship charge]]-Table1[[#This Row],[ada ship charge]],0)</f>
        <v>0</v>
      </c>
    </row>
    <row r="2484" spans="1:9" x14ac:dyDescent="0.2">
      <c r="A2484">
        <v>1033123</v>
      </c>
      <c r="B2484" t="s">
        <v>21</v>
      </c>
      <c r="C2484">
        <v>9.6999999999999993</v>
      </c>
      <c r="D2484">
        <v>9.75</v>
      </c>
      <c r="E2484">
        <v>29.95</v>
      </c>
      <c r="F2484" t="s">
        <v>6</v>
      </c>
      <c r="G24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84">
        <f>IF(Table1[[#This Row],[is_ups_overcharge]]="ups overcharged",Table1[[#This Row],[ups ship charge]]-Table1[[#This Row],[ada ship charge]],0)</f>
        <v>0</v>
      </c>
    </row>
    <row r="2485" spans="1:9" x14ac:dyDescent="0.2">
      <c r="A2485">
        <v>1033129</v>
      </c>
      <c r="B2485" t="s">
        <v>21</v>
      </c>
      <c r="C2485">
        <v>12.81</v>
      </c>
      <c r="D2485">
        <v>12.86</v>
      </c>
      <c r="E2485">
        <v>13.85</v>
      </c>
      <c r="F2485" t="s">
        <v>9</v>
      </c>
      <c r="G24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85">
        <f>IF(Table1[[#This Row],[is_ups_overcharge]]="ups overcharged",Table1[[#This Row],[ups ship charge]]-Table1[[#This Row],[ada ship charge]],0)</f>
        <v>0</v>
      </c>
    </row>
    <row r="2486" spans="1:9" x14ac:dyDescent="0.2">
      <c r="A2486">
        <v>1033158</v>
      </c>
      <c r="B2486" t="s">
        <v>21</v>
      </c>
      <c r="C2486">
        <v>12.81</v>
      </c>
      <c r="D2486">
        <v>12.86</v>
      </c>
      <c r="E2486">
        <v>7.95</v>
      </c>
      <c r="F2486" t="s">
        <v>9</v>
      </c>
      <c r="G24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86">
        <f>IF(Table1[[#This Row],[is_ups_overcharge]]="ups overcharged",Table1[[#This Row],[ups ship charge]]-Table1[[#This Row],[ada ship charge]],0)</f>
        <v>0</v>
      </c>
    </row>
    <row r="2487" spans="1:9" x14ac:dyDescent="0.2">
      <c r="A2487">
        <v>1033162</v>
      </c>
      <c r="B2487" t="s">
        <v>21</v>
      </c>
      <c r="C2487">
        <v>13.7</v>
      </c>
      <c r="D2487">
        <v>13.76</v>
      </c>
      <c r="E2487">
        <v>29.95</v>
      </c>
      <c r="F2487" t="s">
        <v>9</v>
      </c>
      <c r="G24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87">
        <f>IF(Table1[[#This Row],[is_ups_overcharge]]="ups overcharged",Table1[[#This Row],[ups ship charge]]-Table1[[#This Row],[ada ship charge]],0)</f>
        <v>0</v>
      </c>
    </row>
    <row r="2488" spans="1:9" x14ac:dyDescent="0.2">
      <c r="A2488">
        <v>1033163</v>
      </c>
      <c r="B2488" t="s">
        <v>21</v>
      </c>
      <c r="C2488">
        <v>9.6999999999999993</v>
      </c>
      <c r="D2488">
        <v>9.75</v>
      </c>
      <c r="E2488">
        <v>9.9499999999999993</v>
      </c>
      <c r="F2488" t="s">
        <v>6</v>
      </c>
      <c r="G24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88">
        <f>IF(Table1[[#This Row],[is_ups_overcharge]]="ups overcharged",Table1[[#This Row],[ups ship charge]]-Table1[[#This Row],[ada ship charge]],0)</f>
        <v>0</v>
      </c>
    </row>
    <row r="2489" spans="1:9" x14ac:dyDescent="0.2">
      <c r="A2489">
        <v>1033176</v>
      </c>
      <c r="B2489" t="s">
        <v>21</v>
      </c>
      <c r="C2489">
        <v>9.6999999999999993</v>
      </c>
      <c r="D2489">
        <v>12.86</v>
      </c>
      <c r="E2489">
        <v>19.899999999999999</v>
      </c>
      <c r="F2489" t="s">
        <v>6</v>
      </c>
      <c r="G24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89">
        <f>IF(Table1[[#This Row],[is_ups_overcharge]]="ups overcharged",Table1[[#This Row],[ups ship charge]]-Table1[[#This Row],[ada ship charge]],0)</f>
        <v>0</v>
      </c>
    </row>
    <row r="2490" spans="1:9" x14ac:dyDescent="0.2">
      <c r="A2490">
        <v>1033177</v>
      </c>
      <c r="B2490" t="s">
        <v>21</v>
      </c>
      <c r="C2490">
        <v>12.81</v>
      </c>
      <c r="D2490">
        <v>12.86</v>
      </c>
      <c r="E2490">
        <v>39.950000000000003</v>
      </c>
      <c r="F2490" t="s">
        <v>9</v>
      </c>
      <c r="G24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90">
        <f>IF(Table1[[#This Row],[is_ups_overcharge]]="ups overcharged",Table1[[#This Row],[ups ship charge]]-Table1[[#This Row],[ada ship charge]],0)</f>
        <v>0</v>
      </c>
    </row>
    <row r="2491" spans="1:9" x14ac:dyDescent="0.2">
      <c r="A2491">
        <v>1033183</v>
      </c>
      <c r="B2491" t="s">
        <v>21</v>
      </c>
      <c r="C2491">
        <v>12.81</v>
      </c>
      <c r="D2491">
        <v>12.86</v>
      </c>
      <c r="E2491">
        <v>6.95</v>
      </c>
      <c r="F2491" t="s">
        <v>9</v>
      </c>
      <c r="G24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91">
        <f>IF(Table1[[#This Row],[is_ups_overcharge]]="ups overcharged",Table1[[#This Row],[ups ship charge]]-Table1[[#This Row],[ada ship charge]],0)</f>
        <v>0</v>
      </c>
    </row>
    <row r="2492" spans="1:9" x14ac:dyDescent="0.2">
      <c r="A2492">
        <v>1033236</v>
      </c>
      <c r="B2492" t="s">
        <v>21</v>
      </c>
      <c r="C2492">
        <v>12.81</v>
      </c>
      <c r="D2492">
        <v>12.86</v>
      </c>
      <c r="E2492">
        <v>61.95</v>
      </c>
      <c r="F2492" t="s">
        <v>9</v>
      </c>
      <c r="G24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92">
        <f>IF(Table1[[#This Row],[is_ups_overcharge]]="ups overcharged",Table1[[#This Row],[ups ship charge]]-Table1[[#This Row],[ada ship charge]],0)</f>
        <v>0</v>
      </c>
    </row>
    <row r="2493" spans="1:9" x14ac:dyDescent="0.2">
      <c r="A2493">
        <v>1033249</v>
      </c>
      <c r="B2493" t="s">
        <v>21</v>
      </c>
      <c r="C2493">
        <v>16.77</v>
      </c>
      <c r="D2493">
        <v>16.82</v>
      </c>
      <c r="E2493">
        <v>34.9</v>
      </c>
      <c r="F2493" t="s">
        <v>10</v>
      </c>
      <c r="G24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93">
        <f>IF(Table1[[#This Row],[is_ups_overcharge]]="ups overcharged",Table1[[#This Row],[ups ship charge]]-Table1[[#This Row],[ada ship charge]],0)</f>
        <v>0</v>
      </c>
    </row>
    <row r="2494" spans="1:9" x14ac:dyDescent="0.2">
      <c r="A2494">
        <v>1033272</v>
      </c>
      <c r="B2494" t="s">
        <v>21</v>
      </c>
      <c r="C2494">
        <v>9.6999999999999993</v>
      </c>
      <c r="D2494">
        <v>13.75</v>
      </c>
      <c r="E2494">
        <v>57.55</v>
      </c>
      <c r="F2494" t="s">
        <v>6</v>
      </c>
      <c r="G24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94">
        <f>IF(Table1[[#This Row],[is_ups_overcharge]]="ups overcharged",Table1[[#This Row],[ups ship charge]]-Table1[[#This Row],[ada ship charge]],0)</f>
        <v>0</v>
      </c>
    </row>
    <row r="2495" spans="1:9" x14ac:dyDescent="0.2">
      <c r="A2495">
        <v>1033279</v>
      </c>
      <c r="B2495" t="s">
        <v>21</v>
      </c>
      <c r="C2495">
        <v>12.35</v>
      </c>
      <c r="D2495">
        <v>12.4</v>
      </c>
      <c r="E2495">
        <v>63.35</v>
      </c>
      <c r="F2495" t="s">
        <v>13</v>
      </c>
      <c r="G24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95">
        <f>IF(Table1[[#This Row],[is_ups_overcharge]]="ups overcharged",Table1[[#This Row],[ups ship charge]]-Table1[[#This Row],[ada ship charge]],0)</f>
        <v>0</v>
      </c>
    </row>
    <row r="2496" spans="1:9" x14ac:dyDescent="0.2">
      <c r="A2496">
        <v>1033280</v>
      </c>
      <c r="B2496" t="s">
        <v>21</v>
      </c>
      <c r="C2496">
        <v>15.13</v>
      </c>
      <c r="D2496">
        <v>15.18</v>
      </c>
      <c r="E2496">
        <v>85.85</v>
      </c>
      <c r="F2496" t="s">
        <v>12</v>
      </c>
      <c r="G24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96">
        <f>IF(Table1[[#This Row],[is_ups_overcharge]]="ups overcharged",Table1[[#This Row],[ups ship charge]]-Table1[[#This Row],[ada ship charge]],0)</f>
        <v>0</v>
      </c>
    </row>
    <row r="2497" spans="1:9" x14ac:dyDescent="0.2">
      <c r="A2497">
        <v>1033283</v>
      </c>
      <c r="B2497" t="s">
        <v>21</v>
      </c>
      <c r="C2497">
        <v>16.46</v>
      </c>
      <c r="D2497">
        <v>16.510000000000002</v>
      </c>
      <c r="E2497">
        <v>83.9</v>
      </c>
      <c r="F2497" t="s">
        <v>10</v>
      </c>
      <c r="G24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97">
        <f>IF(Table1[[#This Row],[is_ups_overcharge]]="ups overcharged",Table1[[#This Row],[ups ship charge]]-Table1[[#This Row],[ada ship charge]],0)</f>
        <v>0</v>
      </c>
    </row>
    <row r="2498" spans="1:9" x14ac:dyDescent="0.2">
      <c r="A2498">
        <v>1033297</v>
      </c>
      <c r="B2498" t="s">
        <v>21</v>
      </c>
      <c r="C2498">
        <v>12.81</v>
      </c>
      <c r="D2498">
        <v>12.86</v>
      </c>
      <c r="E2498">
        <v>83</v>
      </c>
      <c r="F2498" t="s">
        <v>9</v>
      </c>
      <c r="G24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98">
        <f>IF(Table1[[#This Row],[is_ups_overcharge]]="ups overcharged",Table1[[#This Row],[ups ship charge]]-Table1[[#This Row],[ada ship charge]],0)</f>
        <v>0</v>
      </c>
    </row>
    <row r="2499" spans="1:9" x14ac:dyDescent="0.2">
      <c r="A2499">
        <v>1033302</v>
      </c>
      <c r="B2499" t="s">
        <v>21</v>
      </c>
      <c r="C2499">
        <v>16.77</v>
      </c>
      <c r="D2499">
        <v>19.97</v>
      </c>
      <c r="E2499">
        <v>127.05</v>
      </c>
      <c r="F2499" t="s">
        <v>10</v>
      </c>
      <c r="G24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4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499">
        <f>IF(Table1[[#This Row],[is_ups_overcharge]]="ups overcharged",Table1[[#This Row],[ups ship charge]]-Table1[[#This Row],[ada ship charge]],0)</f>
        <v>0</v>
      </c>
    </row>
    <row r="2500" spans="1:9" x14ac:dyDescent="0.2">
      <c r="A2500">
        <v>1033305</v>
      </c>
      <c r="B2500" t="s">
        <v>21</v>
      </c>
      <c r="C2500">
        <v>9.6999999999999993</v>
      </c>
      <c r="D2500">
        <v>9.75</v>
      </c>
      <c r="E2500">
        <v>42.35</v>
      </c>
      <c r="F2500" t="s">
        <v>6</v>
      </c>
      <c r="G25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00">
        <f>IF(Table1[[#This Row],[is_ups_overcharge]]="ups overcharged",Table1[[#This Row],[ups ship charge]]-Table1[[#This Row],[ada ship charge]],0)</f>
        <v>0</v>
      </c>
    </row>
    <row r="2501" spans="1:9" x14ac:dyDescent="0.2">
      <c r="A2501">
        <v>1033326</v>
      </c>
      <c r="B2501" t="s">
        <v>21</v>
      </c>
      <c r="C2501">
        <v>13.71</v>
      </c>
      <c r="D2501">
        <v>13.76</v>
      </c>
      <c r="E2501">
        <v>63.5</v>
      </c>
      <c r="F2501" t="s">
        <v>9</v>
      </c>
      <c r="G25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01">
        <f>IF(Table1[[#This Row],[is_ups_overcharge]]="ups overcharged",Table1[[#This Row],[ups ship charge]]-Table1[[#This Row],[ada ship charge]],0)</f>
        <v>0</v>
      </c>
    </row>
    <row r="2502" spans="1:9" x14ac:dyDescent="0.2">
      <c r="A2502">
        <v>1033336</v>
      </c>
      <c r="B2502" t="s">
        <v>21</v>
      </c>
      <c r="C2502">
        <v>12.81</v>
      </c>
      <c r="D2502">
        <v>12.86</v>
      </c>
      <c r="E2502">
        <v>67.8</v>
      </c>
      <c r="F2502" t="s">
        <v>9</v>
      </c>
      <c r="G25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02">
        <f>IF(Table1[[#This Row],[is_ups_overcharge]]="ups overcharged",Table1[[#This Row],[ups ship charge]]-Table1[[#This Row],[ada ship charge]],0)</f>
        <v>0</v>
      </c>
    </row>
    <row r="2503" spans="1:9" x14ac:dyDescent="0.2">
      <c r="A2503">
        <v>1033342</v>
      </c>
      <c r="B2503" t="s">
        <v>21</v>
      </c>
      <c r="C2503">
        <v>9.6999999999999993</v>
      </c>
      <c r="D2503">
        <v>9.75</v>
      </c>
      <c r="E2503">
        <v>39.950000000000003</v>
      </c>
      <c r="F2503" t="s">
        <v>6</v>
      </c>
      <c r="G25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03">
        <f>IF(Table1[[#This Row],[is_ups_overcharge]]="ups overcharged",Table1[[#This Row],[ups ship charge]]-Table1[[#This Row],[ada ship charge]],0)</f>
        <v>0</v>
      </c>
    </row>
    <row r="2504" spans="1:9" x14ac:dyDescent="0.2">
      <c r="A2504">
        <v>1033353</v>
      </c>
      <c r="B2504" t="s">
        <v>21</v>
      </c>
      <c r="C2504">
        <v>15.13</v>
      </c>
      <c r="D2504">
        <v>15.77</v>
      </c>
      <c r="E2504">
        <v>68.05</v>
      </c>
      <c r="F2504" t="s">
        <v>12</v>
      </c>
      <c r="G25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04">
        <f>IF(Table1[[#This Row],[is_ups_overcharge]]="ups overcharged",Table1[[#This Row],[ups ship charge]]-Table1[[#This Row],[ada ship charge]],0)</f>
        <v>0</v>
      </c>
    </row>
    <row r="2505" spans="1:9" x14ac:dyDescent="0.2">
      <c r="A2505">
        <v>1033357</v>
      </c>
      <c r="B2505" t="s">
        <v>21</v>
      </c>
      <c r="C2505">
        <v>12.81</v>
      </c>
      <c r="D2505">
        <v>12.86</v>
      </c>
      <c r="E2505">
        <v>8.9499999999999993</v>
      </c>
      <c r="F2505" t="s">
        <v>9</v>
      </c>
      <c r="G25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05">
        <f>IF(Table1[[#This Row],[is_ups_overcharge]]="ups overcharged",Table1[[#This Row],[ups ship charge]]-Table1[[#This Row],[ada ship charge]],0)</f>
        <v>0</v>
      </c>
    </row>
    <row r="2506" spans="1:9" x14ac:dyDescent="0.2">
      <c r="A2506">
        <v>1033365</v>
      </c>
      <c r="B2506" t="s">
        <v>21</v>
      </c>
      <c r="C2506">
        <v>12.81</v>
      </c>
      <c r="D2506">
        <v>14.28</v>
      </c>
      <c r="E2506">
        <v>91.95</v>
      </c>
      <c r="F2506" t="s">
        <v>9</v>
      </c>
      <c r="G25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06">
        <f>IF(Table1[[#This Row],[is_ups_overcharge]]="ups overcharged",Table1[[#This Row],[ups ship charge]]-Table1[[#This Row],[ada ship charge]],0)</f>
        <v>0</v>
      </c>
    </row>
    <row r="2507" spans="1:9" x14ac:dyDescent="0.2">
      <c r="A2507">
        <v>1033385</v>
      </c>
      <c r="B2507" t="s">
        <v>21</v>
      </c>
      <c r="C2507">
        <v>12.81</v>
      </c>
      <c r="D2507">
        <v>12.86</v>
      </c>
      <c r="E2507">
        <v>49.95</v>
      </c>
      <c r="F2507" t="s">
        <v>9</v>
      </c>
      <c r="G25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07">
        <f>IF(Table1[[#This Row],[is_ups_overcharge]]="ups overcharged",Table1[[#This Row],[ups ship charge]]-Table1[[#This Row],[ada ship charge]],0)</f>
        <v>0</v>
      </c>
    </row>
    <row r="2508" spans="1:9" x14ac:dyDescent="0.2">
      <c r="A2508">
        <v>1033418</v>
      </c>
      <c r="B2508" t="s">
        <v>21</v>
      </c>
      <c r="C2508">
        <v>12.81</v>
      </c>
      <c r="D2508">
        <v>12.86</v>
      </c>
      <c r="E2508">
        <v>79.5</v>
      </c>
      <c r="F2508" t="s">
        <v>9</v>
      </c>
      <c r="G25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08">
        <f>IF(Table1[[#This Row],[is_ups_overcharge]]="ups overcharged",Table1[[#This Row],[ups ship charge]]-Table1[[#This Row],[ada ship charge]],0)</f>
        <v>0</v>
      </c>
    </row>
    <row r="2509" spans="1:9" x14ac:dyDescent="0.2">
      <c r="A2509">
        <v>1033421</v>
      </c>
      <c r="B2509" t="s">
        <v>21</v>
      </c>
      <c r="C2509">
        <v>13.7</v>
      </c>
      <c r="D2509">
        <v>13.75</v>
      </c>
      <c r="E2509">
        <v>31.65</v>
      </c>
      <c r="F2509" t="s">
        <v>9</v>
      </c>
      <c r="G25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09">
        <f>IF(Table1[[#This Row],[is_ups_overcharge]]="ups overcharged",Table1[[#This Row],[ups ship charge]]-Table1[[#This Row],[ada ship charge]],0)</f>
        <v>0</v>
      </c>
    </row>
    <row r="2510" spans="1:9" x14ac:dyDescent="0.2">
      <c r="A2510">
        <v>1033449</v>
      </c>
      <c r="B2510" t="s">
        <v>21</v>
      </c>
      <c r="C2510">
        <v>12.81</v>
      </c>
      <c r="D2510">
        <v>12.86</v>
      </c>
      <c r="E2510">
        <v>27.85</v>
      </c>
      <c r="F2510" t="s">
        <v>9</v>
      </c>
      <c r="G25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10">
        <f>IF(Table1[[#This Row],[is_ups_overcharge]]="ups overcharged",Table1[[#This Row],[ups ship charge]]-Table1[[#This Row],[ada ship charge]],0)</f>
        <v>0</v>
      </c>
    </row>
    <row r="2511" spans="1:9" x14ac:dyDescent="0.2">
      <c r="A2511">
        <v>1033453</v>
      </c>
      <c r="B2511" t="s">
        <v>21</v>
      </c>
      <c r="C2511">
        <v>12.81</v>
      </c>
      <c r="D2511">
        <v>12.86</v>
      </c>
      <c r="E2511">
        <v>5.85</v>
      </c>
      <c r="F2511" t="s">
        <v>9</v>
      </c>
      <c r="G25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11">
        <f>IF(Table1[[#This Row],[is_ups_overcharge]]="ups overcharged",Table1[[#This Row],[ups ship charge]]-Table1[[#This Row],[ada ship charge]],0)</f>
        <v>0</v>
      </c>
    </row>
    <row r="2512" spans="1:9" x14ac:dyDescent="0.2">
      <c r="A2512">
        <v>1033461</v>
      </c>
      <c r="B2512" t="s">
        <v>21</v>
      </c>
      <c r="C2512">
        <v>19.559999999999999</v>
      </c>
      <c r="D2512">
        <v>20.190000000000001</v>
      </c>
      <c r="E2512">
        <v>268.5</v>
      </c>
      <c r="F2512" t="s">
        <v>10</v>
      </c>
      <c r="G25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12">
        <f>IF(Table1[[#This Row],[is_ups_overcharge]]="ups overcharged",Table1[[#This Row],[ups ship charge]]-Table1[[#This Row],[ada ship charge]],0)</f>
        <v>0</v>
      </c>
    </row>
    <row r="2513" spans="1:9" x14ac:dyDescent="0.2">
      <c r="A2513">
        <v>1033467</v>
      </c>
      <c r="B2513" t="s">
        <v>21</v>
      </c>
      <c r="C2513">
        <v>14.15</v>
      </c>
      <c r="D2513">
        <v>14.77</v>
      </c>
      <c r="E2513">
        <v>140.69</v>
      </c>
      <c r="F2513" t="s">
        <v>9</v>
      </c>
      <c r="G25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13">
        <f>IF(Table1[[#This Row],[is_ups_overcharge]]="ups overcharged",Table1[[#This Row],[ups ship charge]]-Table1[[#This Row],[ada ship charge]],0)</f>
        <v>0</v>
      </c>
    </row>
    <row r="2514" spans="1:9" x14ac:dyDescent="0.2">
      <c r="A2514">
        <v>1033474</v>
      </c>
      <c r="B2514" t="s">
        <v>21</v>
      </c>
      <c r="C2514">
        <v>12.81</v>
      </c>
      <c r="D2514">
        <v>12.86</v>
      </c>
      <c r="E2514">
        <v>22.95</v>
      </c>
      <c r="F2514" t="s">
        <v>9</v>
      </c>
      <c r="G25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14">
        <f>IF(Table1[[#This Row],[is_ups_overcharge]]="ups overcharged",Table1[[#This Row],[ups ship charge]]-Table1[[#This Row],[ada ship charge]],0)</f>
        <v>0</v>
      </c>
    </row>
    <row r="2515" spans="1:9" x14ac:dyDescent="0.2">
      <c r="A2515">
        <v>1033514</v>
      </c>
      <c r="B2515" t="s">
        <v>21</v>
      </c>
      <c r="C2515">
        <v>13.7</v>
      </c>
      <c r="D2515">
        <v>13.75</v>
      </c>
      <c r="E2515">
        <v>57.8</v>
      </c>
      <c r="F2515" t="s">
        <v>9</v>
      </c>
      <c r="G25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15">
        <f>IF(Table1[[#This Row],[is_ups_overcharge]]="ups overcharged",Table1[[#This Row],[ups ship charge]]-Table1[[#This Row],[ada ship charge]],0)</f>
        <v>0</v>
      </c>
    </row>
    <row r="2516" spans="1:9" x14ac:dyDescent="0.2">
      <c r="A2516">
        <v>1033520</v>
      </c>
      <c r="B2516" t="s">
        <v>21</v>
      </c>
      <c r="C2516">
        <v>22.45</v>
      </c>
      <c r="D2516">
        <v>16.95</v>
      </c>
      <c r="E2516">
        <v>149.15</v>
      </c>
      <c r="F2516" t="s">
        <v>12</v>
      </c>
      <c r="G25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16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516">
        <f>IF(Table1[[#This Row],[is_ups_overcharge]]="ups overcharged",Table1[[#This Row],[ups ship charge]]-Table1[[#This Row],[ada ship charge]],0)</f>
        <v>5.5</v>
      </c>
    </row>
    <row r="2517" spans="1:9" x14ac:dyDescent="0.2">
      <c r="A2517">
        <v>1033537</v>
      </c>
      <c r="B2517" t="s">
        <v>21</v>
      </c>
      <c r="C2517">
        <v>12.81</v>
      </c>
      <c r="D2517">
        <v>12.86</v>
      </c>
      <c r="E2517">
        <v>14.95</v>
      </c>
      <c r="F2517" t="s">
        <v>9</v>
      </c>
      <c r="G25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17">
        <f>IF(Table1[[#This Row],[is_ups_overcharge]]="ups overcharged",Table1[[#This Row],[ups ship charge]]-Table1[[#This Row],[ada ship charge]],0)</f>
        <v>0</v>
      </c>
    </row>
    <row r="2518" spans="1:9" x14ac:dyDescent="0.2">
      <c r="A2518">
        <v>1033559</v>
      </c>
      <c r="B2518" t="s">
        <v>21</v>
      </c>
      <c r="C2518">
        <v>12.81</v>
      </c>
      <c r="D2518">
        <v>12.86</v>
      </c>
      <c r="E2518">
        <v>34.950000000000003</v>
      </c>
      <c r="F2518" t="s">
        <v>9</v>
      </c>
      <c r="G25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18">
        <f>IF(Table1[[#This Row],[is_ups_overcharge]]="ups overcharged",Table1[[#This Row],[ups ship charge]]-Table1[[#This Row],[ada ship charge]],0)</f>
        <v>0</v>
      </c>
    </row>
    <row r="2519" spans="1:9" x14ac:dyDescent="0.2">
      <c r="A2519">
        <v>1033568</v>
      </c>
      <c r="B2519" t="s">
        <v>21</v>
      </c>
      <c r="C2519">
        <v>13.6</v>
      </c>
      <c r="D2519">
        <v>13.65</v>
      </c>
      <c r="E2519">
        <v>42.9</v>
      </c>
      <c r="F2519" t="s">
        <v>16</v>
      </c>
      <c r="G25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19">
        <f>IF(Table1[[#This Row],[is_ups_overcharge]]="ups overcharged",Table1[[#This Row],[ups ship charge]]-Table1[[#This Row],[ada ship charge]],0)</f>
        <v>0</v>
      </c>
    </row>
    <row r="2520" spans="1:9" x14ac:dyDescent="0.2">
      <c r="A2520">
        <v>1033573</v>
      </c>
      <c r="B2520" t="s">
        <v>21</v>
      </c>
      <c r="C2520">
        <v>12.81</v>
      </c>
      <c r="D2520">
        <v>12.86</v>
      </c>
      <c r="E2520">
        <v>41.9</v>
      </c>
      <c r="F2520" t="s">
        <v>9</v>
      </c>
      <c r="G25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20">
        <f>IF(Table1[[#This Row],[is_ups_overcharge]]="ups overcharged",Table1[[#This Row],[ups ship charge]]-Table1[[#This Row],[ada ship charge]],0)</f>
        <v>0</v>
      </c>
    </row>
    <row r="2521" spans="1:9" x14ac:dyDescent="0.2">
      <c r="A2521">
        <v>1033594</v>
      </c>
      <c r="B2521" t="s">
        <v>21</v>
      </c>
      <c r="C2521">
        <v>16.46</v>
      </c>
      <c r="D2521">
        <v>16.510000000000002</v>
      </c>
      <c r="E2521">
        <v>234.5</v>
      </c>
      <c r="F2521" t="s">
        <v>10</v>
      </c>
      <c r="G25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21">
        <f>IF(Table1[[#This Row],[is_ups_overcharge]]="ups overcharged",Table1[[#This Row],[ups ship charge]]-Table1[[#This Row],[ada ship charge]],0)</f>
        <v>0</v>
      </c>
    </row>
    <row r="2522" spans="1:9" x14ac:dyDescent="0.2">
      <c r="A2522">
        <v>1033606</v>
      </c>
      <c r="B2522" t="s">
        <v>21</v>
      </c>
      <c r="C2522">
        <v>13.7</v>
      </c>
      <c r="D2522">
        <v>13.75</v>
      </c>
      <c r="E2522">
        <v>25.85</v>
      </c>
      <c r="F2522" t="s">
        <v>9</v>
      </c>
      <c r="G25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22">
        <f>IF(Table1[[#This Row],[is_ups_overcharge]]="ups overcharged",Table1[[#This Row],[ups ship charge]]-Table1[[#This Row],[ada ship charge]],0)</f>
        <v>0</v>
      </c>
    </row>
    <row r="2523" spans="1:9" x14ac:dyDescent="0.2">
      <c r="A2523">
        <v>1033611</v>
      </c>
      <c r="B2523" t="s">
        <v>21</v>
      </c>
      <c r="C2523">
        <v>9.6999999999999993</v>
      </c>
      <c r="D2523">
        <v>9.75</v>
      </c>
      <c r="E2523">
        <v>99.6</v>
      </c>
      <c r="F2523" t="s">
        <v>6</v>
      </c>
      <c r="G25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23">
        <f>IF(Table1[[#This Row],[is_ups_overcharge]]="ups overcharged",Table1[[#This Row],[ups ship charge]]-Table1[[#This Row],[ada ship charge]],0)</f>
        <v>0</v>
      </c>
    </row>
    <row r="2524" spans="1:9" x14ac:dyDescent="0.2">
      <c r="A2524">
        <v>1033622</v>
      </c>
      <c r="B2524" t="s">
        <v>21</v>
      </c>
      <c r="C2524">
        <v>18.420000000000002</v>
      </c>
      <c r="D2524">
        <v>18.47</v>
      </c>
      <c r="E2524">
        <v>94.85</v>
      </c>
      <c r="F2524" t="s">
        <v>10</v>
      </c>
      <c r="G25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24">
        <f>IF(Table1[[#This Row],[is_ups_overcharge]]="ups overcharged",Table1[[#This Row],[ups ship charge]]-Table1[[#This Row],[ada ship charge]],0)</f>
        <v>0</v>
      </c>
    </row>
    <row r="2525" spans="1:9" x14ac:dyDescent="0.2">
      <c r="A2525">
        <v>1033703</v>
      </c>
      <c r="B2525" t="s">
        <v>21</v>
      </c>
      <c r="C2525">
        <v>71.73</v>
      </c>
      <c r="D2525">
        <v>71.78</v>
      </c>
      <c r="E2525">
        <v>44.6</v>
      </c>
      <c r="F2525" t="s">
        <v>11</v>
      </c>
      <c r="G25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25">
        <f>IF(Table1[[#This Row],[is_ups_overcharge]]="ups overcharged",Table1[[#This Row],[ups ship charge]]-Table1[[#This Row],[ada ship charge]],0)</f>
        <v>0</v>
      </c>
    </row>
    <row r="2526" spans="1:9" x14ac:dyDescent="0.2">
      <c r="A2526">
        <v>1033723</v>
      </c>
      <c r="B2526" t="s">
        <v>21</v>
      </c>
      <c r="C2526">
        <v>12.81</v>
      </c>
      <c r="D2526">
        <v>12.86</v>
      </c>
      <c r="E2526">
        <v>39.950000000000003</v>
      </c>
      <c r="F2526" t="s">
        <v>9</v>
      </c>
      <c r="G25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26">
        <f>IF(Table1[[#This Row],[is_ups_overcharge]]="ups overcharged",Table1[[#This Row],[ups ship charge]]-Table1[[#This Row],[ada ship charge]],0)</f>
        <v>0</v>
      </c>
    </row>
    <row r="2527" spans="1:9" x14ac:dyDescent="0.2">
      <c r="A2527">
        <v>1033745</v>
      </c>
      <c r="B2527" t="s">
        <v>21</v>
      </c>
      <c r="C2527">
        <v>12.81</v>
      </c>
      <c r="D2527">
        <v>12.86</v>
      </c>
      <c r="E2527">
        <v>70.150000000000006</v>
      </c>
      <c r="F2527" t="s">
        <v>9</v>
      </c>
      <c r="G25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27">
        <f>IF(Table1[[#This Row],[is_ups_overcharge]]="ups overcharged",Table1[[#This Row],[ups ship charge]]-Table1[[#This Row],[ada ship charge]],0)</f>
        <v>0</v>
      </c>
    </row>
    <row r="2528" spans="1:9" x14ac:dyDescent="0.2">
      <c r="A2528">
        <v>1033753</v>
      </c>
      <c r="B2528" t="s">
        <v>21</v>
      </c>
      <c r="C2528">
        <v>13.7</v>
      </c>
      <c r="D2528">
        <v>13.75</v>
      </c>
      <c r="E2528">
        <v>120.65</v>
      </c>
      <c r="F2528" t="s">
        <v>9</v>
      </c>
      <c r="G25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28">
        <f>IF(Table1[[#This Row],[is_ups_overcharge]]="ups overcharged",Table1[[#This Row],[ups ship charge]]-Table1[[#This Row],[ada ship charge]],0)</f>
        <v>0</v>
      </c>
    </row>
    <row r="2529" spans="1:9" x14ac:dyDescent="0.2">
      <c r="A2529">
        <v>1033769</v>
      </c>
      <c r="B2529" t="s">
        <v>21</v>
      </c>
      <c r="C2529">
        <v>29.77</v>
      </c>
      <c r="D2529">
        <v>16.82</v>
      </c>
      <c r="E2529">
        <v>39.799999999999997</v>
      </c>
      <c r="F2529" t="s">
        <v>10</v>
      </c>
      <c r="G25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29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529">
        <f>IF(Table1[[#This Row],[is_ups_overcharge]]="ups overcharged",Table1[[#This Row],[ups ship charge]]-Table1[[#This Row],[ada ship charge]],0)</f>
        <v>12.95</v>
      </c>
    </row>
    <row r="2530" spans="1:9" x14ac:dyDescent="0.2">
      <c r="A2530">
        <v>1033791</v>
      </c>
      <c r="B2530" t="s">
        <v>21</v>
      </c>
      <c r="C2530">
        <v>12.35</v>
      </c>
      <c r="D2530">
        <v>12.4</v>
      </c>
      <c r="E2530">
        <v>249.65</v>
      </c>
      <c r="F2530" t="s">
        <v>13</v>
      </c>
      <c r="G25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30">
        <f>IF(Table1[[#This Row],[is_ups_overcharge]]="ups overcharged",Table1[[#This Row],[ups ship charge]]-Table1[[#This Row],[ada ship charge]],0)</f>
        <v>0</v>
      </c>
    </row>
    <row r="2531" spans="1:9" x14ac:dyDescent="0.2">
      <c r="A2531">
        <v>1033810</v>
      </c>
      <c r="B2531" t="s">
        <v>21</v>
      </c>
      <c r="C2531">
        <v>12.73</v>
      </c>
      <c r="D2531">
        <v>14.29</v>
      </c>
      <c r="E2531">
        <v>76.55</v>
      </c>
      <c r="F2531" t="s">
        <v>13</v>
      </c>
      <c r="G25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31">
        <f>IF(Table1[[#This Row],[is_ups_overcharge]]="ups overcharged",Table1[[#This Row],[ups ship charge]]-Table1[[#This Row],[ada ship charge]],0)</f>
        <v>0</v>
      </c>
    </row>
    <row r="2532" spans="1:9" x14ac:dyDescent="0.2">
      <c r="A2532">
        <v>1033814</v>
      </c>
      <c r="B2532" t="s">
        <v>21</v>
      </c>
      <c r="C2532">
        <v>9.6999999999999993</v>
      </c>
      <c r="D2532">
        <v>9.75</v>
      </c>
      <c r="E2532">
        <v>60.7</v>
      </c>
      <c r="F2532" t="s">
        <v>6</v>
      </c>
      <c r="G25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32">
        <f>IF(Table1[[#This Row],[is_ups_overcharge]]="ups overcharged",Table1[[#This Row],[ups ship charge]]-Table1[[#This Row],[ada ship charge]],0)</f>
        <v>0</v>
      </c>
    </row>
    <row r="2533" spans="1:9" x14ac:dyDescent="0.2">
      <c r="A2533">
        <v>1033819</v>
      </c>
      <c r="B2533" t="s">
        <v>21</v>
      </c>
      <c r="C2533">
        <v>16.46</v>
      </c>
      <c r="D2533">
        <v>16.510000000000002</v>
      </c>
      <c r="E2533">
        <v>63.3</v>
      </c>
      <c r="F2533" t="s">
        <v>10</v>
      </c>
      <c r="G25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33">
        <f>IF(Table1[[#This Row],[is_ups_overcharge]]="ups overcharged",Table1[[#This Row],[ups ship charge]]-Table1[[#This Row],[ada ship charge]],0)</f>
        <v>0</v>
      </c>
    </row>
    <row r="2534" spans="1:9" x14ac:dyDescent="0.2">
      <c r="A2534">
        <v>1033821</v>
      </c>
      <c r="B2534" t="s">
        <v>21</v>
      </c>
      <c r="C2534">
        <v>18.46</v>
      </c>
      <c r="D2534">
        <v>18.510000000000002</v>
      </c>
      <c r="E2534">
        <v>8.4499999999999993</v>
      </c>
      <c r="F2534" t="s">
        <v>15</v>
      </c>
      <c r="G25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34">
        <f>IF(Table1[[#This Row],[is_ups_overcharge]]="ups overcharged",Table1[[#This Row],[ups ship charge]]-Table1[[#This Row],[ada ship charge]],0)</f>
        <v>0</v>
      </c>
    </row>
    <row r="2535" spans="1:9" x14ac:dyDescent="0.2">
      <c r="A2535">
        <v>1033830</v>
      </c>
      <c r="B2535" t="s">
        <v>21</v>
      </c>
      <c r="C2535">
        <v>13.7</v>
      </c>
      <c r="D2535">
        <v>13.75</v>
      </c>
      <c r="E2535">
        <v>4.95</v>
      </c>
      <c r="F2535" t="s">
        <v>9</v>
      </c>
      <c r="G25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35">
        <f>IF(Table1[[#This Row],[is_ups_overcharge]]="ups overcharged",Table1[[#This Row],[ups ship charge]]-Table1[[#This Row],[ada ship charge]],0)</f>
        <v>0</v>
      </c>
    </row>
    <row r="2536" spans="1:9" x14ac:dyDescent="0.2">
      <c r="A2536">
        <v>1033834</v>
      </c>
      <c r="B2536" t="s">
        <v>21</v>
      </c>
      <c r="C2536">
        <v>12.35</v>
      </c>
      <c r="D2536">
        <v>12.4</v>
      </c>
      <c r="E2536">
        <v>74.95</v>
      </c>
      <c r="F2536" t="s">
        <v>13</v>
      </c>
      <c r="G25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36">
        <f>IF(Table1[[#This Row],[is_ups_overcharge]]="ups overcharged",Table1[[#This Row],[ups ship charge]]-Table1[[#This Row],[ada ship charge]],0)</f>
        <v>0</v>
      </c>
    </row>
    <row r="2537" spans="1:9" x14ac:dyDescent="0.2">
      <c r="A2537">
        <v>1033835</v>
      </c>
      <c r="B2537" t="s">
        <v>21</v>
      </c>
      <c r="C2537">
        <v>13.7</v>
      </c>
      <c r="D2537">
        <v>13.75</v>
      </c>
      <c r="E2537">
        <v>11.95</v>
      </c>
      <c r="F2537" t="s">
        <v>9</v>
      </c>
      <c r="G25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37">
        <f>IF(Table1[[#This Row],[is_ups_overcharge]]="ups overcharged",Table1[[#This Row],[ups ship charge]]-Table1[[#This Row],[ada ship charge]],0)</f>
        <v>0</v>
      </c>
    </row>
    <row r="2538" spans="1:9" x14ac:dyDescent="0.2">
      <c r="A2538">
        <v>1033841</v>
      </c>
      <c r="B2538" t="s">
        <v>21</v>
      </c>
      <c r="C2538">
        <v>9.6999999999999993</v>
      </c>
      <c r="D2538">
        <v>13.09</v>
      </c>
      <c r="E2538">
        <v>78.599999999999994</v>
      </c>
      <c r="F2538" t="s">
        <v>6</v>
      </c>
      <c r="G25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38">
        <f>IF(Table1[[#This Row],[is_ups_overcharge]]="ups overcharged",Table1[[#This Row],[ups ship charge]]-Table1[[#This Row],[ada ship charge]],0)</f>
        <v>0</v>
      </c>
    </row>
    <row r="2539" spans="1:9" x14ac:dyDescent="0.2">
      <c r="A2539">
        <v>1033847</v>
      </c>
      <c r="B2539" t="s">
        <v>21</v>
      </c>
      <c r="C2539">
        <v>16.46</v>
      </c>
      <c r="D2539">
        <v>16.510000000000002</v>
      </c>
      <c r="E2539">
        <v>29.9</v>
      </c>
      <c r="F2539" t="s">
        <v>10</v>
      </c>
      <c r="G25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39">
        <f>IF(Table1[[#This Row],[is_ups_overcharge]]="ups overcharged",Table1[[#This Row],[ups ship charge]]-Table1[[#This Row],[ada ship charge]],0)</f>
        <v>0</v>
      </c>
    </row>
    <row r="2540" spans="1:9" x14ac:dyDescent="0.2">
      <c r="A2540">
        <v>1033859</v>
      </c>
      <c r="B2540" t="s">
        <v>21</v>
      </c>
      <c r="C2540">
        <v>12.81</v>
      </c>
      <c r="D2540">
        <v>12.86</v>
      </c>
      <c r="E2540">
        <v>47.3</v>
      </c>
      <c r="F2540" t="s">
        <v>9</v>
      </c>
      <c r="G25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40">
        <f>IF(Table1[[#This Row],[is_ups_overcharge]]="ups overcharged",Table1[[#This Row],[ups ship charge]]-Table1[[#This Row],[ada ship charge]],0)</f>
        <v>0</v>
      </c>
    </row>
    <row r="2541" spans="1:9" x14ac:dyDescent="0.2">
      <c r="A2541">
        <v>1033883</v>
      </c>
      <c r="B2541" t="s">
        <v>21</v>
      </c>
      <c r="C2541">
        <v>20.46</v>
      </c>
      <c r="D2541">
        <v>20.51</v>
      </c>
      <c r="E2541">
        <v>187.8</v>
      </c>
      <c r="F2541" t="s">
        <v>16</v>
      </c>
      <c r="G25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41">
        <f>IF(Table1[[#This Row],[is_ups_overcharge]]="ups overcharged",Table1[[#This Row],[ups ship charge]]-Table1[[#This Row],[ada ship charge]],0)</f>
        <v>0</v>
      </c>
    </row>
    <row r="2542" spans="1:9" x14ac:dyDescent="0.2">
      <c r="A2542">
        <v>1033930</v>
      </c>
      <c r="B2542" t="s">
        <v>21</v>
      </c>
      <c r="C2542">
        <v>12.35</v>
      </c>
      <c r="D2542">
        <v>12.4</v>
      </c>
      <c r="E2542">
        <v>9.9499999999999993</v>
      </c>
      <c r="F2542" t="s">
        <v>13</v>
      </c>
      <c r="G25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42">
        <f>IF(Table1[[#This Row],[is_ups_overcharge]]="ups overcharged",Table1[[#This Row],[ups ship charge]]-Table1[[#This Row],[ada ship charge]],0)</f>
        <v>0</v>
      </c>
    </row>
    <row r="2543" spans="1:9" x14ac:dyDescent="0.2">
      <c r="A2543">
        <v>1033938</v>
      </c>
      <c r="B2543" t="s">
        <v>21</v>
      </c>
      <c r="C2543">
        <v>9.6999999999999993</v>
      </c>
      <c r="D2543">
        <v>12.86</v>
      </c>
      <c r="E2543">
        <v>166.55</v>
      </c>
      <c r="F2543" t="s">
        <v>6</v>
      </c>
      <c r="G25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43">
        <f>IF(Table1[[#This Row],[is_ups_overcharge]]="ups overcharged",Table1[[#This Row],[ups ship charge]]-Table1[[#This Row],[ada ship charge]],0)</f>
        <v>0</v>
      </c>
    </row>
    <row r="2544" spans="1:9" x14ac:dyDescent="0.2">
      <c r="A2544">
        <v>1033948</v>
      </c>
      <c r="B2544" t="s">
        <v>21</v>
      </c>
      <c r="C2544">
        <v>16.46</v>
      </c>
      <c r="D2544">
        <v>16.510000000000002</v>
      </c>
      <c r="E2544">
        <v>19.95</v>
      </c>
      <c r="F2544" t="s">
        <v>10</v>
      </c>
      <c r="G25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44">
        <f>IF(Table1[[#This Row],[is_ups_overcharge]]="ups overcharged",Table1[[#This Row],[ups ship charge]]-Table1[[#This Row],[ada ship charge]],0)</f>
        <v>0</v>
      </c>
    </row>
    <row r="2545" spans="1:9" x14ac:dyDescent="0.2">
      <c r="A2545">
        <v>1033957</v>
      </c>
      <c r="B2545" t="s">
        <v>21</v>
      </c>
      <c r="C2545">
        <v>13.6</v>
      </c>
      <c r="D2545">
        <v>13.65</v>
      </c>
      <c r="E2545">
        <v>89.2</v>
      </c>
      <c r="F2545" t="s">
        <v>16</v>
      </c>
      <c r="G25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45">
        <f>IF(Table1[[#This Row],[is_ups_overcharge]]="ups overcharged",Table1[[#This Row],[ups ship charge]]-Table1[[#This Row],[ada ship charge]],0)</f>
        <v>0</v>
      </c>
    </row>
    <row r="2546" spans="1:9" x14ac:dyDescent="0.2">
      <c r="A2546">
        <v>1033960</v>
      </c>
      <c r="B2546" t="s">
        <v>21</v>
      </c>
      <c r="C2546">
        <v>13.7</v>
      </c>
      <c r="D2546">
        <v>13.75</v>
      </c>
      <c r="E2546">
        <v>70.75</v>
      </c>
      <c r="F2546" t="s">
        <v>9</v>
      </c>
      <c r="G25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46">
        <f>IF(Table1[[#This Row],[is_ups_overcharge]]="ups overcharged",Table1[[#This Row],[ups ship charge]]-Table1[[#This Row],[ada ship charge]],0)</f>
        <v>0</v>
      </c>
    </row>
    <row r="2547" spans="1:9" x14ac:dyDescent="0.2">
      <c r="A2547">
        <v>1033997</v>
      </c>
      <c r="B2547" t="s">
        <v>21</v>
      </c>
      <c r="C2547">
        <v>12.81</v>
      </c>
      <c r="D2547">
        <v>12.86</v>
      </c>
      <c r="E2547">
        <v>37.799999999999997</v>
      </c>
      <c r="F2547" t="s">
        <v>9</v>
      </c>
      <c r="G25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47">
        <f>IF(Table1[[#This Row],[is_ups_overcharge]]="ups overcharged",Table1[[#This Row],[ups ship charge]]-Table1[[#This Row],[ada ship charge]],0)</f>
        <v>0</v>
      </c>
    </row>
    <row r="2548" spans="1:9" x14ac:dyDescent="0.2">
      <c r="A2548">
        <v>1034024</v>
      </c>
      <c r="B2548" t="s">
        <v>21</v>
      </c>
      <c r="C2548">
        <v>17.440000000000001</v>
      </c>
      <c r="D2548">
        <v>17.489999999999998</v>
      </c>
      <c r="E2548">
        <v>24.9</v>
      </c>
      <c r="F2548" t="s">
        <v>16</v>
      </c>
      <c r="G25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48">
        <f>IF(Table1[[#This Row],[is_ups_overcharge]]="ups overcharged",Table1[[#This Row],[ups ship charge]]-Table1[[#This Row],[ada ship charge]],0)</f>
        <v>0</v>
      </c>
    </row>
    <row r="2549" spans="1:9" x14ac:dyDescent="0.2">
      <c r="A2549">
        <v>1034038</v>
      </c>
      <c r="B2549" t="s">
        <v>21</v>
      </c>
      <c r="C2549">
        <v>12.35</v>
      </c>
      <c r="D2549">
        <v>16.510000000000002</v>
      </c>
      <c r="E2549">
        <v>99.15</v>
      </c>
      <c r="F2549" t="s">
        <v>13</v>
      </c>
      <c r="G25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49">
        <f>IF(Table1[[#This Row],[is_ups_overcharge]]="ups overcharged",Table1[[#This Row],[ups ship charge]]-Table1[[#This Row],[ada ship charge]],0)</f>
        <v>0</v>
      </c>
    </row>
    <row r="2550" spans="1:9" x14ac:dyDescent="0.2">
      <c r="A2550">
        <v>1034043</v>
      </c>
      <c r="B2550" t="s">
        <v>21</v>
      </c>
      <c r="C2550">
        <v>12.81</v>
      </c>
      <c r="D2550">
        <v>12.86</v>
      </c>
      <c r="E2550">
        <v>7.85</v>
      </c>
      <c r="F2550" t="s">
        <v>9</v>
      </c>
      <c r="G25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50">
        <f>IF(Table1[[#This Row],[is_ups_overcharge]]="ups overcharged",Table1[[#This Row],[ups ship charge]]-Table1[[#This Row],[ada ship charge]],0)</f>
        <v>0</v>
      </c>
    </row>
    <row r="2551" spans="1:9" x14ac:dyDescent="0.2">
      <c r="A2551">
        <v>1034053</v>
      </c>
      <c r="B2551" t="s">
        <v>21</v>
      </c>
      <c r="C2551">
        <v>9.6999999999999993</v>
      </c>
      <c r="D2551">
        <v>9.76</v>
      </c>
      <c r="E2551">
        <v>75.8</v>
      </c>
      <c r="F2551" t="s">
        <v>6</v>
      </c>
      <c r="G25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51">
        <f>IF(Table1[[#This Row],[is_ups_overcharge]]="ups overcharged",Table1[[#This Row],[ups ship charge]]-Table1[[#This Row],[ada ship charge]],0)</f>
        <v>0</v>
      </c>
    </row>
    <row r="2552" spans="1:9" x14ac:dyDescent="0.2">
      <c r="A2552">
        <v>1034083</v>
      </c>
      <c r="B2552" t="s">
        <v>21</v>
      </c>
      <c r="C2552">
        <v>9.6999999999999993</v>
      </c>
      <c r="D2552">
        <v>9.75</v>
      </c>
      <c r="E2552">
        <v>2.5</v>
      </c>
      <c r="F2552" t="s">
        <v>6</v>
      </c>
      <c r="G25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52">
        <f>IF(Table1[[#This Row],[is_ups_overcharge]]="ups overcharged",Table1[[#This Row],[ups ship charge]]-Table1[[#This Row],[ada ship charge]],0)</f>
        <v>0</v>
      </c>
    </row>
    <row r="2553" spans="1:9" x14ac:dyDescent="0.2">
      <c r="A2553">
        <v>1034091</v>
      </c>
      <c r="B2553" t="s">
        <v>21</v>
      </c>
      <c r="C2553">
        <v>12.81</v>
      </c>
      <c r="D2553">
        <v>12.86</v>
      </c>
      <c r="E2553">
        <v>37.85</v>
      </c>
      <c r="F2553" t="s">
        <v>9</v>
      </c>
      <c r="G25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53">
        <f>IF(Table1[[#This Row],[is_ups_overcharge]]="ups overcharged",Table1[[#This Row],[ups ship charge]]-Table1[[#This Row],[ada ship charge]],0)</f>
        <v>0</v>
      </c>
    </row>
    <row r="2554" spans="1:9" x14ac:dyDescent="0.2">
      <c r="A2554">
        <v>1034094</v>
      </c>
      <c r="B2554" t="s">
        <v>21</v>
      </c>
      <c r="C2554">
        <v>9.6999999999999993</v>
      </c>
      <c r="D2554">
        <v>9.75</v>
      </c>
      <c r="E2554">
        <v>84.35</v>
      </c>
      <c r="F2554" t="s">
        <v>6</v>
      </c>
      <c r="G25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54">
        <f>IF(Table1[[#This Row],[is_ups_overcharge]]="ups overcharged",Table1[[#This Row],[ups ship charge]]-Table1[[#This Row],[ada ship charge]],0)</f>
        <v>0</v>
      </c>
    </row>
    <row r="2555" spans="1:9" x14ac:dyDescent="0.2">
      <c r="A2555">
        <v>1034105</v>
      </c>
      <c r="B2555" t="s">
        <v>21</v>
      </c>
      <c r="C2555">
        <v>12.81</v>
      </c>
      <c r="D2555">
        <v>12.86</v>
      </c>
      <c r="E2555">
        <v>17.45</v>
      </c>
      <c r="F2555" t="s">
        <v>9</v>
      </c>
      <c r="G25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55">
        <f>IF(Table1[[#This Row],[is_ups_overcharge]]="ups overcharged",Table1[[#This Row],[ups ship charge]]-Table1[[#This Row],[ada ship charge]],0)</f>
        <v>0</v>
      </c>
    </row>
    <row r="2556" spans="1:9" x14ac:dyDescent="0.2">
      <c r="A2556">
        <v>1034130</v>
      </c>
      <c r="B2556" t="s">
        <v>21</v>
      </c>
      <c r="C2556">
        <v>9.6999999999999993</v>
      </c>
      <c r="D2556">
        <v>0</v>
      </c>
      <c r="E2556">
        <v>42.4</v>
      </c>
      <c r="F2556" t="s">
        <v>6</v>
      </c>
      <c r="G25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56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556">
        <f>IF(Table1[[#This Row],[is_ups_overcharge]]="ups overcharged",Table1[[#This Row],[ups ship charge]]-Table1[[#This Row],[ada ship charge]],0)</f>
        <v>9.6999999999999993</v>
      </c>
    </row>
    <row r="2557" spans="1:9" x14ac:dyDescent="0.2">
      <c r="A2557">
        <v>1034135</v>
      </c>
      <c r="B2557" t="s">
        <v>21</v>
      </c>
      <c r="C2557">
        <v>9.6999999999999993</v>
      </c>
      <c r="D2557">
        <v>9.75</v>
      </c>
      <c r="E2557">
        <v>149.75</v>
      </c>
      <c r="F2557" t="s">
        <v>6</v>
      </c>
      <c r="G25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57">
        <f>IF(Table1[[#This Row],[is_ups_overcharge]]="ups overcharged",Table1[[#This Row],[ups ship charge]]-Table1[[#This Row],[ada ship charge]],0)</f>
        <v>0</v>
      </c>
    </row>
    <row r="2558" spans="1:9" x14ac:dyDescent="0.2">
      <c r="A2558">
        <v>1034142</v>
      </c>
      <c r="B2558" t="s">
        <v>21</v>
      </c>
      <c r="C2558">
        <v>9.6999999999999993</v>
      </c>
      <c r="D2558">
        <v>0</v>
      </c>
      <c r="E2558">
        <v>153</v>
      </c>
      <c r="F2558" t="s">
        <v>6</v>
      </c>
      <c r="G25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5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558">
        <f>IF(Table1[[#This Row],[is_ups_overcharge]]="ups overcharged",Table1[[#This Row],[ups ship charge]]-Table1[[#This Row],[ada ship charge]],0)</f>
        <v>9.6999999999999993</v>
      </c>
    </row>
    <row r="2559" spans="1:9" x14ac:dyDescent="0.2">
      <c r="A2559">
        <v>1034207</v>
      </c>
      <c r="B2559" t="s">
        <v>21</v>
      </c>
      <c r="C2559">
        <v>26.7</v>
      </c>
      <c r="D2559">
        <v>14.27</v>
      </c>
      <c r="E2559">
        <v>93.7</v>
      </c>
      <c r="F2559" t="s">
        <v>9</v>
      </c>
      <c r="G25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59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559">
        <f>IF(Table1[[#This Row],[is_ups_overcharge]]="ups overcharged",Table1[[#This Row],[ups ship charge]]-Table1[[#This Row],[ada ship charge]],0)</f>
        <v>12.43</v>
      </c>
    </row>
    <row r="2560" spans="1:9" x14ac:dyDescent="0.2">
      <c r="A2560">
        <v>1034218</v>
      </c>
      <c r="B2560" t="s">
        <v>21</v>
      </c>
      <c r="C2560">
        <v>13.7</v>
      </c>
      <c r="D2560">
        <v>13.75</v>
      </c>
      <c r="E2560">
        <v>29.75</v>
      </c>
      <c r="F2560" t="s">
        <v>9</v>
      </c>
      <c r="G25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60">
        <f>IF(Table1[[#This Row],[is_ups_overcharge]]="ups overcharged",Table1[[#This Row],[ups ship charge]]-Table1[[#This Row],[ada ship charge]],0)</f>
        <v>0</v>
      </c>
    </row>
    <row r="2561" spans="1:9" x14ac:dyDescent="0.2">
      <c r="A2561">
        <v>1034227</v>
      </c>
      <c r="B2561" t="s">
        <v>21</v>
      </c>
      <c r="C2561">
        <v>12.81</v>
      </c>
      <c r="D2561">
        <v>12.86</v>
      </c>
      <c r="E2561">
        <v>31.9</v>
      </c>
      <c r="F2561" t="s">
        <v>9</v>
      </c>
      <c r="G25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61">
        <f>IF(Table1[[#This Row],[is_ups_overcharge]]="ups overcharged",Table1[[#This Row],[ups ship charge]]-Table1[[#This Row],[ada ship charge]],0)</f>
        <v>0</v>
      </c>
    </row>
    <row r="2562" spans="1:9" x14ac:dyDescent="0.2">
      <c r="A2562">
        <v>1034242</v>
      </c>
      <c r="B2562" t="s">
        <v>21</v>
      </c>
      <c r="C2562">
        <v>9.7100000000000009</v>
      </c>
      <c r="D2562">
        <v>9.76</v>
      </c>
      <c r="E2562">
        <v>32.450000000000003</v>
      </c>
      <c r="F2562" t="s">
        <v>6</v>
      </c>
      <c r="G25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62">
        <f>IF(Table1[[#This Row],[is_ups_overcharge]]="ups overcharged",Table1[[#This Row],[ups ship charge]]-Table1[[#This Row],[ada ship charge]],0)</f>
        <v>0</v>
      </c>
    </row>
    <row r="2563" spans="1:9" x14ac:dyDescent="0.2">
      <c r="A2563">
        <v>1034249</v>
      </c>
      <c r="B2563" t="s">
        <v>21</v>
      </c>
      <c r="C2563">
        <v>14.04</v>
      </c>
      <c r="D2563">
        <v>14.86</v>
      </c>
      <c r="E2563">
        <v>150.44999999999999</v>
      </c>
      <c r="F2563" t="s">
        <v>16</v>
      </c>
      <c r="G25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63">
        <f>IF(Table1[[#This Row],[is_ups_overcharge]]="ups overcharged",Table1[[#This Row],[ups ship charge]]-Table1[[#This Row],[ada ship charge]],0)</f>
        <v>0</v>
      </c>
    </row>
    <row r="2564" spans="1:9" x14ac:dyDescent="0.2">
      <c r="A2564">
        <v>1034250</v>
      </c>
      <c r="B2564" t="s">
        <v>21</v>
      </c>
      <c r="C2564">
        <v>19.22</v>
      </c>
      <c r="D2564">
        <v>20.51</v>
      </c>
      <c r="E2564">
        <v>14.9</v>
      </c>
      <c r="F2564" t="s">
        <v>16</v>
      </c>
      <c r="G25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64">
        <f>IF(Table1[[#This Row],[is_ups_overcharge]]="ups overcharged",Table1[[#This Row],[ups ship charge]]-Table1[[#This Row],[ada ship charge]],0)</f>
        <v>0</v>
      </c>
    </row>
    <row r="2565" spans="1:9" x14ac:dyDescent="0.2">
      <c r="A2565">
        <v>1034253</v>
      </c>
      <c r="B2565" t="s">
        <v>21</v>
      </c>
      <c r="C2565">
        <v>9.6999999999999993</v>
      </c>
      <c r="D2565">
        <v>9.75</v>
      </c>
      <c r="E2565">
        <v>44.9</v>
      </c>
      <c r="F2565" t="s">
        <v>6</v>
      </c>
      <c r="G25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65">
        <f>IF(Table1[[#This Row],[is_ups_overcharge]]="ups overcharged",Table1[[#This Row],[ups ship charge]]-Table1[[#This Row],[ada ship charge]],0)</f>
        <v>0</v>
      </c>
    </row>
    <row r="2566" spans="1:9" x14ac:dyDescent="0.2">
      <c r="A2566">
        <v>1034318</v>
      </c>
      <c r="B2566" t="s">
        <v>21</v>
      </c>
      <c r="C2566">
        <v>13.7</v>
      </c>
      <c r="D2566">
        <v>13.75</v>
      </c>
      <c r="E2566">
        <v>39.950000000000003</v>
      </c>
      <c r="F2566" t="s">
        <v>9</v>
      </c>
      <c r="G25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66">
        <f>IF(Table1[[#This Row],[is_ups_overcharge]]="ups overcharged",Table1[[#This Row],[ups ship charge]]-Table1[[#This Row],[ada ship charge]],0)</f>
        <v>0</v>
      </c>
    </row>
    <row r="2567" spans="1:9" x14ac:dyDescent="0.2">
      <c r="A2567">
        <v>1034322</v>
      </c>
      <c r="B2567" t="s">
        <v>21</v>
      </c>
      <c r="C2567">
        <v>13.7</v>
      </c>
      <c r="D2567">
        <v>13.75</v>
      </c>
      <c r="E2567">
        <v>39.950000000000003</v>
      </c>
      <c r="F2567" t="s">
        <v>9</v>
      </c>
      <c r="G25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67">
        <f>IF(Table1[[#This Row],[is_ups_overcharge]]="ups overcharged",Table1[[#This Row],[ups ship charge]]-Table1[[#This Row],[ada ship charge]],0)</f>
        <v>0</v>
      </c>
    </row>
    <row r="2568" spans="1:9" x14ac:dyDescent="0.2">
      <c r="A2568">
        <v>1034338</v>
      </c>
      <c r="B2568" t="s">
        <v>21</v>
      </c>
      <c r="C2568">
        <v>13.7</v>
      </c>
      <c r="D2568">
        <v>13.75</v>
      </c>
      <c r="E2568">
        <v>65.400000000000006</v>
      </c>
      <c r="F2568" t="s">
        <v>9</v>
      </c>
      <c r="G25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68">
        <f>IF(Table1[[#This Row],[is_ups_overcharge]]="ups overcharged",Table1[[#This Row],[ups ship charge]]-Table1[[#This Row],[ada ship charge]],0)</f>
        <v>0</v>
      </c>
    </row>
    <row r="2569" spans="1:9" x14ac:dyDescent="0.2">
      <c r="A2569">
        <v>1034404</v>
      </c>
      <c r="B2569" t="s">
        <v>21</v>
      </c>
      <c r="C2569">
        <v>18.149999999999999</v>
      </c>
      <c r="D2569">
        <v>18.2</v>
      </c>
      <c r="E2569">
        <v>39.950000000000003</v>
      </c>
      <c r="F2569" t="s">
        <v>15</v>
      </c>
      <c r="G25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69">
        <f>IF(Table1[[#This Row],[is_ups_overcharge]]="ups overcharged",Table1[[#This Row],[ups ship charge]]-Table1[[#This Row],[ada ship charge]],0)</f>
        <v>0</v>
      </c>
    </row>
    <row r="2570" spans="1:9" x14ac:dyDescent="0.2">
      <c r="A2570">
        <v>1034412</v>
      </c>
      <c r="B2570" t="s">
        <v>21</v>
      </c>
      <c r="C2570">
        <v>12.81</v>
      </c>
      <c r="D2570">
        <v>12.86</v>
      </c>
      <c r="E2570">
        <v>39.950000000000003</v>
      </c>
      <c r="F2570" t="s">
        <v>9</v>
      </c>
      <c r="G25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70">
        <f>IF(Table1[[#This Row],[is_ups_overcharge]]="ups overcharged",Table1[[#This Row],[ups ship charge]]-Table1[[#This Row],[ada ship charge]],0)</f>
        <v>0</v>
      </c>
    </row>
    <row r="2571" spans="1:9" x14ac:dyDescent="0.2">
      <c r="A2571">
        <v>1034438</v>
      </c>
      <c r="B2571" t="s">
        <v>21</v>
      </c>
      <c r="C2571">
        <v>12.35</v>
      </c>
      <c r="D2571">
        <v>12.4</v>
      </c>
      <c r="E2571">
        <v>45.95</v>
      </c>
      <c r="F2571" t="s">
        <v>13</v>
      </c>
      <c r="G25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71">
        <f>IF(Table1[[#This Row],[is_ups_overcharge]]="ups overcharged",Table1[[#This Row],[ups ship charge]]-Table1[[#This Row],[ada ship charge]],0)</f>
        <v>0</v>
      </c>
    </row>
    <row r="2572" spans="1:9" x14ac:dyDescent="0.2">
      <c r="A2572">
        <v>1034443</v>
      </c>
      <c r="B2572" t="s">
        <v>21</v>
      </c>
      <c r="C2572">
        <v>17.7</v>
      </c>
      <c r="D2572">
        <v>17.75</v>
      </c>
      <c r="E2572">
        <v>73.55</v>
      </c>
      <c r="F2572" t="s">
        <v>15</v>
      </c>
      <c r="G25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72">
        <f>IF(Table1[[#This Row],[is_ups_overcharge]]="ups overcharged",Table1[[#This Row],[ups ship charge]]-Table1[[#This Row],[ada ship charge]],0)</f>
        <v>0</v>
      </c>
    </row>
    <row r="2573" spans="1:9" x14ac:dyDescent="0.2">
      <c r="A2573">
        <v>1034447</v>
      </c>
      <c r="B2573" t="s">
        <v>21</v>
      </c>
      <c r="C2573">
        <v>13.7</v>
      </c>
      <c r="D2573">
        <v>13.75</v>
      </c>
      <c r="E2573">
        <v>55.9</v>
      </c>
      <c r="F2573" t="s">
        <v>9</v>
      </c>
      <c r="G25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73">
        <f>IF(Table1[[#This Row],[is_ups_overcharge]]="ups overcharged",Table1[[#This Row],[ups ship charge]]-Table1[[#This Row],[ada ship charge]],0)</f>
        <v>0</v>
      </c>
    </row>
    <row r="2574" spans="1:9" x14ac:dyDescent="0.2">
      <c r="A2574">
        <v>1034454</v>
      </c>
      <c r="B2574" t="s">
        <v>21</v>
      </c>
      <c r="C2574">
        <v>23.33</v>
      </c>
      <c r="D2574">
        <v>24.61</v>
      </c>
      <c r="E2574">
        <v>203.55</v>
      </c>
      <c r="F2574" t="s">
        <v>15</v>
      </c>
      <c r="G25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74">
        <f>IF(Table1[[#This Row],[is_ups_overcharge]]="ups overcharged",Table1[[#This Row],[ups ship charge]]-Table1[[#This Row],[ada ship charge]],0)</f>
        <v>0</v>
      </c>
    </row>
    <row r="2575" spans="1:9" x14ac:dyDescent="0.2">
      <c r="A2575">
        <v>1034472</v>
      </c>
      <c r="B2575" t="s">
        <v>21</v>
      </c>
      <c r="C2575">
        <v>9.6999999999999993</v>
      </c>
      <c r="D2575">
        <v>13.75</v>
      </c>
      <c r="E2575">
        <v>53.85</v>
      </c>
      <c r="F2575" t="s">
        <v>6</v>
      </c>
      <c r="G25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75">
        <f>IF(Table1[[#This Row],[is_ups_overcharge]]="ups overcharged",Table1[[#This Row],[ups ship charge]]-Table1[[#This Row],[ada ship charge]],0)</f>
        <v>0</v>
      </c>
    </row>
    <row r="2576" spans="1:9" x14ac:dyDescent="0.2">
      <c r="A2576">
        <v>1034495</v>
      </c>
      <c r="B2576" t="s">
        <v>21</v>
      </c>
      <c r="C2576">
        <v>18.46</v>
      </c>
      <c r="D2576">
        <v>18.510000000000002</v>
      </c>
      <c r="E2576">
        <v>39.950000000000003</v>
      </c>
      <c r="F2576" t="s">
        <v>15</v>
      </c>
      <c r="G25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76">
        <f>IF(Table1[[#This Row],[is_ups_overcharge]]="ups overcharged",Table1[[#This Row],[ups ship charge]]-Table1[[#This Row],[ada ship charge]],0)</f>
        <v>0</v>
      </c>
    </row>
    <row r="2577" spans="1:9" x14ac:dyDescent="0.2">
      <c r="A2577">
        <v>1034523</v>
      </c>
      <c r="B2577" t="s">
        <v>21</v>
      </c>
      <c r="C2577">
        <v>9.6999999999999993</v>
      </c>
      <c r="D2577">
        <v>12.86</v>
      </c>
      <c r="E2577">
        <v>29.35</v>
      </c>
      <c r="F2577" t="s">
        <v>6</v>
      </c>
      <c r="G25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77">
        <f>IF(Table1[[#This Row],[is_ups_overcharge]]="ups overcharged",Table1[[#This Row],[ups ship charge]]-Table1[[#This Row],[ada ship charge]],0)</f>
        <v>0</v>
      </c>
    </row>
    <row r="2578" spans="1:9" x14ac:dyDescent="0.2">
      <c r="A2578">
        <v>1034533</v>
      </c>
      <c r="B2578" t="s">
        <v>21</v>
      </c>
      <c r="C2578">
        <v>13.7</v>
      </c>
      <c r="D2578">
        <v>13.99</v>
      </c>
      <c r="E2578">
        <v>99.95</v>
      </c>
      <c r="F2578" t="s">
        <v>9</v>
      </c>
      <c r="G25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78">
        <f>IF(Table1[[#This Row],[is_ups_overcharge]]="ups overcharged",Table1[[#This Row],[ups ship charge]]-Table1[[#This Row],[ada ship charge]],0)</f>
        <v>0</v>
      </c>
    </row>
    <row r="2579" spans="1:9" x14ac:dyDescent="0.2">
      <c r="A2579">
        <v>1034574</v>
      </c>
      <c r="B2579" t="s">
        <v>21</v>
      </c>
      <c r="C2579">
        <v>13.7</v>
      </c>
      <c r="D2579">
        <v>13.75</v>
      </c>
      <c r="E2579">
        <v>99.85</v>
      </c>
      <c r="F2579" t="s">
        <v>9</v>
      </c>
      <c r="G25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79">
        <f>IF(Table1[[#This Row],[is_ups_overcharge]]="ups overcharged",Table1[[#This Row],[ups ship charge]]-Table1[[#This Row],[ada ship charge]],0)</f>
        <v>0</v>
      </c>
    </row>
    <row r="2580" spans="1:9" x14ac:dyDescent="0.2">
      <c r="A2580">
        <v>1034652</v>
      </c>
      <c r="B2580" t="s">
        <v>21</v>
      </c>
      <c r="C2580">
        <v>13.7</v>
      </c>
      <c r="D2580">
        <v>13.76</v>
      </c>
      <c r="E2580">
        <v>91.9</v>
      </c>
      <c r="F2580" t="s">
        <v>9</v>
      </c>
      <c r="G25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80">
        <f>IF(Table1[[#This Row],[is_ups_overcharge]]="ups overcharged",Table1[[#This Row],[ups ship charge]]-Table1[[#This Row],[ada ship charge]],0)</f>
        <v>0</v>
      </c>
    </row>
    <row r="2581" spans="1:9" x14ac:dyDescent="0.2">
      <c r="A2581">
        <v>1034678</v>
      </c>
      <c r="B2581" t="s">
        <v>21</v>
      </c>
      <c r="C2581">
        <v>13.7</v>
      </c>
      <c r="D2581">
        <v>13.75</v>
      </c>
      <c r="E2581">
        <v>64.95</v>
      </c>
      <c r="F2581" t="s">
        <v>9</v>
      </c>
      <c r="G25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81">
        <f>IF(Table1[[#This Row],[is_ups_overcharge]]="ups overcharged",Table1[[#This Row],[ups ship charge]]-Table1[[#This Row],[ada ship charge]],0)</f>
        <v>0</v>
      </c>
    </row>
    <row r="2582" spans="1:9" x14ac:dyDescent="0.2">
      <c r="A2582">
        <v>1034696</v>
      </c>
      <c r="B2582" t="s">
        <v>21</v>
      </c>
      <c r="C2582">
        <v>67.459999999999994</v>
      </c>
      <c r="D2582">
        <v>67.52</v>
      </c>
      <c r="E2582">
        <v>116.9</v>
      </c>
      <c r="F2582" t="s">
        <v>8</v>
      </c>
      <c r="G25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82">
        <f>IF(Table1[[#This Row],[is_ups_overcharge]]="ups overcharged",Table1[[#This Row],[ups ship charge]]-Table1[[#This Row],[ada ship charge]],0)</f>
        <v>0</v>
      </c>
    </row>
    <row r="2583" spans="1:9" x14ac:dyDescent="0.2">
      <c r="A2583">
        <v>1034715</v>
      </c>
      <c r="B2583" t="s">
        <v>21</v>
      </c>
      <c r="C2583">
        <v>12.81</v>
      </c>
      <c r="D2583">
        <v>12.86</v>
      </c>
      <c r="E2583">
        <v>44.95</v>
      </c>
      <c r="F2583" t="s">
        <v>9</v>
      </c>
      <c r="G25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83">
        <f>IF(Table1[[#This Row],[is_ups_overcharge]]="ups overcharged",Table1[[#This Row],[ups ship charge]]-Table1[[#This Row],[ada ship charge]],0)</f>
        <v>0</v>
      </c>
    </row>
    <row r="2584" spans="1:9" x14ac:dyDescent="0.2">
      <c r="A2584">
        <v>1034717</v>
      </c>
      <c r="B2584" t="s">
        <v>21</v>
      </c>
      <c r="C2584">
        <v>12.97</v>
      </c>
      <c r="D2584">
        <v>13.26</v>
      </c>
      <c r="E2584">
        <v>94.9</v>
      </c>
      <c r="F2584" t="s">
        <v>9</v>
      </c>
      <c r="G25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84">
        <f>IF(Table1[[#This Row],[is_ups_overcharge]]="ups overcharged",Table1[[#This Row],[ups ship charge]]-Table1[[#This Row],[ada ship charge]],0)</f>
        <v>0</v>
      </c>
    </row>
    <row r="2585" spans="1:9" x14ac:dyDescent="0.2">
      <c r="A2585">
        <v>1034720</v>
      </c>
      <c r="B2585" t="s">
        <v>21</v>
      </c>
      <c r="C2585">
        <v>13.7</v>
      </c>
      <c r="D2585">
        <v>13.75</v>
      </c>
      <c r="E2585">
        <v>49.95</v>
      </c>
      <c r="F2585" t="s">
        <v>9</v>
      </c>
      <c r="G25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85">
        <f>IF(Table1[[#This Row],[is_ups_overcharge]]="ups overcharged",Table1[[#This Row],[ups ship charge]]-Table1[[#This Row],[ada ship charge]],0)</f>
        <v>0</v>
      </c>
    </row>
    <row r="2586" spans="1:9" x14ac:dyDescent="0.2">
      <c r="A2586">
        <v>1034760</v>
      </c>
      <c r="B2586" t="s">
        <v>21</v>
      </c>
      <c r="C2586">
        <v>58.59</v>
      </c>
      <c r="D2586">
        <v>61.59</v>
      </c>
      <c r="E2586">
        <v>201.25</v>
      </c>
      <c r="F2586" t="s">
        <v>8</v>
      </c>
      <c r="G25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86">
        <f>IF(Table1[[#This Row],[is_ups_overcharge]]="ups overcharged",Table1[[#This Row],[ups ship charge]]-Table1[[#This Row],[ada ship charge]],0)</f>
        <v>0</v>
      </c>
    </row>
    <row r="2587" spans="1:9" x14ac:dyDescent="0.2">
      <c r="A2587">
        <v>1034764</v>
      </c>
      <c r="B2587" t="s">
        <v>21</v>
      </c>
      <c r="C2587">
        <v>16.46</v>
      </c>
      <c r="D2587">
        <v>16.510000000000002</v>
      </c>
      <c r="E2587">
        <v>9.4</v>
      </c>
      <c r="F2587" t="s">
        <v>10</v>
      </c>
      <c r="G25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87">
        <f>IF(Table1[[#This Row],[is_ups_overcharge]]="ups overcharged",Table1[[#This Row],[ups ship charge]]-Table1[[#This Row],[ada ship charge]],0)</f>
        <v>0</v>
      </c>
    </row>
    <row r="2588" spans="1:9" x14ac:dyDescent="0.2">
      <c r="A2588">
        <v>1034765</v>
      </c>
      <c r="B2588" t="s">
        <v>21</v>
      </c>
      <c r="C2588">
        <v>13.7</v>
      </c>
      <c r="D2588">
        <v>13.75</v>
      </c>
      <c r="E2588">
        <v>99.8</v>
      </c>
      <c r="F2588" t="s">
        <v>9</v>
      </c>
      <c r="G25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88">
        <f>IF(Table1[[#This Row],[is_ups_overcharge]]="ups overcharged",Table1[[#This Row],[ups ship charge]]-Table1[[#This Row],[ada ship charge]],0)</f>
        <v>0</v>
      </c>
    </row>
    <row r="2589" spans="1:9" x14ac:dyDescent="0.2">
      <c r="A2589">
        <v>1034777</v>
      </c>
      <c r="B2589" t="s">
        <v>21</v>
      </c>
      <c r="C2589">
        <v>12.81</v>
      </c>
      <c r="D2589">
        <v>12.86</v>
      </c>
      <c r="E2589">
        <v>34.200000000000003</v>
      </c>
      <c r="F2589" t="s">
        <v>9</v>
      </c>
      <c r="G25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89">
        <f>IF(Table1[[#This Row],[is_ups_overcharge]]="ups overcharged",Table1[[#This Row],[ups ship charge]]-Table1[[#This Row],[ada ship charge]],0)</f>
        <v>0</v>
      </c>
    </row>
    <row r="2590" spans="1:9" x14ac:dyDescent="0.2">
      <c r="A2590">
        <v>1034788</v>
      </c>
      <c r="B2590" t="s">
        <v>21</v>
      </c>
      <c r="C2590">
        <v>13.7</v>
      </c>
      <c r="D2590">
        <v>13.75</v>
      </c>
      <c r="E2590">
        <v>24.9</v>
      </c>
      <c r="F2590" t="s">
        <v>9</v>
      </c>
      <c r="G25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90">
        <f>IF(Table1[[#This Row],[is_ups_overcharge]]="ups overcharged",Table1[[#This Row],[ups ship charge]]-Table1[[#This Row],[ada ship charge]],0)</f>
        <v>0</v>
      </c>
    </row>
    <row r="2591" spans="1:9" x14ac:dyDescent="0.2">
      <c r="A2591">
        <v>1034791</v>
      </c>
      <c r="B2591" t="s">
        <v>21</v>
      </c>
      <c r="C2591">
        <v>18.149999999999999</v>
      </c>
      <c r="D2591">
        <v>18.2</v>
      </c>
      <c r="E2591">
        <v>42.6</v>
      </c>
      <c r="F2591" t="s">
        <v>15</v>
      </c>
      <c r="G25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91">
        <f>IF(Table1[[#This Row],[is_ups_overcharge]]="ups overcharged",Table1[[#This Row],[ups ship charge]]-Table1[[#This Row],[ada ship charge]],0)</f>
        <v>0</v>
      </c>
    </row>
    <row r="2592" spans="1:9" x14ac:dyDescent="0.2">
      <c r="A2592">
        <v>1034809</v>
      </c>
      <c r="B2592" t="s">
        <v>21</v>
      </c>
      <c r="C2592">
        <v>13.7</v>
      </c>
      <c r="D2592">
        <v>13.75</v>
      </c>
      <c r="E2592">
        <v>54.9</v>
      </c>
      <c r="F2592" t="s">
        <v>9</v>
      </c>
      <c r="G25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92">
        <f>IF(Table1[[#This Row],[is_ups_overcharge]]="ups overcharged",Table1[[#This Row],[ups ship charge]]-Table1[[#This Row],[ada ship charge]],0)</f>
        <v>0</v>
      </c>
    </row>
    <row r="2593" spans="1:9" x14ac:dyDescent="0.2">
      <c r="A2593">
        <v>1034814</v>
      </c>
      <c r="B2593" t="s">
        <v>21</v>
      </c>
      <c r="C2593">
        <v>9.6999999999999993</v>
      </c>
      <c r="D2593">
        <v>13.75</v>
      </c>
      <c r="E2593">
        <v>105.6</v>
      </c>
      <c r="F2593" t="s">
        <v>6</v>
      </c>
      <c r="G25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93">
        <f>IF(Table1[[#This Row],[is_ups_overcharge]]="ups overcharged",Table1[[#This Row],[ups ship charge]]-Table1[[#This Row],[ada ship charge]],0)</f>
        <v>0</v>
      </c>
    </row>
    <row r="2594" spans="1:9" x14ac:dyDescent="0.2">
      <c r="A2594">
        <v>1034826</v>
      </c>
      <c r="B2594" t="s">
        <v>21</v>
      </c>
      <c r="C2594">
        <v>13.7</v>
      </c>
      <c r="D2594">
        <v>13.75</v>
      </c>
      <c r="E2594">
        <v>66.349999999999994</v>
      </c>
      <c r="F2594" t="s">
        <v>9</v>
      </c>
      <c r="G25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94">
        <f>IF(Table1[[#This Row],[is_ups_overcharge]]="ups overcharged",Table1[[#This Row],[ups ship charge]]-Table1[[#This Row],[ada ship charge]],0)</f>
        <v>0</v>
      </c>
    </row>
    <row r="2595" spans="1:9" x14ac:dyDescent="0.2">
      <c r="A2595">
        <v>1034831</v>
      </c>
      <c r="B2595" t="s">
        <v>21</v>
      </c>
      <c r="C2595">
        <v>12.81</v>
      </c>
      <c r="D2595">
        <v>13.31</v>
      </c>
      <c r="E2595">
        <v>12.5</v>
      </c>
      <c r="F2595" t="s">
        <v>9</v>
      </c>
      <c r="G25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95">
        <f>IF(Table1[[#This Row],[is_ups_overcharge]]="ups overcharged",Table1[[#This Row],[ups ship charge]]-Table1[[#This Row],[ada ship charge]],0)</f>
        <v>0</v>
      </c>
    </row>
    <row r="2596" spans="1:9" x14ac:dyDescent="0.2">
      <c r="A2596">
        <v>1034849</v>
      </c>
      <c r="B2596" t="s">
        <v>21</v>
      </c>
      <c r="C2596">
        <v>16.77</v>
      </c>
      <c r="D2596">
        <v>16.82</v>
      </c>
      <c r="E2596">
        <v>103.75</v>
      </c>
      <c r="F2596" t="s">
        <v>10</v>
      </c>
      <c r="G25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96">
        <f>IF(Table1[[#This Row],[is_ups_overcharge]]="ups overcharged",Table1[[#This Row],[ups ship charge]]-Table1[[#This Row],[ada ship charge]],0)</f>
        <v>0</v>
      </c>
    </row>
    <row r="2597" spans="1:9" x14ac:dyDescent="0.2">
      <c r="A2597">
        <v>1034850</v>
      </c>
      <c r="B2597" t="s">
        <v>21</v>
      </c>
      <c r="C2597">
        <v>16.399999999999999</v>
      </c>
      <c r="D2597">
        <v>17.82</v>
      </c>
      <c r="E2597">
        <v>106.15</v>
      </c>
      <c r="F2597" t="s">
        <v>12</v>
      </c>
      <c r="G25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97">
        <f>IF(Table1[[#This Row],[is_ups_overcharge]]="ups overcharged",Table1[[#This Row],[ups ship charge]]-Table1[[#This Row],[ada ship charge]],0)</f>
        <v>0</v>
      </c>
    </row>
    <row r="2598" spans="1:9" x14ac:dyDescent="0.2">
      <c r="A2598">
        <v>1034870</v>
      </c>
      <c r="B2598" t="s">
        <v>21</v>
      </c>
      <c r="C2598">
        <v>26.34</v>
      </c>
      <c r="D2598">
        <v>26.39</v>
      </c>
      <c r="E2598">
        <v>54.9</v>
      </c>
      <c r="F2598" t="s">
        <v>15</v>
      </c>
      <c r="G25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98">
        <f>IF(Table1[[#This Row],[is_ups_overcharge]]="ups overcharged",Table1[[#This Row],[ups ship charge]]-Table1[[#This Row],[ada ship charge]],0)</f>
        <v>0</v>
      </c>
    </row>
    <row r="2599" spans="1:9" x14ac:dyDescent="0.2">
      <c r="A2599">
        <v>1034871</v>
      </c>
      <c r="B2599" t="s">
        <v>21</v>
      </c>
      <c r="C2599">
        <v>12.81</v>
      </c>
      <c r="D2599">
        <v>12.86</v>
      </c>
      <c r="E2599">
        <v>39.9</v>
      </c>
      <c r="F2599" t="s">
        <v>9</v>
      </c>
      <c r="G25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5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599">
        <f>IF(Table1[[#This Row],[is_ups_overcharge]]="ups overcharged",Table1[[#This Row],[ups ship charge]]-Table1[[#This Row],[ada ship charge]],0)</f>
        <v>0</v>
      </c>
    </row>
    <row r="2600" spans="1:9" x14ac:dyDescent="0.2">
      <c r="A2600">
        <v>1034874</v>
      </c>
      <c r="B2600" t="s">
        <v>21</v>
      </c>
      <c r="C2600">
        <v>12.81</v>
      </c>
      <c r="D2600">
        <v>12.86</v>
      </c>
      <c r="E2600">
        <v>45.95</v>
      </c>
      <c r="F2600" t="s">
        <v>9</v>
      </c>
      <c r="G26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00">
        <f>IF(Table1[[#This Row],[is_ups_overcharge]]="ups overcharged",Table1[[#This Row],[ups ship charge]]-Table1[[#This Row],[ada ship charge]],0)</f>
        <v>0</v>
      </c>
    </row>
    <row r="2601" spans="1:9" x14ac:dyDescent="0.2">
      <c r="A2601">
        <v>1034885</v>
      </c>
      <c r="B2601" t="s">
        <v>21</v>
      </c>
      <c r="C2601">
        <v>13.7</v>
      </c>
      <c r="D2601">
        <v>13.76</v>
      </c>
      <c r="E2601">
        <v>36.65</v>
      </c>
      <c r="F2601" t="s">
        <v>9</v>
      </c>
      <c r="G26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01">
        <f>IF(Table1[[#This Row],[is_ups_overcharge]]="ups overcharged",Table1[[#This Row],[ups ship charge]]-Table1[[#This Row],[ada ship charge]],0)</f>
        <v>0</v>
      </c>
    </row>
    <row r="2602" spans="1:9" x14ac:dyDescent="0.2">
      <c r="A2602">
        <v>1034886</v>
      </c>
      <c r="B2602" t="s">
        <v>21</v>
      </c>
      <c r="C2602">
        <v>12.81</v>
      </c>
      <c r="D2602">
        <v>12.86</v>
      </c>
      <c r="E2602">
        <v>70</v>
      </c>
      <c r="F2602" t="s">
        <v>9</v>
      </c>
      <c r="G26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02">
        <f>IF(Table1[[#This Row],[is_ups_overcharge]]="ups overcharged",Table1[[#This Row],[ups ship charge]]-Table1[[#This Row],[ada ship charge]],0)</f>
        <v>0</v>
      </c>
    </row>
    <row r="2603" spans="1:9" x14ac:dyDescent="0.2">
      <c r="A2603">
        <v>1034948</v>
      </c>
      <c r="B2603" t="s">
        <v>21</v>
      </c>
      <c r="C2603">
        <v>12.81</v>
      </c>
      <c r="D2603">
        <v>12.86</v>
      </c>
      <c r="E2603">
        <v>30</v>
      </c>
      <c r="F2603" t="s">
        <v>9</v>
      </c>
      <c r="G26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03">
        <f>IF(Table1[[#This Row],[is_ups_overcharge]]="ups overcharged",Table1[[#This Row],[ups ship charge]]-Table1[[#This Row],[ada ship charge]],0)</f>
        <v>0</v>
      </c>
    </row>
    <row r="2604" spans="1:9" x14ac:dyDescent="0.2">
      <c r="A2604">
        <v>1034957</v>
      </c>
      <c r="B2604" t="s">
        <v>21</v>
      </c>
      <c r="C2604">
        <v>71.73</v>
      </c>
      <c r="D2604">
        <v>71.78</v>
      </c>
      <c r="E2604">
        <v>6.95</v>
      </c>
      <c r="F2604" t="s">
        <v>11</v>
      </c>
      <c r="G26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04">
        <f>IF(Table1[[#This Row],[is_ups_overcharge]]="ups overcharged",Table1[[#This Row],[ups ship charge]]-Table1[[#This Row],[ada ship charge]],0)</f>
        <v>0</v>
      </c>
    </row>
    <row r="2605" spans="1:9" x14ac:dyDescent="0.2">
      <c r="A2605">
        <v>1034959</v>
      </c>
      <c r="B2605" t="s">
        <v>21</v>
      </c>
      <c r="C2605">
        <v>12.81</v>
      </c>
      <c r="D2605">
        <v>12.86</v>
      </c>
      <c r="E2605">
        <v>71.75</v>
      </c>
      <c r="F2605" t="s">
        <v>9</v>
      </c>
      <c r="G26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05">
        <f>IF(Table1[[#This Row],[is_ups_overcharge]]="ups overcharged",Table1[[#This Row],[ups ship charge]]-Table1[[#This Row],[ada ship charge]],0)</f>
        <v>0</v>
      </c>
    </row>
    <row r="2606" spans="1:9" x14ac:dyDescent="0.2">
      <c r="A2606">
        <v>1034961</v>
      </c>
      <c r="B2606" t="s">
        <v>21</v>
      </c>
      <c r="C2606">
        <v>61.55</v>
      </c>
      <c r="D2606">
        <v>61.6</v>
      </c>
      <c r="E2606">
        <v>275</v>
      </c>
      <c r="F2606" t="s">
        <v>8</v>
      </c>
      <c r="G26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06">
        <f>IF(Table1[[#This Row],[is_ups_overcharge]]="ups overcharged",Table1[[#This Row],[ups ship charge]]-Table1[[#This Row],[ada ship charge]],0)</f>
        <v>0</v>
      </c>
    </row>
    <row r="2607" spans="1:9" x14ac:dyDescent="0.2">
      <c r="A2607">
        <v>1034962</v>
      </c>
      <c r="B2607" t="s">
        <v>21</v>
      </c>
      <c r="C2607">
        <v>14.42</v>
      </c>
      <c r="D2607">
        <v>15.85</v>
      </c>
      <c r="E2607">
        <v>102.35</v>
      </c>
      <c r="F2607" t="s">
        <v>9</v>
      </c>
      <c r="G26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07">
        <f>IF(Table1[[#This Row],[is_ups_overcharge]]="ups overcharged",Table1[[#This Row],[ups ship charge]]-Table1[[#This Row],[ada ship charge]],0)</f>
        <v>0</v>
      </c>
    </row>
    <row r="2608" spans="1:9" x14ac:dyDescent="0.2">
      <c r="A2608">
        <v>1034974</v>
      </c>
      <c r="B2608" t="s">
        <v>21</v>
      </c>
      <c r="C2608">
        <v>13.7</v>
      </c>
      <c r="D2608">
        <v>13.75</v>
      </c>
      <c r="E2608">
        <v>25</v>
      </c>
      <c r="F2608" t="s">
        <v>9</v>
      </c>
      <c r="G26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08">
        <f>IF(Table1[[#This Row],[is_ups_overcharge]]="ups overcharged",Table1[[#This Row],[ups ship charge]]-Table1[[#This Row],[ada ship charge]],0)</f>
        <v>0</v>
      </c>
    </row>
    <row r="2609" spans="1:9" x14ac:dyDescent="0.2">
      <c r="A2609">
        <v>1034979</v>
      </c>
      <c r="B2609" t="s">
        <v>21</v>
      </c>
      <c r="C2609">
        <v>13.71</v>
      </c>
      <c r="D2609">
        <v>13.76</v>
      </c>
      <c r="E2609">
        <v>124.3</v>
      </c>
      <c r="F2609" t="s">
        <v>9</v>
      </c>
      <c r="G26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09">
        <f>IF(Table1[[#This Row],[is_ups_overcharge]]="ups overcharged",Table1[[#This Row],[ups ship charge]]-Table1[[#This Row],[ada ship charge]],0)</f>
        <v>0</v>
      </c>
    </row>
    <row r="2610" spans="1:9" x14ac:dyDescent="0.2">
      <c r="A2610">
        <v>1034980</v>
      </c>
      <c r="B2610" t="s">
        <v>21</v>
      </c>
      <c r="C2610">
        <v>15.13</v>
      </c>
      <c r="D2610">
        <v>15.18</v>
      </c>
      <c r="E2610">
        <v>53.9</v>
      </c>
      <c r="F2610" t="s">
        <v>12</v>
      </c>
      <c r="G26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10">
        <f>IF(Table1[[#This Row],[is_ups_overcharge]]="ups overcharged",Table1[[#This Row],[ups ship charge]]-Table1[[#This Row],[ada ship charge]],0)</f>
        <v>0</v>
      </c>
    </row>
    <row r="2611" spans="1:9" x14ac:dyDescent="0.2">
      <c r="A2611">
        <v>1034984</v>
      </c>
      <c r="B2611" t="s">
        <v>21</v>
      </c>
      <c r="C2611">
        <v>15.44</v>
      </c>
      <c r="D2611">
        <v>15.49</v>
      </c>
      <c r="E2611">
        <v>29.95</v>
      </c>
      <c r="F2611" t="s">
        <v>12</v>
      </c>
      <c r="G26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11">
        <f>IF(Table1[[#This Row],[is_ups_overcharge]]="ups overcharged",Table1[[#This Row],[ups ship charge]]-Table1[[#This Row],[ada ship charge]],0)</f>
        <v>0</v>
      </c>
    </row>
    <row r="2612" spans="1:9" x14ac:dyDescent="0.2">
      <c r="A2612">
        <v>1035035</v>
      </c>
      <c r="B2612" t="s">
        <v>21</v>
      </c>
      <c r="C2612">
        <v>9.6999999999999993</v>
      </c>
      <c r="D2612">
        <v>9.75</v>
      </c>
      <c r="E2612">
        <v>8.6</v>
      </c>
      <c r="F2612" t="s">
        <v>6</v>
      </c>
      <c r="G26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12">
        <f>IF(Table1[[#This Row],[is_ups_overcharge]]="ups overcharged",Table1[[#This Row],[ups ship charge]]-Table1[[#This Row],[ada ship charge]],0)</f>
        <v>0</v>
      </c>
    </row>
    <row r="2613" spans="1:9" x14ac:dyDescent="0.2">
      <c r="A2613">
        <v>1035061</v>
      </c>
      <c r="B2613" t="s">
        <v>21</v>
      </c>
      <c r="C2613">
        <v>12.81</v>
      </c>
      <c r="D2613">
        <v>13.88</v>
      </c>
      <c r="E2613">
        <v>51.3</v>
      </c>
      <c r="F2613" t="s">
        <v>9</v>
      </c>
      <c r="G26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13">
        <f>IF(Table1[[#This Row],[is_ups_overcharge]]="ups overcharged",Table1[[#This Row],[ups ship charge]]-Table1[[#This Row],[ada ship charge]],0)</f>
        <v>0</v>
      </c>
    </row>
    <row r="2614" spans="1:9" x14ac:dyDescent="0.2">
      <c r="A2614">
        <v>1035081</v>
      </c>
      <c r="B2614" t="s">
        <v>21</v>
      </c>
      <c r="C2614">
        <v>12.81</v>
      </c>
      <c r="D2614">
        <v>12.86</v>
      </c>
      <c r="E2614">
        <v>48.85</v>
      </c>
      <c r="F2614" t="s">
        <v>9</v>
      </c>
      <c r="G26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14">
        <f>IF(Table1[[#This Row],[is_ups_overcharge]]="ups overcharged",Table1[[#This Row],[ups ship charge]]-Table1[[#This Row],[ada ship charge]],0)</f>
        <v>0</v>
      </c>
    </row>
    <row r="2615" spans="1:9" x14ac:dyDescent="0.2">
      <c r="A2615">
        <v>1035096</v>
      </c>
      <c r="B2615" t="s">
        <v>21</v>
      </c>
      <c r="C2615">
        <v>15.44</v>
      </c>
      <c r="D2615">
        <v>15.49</v>
      </c>
      <c r="E2615">
        <v>23.4</v>
      </c>
      <c r="F2615" t="s">
        <v>12</v>
      </c>
      <c r="G26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15">
        <f>IF(Table1[[#This Row],[is_ups_overcharge]]="ups overcharged",Table1[[#This Row],[ups ship charge]]-Table1[[#This Row],[ada ship charge]],0)</f>
        <v>0</v>
      </c>
    </row>
    <row r="2616" spans="1:9" x14ac:dyDescent="0.2">
      <c r="A2616">
        <v>1035108</v>
      </c>
      <c r="B2616" t="s">
        <v>21</v>
      </c>
      <c r="C2616">
        <v>9.6999999999999993</v>
      </c>
      <c r="D2616">
        <v>12.86</v>
      </c>
      <c r="E2616">
        <v>42.6</v>
      </c>
      <c r="F2616" t="s">
        <v>6</v>
      </c>
      <c r="G26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16">
        <f>IF(Table1[[#This Row],[is_ups_overcharge]]="ups overcharged",Table1[[#This Row],[ups ship charge]]-Table1[[#This Row],[ada ship charge]],0)</f>
        <v>0</v>
      </c>
    </row>
    <row r="2617" spans="1:9" x14ac:dyDescent="0.2">
      <c r="A2617">
        <v>1035118</v>
      </c>
      <c r="B2617" t="s">
        <v>21</v>
      </c>
      <c r="C2617">
        <v>13.7</v>
      </c>
      <c r="D2617">
        <v>13.75</v>
      </c>
      <c r="E2617">
        <v>74.95</v>
      </c>
      <c r="F2617" t="s">
        <v>9</v>
      </c>
      <c r="G26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17">
        <f>IF(Table1[[#This Row],[is_ups_overcharge]]="ups overcharged",Table1[[#This Row],[ups ship charge]]-Table1[[#This Row],[ada ship charge]],0)</f>
        <v>0</v>
      </c>
    </row>
    <row r="2618" spans="1:9" x14ac:dyDescent="0.2">
      <c r="A2618">
        <v>1035126</v>
      </c>
      <c r="B2618" t="s">
        <v>21</v>
      </c>
      <c r="C2618">
        <v>12.35</v>
      </c>
      <c r="D2618">
        <v>16.82</v>
      </c>
      <c r="E2618">
        <v>69.95</v>
      </c>
      <c r="F2618" t="s">
        <v>13</v>
      </c>
      <c r="G26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18">
        <f>IF(Table1[[#This Row],[is_ups_overcharge]]="ups overcharged",Table1[[#This Row],[ups ship charge]]-Table1[[#This Row],[ada ship charge]],0)</f>
        <v>0</v>
      </c>
    </row>
    <row r="2619" spans="1:9" x14ac:dyDescent="0.2">
      <c r="A2619">
        <v>1035130</v>
      </c>
      <c r="B2619" t="s">
        <v>21</v>
      </c>
      <c r="C2619">
        <v>17.7</v>
      </c>
      <c r="D2619">
        <v>17.75</v>
      </c>
      <c r="E2619">
        <v>38.299999999999997</v>
      </c>
      <c r="F2619" t="s">
        <v>15</v>
      </c>
      <c r="G26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19">
        <f>IF(Table1[[#This Row],[is_ups_overcharge]]="ups overcharged",Table1[[#This Row],[ups ship charge]]-Table1[[#This Row],[ada ship charge]],0)</f>
        <v>0</v>
      </c>
    </row>
    <row r="2620" spans="1:9" x14ac:dyDescent="0.2">
      <c r="A2620">
        <v>1035135</v>
      </c>
      <c r="B2620" t="s">
        <v>21</v>
      </c>
      <c r="C2620">
        <v>12.81</v>
      </c>
      <c r="D2620">
        <v>12.86</v>
      </c>
      <c r="E2620">
        <v>24.95</v>
      </c>
      <c r="F2620" t="s">
        <v>9</v>
      </c>
      <c r="G26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20">
        <f>IF(Table1[[#This Row],[is_ups_overcharge]]="ups overcharged",Table1[[#This Row],[ups ship charge]]-Table1[[#This Row],[ada ship charge]],0)</f>
        <v>0</v>
      </c>
    </row>
    <row r="2621" spans="1:9" x14ac:dyDescent="0.2">
      <c r="A2621">
        <v>1035147</v>
      </c>
      <c r="B2621" t="s">
        <v>21</v>
      </c>
      <c r="C2621">
        <v>12.81</v>
      </c>
      <c r="D2621">
        <v>12.86</v>
      </c>
      <c r="E2621">
        <v>19.399999999999999</v>
      </c>
      <c r="F2621" t="s">
        <v>9</v>
      </c>
      <c r="G26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21">
        <f>IF(Table1[[#This Row],[is_ups_overcharge]]="ups overcharged",Table1[[#This Row],[ups ship charge]]-Table1[[#This Row],[ada ship charge]],0)</f>
        <v>0</v>
      </c>
    </row>
    <row r="2622" spans="1:9" x14ac:dyDescent="0.2">
      <c r="A2622">
        <v>1035158</v>
      </c>
      <c r="B2622" t="s">
        <v>21</v>
      </c>
      <c r="C2622">
        <v>9.6999999999999993</v>
      </c>
      <c r="D2622">
        <v>13.75</v>
      </c>
      <c r="E2622">
        <v>39.950000000000003</v>
      </c>
      <c r="F2622" t="s">
        <v>6</v>
      </c>
      <c r="G26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22">
        <f>IF(Table1[[#This Row],[is_ups_overcharge]]="ups overcharged",Table1[[#This Row],[ups ship charge]]-Table1[[#This Row],[ada ship charge]],0)</f>
        <v>0</v>
      </c>
    </row>
    <row r="2623" spans="1:9" x14ac:dyDescent="0.2">
      <c r="A2623">
        <v>1035176</v>
      </c>
      <c r="B2623" t="s">
        <v>21</v>
      </c>
      <c r="C2623">
        <v>13.7</v>
      </c>
      <c r="D2623">
        <v>13.75</v>
      </c>
      <c r="E2623">
        <v>39.950000000000003</v>
      </c>
      <c r="F2623" t="s">
        <v>9</v>
      </c>
      <c r="G26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23">
        <f>IF(Table1[[#This Row],[is_ups_overcharge]]="ups overcharged",Table1[[#This Row],[ups ship charge]]-Table1[[#This Row],[ada ship charge]],0)</f>
        <v>0</v>
      </c>
    </row>
    <row r="2624" spans="1:9" x14ac:dyDescent="0.2">
      <c r="A2624">
        <v>1035198</v>
      </c>
      <c r="B2624" t="s">
        <v>21</v>
      </c>
      <c r="C2624">
        <v>13.7</v>
      </c>
      <c r="D2624">
        <v>13.75</v>
      </c>
      <c r="E2624">
        <v>39.950000000000003</v>
      </c>
      <c r="F2624" t="s">
        <v>9</v>
      </c>
      <c r="G26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24">
        <f>IF(Table1[[#This Row],[is_ups_overcharge]]="ups overcharged",Table1[[#This Row],[ups ship charge]]-Table1[[#This Row],[ada ship charge]],0)</f>
        <v>0</v>
      </c>
    </row>
    <row r="2625" spans="1:9" x14ac:dyDescent="0.2">
      <c r="A2625">
        <v>1035205</v>
      </c>
      <c r="B2625" t="s">
        <v>21</v>
      </c>
      <c r="C2625">
        <v>13.7</v>
      </c>
      <c r="D2625">
        <v>13.75</v>
      </c>
      <c r="E2625">
        <v>39.950000000000003</v>
      </c>
      <c r="F2625" t="s">
        <v>9</v>
      </c>
      <c r="G26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25">
        <f>IF(Table1[[#This Row],[is_ups_overcharge]]="ups overcharged",Table1[[#This Row],[ups ship charge]]-Table1[[#This Row],[ada ship charge]],0)</f>
        <v>0</v>
      </c>
    </row>
    <row r="2626" spans="1:9" x14ac:dyDescent="0.2">
      <c r="A2626">
        <v>1035228</v>
      </c>
      <c r="B2626" t="s">
        <v>21</v>
      </c>
      <c r="C2626">
        <v>12.81</v>
      </c>
      <c r="D2626">
        <v>12.86</v>
      </c>
      <c r="E2626">
        <v>39.950000000000003</v>
      </c>
      <c r="F2626" t="s">
        <v>9</v>
      </c>
      <c r="G26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26">
        <f>IF(Table1[[#This Row],[is_ups_overcharge]]="ups overcharged",Table1[[#This Row],[ups ship charge]]-Table1[[#This Row],[ada ship charge]],0)</f>
        <v>0</v>
      </c>
    </row>
    <row r="2627" spans="1:9" x14ac:dyDescent="0.2">
      <c r="A2627">
        <v>1035235</v>
      </c>
      <c r="B2627" t="s">
        <v>21</v>
      </c>
      <c r="C2627">
        <v>12.81</v>
      </c>
      <c r="D2627">
        <v>12.86</v>
      </c>
      <c r="E2627">
        <v>39.950000000000003</v>
      </c>
      <c r="F2627" t="s">
        <v>9</v>
      </c>
      <c r="G26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27">
        <f>IF(Table1[[#This Row],[is_ups_overcharge]]="ups overcharged",Table1[[#This Row],[ups ship charge]]-Table1[[#This Row],[ada ship charge]],0)</f>
        <v>0</v>
      </c>
    </row>
    <row r="2628" spans="1:9" x14ac:dyDescent="0.2">
      <c r="A2628">
        <v>1035269</v>
      </c>
      <c r="B2628" t="s">
        <v>21</v>
      </c>
      <c r="C2628">
        <v>13.7</v>
      </c>
      <c r="D2628">
        <v>13.75</v>
      </c>
      <c r="E2628">
        <v>39.950000000000003</v>
      </c>
      <c r="F2628" t="s">
        <v>9</v>
      </c>
      <c r="G26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28">
        <f>IF(Table1[[#This Row],[is_ups_overcharge]]="ups overcharged",Table1[[#This Row],[ups ship charge]]-Table1[[#This Row],[ada ship charge]],0)</f>
        <v>0</v>
      </c>
    </row>
    <row r="2629" spans="1:9" x14ac:dyDescent="0.2">
      <c r="A2629">
        <v>1035288</v>
      </c>
      <c r="B2629" t="s">
        <v>21</v>
      </c>
      <c r="C2629">
        <v>9.6999999999999993</v>
      </c>
      <c r="D2629">
        <v>9.75</v>
      </c>
      <c r="E2629">
        <v>168.4</v>
      </c>
      <c r="F2629" t="s">
        <v>6</v>
      </c>
      <c r="G26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29">
        <f>IF(Table1[[#This Row],[is_ups_overcharge]]="ups overcharged",Table1[[#This Row],[ups ship charge]]-Table1[[#This Row],[ada ship charge]],0)</f>
        <v>0</v>
      </c>
    </row>
    <row r="2630" spans="1:9" x14ac:dyDescent="0.2">
      <c r="A2630">
        <v>1035331</v>
      </c>
      <c r="B2630" t="s">
        <v>21</v>
      </c>
      <c r="C2630">
        <v>16.87</v>
      </c>
      <c r="D2630">
        <v>16.920000000000002</v>
      </c>
      <c r="E2630">
        <v>39.950000000000003</v>
      </c>
      <c r="F2630" t="s">
        <v>10</v>
      </c>
      <c r="G26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30">
        <f>IF(Table1[[#This Row],[is_ups_overcharge]]="ups overcharged",Table1[[#This Row],[ups ship charge]]-Table1[[#This Row],[ada ship charge]],0)</f>
        <v>0</v>
      </c>
    </row>
    <row r="2631" spans="1:9" x14ac:dyDescent="0.2">
      <c r="A2631">
        <v>1035334</v>
      </c>
      <c r="B2631" t="s">
        <v>21</v>
      </c>
      <c r="C2631">
        <v>13.7</v>
      </c>
      <c r="D2631">
        <v>13.75</v>
      </c>
      <c r="E2631">
        <v>91.85</v>
      </c>
      <c r="F2631" t="s">
        <v>9</v>
      </c>
      <c r="G26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31">
        <f>IF(Table1[[#This Row],[is_ups_overcharge]]="ups overcharged",Table1[[#This Row],[ups ship charge]]-Table1[[#This Row],[ada ship charge]],0)</f>
        <v>0</v>
      </c>
    </row>
    <row r="2632" spans="1:9" x14ac:dyDescent="0.2">
      <c r="A2632">
        <v>1035350</v>
      </c>
      <c r="B2632" t="s">
        <v>21</v>
      </c>
      <c r="C2632">
        <v>9.6999999999999993</v>
      </c>
      <c r="D2632">
        <v>9.75</v>
      </c>
      <c r="E2632">
        <v>39.950000000000003</v>
      </c>
      <c r="F2632" t="s">
        <v>6</v>
      </c>
      <c r="G26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32">
        <f>IF(Table1[[#This Row],[is_ups_overcharge]]="ups overcharged",Table1[[#This Row],[ups ship charge]]-Table1[[#This Row],[ada ship charge]],0)</f>
        <v>0</v>
      </c>
    </row>
    <row r="2633" spans="1:9" x14ac:dyDescent="0.2">
      <c r="A2633">
        <v>1035353</v>
      </c>
      <c r="B2633" t="s">
        <v>21</v>
      </c>
      <c r="C2633">
        <v>12.81</v>
      </c>
      <c r="D2633">
        <v>12.86</v>
      </c>
      <c r="E2633">
        <v>39.950000000000003</v>
      </c>
      <c r="F2633" t="s">
        <v>9</v>
      </c>
      <c r="G26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33">
        <f>IF(Table1[[#This Row],[is_ups_overcharge]]="ups overcharged",Table1[[#This Row],[ups ship charge]]-Table1[[#This Row],[ada ship charge]],0)</f>
        <v>0</v>
      </c>
    </row>
    <row r="2634" spans="1:9" x14ac:dyDescent="0.2">
      <c r="A2634">
        <v>1035359</v>
      </c>
      <c r="B2634" t="s">
        <v>21</v>
      </c>
      <c r="C2634">
        <v>9.6999999999999993</v>
      </c>
      <c r="D2634">
        <v>9.75</v>
      </c>
      <c r="E2634">
        <v>49.9</v>
      </c>
      <c r="F2634" t="s">
        <v>6</v>
      </c>
      <c r="G26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34">
        <f>IF(Table1[[#This Row],[is_ups_overcharge]]="ups overcharged",Table1[[#This Row],[ups ship charge]]-Table1[[#This Row],[ada ship charge]],0)</f>
        <v>0</v>
      </c>
    </row>
    <row r="2635" spans="1:9" x14ac:dyDescent="0.2">
      <c r="A2635">
        <v>1035365</v>
      </c>
      <c r="B2635" t="s">
        <v>21</v>
      </c>
      <c r="C2635">
        <v>12.81</v>
      </c>
      <c r="D2635">
        <v>12.86</v>
      </c>
      <c r="E2635">
        <v>39.950000000000003</v>
      </c>
      <c r="F2635" t="s">
        <v>9</v>
      </c>
      <c r="G26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35">
        <f>IF(Table1[[#This Row],[is_ups_overcharge]]="ups overcharged",Table1[[#This Row],[ups ship charge]]-Table1[[#This Row],[ada ship charge]],0)</f>
        <v>0</v>
      </c>
    </row>
    <row r="2636" spans="1:9" x14ac:dyDescent="0.2">
      <c r="A2636">
        <v>1035377</v>
      </c>
      <c r="B2636" t="s">
        <v>21</v>
      </c>
      <c r="C2636">
        <v>13.7</v>
      </c>
      <c r="D2636">
        <v>13.75</v>
      </c>
      <c r="E2636">
        <v>39.950000000000003</v>
      </c>
      <c r="F2636" t="s">
        <v>9</v>
      </c>
      <c r="G26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36">
        <f>IF(Table1[[#This Row],[is_ups_overcharge]]="ups overcharged",Table1[[#This Row],[ups ship charge]]-Table1[[#This Row],[ada ship charge]],0)</f>
        <v>0</v>
      </c>
    </row>
    <row r="2637" spans="1:9" x14ac:dyDescent="0.2">
      <c r="A2637">
        <v>1035383</v>
      </c>
      <c r="B2637" t="s">
        <v>21</v>
      </c>
      <c r="C2637">
        <v>9.6999999999999993</v>
      </c>
      <c r="D2637">
        <v>9.75</v>
      </c>
      <c r="E2637">
        <v>39.950000000000003</v>
      </c>
      <c r="F2637" t="s">
        <v>6</v>
      </c>
      <c r="G26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37">
        <f>IF(Table1[[#This Row],[is_ups_overcharge]]="ups overcharged",Table1[[#This Row],[ups ship charge]]-Table1[[#This Row],[ada ship charge]],0)</f>
        <v>0</v>
      </c>
    </row>
    <row r="2638" spans="1:9" x14ac:dyDescent="0.2">
      <c r="A2638">
        <v>1035393</v>
      </c>
      <c r="B2638" t="s">
        <v>21</v>
      </c>
      <c r="C2638">
        <v>9.6999999999999993</v>
      </c>
      <c r="D2638">
        <v>13.76</v>
      </c>
      <c r="E2638">
        <v>39.950000000000003</v>
      </c>
      <c r="F2638" t="s">
        <v>6</v>
      </c>
      <c r="G26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38">
        <f>IF(Table1[[#This Row],[is_ups_overcharge]]="ups overcharged",Table1[[#This Row],[ups ship charge]]-Table1[[#This Row],[ada ship charge]],0)</f>
        <v>0</v>
      </c>
    </row>
    <row r="2639" spans="1:9" x14ac:dyDescent="0.2">
      <c r="A2639">
        <v>1035397</v>
      </c>
      <c r="B2639" t="s">
        <v>21</v>
      </c>
      <c r="C2639">
        <v>12.81</v>
      </c>
      <c r="D2639">
        <v>12.86</v>
      </c>
      <c r="E2639">
        <v>38.85</v>
      </c>
      <c r="F2639" t="s">
        <v>9</v>
      </c>
      <c r="G26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39">
        <f>IF(Table1[[#This Row],[is_ups_overcharge]]="ups overcharged",Table1[[#This Row],[ups ship charge]]-Table1[[#This Row],[ada ship charge]],0)</f>
        <v>0</v>
      </c>
    </row>
    <row r="2640" spans="1:9" x14ac:dyDescent="0.2">
      <c r="A2640">
        <v>1035411</v>
      </c>
      <c r="B2640" t="s">
        <v>21</v>
      </c>
      <c r="C2640">
        <v>15.44</v>
      </c>
      <c r="D2640">
        <v>15.49</v>
      </c>
      <c r="E2640">
        <v>90.2</v>
      </c>
      <c r="F2640" t="s">
        <v>12</v>
      </c>
      <c r="G26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40">
        <f>IF(Table1[[#This Row],[is_ups_overcharge]]="ups overcharged",Table1[[#This Row],[ups ship charge]]-Table1[[#This Row],[ada ship charge]],0)</f>
        <v>0</v>
      </c>
    </row>
    <row r="2641" spans="1:9" x14ac:dyDescent="0.2">
      <c r="A2641">
        <v>1035416</v>
      </c>
      <c r="B2641" t="s">
        <v>21</v>
      </c>
      <c r="C2641">
        <v>16.559999999999999</v>
      </c>
      <c r="D2641">
        <v>16.61</v>
      </c>
      <c r="E2641">
        <v>39.950000000000003</v>
      </c>
      <c r="F2641" t="s">
        <v>10</v>
      </c>
      <c r="G26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41">
        <f>IF(Table1[[#This Row],[is_ups_overcharge]]="ups overcharged",Table1[[#This Row],[ups ship charge]]-Table1[[#This Row],[ada ship charge]],0)</f>
        <v>0</v>
      </c>
    </row>
    <row r="2642" spans="1:9" x14ac:dyDescent="0.2">
      <c r="A2642">
        <v>1035417</v>
      </c>
      <c r="B2642" t="s">
        <v>21</v>
      </c>
      <c r="C2642">
        <v>13.7</v>
      </c>
      <c r="D2642">
        <v>13.75</v>
      </c>
      <c r="E2642">
        <v>39.950000000000003</v>
      </c>
      <c r="F2642" t="s">
        <v>9</v>
      </c>
      <c r="G26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42">
        <f>IF(Table1[[#This Row],[is_ups_overcharge]]="ups overcharged",Table1[[#This Row],[ups ship charge]]-Table1[[#This Row],[ada ship charge]],0)</f>
        <v>0</v>
      </c>
    </row>
    <row r="2643" spans="1:9" x14ac:dyDescent="0.2">
      <c r="A2643">
        <v>1035437</v>
      </c>
      <c r="B2643" t="s">
        <v>21</v>
      </c>
      <c r="C2643">
        <v>12.81</v>
      </c>
      <c r="D2643">
        <v>12.86</v>
      </c>
      <c r="E2643">
        <v>39.950000000000003</v>
      </c>
      <c r="F2643" t="s">
        <v>9</v>
      </c>
      <c r="G26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43">
        <f>IF(Table1[[#This Row],[is_ups_overcharge]]="ups overcharged",Table1[[#This Row],[ups ship charge]]-Table1[[#This Row],[ada ship charge]],0)</f>
        <v>0</v>
      </c>
    </row>
    <row r="2644" spans="1:9" x14ac:dyDescent="0.2">
      <c r="A2644">
        <v>1035469</v>
      </c>
      <c r="B2644" t="s">
        <v>21</v>
      </c>
      <c r="C2644">
        <v>27.25</v>
      </c>
      <c r="D2644">
        <v>28.55</v>
      </c>
      <c r="E2644">
        <v>223.35</v>
      </c>
      <c r="F2644" t="s">
        <v>12</v>
      </c>
      <c r="G26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44">
        <f>IF(Table1[[#This Row],[is_ups_overcharge]]="ups overcharged",Table1[[#This Row],[ups ship charge]]-Table1[[#This Row],[ada ship charge]],0)</f>
        <v>0</v>
      </c>
    </row>
    <row r="2645" spans="1:9" x14ac:dyDescent="0.2">
      <c r="A2645">
        <v>1035493</v>
      </c>
      <c r="B2645" t="s">
        <v>21</v>
      </c>
      <c r="C2645">
        <v>12.81</v>
      </c>
      <c r="D2645">
        <v>12.86</v>
      </c>
      <c r="E2645">
        <v>14.75</v>
      </c>
      <c r="F2645" t="s">
        <v>9</v>
      </c>
      <c r="G26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45">
        <f>IF(Table1[[#This Row],[is_ups_overcharge]]="ups overcharged",Table1[[#This Row],[ups ship charge]]-Table1[[#This Row],[ada ship charge]],0)</f>
        <v>0</v>
      </c>
    </row>
    <row r="2646" spans="1:9" x14ac:dyDescent="0.2">
      <c r="A2646">
        <v>1035499</v>
      </c>
      <c r="B2646" t="s">
        <v>21</v>
      </c>
      <c r="C2646">
        <v>9.6999999999999993</v>
      </c>
      <c r="D2646">
        <v>9.75</v>
      </c>
      <c r="E2646">
        <v>195.75</v>
      </c>
      <c r="F2646" t="s">
        <v>6</v>
      </c>
      <c r="G26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46">
        <f>IF(Table1[[#This Row],[is_ups_overcharge]]="ups overcharged",Table1[[#This Row],[ups ship charge]]-Table1[[#This Row],[ada ship charge]],0)</f>
        <v>0</v>
      </c>
    </row>
    <row r="2647" spans="1:9" x14ac:dyDescent="0.2">
      <c r="A2647">
        <v>1035506</v>
      </c>
      <c r="B2647" t="s">
        <v>21</v>
      </c>
      <c r="C2647">
        <v>9.6999999999999993</v>
      </c>
      <c r="D2647">
        <v>9.75</v>
      </c>
      <c r="E2647">
        <v>24.75</v>
      </c>
      <c r="F2647" t="s">
        <v>6</v>
      </c>
      <c r="G26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47">
        <f>IF(Table1[[#This Row],[is_ups_overcharge]]="ups overcharged",Table1[[#This Row],[ups ship charge]]-Table1[[#This Row],[ada ship charge]],0)</f>
        <v>0</v>
      </c>
    </row>
    <row r="2648" spans="1:9" x14ac:dyDescent="0.2">
      <c r="A2648">
        <v>1035515</v>
      </c>
      <c r="B2648" t="s">
        <v>21</v>
      </c>
      <c r="C2648">
        <v>9.6999999999999993</v>
      </c>
      <c r="D2648">
        <v>9.75</v>
      </c>
      <c r="E2648">
        <v>123.1</v>
      </c>
      <c r="F2648" t="s">
        <v>6</v>
      </c>
      <c r="G26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48">
        <f>IF(Table1[[#This Row],[is_ups_overcharge]]="ups overcharged",Table1[[#This Row],[ups ship charge]]-Table1[[#This Row],[ada ship charge]],0)</f>
        <v>0</v>
      </c>
    </row>
    <row r="2649" spans="1:9" x14ac:dyDescent="0.2">
      <c r="A2649">
        <v>1035518</v>
      </c>
      <c r="B2649" t="s">
        <v>21</v>
      </c>
      <c r="C2649">
        <v>9.6999999999999993</v>
      </c>
      <c r="D2649">
        <v>9.75</v>
      </c>
      <c r="E2649">
        <v>77.7</v>
      </c>
      <c r="F2649" t="s">
        <v>6</v>
      </c>
      <c r="G26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49">
        <f>IF(Table1[[#This Row],[is_ups_overcharge]]="ups overcharged",Table1[[#This Row],[ups ship charge]]-Table1[[#This Row],[ada ship charge]],0)</f>
        <v>0</v>
      </c>
    </row>
    <row r="2650" spans="1:9" x14ac:dyDescent="0.2">
      <c r="A2650">
        <v>1035552</v>
      </c>
      <c r="B2650" t="s">
        <v>21</v>
      </c>
      <c r="C2650">
        <v>12.35</v>
      </c>
      <c r="D2650">
        <v>12.4</v>
      </c>
      <c r="E2650">
        <v>24.95</v>
      </c>
      <c r="F2650" t="s">
        <v>13</v>
      </c>
      <c r="G26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50">
        <f>IF(Table1[[#This Row],[is_ups_overcharge]]="ups overcharged",Table1[[#This Row],[ups ship charge]]-Table1[[#This Row],[ada ship charge]],0)</f>
        <v>0</v>
      </c>
    </row>
    <row r="2651" spans="1:9" x14ac:dyDescent="0.2">
      <c r="A2651">
        <v>1035553</v>
      </c>
      <c r="B2651" t="s">
        <v>21</v>
      </c>
      <c r="C2651">
        <v>9.6999999999999993</v>
      </c>
      <c r="D2651">
        <v>9.75</v>
      </c>
      <c r="E2651">
        <v>44.95</v>
      </c>
      <c r="F2651" t="s">
        <v>6</v>
      </c>
      <c r="G26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51">
        <f>IF(Table1[[#This Row],[is_ups_overcharge]]="ups overcharged",Table1[[#This Row],[ups ship charge]]-Table1[[#This Row],[ada ship charge]],0)</f>
        <v>0</v>
      </c>
    </row>
    <row r="2652" spans="1:9" x14ac:dyDescent="0.2">
      <c r="A2652">
        <v>1035555</v>
      </c>
      <c r="B2652" t="s">
        <v>21</v>
      </c>
      <c r="C2652">
        <v>36.590000000000003</v>
      </c>
      <c r="D2652">
        <v>54.85</v>
      </c>
      <c r="E2652">
        <v>495.95</v>
      </c>
      <c r="F2652" t="s">
        <v>15</v>
      </c>
      <c r="G26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52">
        <f>IF(Table1[[#This Row],[is_ups_overcharge]]="ups overcharged",Table1[[#This Row],[ups ship charge]]-Table1[[#This Row],[ada ship charge]],0)</f>
        <v>0</v>
      </c>
    </row>
    <row r="2653" spans="1:9" x14ac:dyDescent="0.2">
      <c r="A2653">
        <v>1035556</v>
      </c>
      <c r="B2653" t="s">
        <v>21</v>
      </c>
      <c r="C2653">
        <v>58.68</v>
      </c>
      <c r="D2653">
        <v>75.790000000000006</v>
      </c>
      <c r="E2653">
        <v>360</v>
      </c>
      <c r="F2653" t="s">
        <v>8</v>
      </c>
      <c r="G26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53">
        <f>IF(Table1[[#This Row],[is_ups_overcharge]]="ups overcharged",Table1[[#This Row],[ups ship charge]]-Table1[[#This Row],[ada ship charge]],0)</f>
        <v>0</v>
      </c>
    </row>
    <row r="2654" spans="1:9" x14ac:dyDescent="0.2">
      <c r="A2654">
        <v>1035576</v>
      </c>
      <c r="B2654" t="s">
        <v>21</v>
      </c>
      <c r="C2654">
        <v>12.81</v>
      </c>
      <c r="D2654">
        <v>13.31</v>
      </c>
      <c r="E2654">
        <v>85</v>
      </c>
      <c r="F2654" t="s">
        <v>9</v>
      </c>
      <c r="G26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54">
        <f>IF(Table1[[#This Row],[is_ups_overcharge]]="ups overcharged",Table1[[#This Row],[ups ship charge]]-Table1[[#This Row],[ada ship charge]],0)</f>
        <v>0</v>
      </c>
    </row>
    <row r="2655" spans="1:9" x14ac:dyDescent="0.2">
      <c r="A2655">
        <v>1035579</v>
      </c>
      <c r="B2655" t="s">
        <v>21</v>
      </c>
      <c r="C2655">
        <v>13.7</v>
      </c>
      <c r="D2655">
        <v>13.76</v>
      </c>
      <c r="E2655">
        <v>16.399999999999999</v>
      </c>
      <c r="F2655" t="s">
        <v>9</v>
      </c>
      <c r="G26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55">
        <f>IF(Table1[[#This Row],[is_ups_overcharge]]="ups overcharged",Table1[[#This Row],[ups ship charge]]-Table1[[#This Row],[ada ship charge]],0)</f>
        <v>0</v>
      </c>
    </row>
    <row r="2656" spans="1:9" x14ac:dyDescent="0.2">
      <c r="A2656">
        <v>1035590</v>
      </c>
      <c r="B2656" t="s">
        <v>21</v>
      </c>
      <c r="C2656">
        <v>12.81</v>
      </c>
      <c r="D2656">
        <v>12.86</v>
      </c>
      <c r="E2656">
        <v>144.85</v>
      </c>
      <c r="F2656" t="s">
        <v>9</v>
      </c>
      <c r="G26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56">
        <f>IF(Table1[[#This Row],[is_ups_overcharge]]="ups overcharged",Table1[[#This Row],[ups ship charge]]-Table1[[#This Row],[ada ship charge]],0)</f>
        <v>0</v>
      </c>
    </row>
    <row r="2657" spans="1:9" x14ac:dyDescent="0.2">
      <c r="A2657">
        <v>1035593</v>
      </c>
      <c r="B2657" t="s">
        <v>21</v>
      </c>
      <c r="C2657">
        <v>12.81</v>
      </c>
      <c r="D2657">
        <v>12.86</v>
      </c>
      <c r="E2657">
        <v>30.8</v>
      </c>
      <c r="F2657" t="s">
        <v>9</v>
      </c>
      <c r="G26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57">
        <f>IF(Table1[[#This Row],[is_ups_overcharge]]="ups overcharged",Table1[[#This Row],[ups ship charge]]-Table1[[#This Row],[ada ship charge]],0)</f>
        <v>0</v>
      </c>
    </row>
    <row r="2658" spans="1:9" x14ac:dyDescent="0.2">
      <c r="A2658">
        <v>1035608</v>
      </c>
      <c r="B2658" t="s">
        <v>21</v>
      </c>
      <c r="C2658">
        <v>9.6999999999999993</v>
      </c>
      <c r="D2658">
        <v>9.75</v>
      </c>
      <c r="E2658">
        <v>149.5</v>
      </c>
      <c r="F2658" t="s">
        <v>6</v>
      </c>
      <c r="G26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58">
        <f>IF(Table1[[#This Row],[is_ups_overcharge]]="ups overcharged",Table1[[#This Row],[ups ship charge]]-Table1[[#This Row],[ada ship charge]],0)</f>
        <v>0</v>
      </c>
    </row>
    <row r="2659" spans="1:9" x14ac:dyDescent="0.2">
      <c r="A2659">
        <v>1035629</v>
      </c>
      <c r="B2659" t="s">
        <v>21</v>
      </c>
      <c r="C2659">
        <v>9.6999999999999993</v>
      </c>
      <c r="D2659">
        <v>9.76</v>
      </c>
      <c r="E2659">
        <v>15.9</v>
      </c>
      <c r="F2659" t="s">
        <v>6</v>
      </c>
      <c r="G26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59">
        <f>IF(Table1[[#This Row],[is_ups_overcharge]]="ups overcharged",Table1[[#This Row],[ups ship charge]]-Table1[[#This Row],[ada ship charge]],0)</f>
        <v>0</v>
      </c>
    </row>
    <row r="2660" spans="1:9" x14ac:dyDescent="0.2">
      <c r="A2660">
        <v>1035644</v>
      </c>
      <c r="B2660" t="s">
        <v>21</v>
      </c>
      <c r="C2660">
        <v>9.6999999999999993</v>
      </c>
      <c r="D2660">
        <v>13.75</v>
      </c>
      <c r="E2660">
        <v>9.9499999999999993</v>
      </c>
      <c r="F2660" t="s">
        <v>6</v>
      </c>
      <c r="G26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60">
        <f>IF(Table1[[#This Row],[is_ups_overcharge]]="ups overcharged",Table1[[#This Row],[ups ship charge]]-Table1[[#This Row],[ada ship charge]],0)</f>
        <v>0</v>
      </c>
    </row>
    <row r="2661" spans="1:9" x14ac:dyDescent="0.2">
      <c r="A2661">
        <v>1035662</v>
      </c>
      <c r="B2661" t="s">
        <v>21</v>
      </c>
      <c r="C2661">
        <v>18.920000000000002</v>
      </c>
      <c r="D2661">
        <v>18.97</v>
      </c>
      <c r="E2661">
        <v>14.95</v>
      </c>
      <c r="F2661" t="s">
        <v>15</v>
      </c>
      <c r="G26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61">
        <f>IF(Table1[[#This Row],[is_ups_overcharge]]="ups overcharged",Table1[[#This Row],[ups ship charge]]-Table1[[#This Row],[ada ship charge]],0)</f>
        <v>0</v>
      </c>
    </row>
    <row r="2662" spans="1:9" x14ac:dyDescent="0.2">
      <c r="A2662">
        <v>1035699</v>
      </c>
      <c r="B2662" t="s">
        <v>21</v>
      </c>
      <c r="C2662">
        <v>13.7</v>
      </c>
      <c r="D2662">
        <v>13.75</v>
      </c>
      <c r="E2662">
        <v>32.799999999999997</v>
      </c>
      <c r="F2662" t="s">
        <v>9</v>
      </c>
      <c r="G26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62">
        <f>IF(Table1[[#This Row],[is_ups_overcharge]]="ups overcharged",Table1[[#This Row],[ups ship charge]]-Table1[[#This Row],[ada ship charge]],0)</f>
        <v>0</v>
      </c>
    </row>
    <row r="2663" spans="1:9" x14ac:dyDescent="0.2">
      <c r="A2663">
        <v>1035706</v>
      </c>
      <c r="B2663" t="s">
        <v>21</v>
      </c>
      <c r="C2663">
        <v>13.7</v>
      </c>
      <c r="D2663">
        <v>13.75</v>
      </c>
      <c r="E2663">
        <v>54.95</v>
      </c>
      <c r="F2663" t="s">
        <v>9</v>
      </c>
      <c r="G26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63">
        <f>IF(Table1[[#This Row],[is_ups_overcharge]]="ups overcharged",Table1[[#This Row],[ups ship charge]]-Table1[[#This Row],[ada ship charge]],0)</f>
        <v>0</v>
      </c>
    </row>
    <row r="2664" spans="1:9" x14ac:dyDescent="0.2">
      <c r="A2664">
        <v>1035717</v>
      </c>
      <c r="B2664" t="s">
        <v>21</v>
      </c>
      <c r="C2664">
        <v>16.46</v>
      </c>
      <c r="D2664">
        <v>16.510000000000002</v>
      </c>
      <c r="E2664">
        <v>9.9</v>
      </c>
      <c r="F2664" t="s">
        <v>10</v>
      </c>
      <c r="G26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64">
        <f>IF(Table1[[#This Row],[is_ups_overcharge]]="ups overcharged",Table1[[#This Row],[ups ship charge]]-Table1[[#This Row],[ada ship charge]],0)</f>
        <v>0</v>
      </c>
    </row>
    <row r="2665" spans="1:9" x14ac:dyDescent="0.2">
      <c r="A2665">
        <v>1035733</v>
      </c>
      <c r="B2665" t="s">
        <v>21</v>
      </c>
      <c r="C2665">
        <v>9.6999999999999993</v>
      </c>
      <c r="D2665">
        <v>13.75</v>
      </c>
      <c r="E2665">
        <v>69.900000000000006</v>
      </c>
      <c r="F2665" t="s">
        <v>6</v>
      </c>
      <c r="G26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65">
        <f>IF(Table1[[#This Row],[is_ups_overcharge]]="ups overcharged",Table1[[#This Row],[ups ship charge]]-Table1[[#This Row],[ada ship charge]],0)</f>
        <v>0</v>
      </c>
    </row>
    <row r="2666" spans="1:9" x14ac:dyDescent="0.2">
      <c r="A2666">
        <v>1035749</v>
      </c>
      <c r="B2666" t="s">
        <v>21</v>
      </c>
      <c r="C2666">
        <v>12.81</v>
      </c>
      <c r="D2666">
        <v>12.86</v>
      </c>
      <c r="E2666">
        <v>54.7</v>
      </c>
      <c r="F2666" t="s">
        <v>9</v>
      </c>
      <c r="G26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66">
        <f>IF(Table1[[#This Row],[is_ups_overcharge]]="ups overcharged",Table1[[#This Row],[ups ship charge]]-Table1[[#This Row],[ada ship charge]],0)</f>
        <v>0</v>
      </c>
    </row>
    <row r="2667" spans="1:9" x14ac:dyDescent="0.2">
      <c r="A2667">
        <v>1035751</v>
      </c>
      <c r="B2667" t="s">
        <v>21</v>
      </c>
      <c r="C2667">
        <v>9.65</v>
      </c>
      <c r="D2667">
        <v>0</v>
      </c>
      <c r="E2667">
        <v>15.84</v>
      </c>
      <c r="F2667" t="s">
        <v>6</v>
      </c>
      <c r="G26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67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667">
        <f>IF(Table1[[#This Row],[is_ups_overcharge]]="ups overcharged",Table1[[#This Row],[ups ship charge]]-Table1[[#This Row],[ada ship charge]],0)</f>
        <v>9.65</v>
      </c>
    </row>
    <row r="2668" spans="1:9" x14ac:dyDescent="0.2">
      <c r="A2668">
        <v>1035781</v>
      </c>
      <c r="B2668" t="s">
        <v>21</v>
      </c>
      <c r="C2668">
        <v>15.12</v>
      </c>
      <c r="D2668">
        <v>15.17</v>
      </c>
      <c r="E2668">
        <v>103.7</v>
      </c>
      <c r="F2668" t="s">
        <v>9</v>
      </c>
      <c r="G26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68">
        <f>IF(Table1[[#This Row],[is_ups_overcharge]]="ups overcharged",Table1[[#This Row],[ups ship charge]]-Table1[[#This Row],[ada ship charge]],0)</f>
        <v>0</v>
      </c>
    </row>
    <row r="2669" spans="1:9" x14ac:dyDescent="0.2">
      <c r="A2669">
        <v>1035800</v>
      </c>
      <c r="B2669" t="s">
        <v>21</v>
      </c>
      <c r="C2669">
        <v>13.7</v>
      </c>
      <c r="D2669">
        <v>13.75</v>
      </c>
      <c r="E2669">
        <v>39.950000000000003</v>
      </c>
      <c r="F2669" t="s">
        <v>9</v>
      </c>
      <c r="G26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69">
        <f>IF(Table1[[#This Row],[is_ups_overcharge]]="ups overcharged",Table1[[#This Row],[ups ship charge]]-Table1[[#This Row],[ada ship charge]],0)</f>
        <v>0</v>
      </c>
    </row>
    <row r="2670" spans="1:9" x14ac:dyDescent="0.2">
      <c r="A2670">
        <v>1035802</v>
      </c>
      <c r="B2670" t="s">
        <v>21</v>
      </c>
      <c r="C2670">
        <v>9.6999999999999993</v>
      </c>
      <c r="D2670">
        <v>9.75</v>
      </c>
      <c r="E2670">
        <v>29.9</v>
      </c>
      <c r="F2670" t="s">
        <v>6</v>
      </c>
      <c r="G26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70">
        <f>IF(Table1[[#This Row],[is_ups_overcharge]]="ups overcharged",Table1[[#This Row],[ups ship charge]]-Table1[[#This Row],[ada ship charge]],0)</f>
        <v>0</v>
      </c>
    </row>
    <row r="2671" spans="1:9" x14ac:dyDescent="0.2">
      <c r="A2671">
        <v>1035807</v>
      </c>
      <c r="B2671" t="s">
        <v>21</v>
      </c>
      <c r="C2671">
        <v>15.13</v>
      </c>
      <c r="D2671">
        <v>15.18</v>
      </c>
      <c r="E2671">
        <v>39.950000000000003</v>
      </c>
      <c r="F2671" t="s">
        <v>12</v>
      </c>
      <c r="G26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71">
        <f>IF(Table1[[#This Row],[is_ups_overcharge]]="ups overcharged",Table1[[#This Row],[ups ship charge]]-Table1[[#This Row],[ada ship charge]],0)</f>
        <v>0</v>
      </c>
    </row>
    <row r="2672" spans="1:9" x14ac:dyDescent="0.2">
      <c r="A2672">
        <v>1035815</v>
      </c>
      <c r="B2672" t="s">
        <v>21</v>
      </c>
      <c r="C2672">
        <v>13.7</v>
      </c>
      <c r="D2672">
        <v>13.75</v>
      </c>
      <c r="E2672">
        <v>61.9</v>
      </c>
      <c r="F2672" t="s">
        <v>9</v>
      </c>
      <c r="G26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72">
        <f>IF(Table1[[#This Row],[is_ups_overcharge]]="ups overcharged",Table1[[#This Row],[ups ship charge]]-Table1[[#This Row],[ada ship charge]],0)</f>
        <v>0</v>
      </c>
    </row>
    <row r="2673" spans="1:9" x14ac:dyDescent="0.2">
      <c r="A2673">
        <v>1035820</v>
      </c>
      <c r="B2673" t="s">
        <v>21</v>
      </c>
      <c r="C2673">
        <v>12.81</v>
      </c>
      <c r="D2673">
        <v>12.86</v>
      </c>
      <c r="E2673">
        <v>18.45</v>
      </c>
      <c r="F2673" t="s">
        <v>9</v>
      </c>
      <c r="G26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73">
        <f>IF(Table1[[#This Row],[is_ups_overcharge]]="ups overcharged",Table1[[#This Row],[ups ship charge]]-Table1[[#This Row],[ada ship charge]],0)</f>
        <v>0</v>
      </c>
    </row>
    <row r="2674" spans="1:9" x14ac:dyDescent="0.2">
      <c r="A2674">
        <v>1035828</v>
      </c>
      <c r="B2674" t="s">
        <v>21</v>
      </c>
      <c r="C2674">
        <v>12.81</v>
      </c>
      <c r="D2674">
        <v>12.86</v>
      </c>
      <c r="E2674">
        <v>98.6</v>
      </c>
      <c r="F2674" t="s">
        <v>9</v>
      </c>
      <c r="G26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74">
        <f>IF(Table1[[#This Row],[is_ups_overcharge]]="ups overcharged",Table1[[#This Row],[ups ship charge]]-Table1[[#This Row],[ada ship charge]],0)</f>
        <v>0</v>
      </c>
    </row>
    <row r="2675" spans="1:9" x14ac:dyDescent="0.2">
      <c r="A2675">
        <v>1035849</v>
      </c>
      <c r="B2675" t="s">
        <v>21</v>
      </c>
      <c r="C2675">
        <v>12.81</v>
      </c>
      <c r="D2675">
        <v>12.86</v>
      </c>
      <c r="E2675">
        <v>23</v>
      </c>
      <c r="F2675" t="s">
        <v>9</v>
      </c>
      <c r="G26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75">
        <f>IF(Table1[[#This Row],[is_ups_overcharge]]="ups overcharged",Table1[[#This Row],[ups ship charge]]-Table1[[#This Row],[ada ship charge]],0)</f>
        <v>0</v>
      </c>
    </row>
    <row r="2676" spans="1:9" x14ac:dyDescent="0.2">
      <c r="A2676">
        <v>1035856</v>
      </c>
      <c r="B2676" t="s">
        <v>21</v>
      </c>
      <c r="C2676">
        <v>12.81</v>
      </c>
      <c r="D2676">
        <v>12.86</v>
      </c>
      <c r="E2676">
        <v>153.4</v>
      </c>
      <c r="F2676" t="s">
        <v>9</v>
      </c>
      <c r="G26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76">
        <f>IF(Table1[[#This Row],[is_ups_overcharge]]="ups overcharged",Table1[[#This Row],[ups ship charge]]-Table1[[#This Row],[ada ship charge]],0)</f>
        <v>0</v>
      </c>
    </row>
    <row r="2677" spans="1:9" x14ac:dyDescent="0.2">
      <c r="A2677">
        <v>1035859</v>
      </c>
      <c r="B2677" t="s">
        <v>21</v>
      </c>
      <c r="C2677">
        <v>16.559999999999999</v>
      </c>
      <c r="D2677">
        <v>16.61</v>
      </c>
      <c r="E2677">
        <v>26.85</v>
      </c>
      <c r="F2677" t="s">
        <v>10</v>
      </c>
      <c r="G26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77">
        <f>IF(Table1[[#This Row],[is_ups_overcharge]]="ups overcharged",Table1[[#This Row],[ups ship charge]]-Table1[[#This Row],[ada ship charge]],0)</f>
        <v>0</v>
      </c>
    </row>
    <row r="2678" spans="1:9" x14ac:dyDescent="0.2">
      <c r="A2678">
        <v>1035865</v>
      </c>
      <c r="B2678" t="s">
        <v>21</v>
      </c>
      <c r="C2678">
        <v>13.7</v>
      </c>
      <c r="D2678">
        <v>13.75</v>
      </c>
      <c r="E2678">
        <v>14.3</v>
      </c>
      <c r="F2678" t="s">
        <v>9</v>
      </c>
      <c r="G26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78">
        <f>IF(Table1[[#This Row],[is_ups_overcharge]]="ups overcharged",Table1[[#This Row],[ups ship charge]]-Table1[[#This Row],[ada ship charge]],0)</f>
        <v>0</v>
      </c>
    </row>
    <row r="2679" spans="1:9" x14ac:dyDescent="0.2">
      <c r="A2679">
        <v>1035870</v>
      </c>
      <c r="B2679" t="s">
        <v>21</v>
      </c>
      <c r="C2679">
        <v>16.46</v>
      </c>
      <c r="D2679">
        <v>16.510000000000002</v>
      </c>
      <c r="E2679">
        <v>19.8</v>
      </c>
      <c r="F2679" t="s">
        <v>10</v>
      </c>
      <c r="G26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79">
        <f>IF(Table1[[#This Row],[is_ups_overcharge]]="ups overcharged",Table1[[#This Row],[ups ship charge]]-Table1[[#This Row],[ada ship charge]],0)</f>
        <v>0</v>
      </c>
    </row>
    <row r="2680" spans="1:9" x14ac:dyDescent="0.2">
      <c r="A2680">
        <v>1035888</v>
      </c>
      <c r="B2680" t="s">
        <v>21</v>
      </c>
      <c r="C2680">
        <v>15.44</v>
      </c>
      <c r="D2680">
        <v>15.49</v>
      </c>
      <c r="E2680">
        <v>57.65</v>
      </c>
      <c r="F2680" t="s">
        <v>12</v>
      </c>
      <c r="G26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80">
        <f>IF(Table1[[#This Row],[is_ups_overcharge]]="ups overcharged",Table1[[#This Row],[ups ship charge]]-Table1[[#This Row],[ada ship charge]],0)</f>
        <v>0</v>
      </c>
    </row>
    <row r="2681" spans="1:9" x14ac:dyDescent="0.2">
      <c r="A2681">
        <v>1035890</v>
      </c>
      <c r="B2681" t="s">
        <v>21</v>
      </c>
      <c r="C2681">
        <v>11.02</v>
      </c>
      <c r="D2681">
        <v>15.18</v>
      </c>
      <c r="E2681">
        <v>14.95</v>
      </c>
      <c r="F2681" t="s">
        <v>14</v>
      </c>
      <c r="G26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81">
        <f>IF(Table1[[#This Row],[is_ups_overcharge]]="ups overcharged",Table1[[#This Row],[ups ship charge]]-Table1[[#This Row],[ada ship charge]],0)</f>
        <v>0</v>
      </c>
    </row>
    <row r="2682" spans="1:9" x14ac:dyDescent="0.2">
      <c r="A2682">
        <v>1035895</v>
      </c>
      <c r="B2682" t="s">
        <v>21</v>
      </c>
      <c r="C2682">
        <v>16.46</v>
      </c>
      <c r="D2682">
        <v>16.510000000000002</v>
      </c>
      <c r="E2682">
        <v>149.9</v>
      </c>
      <c r="F2682" t="s">
        <v>10</v>
      </c>
      <c r="G26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82">
        <f>IF(Table1[[#This Row],[is_ups_overcharge]]="ups overcharged",Table1[[#This Row],[ups ship charge]]-Table1[[#This Row],[ada ship charge]],0)</f>
        <v>0</v>
      </c>
    </row>
    <row r="2683" spans="1:9" x14ac:dyDescent="0.2">
      <c r="A2683">
        <v>1035897</v>
      </c>
      <c r="B2683" t="s">
        <v>21</v>
      </c>
      <c r="C2683">
        <v>11.02</v>
      </c>
      <c r="D2683">
        <v>11.07</v>
      </c>
      <c r="E2683">
        <v>27.95</v>
      </c>
      <c r="F2683" t="s">
        <v>14</v>
      </c>
      <c r="G26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83">
        <f>IF(Table1[[#This Row],[is_ups_overcharge]]="ups overcharged",Table1[[#This Row],[ups ship charge]]-Table1[[#This Row],[ada ship charge]],0)</f>
        <v>0</v>
      </c>
    </row>
    <row r="2684" spans="1:9" x14ac:dyDescent="0.2">
      <c r="A2684">
        <v>1035902</v>
      </c>
      <c r="B2684" t="s">
        <v>21</v>
      </c>
      <c r="C2684">
        <v>9.6999999999999993</v>
      </c>
      <c r="D2684">
        <v>9.75</v>
      </c>
      <c r="E2684">
        <v>69.400000000000006</v>
      </c>
      <c r="F2684" t="s">
        <v>6</v>
      </c>
      <c r="G26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84">
        <f>IF(Table1[[#This Row],[is_ups_overcharge]]="ups overcharged",Table1[[#This Row],[ups ship charge]]-Table1[[#This Row],[ada ship charge]],0)</f>
        <v>0</v>
      </c>
    </row>
    <row r="2685" spans="1:9" x14ac:dyDescent="0.2">
      <c r="A2685">
        <v>1035905</v>
      </c>
      <c r="B2685" t="s">
        <v>21</v>
      </c>
      <c r="C2685">
        <v>11.02</v>
      </c>
      <c r="D2685">
        <v>11.07</v>
      </c>
      <c r="E2685">
        <v>11.95</v>
      </c>
      <c r="F2685" t="s">
        <v>14</v>
      </c>
      <c r="G26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85">
        <f>IF(Table1[[#This Row],[is_ups_overcharge]]="ups overcharged",Table1[[#This Row],[ups ship charge]]-Table1[[#This Row],[ada ship charge]],0)</f>
        <v>0</v>
      </c>
    </row>
    <row r="2686" spans="1:9" x14ac:dyDescent="0.2">
      <c r="A2686">
        <v>1035917</v>
      </c>
      <c r="B2686" t="s">
        <v>21</v>
      </c>
      <c r="C2686">
        <v>12.81</v>
      </c>
      <c r="D2686">
        <v>12.86</v>
      </c>
      <c r="E2686">
        <v>39.35</v>
      </c>
      <c r="F2686" t="s">
        <v>9</v>
      </c>
      <c r="G26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86">
        <f>IF(Table1[[#This Row],[is_ups_overcharge]]="ups overcharged",Table1[[#This Row],[ups ship charge]]-Table1[[#This Row],[ada ship charge]],0)</f>
        <v>0</v>
      </c>
    </row>
    <row r="2687" spans="1:9" x14ac:dyDescent="0.2">
      <c r="A2687">
        <v>1035949</v>
      </c>
      <c r="B2687" t="s">
        <v>21</v>
      </c>
      <c r="C2687">
        <v>12.81</v>
      </c>
      <c r="D2687">
        <v>12.86</v>
      </c>
      <c r="E2687">
        <v>20.85</v>
      </c>
      <c r="F2687" t="s">
        <v>9</v>
      </c>
      <c r="G26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87">
        <f>IF(Table1[[#This Row],[is_ups_overcharge]]="ups overcharged",Table1[[#This Row],[ups ship charge]]-Table1[[#This Row],[ada ship charge]],0)</f>
        <v>0</v>
      </c>
    </row>
    <row r="2688" spans="1:9" x14ac:dyDescent="0.2">
      <c r="A2688">
        <v>1035968</v>
      </c>
      <c r="B2688" t="s">
        <v>21</v>
      </c>
      <c r="C2688">
        <v>13.7</v>
      </c>
      <c r="D2688">
        <v>13.75</v>
      </c>
      <c r="E2688">
        <v>4.95</v>
      </c>
      <c r="F2688" t="s">
        <v>9</v>
      </c>
      <c r="G26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88">
        <f>IF(Table1[[#This Row],[is_ups_overcharge]]="ups overcharged",Table1[[#This Row],[ups ship charge]]-Table1[[#This Row],[ada ship charge]],0)</f>
        <v>0</v>
      </c>
    </row>
    <row r="2689" spans="1:9" x14ac:dyDescent="0.2">
      <c r="A2689">
        <v>1035977</v>
      </c>
      <c r="B2689" t="s">
        <v>21</v>
      </c>
      <c r="C2689">
        <v>12.81</v>
      </c>
      <c r="D2689">
        <v>12.86</v>
      </c>
      <c r="E2689">
        <v>47.6</v>
      </c>
      <c r="F2689" t="s">
        <v>9</v>
      </c>
      <c r="G26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89">
        <f>IF(Table1[[#This Row],[is_ups_overcharge]]="ups overcharged",Table1[[#This Row],[ups ship charge]]-Table1[[#This Row],[ada ship charge]],0)</f>
        <v>0</v>
      </c>
    </row>
    <row r="2690" spans="1:9" x14ac:dyDescent="0.2">
      <c r="A2690">
        <v>1035983</v>
      </c>
      <c r="B2690" t="s">
        <v>21</v>
      </c>
      <c r="C2690">
        <v>12.81</v>
      </c>
      <c r="D2690">
        <v>13.02</v>
      </c>
      <c r="E2690">
        <v>58.8</v>
      </c>
      <c r="F2690" t="s">
        <v>9</v>
      </c>
      <c r="G26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90">
        <f>IF(Table1[[#This Row],[is_ups_overcharge]]="ups overcharged",Table1[[#This Row],[ups ship charge]]-Table1[[#This Row],[ada ship charge]],0)</f>
        <v>0</v>
      </c>
    </row>
    <row r="2691" spans="1:9" x14ac:dyDescent="0.2">
      <c r="A2691">
        <v>1035988</v>
      </c>
      <c r="B2691" t="s">
        <v>21</v>
      </c>
      <c r="C2691">
        <v>16.46</v>
      </c>
      <c r="D2691">
        <v>16.510000000000002</v>
      </c>
      <c r="E2691">
        <v>34.99</v>
      </c>
      <c r="F2691" t="s">
        <v>10</v>
      </c>
      <c r="G26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91">
        <f>IF(Table1[[#This Row],[is_ups_overcharge]]="ups overcharged",Table1[[#This Row],[ups ship charge]]-Table1[[#This Row],[ada ship charge]],0)</f>
        <v>0</v>
      </c>
    </row>
    <row r="2692" spans="1:9" x14ac:dyDescent="0.2">
      <c r="A2692">
        <v>1036013</v>
      </c>
      <c r="B2692" t="s">
        <v>21</v>
      </c>
      <c r="C2692">
        <v>12.81</v>
      </c>
      <c r="D2692">
        <v>12.86</v>
      </c>
      <c r="E2692">
        <v>71</v>
      </c>
      <c r="F2692" t="s">
        <v>9</v>
      </c>
      <c r="G26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92">
        <f>IF(Table1[[#This Row],[is_ups_overcharge]]="ups overcharged",Table1[[#This Row],[ups ship charge]]-Table1[[#This Row],[ada ship charge]],0)</f>
        <v>0</v>
      </c>
    </row>
    <row r="2693" spans="1:9" x14ac:dyDescent="0.2">
      <c r="A2693">
        <v>1036020</v>
      </c>
      <c r="B2693" t="s">
        <v>21</v>
      </c>
      <c r="C2693">
        <v>13.7</v>
      </c>
      <c r="D2693">
        <v>13.76</v>
      </c>
      <c r="E2693">
        <v>85</v>
      </c>
      <c r="F2693" t="s">
        <v>9</v>
      </c>
      <c r="G26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93">
        <f>IF(Table1[[#This Row],[is_ups_overcharge]]="ups overcharged",Table1[[#This Row],[ups ship charge]]-Table1[[#This Row],[ada ship charge]],0)</f>
        <v>0</v>
      </c>
    </row>
    <row r="2694" spans="1:9" x14ac:dyDescent="0.2">
      <c r="A2694">
        <v>1036029</v>
      </c>
      <c r="B2694" t="s">
        <v>21</v>
      </c>
      <c r="C2694">
        <v>13.7</v>
      </c>
      <c r="D2694">
        <v>13.75</v>
      </c>
      <c r="E2694">
        <v>27.95</v>
      </c>
      <c r="F2694" t="s">
        <v>9</v>
      </c>
      <c r="G26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94">
        <f>IF(Table1[[#This Row],[is_ups_overcharge]]="ups overcharged",Table1[[#This Row],[ups ship charge]]-Table1[[#This Row],[ada ship charge]],0)</f>
        <v>0</v>
      </c>
    </row>
    <row r="2695" spans="1:9" x14ac:dyDescent="0.2">
      <c r="A2695">
        <v>1036036</v>
      </c>
      <c r="B2695" t="s">
        <v>21</v>
      </c>
      <c r="C2695">
        <v>12.81</v>
      </c>
      <c r="D2695">
        <v>12.86</v>
      </c>
      <c r="E2695">
        <v>2.5</v>
      </c>
      <c r="F2695" t="s">
        <v>9</v>
      </c>
      <c r="G26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95">
        <f>IF(Table1[[#This Row],[is_ups_overcharge]]="ups overcharged",Table1[[#This Row],[ups ship charge]]-Table1[[#This Row],[ada ship charge]],0)</f>
        <v>0</v>
      </c>
    </row>
    <row r="2696" spans="1:9" x14ac:dyDescent="0.2">
      <c r="A2696">
        <v>1036041</v>
      </c>
      <c r="B2696" t="s">
        <v>21</v>
      </c>
      <c r="C2696">
        <v>16.46</v>
      </c>
      <c r="D2696">
        <v>16.510000000000002</v>
      </c>
      <c r="E2696">
        <v>100.8</v>
      </c>
      <c r="F2696" t="s">
        <v>10</v>
      </c>
      <c r="G26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96">
        <f>IF(Table1[[#This Row],[is_ups_overcharge]]="ups overcharged",Table1[[#This Row],[ups ship charge]]-Table1[[#This Row],[ada ship charge]],0)</f>
        <v>0</v>
      </c>
    </row>
    <row r="2697" spans="1:9" x14ac:dyDescent="0.2">
      <c r="A2697">
        <v>1036044</v>
      </c>
      <c r="B2697" t="s">
        <v>21</v>
      </c>
      <c r="C2697">
        <v>13.7</v>
      </c>
      <c r="D2697">
        <v>13.75</v>
      </c>
      <c r="E2697">
        <v>32.9</v>
      </c>
      <c r="F2697" t="s">
        <v>9</v>
      </c>
      <c r="G26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97">
        <f>IF(Table1[[#This Row],[is_ups_overcharge]]="ups overcharged",Table1[[#This Row],[ups ship charge]]-Table1[[#This Row],[ada ship charge]],0)</f>
        <v>0</v>
      </c>
    </row>
    <row r="2698" spans="1:9" x14ac:dyDescent="0.2">
      <c r="A2698">
        <v>1036060</v>
      </c>
      <c r="B2698" t="s">
        <v>21</v>
      </c>
      <c r="C2698">
        <v>12.81</v>
      </c>
      <c r="D2698">
        <v>12.86</v>
      </c>
      <c r="E2698">
        <v>34.9</v>
      </c>
      <c r="F2698" t="s">
        <v>9</v>
      </c>
      <c r="G26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98">
        <f>IF(Table1[[#This Row],[is_ups_overcharge]]="ups overcharged",Table1[[#This Row],[ups ship charge]]-Table1[[#This Row],[ada ship charge]],0)</f>
        <v>0</v>
      </c>
    </row>
    <row r="2699" spans="1:9" x14ac:dyDescent="0.2">
      <c r="A2699">
        <v>1036067</v>
      </c>
      <c r="B2699" t="s">
        <v>21</v>
      </c>
      <c r="C2699">
        <v>12.81</v>
      </c>
      <c r="D2699">
        <v>12.86</v>
      </c>
      <c r="E2699">
        <v>19.95</v>
      </c>
      <c r="F2699" t="s">
        <v>9</v>
      </c>
      <c r="G26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6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699">
        <f>IF(Table1[[#This Row],[is_ups_overcharge]]="ups overcharged",Table1[[#This Row],[ups ship charge]]-Table1[[#This Row],[ada ship charge]],0)</f>
        <v>0</v>
      </c>
    </row>
    <row r="2700" spans="1:9" x14ac:dyDescent="0.2">
      <c r="A2700">
        <v>1036096</v>
      </c>
      <c r="B2700" t="s">
        <v>21</v>
      </c>
      <c r="C2700">
        <v>12.81</v>
      </c>
      <c r="D2700">
        <v>12.86</v>
      </c>
      <c r="E2700">
        <v>24.4</v>
      </c>
      <c r="F2700" t="s">
        <v>9</v>
      </c>
      <c r="G27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00">
        <f>IF(Table1[[#This Row],[is_ups_overcharge]]="ups overcharged",Table1[[#This Row],[ups ship charge]]-Table1[[#This Row],[ada ship charge]],0)</f>
        <v>0</v>
      </c>
    </row>
    <row r="2701" spans="1:9" x14ac:dyDescent="0.2">
      <c r="A2701">
        <v>1036190</v>
      </c>
      <c r="B2701" t="s">
        <v>21</v>
      </c>
      <c r="C2701">
        <v>16.46</v>
      </c>
      <c r="D2701">
        <v>16.510000000000002</v>
      </c>
      <c r="E2701">
        <v>38.75</v>
      </c>
      <c r="F2701" t="s">
        <v>10</v>
      </c>
      <c r="G27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01">
        <f>IF(Table1[[#This Row],[is_ups_overcharge]]="ups overcharged",Table1[[#This Row],[ups ship charge]]-Table1[[#This Row],[ada ship charge]],0)</f>
        <v>0</v>
      </c>
    </row>
    <row r="2702" spans="1:9" x14ac:dyDescent="0.2">
      <c r="A2702">
        <v>1036197</v>
      </c>
      <c r="B2702" t="s">
        <v>21</v>
      </c>
      <c r="C2702">
        <v>13.7</v>
      </c>
      <c r="D2702">
        <v>13.75</v>
      </c>
      <c r="E2702">
        <v>127.6</v>
      </c>
      <c r="F2702" t="s">
        <v>9</v>
      </c>
      <c r="G27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02">
        <f>IF(Table1[[#This Row],[is_ups_overcharge]]="ups overcharged",Table1[[#This Row],[ups ship charge]]-Table1[[#This Row],[ada ship charge]],0)</f>
        <v>0</v>
      </c>
    </row>
    <row r="2703" spans="1:9" x14ac:dyDescent="0.2">
      <c r="A2703">
        <v>1036201</v>
      </c>
      <c r="B2703" t="s">
        <v>21</v>
      </c>
      <c r="C2703">
        <v>12.81</v>
      </c>
      <c r="D2703">
        <v>12.86</v>
      </c>
      <c r="E2703">
        <v>4.95</v>
      </c>
      <c r="F2703" t="s">
        <v>9</v>
      </c>
      <c r="G27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03">
        <f>IF(Table1[[#This Row],[is_ups_overcharge]]="ups overcharged",Table1[[#This Row],[ups ship charge]]-Table1[[#This Row],[ada ship charge]],0)</f>
        <v>0</v>
      </c>
    </row>
    <row r="2704" spans="1:9" x14ac:dyDescent="0.2">
      <c r="A2704">
        <v>1036252</v>
      </c>
      <c r="B2704" t="s">
        <v>21</v>
      </c>
      <c r="C2704">
        <v>15.44</v>
      </c>
      <c r="D2704">
        <v>15.5</v>
      </c>
      <c r="E2704">
        <v>77.900000000000006</v>
      </c>
      <c r="F2704" t="s">
        <v>12</v>
      </c>
      <c r="G27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04">
        <f>IF(Table1[[#This Row],[is_ups_overcharge]]="ups overcharged",Table1[[#This Row],[ups ship charge]]-Table1[[#This Row],[ada ship charge]],0)</f>
        <v>0</v>
      </c>
    </row>
    <row r="2705" spans="1:9" x14ac:dyDescent="0.2">
      <c r="A2705">
        <v>1036261</v>
      </c>
      <c r="B2705" t="s">
        <v>21</v>
      </c>
      <c r="C2705">
        <v>13.7</v>
      </c>
      <c r="D2705">
        <v>13.75</v>
      </c>
      <c r="E2705">
        <v>29.95</v>
      </c>
      <c r="F2705" t="s">
        <v>9</v>
      </c>
      <c r="G27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05">
        <f>IF(Table1[[#This Row],[is_ups_overcharge]]="ups overcharged",Table1[[#This Row],[ups ship charge]]-Table1[[#This Row],[ada ship charge]],0)</f>
        <v>0</v>
      </c>
    </row>
    <row r="2706" spans="1:9" x14ac:dyDescent="0.2">
      <c r="A2706">
        <v>1036285</v>
      </c>
      <c r="B2706" t="s">
        <v>21</v>
      </c>
      <c r="C2706">
        <v>13.7</v>
      </c>
      <c r="D2706">
        <v>13.75</v>
      </c>
      <c r="E2706">
        <v>23.8</v>
      </c>
      <c r="F2706" t="s">
        <v>9</v>
      </c>
      <c r="G27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06">
        <f>IF(Table1[[#This Row],[is_ups_overcharge]]="ups overcharged",Table1[[#This Row],[ups ship charge]]-Table1[[#This Row],[ada ship charge]],0)</f>
        <v>0</v>
      </c>
    </row>
    <row r="2707" spans="1:9" x14ac:dyDescent="0.2">
      <c r="A2707">
        <v>1036295</v>
      </c>
      <c r="B2707" t="s">
        <v>21</v>
      </c>
      <c r="C2707">
        <v>59.02</v>
      </c>
      <c r="D2707">
        <v>59.07</v>
      </c>
      <c r="E2707">
        <v>65.7</v>
      </c>
      <c r="F2707" t="s">
        <v>8</v>
      </c>
      <c r="G27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07">
        <f>IF(Table1[[#This Row],[is_ups_overcharge]]="ups overcharged",Table1[[#This Row],[ups ship charge]]-Table1[[#This Row],[ada ship charge]],0)</f>
        <v>0</v>
      </c>
    </row>
    <row r="2708" spans="1:9" x14ac:dyDescent="0.2">
      <c r="A2708">
        <v>1036299</v>
      </c>
      <c r="B2708" t="s">
        <v>21</v>
      </c>
      <c r="C2708">
        <v>15.44</v>
      </c>
      <c r="D2708">
        <v>15.49</v>
      </c>
      <c r="E2708">
        <v>9</v>
      </c>
      <c r="F2708" t="s">
        <v>12</v>
      </c>
      <c r="G27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08">
        <f>IF(Table1[[#This Row],[is_ups_overcharge]]="ups overcharged",Table1[[#This Row],[ups ship charge]]-Table1[[#This Row],[ada ship charge]],0)</f>
        <v>0</v>
      </c>
    </row>
    <row r="2709" spans="1:9" x14ac:dyDescent="0.2">
      <c r="A2709">
        <v>1036307</v>
      </c>
      <c r="B2709" t="s">
        <v>21</v>
      </c>
      <c r="C2709">
        <v>16.46</v>
      </c>
      <c r="D2709">
        <v>16.510000000000002</v>
      </c>
      <c r="E2709">
        <v>130.05000000000001</v>
      </c>
      <c r="F2709" t="s">
        <v>10</v>
      </c>
      <c r="G27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09">
        <f>IF(Table1[[#This Row],[is_ups_overcharge]]="ups overcharged",Table1[[#This Row],[ups ship charge]]-Table1[[#This Row],[ada ship charge]],0)</f>
        <v>0</v>
      </c>
    </row>
    <row r="2710" spans="1:9" x14ac:dyDescent="0.2">
      <c r="A2710">
        <v>1036309</v>
      </c>
      <c r="B2710" t="s">
        <v>21</v>
      </c>
      <c r="C2710">
        <v>12.35</v>
      </c>
      <c r="D2710">
        <v>12.4</v>
      </c>
      <c r="E2710">
        <v>49.75</v>
      </c>
      <c r="F2710" t="s">
        <v>13</v>
      </c>
      <c r="G27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10">
        <f>IF(Table1[[#This Row],[is_ups_overcharge]]="ups overcharged",Table1[[#This Row],[ups ship charge]]-Table1[[#This Row],[ada ship charge]],0)</f>
        <v>0</v>
      </c>
    </row>
    <row r="2711" spans="1:9" x14ac:dyDescent="0.2">
      <c r="A2711">
        <v>1036354</v>
      </c>
      <c r="B2711" t="s">
        <v>21</v>
      </c>
      <c r="C2711">
        <v>12.75</v>
      </c>
      <c r="D2711">
        <v>12.86</v>
      </c>
      <c r="E2711">
        <v>39</v>
      </c>
      <c r="F2711" t="s">
        <v>9</v>
      </c>
      <c r="G27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11">
        <f>IF(Table1[[#This Row],[is_ups_overcharge]]="ups overcharged",Table1[[#This Row],[ups ship charge]]-Table1[[#This Row],[ada ship charge]],0)</f>
        <v>0</v>
      </c>
    </row>
    <row r="2712" spans="1:9" x14ac:dyDescent="0.2">
      <c r="A2712">
        <v>1036360</v>
      </c>
      <c r="B2712" t="s">
        <v>21</v>
      </c>
      <c r="C2712">
        <v>13.63</v>
      </c>
      <c r="D2712">
        <v>14.77</v>
      </c>
      <c r="E2712">
        <v>35.9</v>
      </c>
      <c r="F2712" t="s">
        <v>9</v>
      </c>
      <c r="G27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12">
        <f>IF(Table1[[#This Row],[is_ups_overcharge]]="ups overcharged",Table1[[#This Row],[ups ship charge]]-Table1[[#This Row],[ada ship charge]],0)</f>
        <v>0</v>
      </c>
    </row>
    <row r="2713" spans="1:9" x14ac:dyDescent="0.2">
      <c r="A2713">
        <v>1036378</v>
      </c>
      <c r="B2713" t="s">
        <v>21</v>
      </c>
      <c r="C2713">
        <v>13.64</v>
      </c>
      <c r="D2713">
        <v>13.75</v>
      </c>
      <c r="E2713">
        <v>39.950000000000003</v>
      </c>
      <c r="F2713" t="s">
        <v>9</v>
      </c>
      <c r="G27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13">
        <f>IF(Table1[[#This Row],[is_ups_overcharge]]="ups overcharged",Table1[[#This Row],[ups ship charge]]-Table1[[#This Row],[ada ship charge]],0)</f>
        <v>0</v>
      </c>
    </row>
    <row r="2714" spans="1:9" x14ac:dyDescent="0.2">
      <c r="A2714">
        <v>1036403</v>
      </c>
      <c r="B2714" t="s">
        <v>21</v>
      </c>
      <c r="C2714">
        <v>12.75</v>
      </c>
      <c r="D2714">
        <v>12.86</v>
      </c>
      <c r="E2714">
        <v>81.8</v>
      </c>
      <c r="F2714" t="s">
        <v>9</v>
      </c>
      <c r="G27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14">
        <f>IF(Table1[[#This Row],[is_ups_overcharge]]="ups overcharged",Table1[[#This Row],[ups ship charge]]-Table1[[#This Row],[ada ship charge]],0)</f>
        <v>0</v>
      </c>
    </row>
    <row r="2715" spans="1:9" x14ac:dyDescent="0.2">
      <c r="A2715">
        <v>1036422</v>
      </c>
      <c r="B2715" t="s">
        <v>21</v>
      </c>
      <c r="C2715">
        <v>9.6999999999999993</v>
      </c>
      <c r="D2715">
        <v>9.75</v>
      </c>
      <c r="E2715">
        <v>64.95</v>
      </c>
      <c r="F2715" t="s">
        <v>6</v>
      </c>
      <c r="G27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15">
        <f>IF(Table1[[#This Row],[is_ups_overcharge]]="ups overcharged",Table1[[#This Row],[ups ship charge]]-Table1[[#This Row],[ada ship charge]],0)</f>
        <v>0</v>
      </c>
    </row>
    <row r="2716" spans="1:9" x14ac:dyDescent="0.2">
      <c r="A2716">
        <v>1036425</v>
      </c>
      <c r="B2716" t="s">
        <v>21</v>
      </c>
      <c r="C2716">
        <v>13.7</v>
      </c>
      <c r="D2716">
        <v>13.75</v>
      </c>
      <c r="E2716">
        <v>59.85</v>
      </c>
      <c r="F2716" t="s">
        <v>9</v>
      </c>
      <c r="G27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16">
        <f>IF(Table1[[#This Row],[is_ups_overcharge]]="ups overcharged",Table1[[#This Row],[ups ship charge]]-Table1[[#This Row],[ada ship charge]],0)</f>
        <v>0</v>
      </c>
    </row>
    <row r="2717" spans="1:9" x14ac:dyDescent="0.2">
      <c r="A2717">
        <v>1036444</v>
      </c>
      <c r="B2717" t="s">
        <v>21</v>
      </c>
      <c r="C2717">
        <v>12.81</v>
      </c>
      <c r="D2717">
        <v>12.86</v>
      </c>
      <c r="E2717">
        <v>39.950000000000003</v>
      </c>
      <c r="F2717" t="s">
        <v>9</v>
      </c>
      <c r="G27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17">
        <f>IF(Table1[[#This Row],[is_ups_overcharge]]="ups overcharged",Table1[[#This Row],[ups ship charge]]-Table1[[#This Row],[ada ship charge]],0)</f>
        <v>0</v>
      </c>
    </row>
    <row r="2718" spans="1:9" x14ac:dyDescent="0.2">
      <c r="A2718">
        <v>1036450</v>
      </c>
      <c r="B2718" t="s">
        <v>21</v>
      </c>
      <c r="C2718">
        <v>9.7100000000000009</v>
      </c>
      <c r="D2718">
        <v>9.76</v>
      </c>
      <c r="E2718">
        <v>39.950000000000003</v>
      </c>
      <c r="F2718" t="s">
        <v>6</v>
      </c>
      <c r="G27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18">
        <f>IF(Table1[[#This Row],[is_ups_overcharge]]="ups overcharged",Table1[[#This Row],[ups ship charge]]-Table1[[#This Row],[ada ship charge]],0)</f>
        <v>0</v>
      </c>
    </row>
    <row r="2719" spans="1:9" x14ac:dyDescent="0.2">
      <c r="A2719">
        <v>1036459</v>
      </c>
      <c r="B2719" t="s">
        <v>21</v>
      </c>
      <c r="C2719">
        <v>13.7</v>
      </c>
      <c r="D2719">
        <v>13.75</v>
      </c>
      <c r="E2719">
        <v>47.9</v>
      </c>
      <c r="F2719" t="s">
        <v>9</v>
      </c>
      <c r="G27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19">
        <f>IF(Table1[[#This Row],[is_ups_overcharge]]="ups overcharged",Table1[[#This Row],[ups ship charge]]-Table1[[#This Row],[ada ship charge]],0)</f>
        <v>0</v>
      </c>
    </row>
    <row r="2720" spans="1:9" x14ac:dyDescent="0.2">
      <c r="A2720">
        <v>1036533</v>
      </c>
      <c r="B2720" t="s">
        <v>21</v>
      </c>
      <c r="C2720">
        <v>13.7</v>
      </c>
      <c r="D2720">
        <v>13.75</v>
      </c>
      <c r="E2720">
        <v>39.950000000000003</v>
      </c>
      <c r="F2720" t="s">
        <v>9</v>
      </c>
      <c r="G27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20">
        <f>IF(Table1[[#This Row],[is_ups_overcharge]]="ups overcharged",Table1[[#This Row],[ups ship charge]]-Table1[[#This Row],[ada ship charge]],0)</f>
        <v>0</v>
      </c>
    </row>
    <row r="2721" spans="1:9" x14ac:dyDescent="0.2">
      <c r="A2721">
        <v>1036554</v>
      </c>
      <c r="B2721" t="s">
        <v>21</v>
      </c>
      <c r="C2721">
        <v>12.81</v>
      </c>
      <c r="D2721">
        <v>12.86</v>
      </c>
      <c r="E2721">
        <v>74.95</v>
      </c>
      <c r="F2721" t="s">
        <v>9</v>
      </c>
      <c r="G27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21">
        <f>IF(Table1[[#This Row],[is_ups_overcharge]]="ups overcharged",Table1[[#This Row],[ups ship charge]]-Table1[[#This Row],[ada ship charge]],0)</f>
        <v>0</v>
      </c>
    </row>
    <row r="2722" spans="1:9" x14ac:dyDescent="0.2">
      <c r="A2722">
        <v>1036558</v>
      </c>
      <c r="B2722" t="s">
        <v>21</v>
      </c>
      <c r="C2722">
        <v>16.71</v>
      </c>
      <c r="D2722">
        <v>20.61</v>
      </c>
      <c r="E2722">
        <v>107.9</v>
      </c>
      <c r="F2722" t="s">
        <v>12</v>
      </c>
      <c r="G27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22">
        <f>IF(Table1[[#This Row],[is_ups_overcharge]]="ups overcharged",Table1[[#This Row],[ups ship charge]]-Table1[[#This Row],[ada ship charge]],0)</f>
        <v>0</v>
      </c>
    </row>
    <row r="2723" spans="1:9" x14ac:dyDescent="0.2">
      <c r="A2723">
        <v>1036577</v>
      </c>
      <c r="B2723" t="s">
        <v>21</v>
      </c>
      <c r="C2723">
        <v>12.75</v>
      </c>
      <c r="D2723">
        <v>12.86</v>
      </c>
      <c r="E2723">
        <v>14.95</v>
      </c>
      <c r="F2723" t="s">
        <v>9</v>
      </c>
      <c r="G27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23">
        <f>IF(Table1[[#This Row],[is_ups_overcharge]]="ups overcharged",Table1[[#This Row],[ups ship charge]]-Table1[[#This Row],[ada ship charge]],0)</f>
        <v>0</v>
      </c>
    </row>
    <row r="2724" spans="1:9" x14ac:dyDescent="0.2">
      <c r="A2724">
        <v>1036578</v>
      </c>
      <c r="B2724" t="s">
        <v>21</v>
      </c>
      <c r="C2724">
        <v>12.75</v>
      </c>
      <c r="D2724">
        <v>12.86</v>
      </c>
      <c r="E2724">
        <v>72.599999999999994</v>
      </c>
      <c r="F2724" t="s">
        <v>9</v>
      </c>
      <c r="G27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24">
        <f>IF(Table1[[#This Row],[is_ups_overcharge]]="ups overcharged",Table1[[#This Row],[ups ship charge]]-Table1[[#This Row],[ada ship charge]],0)</f>
        <v>0</v>
      </c>
    </row>
    <row r="2725" spans="1:9" x14ac:dyDescent="0.2">
      <c r="A2725">
        <v>1036582</v>
      </c>
      <c r="B2725" t="s">
        <v>21</v>
      </c>
      <c r="C2725">
        <v>16.87</v>
      </c>
      <c r="D2725">
        <v>16.920000000000002</v>
      </c>
      <c r="E2725">
        <v>78.650000000000006</v>
      </c>
      <c r="F2725" t="s">
        <v>10</v>
      </c>
      <c r="G27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25">
        <f>IF(Table1[[#This Row],[is_ups_overcharge]]="ups overcharged",Table1[[#This Row],[ups ship charge]]-Table1[[#This Row],[ada ship charge]],0)</f>
        <v>0</v>
      </c>
    </row>
    <row r="2726" spans="1:9" x14ac:dyDescent="0.2">
      <c r="A2726">
        <v>1036584</v>
      </c>
      <c r="B2726" t="s">
        <v>21</v>
      </c>
      <c r="C2726">
        <v>9.65</v>
      </c>
      <c r="D2726">
        <v>9.76</v>
      </c>
      <c r="E2726">
        <v>132.75</v>
      </c>
      <c r="F2726" t="s">
        <v>6</v>
      </c>
      <c r="G27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26">
        <f>IF(Table1[[#This Row],[is_ups_overcharge]]="ups overcharged",Table1[[#This Row],[ups ship charge]]-Table1[[#This Row],[ada ship charge]],0)</f>
        <v>0</v>
      </c>
    </row>
    <row r="2727" spans="1:9" x14ac:dyDescent="0.2">
      <c r="A2727">
        <v>1036633</v>
      </c>
      <c r="B2727" t="s">
        <v>21</v>
      </c>
      <c r="C2727">
        <v>12.35</v>
      </c>
      <c r="D2727">
        <v>12.4</v>
      </c>
      <c r="E2727">
        <v>23.95</v>
      </c>
      <c r="F2727" t="s">
        <v>13</v>
      </c>
      <c r="G27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27">
        <f>IF(Table1[[#This Row],[is_ups_overcharge]]="ups overcharged",Table1[[#This Row],[ups ship charge]]-Table1[[#This Row],[ada ship charge]],0)</f>
        <v>0</v>
      </c>
    </row>
    <row r="2728" spans="1:9" x14ac:dyDescent="0.2">
      <c r="A2728">
        <v>1036682</v>
      </c>
      <c r="B2728" t="s">
        <v>21</v>
      </c>
      <c r="C2728">
        <v>12.81</v>
      </c>
      <c r="D2728">
        <v>12.86</v>
      </c>
      <c r="E2728">
        <v>17.899999999999999</v>
      </c>
      <c r="F2728" t="s">
        <v>9</v>
      </c>
      <c r="G27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28">
        <f>IF(Table1[[#This Row],[is_ups_overcharge]]="ups overcharged",Table1[[#This Row],[ups ship charge]]-Table1[[#This Row],[ada ship charge]],0)</f>
        <v>0</v>
      </c>
    </row>
    <row r="2729" spans="1:9" x14ac:dyDescent="0.2">
      <c r="A2729">
        <v>1036688</v>
      </c>
      <c r="B2729" t="s">
        <v>21</v>
      </c>
      <c r="C2729">
        <v>12.75</v>
      </c>
      <c r="D2729">
        <v>12.86</v>
      </c>
      <c r="E2729">
        <v>39.85</v>
      </c>
      <c r="F2729" t="s">
        <v>9</v>
      </c>
      <c r="G27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29">
        <f>IF(Table1[[#This Row],[is_ups_overcharge]]="ups overcharged",Table1[[#This Row],[ups ship charge]]-Table1[[#This Row],[ada ship charge]],0)</f>
        <v>0</v>
      </c>
    </row>
    <row r="2730" spans="1:9" x14ac:dyDescent="0.2">
      <c r="A2730">
        <v>1036690</v>
      </c>
      <c r="B2730" t="s">
        <v>21</v>
      </c>
      <c r="C2730">
        <v>12.81</v>
      </c>
      <c r="D2730">
        <v>12.86</v>
      </c>
      <c r="E2730">
        <v>83.5</v>
      </c>
      <c r="F2730" t="s">
        <v>9</v>
      </c>
      <c r="G27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30">
        <f>IF(Table1[[#This Row],[is_ups_overcharge]]="ups overcharged",Table1[[#This Row],[ups ship charge]]-Table1[[#This Row],[ada ship charge]],0)</f>
        <v>0</v>
      </c>
    </row>
    <row r="2731" spans="1:9" x14ac:dyDescent="0.2">
      <c r="A2731">
        <v>1036706</v>
      </c>
      <c r="B2731" t="s">
        <v>21</v>
      </c>
      <c r="C2731">
        <v>9.6999999999999993</v>
      </c>
      <c r="D2731">
        <v>9.75</v>
      </c>
      <c r="E2731">
        <v>184.9</v>
      </c>
      <c r="F2731" t="s">
        <v>6</v>
      </c>
      <c r="G27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31">
        <f>IF(Table1[[#This Row],[is_ups_overcharge]]="ups overcharged",Table1[[#This Row],[ups ship charge]]-Table1[[#This Row],[ada ship charge]],0)</f>
        <v>0</v>
      </c>
    </row>
    <row r="2732" spans="1:9" x14ac:dyDescent="0.2">
      <c r="A2732">
        <v>1036720</v>
      </c>
      <c r="B2732" t="s">
        <v>21</v>
      </c>
      <c r="C2732">
        <v>9.66</v>
      </c>
      <c r="D2732">
        <v>9.75</v>
      </c>
      <c r="E2732">
        <v>5</v>
      </c>
      <c r="F2732" t="s">
        <v>6</v>
      </c>
      <c r="G27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32">
        <f>IF(Table1[[#This Row],[is_ups_overcharge]]="ups overcharged",Table1[[#This Row],[ups ship charge]]-Table1[[#This Row],[ada ship charge]],0)</f>
        <v>0</v>
      </c>
    </row>
    <row r="2733" spans="1:9" x14ac:dyDescent="0.2">
      <c r="A2733">
        <v>1036732</v>
      </c>
      <c r="B2733" t="s">
        <v>21</v>
      </c>
      <c r="C2733">
        <v>66.56</v>
      </c>
      <c r="D2733">
        <v>67.09</v>
      </c>
      <c r="E2733">
        <v>239.35</v>
      </c>
      <c r="F2733" t="s">
        <v>11</v>
      </c>
      <c r="G27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33">
        <f>IF(Table1[[#This Row],[is_ups_overcharge]]="ups overcharged",Table1[[#This Row],[ups ship charge]]-Table1[[#This Row],[ada ship charge]],0)</f>
        <v>0</v>
      </c>
    </row>
    <row r="2734" spans="1:9" x14ac:dyDescent="0.2">
      <c r="A2734">
        <v>1036760</v>
      </c>
      <c r="B2734" t="s">
        <v>21</v>
      </c>
      <c r="C2734">
        <v>12.75</v>
      </c>
      <c r="D2734">
        <v>12.86</v>
      </c>
      <c r="E2734">
        <v>54.35</v>
      </c>
      <c r="F2734" t="s">
        <v>9</v>
      </c>
      <c r="G27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34">
        <f>IF(Table1[[#This Row],[is_ups_overcharge]]="ups overcharged",Table1[[#This Row],[ups ship charge]]-Table1[[#This Row],[ada ship charge]],0)</f>
        <v>0</v>
      </c>
    </row>
    <row r="2735" spans="1:9" x14ac:dyDescent="0.2">
      <c r="A2735">
        <v>1036763</v>
      </c>
      <c r="B2735" t="s">
        <v>21</v>
      </c>
      <c r="C2735">
        <v>55.79</v>
      </c>
      <c r="D2735">
        <v>59.07</v>
      </c>
      <c r="E2735">
        <v>22.5</v>
      </c>
      <c r="F2735" t="s">
        <v>8</v>
      </c>
      <c r="G27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35">
        <f>IF(Table1[[#This Row],[is_ups_overcharge]]="ups overcharged",Table1[[#This Row],[ups ship charge]]-Table1[[#This Row],[ada ship charge]],0)</f>
        <v>0</v>
      </c>
    </row>
    <row r="2736" spans="1:9" x14ac:dyDescent="0.2">
      <c r="A2736">
        <v>1036764</v>
      </c>
      <c r="B2736" t="s">
        <v>21</v>
      </c>
      <c r="C2736">
        <v>9.65</v>
      </c>
      <c r="D2736">
        <v>9.7899999999999991</v>
      </c>
      <c r="E2736">
        <v>19.95</v>
      </c>
      <c r="F2736" t="s">
        <v>6</v>
      </c>
      <c r="G27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36">
        <f>IF(Table1[[#This Row],[is_ups_overcharge]]="ups overcharged",Table1[[#This Row],[ups ship charge]]-Table1[[#This Row],[ada ship charge]],0)</f>
        <v>0</v>
      </c>
    </row>
    <row r="2737" spans="1:9" x14ac:dyDescent="0.2">
      <c r="A2737">
        <v>1036768</v>
      </c>
      <c r="B2737" t="s">
        <v>21</v>
      </c>
      <c r="C2737">
        <v>12.75</v>
      </c>
      <c r="D2737">
        <v>12.86</v>
      </c>
      <c r="E2737">
        <v>57.85</v>
      </c>
      <c r="F2737" t="s">
        <v>9</v>
      </c>
      <c r="G27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37">
        <f>IF(Table1[[#This Row],[is_ups_overcharge]]="ups overcharged",Table1[[#This Row],[ups ship charge]]-Table1[[#This Row],[ada ship charge]],0)</f>
        <v>0</v>
      </c>
    </row>
    <row r="2738" spans="1:9" x14ac:dyDescent="0.2">
      <c r="A2738">
        <v>1036770</v>
      </c>
      <c r="B2738" t="s">
        <v>21</v>
      </c>
      <c r="C2738">
        <v>9.66</v>
      </c>
      <c r="D2738">
        <v>9.75</v>
      </c>
      <c r="E2738">
        <v>55</v>
      </c>
      <c r="F2738" t="s">
        <v>6</v>
      </c>
      <c r="G27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38">
        <f>IF(Table1[[#This Row],[is_ups_overcharge]]="ups overcharged",Table1[[#This Row],[ups ship charge]]-Table1[[#This Row],[ada ship charge]],0)</f>
        <v>0</v>
      </c>
    </row>
    <row r="2739" spans="1:9" x14ac:dyDescent="0.2">
      <c r="A2739">
        <v>1036783</v>
      </c>
      <c r="B2739" t="s">
        <v>21</v>
      </c>
      <c r="C2739">
        <v>15.44</v>
      </c>
      <c r="D2739">
        <v>15.49</v>
      </c>
      <c r="E2739">
        <v>12.5</v>
      </c>
      <c r="F2739" t="s">
        <v>12</v>
      </c>
      <c r="G27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39">
        <f>IF(Table1[[#This Row],[is_ups_overcharge]]="ups overcharged",Table1[[#This Row],[ups ship charge]]-Table1[[#This Row],[ada ship charge]],0)</f>
        <v>0</v>
      </c>
    </row>
    <row r="2740" spans="1:9" x14ac:dyDescent="0.2">
      <c r="A2740">
        <v>1036789</v>
      </c>
      <c r="B2740" t="s">
        <v>21</v>
      </c>
      <c r="C2740">
        <v>12.75</v>
      </c>
      <c r="D2740">
        <v>12.86</v>
      </c>
      <c r="E2740">
        <v>62.9</v>
      </c>
      <c r="F2740" t="s">
        <v>9</v>
      </c>
      <c r="G27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40">
        <f>IF(Table1[[#This Row],[is_ups_overcharge]]="ups overcharged",Table1[[#This Row],[ups ship charge]]-Table1[[#This Row],[ada ship charge]],0)</f>
        <v>0</v>
      </c>
    </row>
    <row r="2741" spans="1:9" x14ac:dyDescent="0.2">
      <c r="A2741">
        <v>1036801</v>
      </c>
      <c r="B2741" t="s">
        <v>21</v>
      </c>
      <c r="C2741">
        <v>12.75</v>
      </c>
      <c r="D2741">
        <v>12.86</v>
      </c>
      <c r="E2741">
        <v>119.5</v>
      </c>
      <c r="F2741" t="s">
        <v>9</v>
      </c>
      <c r="G27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41">
        <f>IF(Table1[[#This Row],[is_ups_overcharge]]="ups overcharged",Table1[[#This Row],[ups ship charge]]-Table1[[#This Row],[ada ship charge]],0)</f>
        <v>0</v>
      </c>
    </row>
    <row r="2742" spans="1:9" x14ac:dyDescent="0.2">
      <c r="A2742">
        <v>1036808</v>
      </c>
      <c r="B2742" t="s">
        <v>21</v>
      </c>
      <c r="C2742">
        <v>16.84</v>
      </c>
      <c r="D2742">
        <v>16.89</v>
      </c>
      <c r="E2742">
        <v>79.95</v>
      </c>
      <c r="F2742" t="s">
        <v>10</v>
      </c>
      <c r="G27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42">
        <f>IF(Table1[[#This Row],[is_ups_overcharge]]="ups overcharged",Table1[[#This Row],[ups ship charge]]-Table1[[#This Row],[ada ship charge]],0)</f>
        <v>0</v>
      </c>
    </row>
    <row r="2743" spans="1:9" x14ac:dyDescent="0.2">
      <c r="A2743">
        <v>1036818</v>
      </c>
      <c r="B2743" t="s">
        <v>21</v>
      </c>
      <c r="C2743">
        <v>12.35</v>
      </c>
      <c r="D2743">
        <v>12.4</v>
      </c>
      <c r="E2743">
        <v>39.950000000000003</v>
      </c>
      <c r="F2743" t="s">
        <v>13</v>
      </c>
      <c r="G27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43">
        <f>IF(Table1[[#This Row],[is_ups_overcharge]]="ups overcharged",Table1[[#This Row],[ups ship charge]]-Table1[[#This Row],[ada ship charge]],0)</f>
        <v>0</v>
      </c>
    </row>
    <row r="2744" spans="1:9" x14ac:dyDescent="0.2">
      <c r="A2744">
        <v>1036828</v>
      </c>
      <c r="B2744" t="s">
        <v>21</v>
      </c>
      <c r="C2744">
        <v>16.46</v>
      </c>
      <c r="D2744">
        <v>16.510000000000002</v>
      </c>
      <c r="E2744">
        <v>5.85</v>
      </c>
      <c r="F2744" t="s">
        <v>10</v>
      </c>
      <c r="G27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44">
        <f>IF(Table1[[#This Row],[is_ups_overcharge]]="ups overcharged",Table1[[#This Row],[ups ship charge]]-Table1[[#This Row],[ada ship charge]],0)</f>
        <v>0</v>
      </c>
    </row>
    <row r="2745" spans="1:9" x14ac:dyDescent="0.2">
      <c r="A2745">
        <v>1036878</v>
      </c>
      <c r="B2745" t="s">
        <v>21</v>
      </c>
      <c r="C2745">
        <v>15.13</v>
      </c>
      <c r="D2745">
        <v>15.18</v>
      </c>
      <c r="E2745">
        <v>29.95</v>
      </c>
      <c r="F2745" t="s">
        <v>12</v>
      </c>
      <c r="G27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45">
        <f>IF(Table1[[#This Row],[is_ups_overcharge]]="ups overcharged",Table1[[#This Row],[ups ship charge]]-Table1[[#This Row],[ada ship charge]],0)</f>
        <v>0</v>
      </c>
    </row>
    <row r="2746" spans="1:9" x14ac:dyDescent="0.2">
      <c r="A2746">
        <v>1036895</v>
      </c>
      <c r="B2746" t="s">
        <v>21</v>
      </c>
      <c r="C2746">
        <v>13.64</v>
      </c>
      <c r="D2746">
        <v>13.76</v>
      </c>
      <c r="E2746">
        <v>23.9</v>
      </c>
      <c r="F2746" t="s">
        <v>9</v>
      </c>
      <c r="G27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46">
        <f>IF(Table1[[#This Row],[is_ups_overcharge]]="ups overcharged",Table1[[#This Row],[ups ship charge]]-Table1[[#This Row],[ada ship charge]],0)</f>
        <v>0</v>
      </c>
    </row>
    <row r="2747" spans="1:9" x14ac:dyDescent="0.2">
      <c r="A2747">
        <v>1036924</v>
      </c>
      <c r="B2747" t="s">
        <v>21</v>
      </c>
      <c r="C2747">
        <v>13.64</v>
      </c>
      <c r="D2747">
        <v>13.75</v>
      </c>
      <c r="E2747">
        <v>39.799999999999997</v>
      </c>
      <c r="F2747" t="s">
        <v>9</v>
      </c>
      <c r="G27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47">
        <f>IF(Table1[[#This Row],[is_ups_overcharge]]="ups overcharged",Table1[[#This Row],[ups ship charge]]-Table1[[#This Row],[ada ship charge]],0)</f>
        <v>0</v>
      </c>
    </row>
    <row r="2748" spans="1:9" x14ac:dyDescent="0.2">
      <c r="A2748">
        <v>1036950</v>
      </c>
      <c r="B2748" t="s">
        <v>21</v>
      </c>
      <c r="C2748">
        <v>16.46</v>
      </c>
      <c r="D2748">
        <v>16.510000000000002</v>
      </c>
      <c r="E2748">
        <v>69.8</v>
      </c>
      <c r="F2748" t="s">
        <v>10</v>
      </c>
      <c r="G27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48">
        <f>IF(Table1[[#This Row],[is_ups_overcharge]]="ups overcharged",Table1[[#This Row],[ups ship charge]]-Table1[[#This Row],[ada ship charge]],0)</f>
        <v>0</v>
      </c>
    </row>
    <row r="2749" spans="1:9" x14ac:dyDescent="0.2">
      <c r="A2749">
        <v>1036957</v>
      </c>
      <c r="B2749" t="s">
        <v>21</v>
      </c>
      <c r="C2749">
        <v>12.81</v>
      </c>
      <c r="D2749">
        <v>12.86</v>
      </c>
      <c r="E2749">
        <v>39.950000000000003</v>
      </c>
      <c r="F2749" t="s">
        <v>9</v>
      </c>
      <c r="G27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49">
        <f>IF(Table1[[#This Row],[is_ups_overcharge]]="ups overcharged",Table1[[#This Row],[ups ship charge]]-Table1[[#This Row],[ada ship charge]],0)</f>
        <v>0</v>
      </c>
    </row>
    <row r="2750" spans="1:9" x14ac:dyDescent="0.2">
      <c r="A2750">
        <v>1036999</v>
      </c>
      <c r="B2750" t="s">
        <v>21</v>
      </c>
      <c r="C2750">
        <v>12.75</v>
      </c>
      <c r="D2750">
        <v>12.86</v>
      </c>
      <c r="E2750">
        <v>55.85</v>
      </c>
      <c r="F2750" t="s">
        <v>9</v>
      </c>
      <c r="G27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50">
        <f>IF(Table1[[#This Row],[is_ups_overcharge]]="ups overcharged",Table1[[#This Row],[ups ship charge]]-Table1[[#This Row],[ada ship charge]],0)</f>
        <v>0</v>
      </c>
    </row>
    <row r="2751" spans="1:9" x14ac:dyDescent="0.2">
      <c r="A2751">
        <v>1037002</v>
      </c>
      <c r="B2751" t="s">
        <v>21</v>
      </c>
      <c r="C2751">
        <v>12.81</v>
      </c>
      <c r="D2751">
        <v>12.86</v>
      </c>
      <c r="E2751">
        <v>39.950000000000003</v>
      </c>
      <c r="F2751" t="s">
        <v>9</v>
      </c>
      <c r="G27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51">
        <f>IF(Table1[[#This Row],[is_ups_overcharge]]="ups overcharged",Table1[[#This Row],[ups ship charge]]-Table1[[#This Row],[ada ship charge]],0)</f>
        <v>0</v>
      </c>
    </row>
    <row r="2752" spans="1:9" x14ac:dyDescent="0.2">
      <c r="A2752">
        <v>1037003</v>
      </c>
      <c r="B2752" t="s">
        <v>21</v>
      </c>
      <c r="C2752">
        <v>12.81</v>
      </c>
      <c r="D2752">
        <v>12.86</v>
      </c>
      <c r="E2752">
        <v>39.950000000000003</v>
      </c>
      <c r="F2752" t="s">
        <v>9</v>
      </c>
      <c r="G27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52">
        <f>IF(Table1[[#This Row],[is_ups_overcharge]]="ups overcharged",Table1[[#This Row],[ups ship charge]]-Table1[[#This Row],[ada ship charge]],0)</f>
        <v>0</v>
      </c>
    </row>
    <row r="2753" spans="1:9" x14ac:dyDescent="0.2">
      <c r="A2753">
        <v>1037015</v>
      </c>
      <c r="B2753" t="s">
        <v>21</v>
      </c>
      <c r="C2753">
        <v>16.46</v>
      </c>
      <c r="D2753">
        <v>16.510000000000002</v>
      </c>
      <c r="E2753">
        <v>67.8</v>
      </c>
      <c r="F2753" t="s">
        <v>10</v>
      </c>
      <c r="G27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53">
        <f>IF(Table1[[#This Row],[is_ups_overcharge]]="ups overcharged",Table1[[#This Row],[ups ship charge]]-Table1[[#This Row],[ada ship charge]],0)</f>
        <v>0</v>
      </c>
    </row>
    <row r="2754" spans="1:9" x14ac:dyDescent="0.2">
      <c r="A2754">
        <v>1037030</v>
      </c>
      <c r="B2754" t="s">
        <v>21</v>
      </c>
      <c r="C2754">
        <v>13.7</v>
      </c>
      <c r="D2754">
        <v>13.75</v>
      </c>
      <c r="E2754">
        <v>41.5</v>
      </c>
      <c r="F2754" t="s">
        <v>9</v>
      </c>
      <c r="G27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54">
        <f>IF(Table1[[#This Row],[is_ups_overcharge]]="ups overcharged",Table1[[#This Row],[ups ship charge]]-Table1[[#This Row],[ada ship charge]],0)</f>
        <v>0</v>
      </c>
    </row>
    <row r="2755" spans="1:9" x14ac:dyDescent="0.2">
      <c r="A2755">
        <v>1037045</v>
      </c>
      <c r="B2755" t="s">
        <v>21</v>
      </c>
      <c r="C2755">
        <v>20.149999999999999</v>
      </c>
      <c r="D2755">
        <v>24.18</v>
      </c>
      <c r="E2755">
        <v>155.47999999999999</v>
      </c>
      <c r="F2755" t="s">
        <v>10</v>
      </c>
      <c r="G27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55">
        <f>IF(Table1[[#This Row],[is_ups_overcharge]]="ups overcharged",Table1[[#This Row],[ups ship charge]]-Table1[[#This Row],[ada ship charge]],0)</f>
        <v>0</v>
      </c>
    </row>
    <row r="2756" spans="1:9" x14ac:dyDescent="0.2">
      <c r="A2756">
        <v>1037050</v>
      </c>
      <c r="B2756" t="s">
        <v>21</v>
      </c>
      <c r="C2756">
        <v>13.7</v>
      </c>
      <c r="D2756">
        <v>13.75</v>
      </c>
      <c r="E2756">
        <v>47.9</v>
      </c>
      <c r="F2756" t="s">
        <v>9</v>
      </c>
      <c r="G27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56">
        <f>IF(Table1[[#This Row],[is_ups_overcharge]]="ups overcharged",Table1[[#This Row],[ups ship charge]]-Table1[[#This Row],[ada ship charge]],0)</f>
        <v>0</v>
      </c>
    </row>
    <row r="2757" spans="1:9" x14ac:dyDescent="0.2">
      <c r="A2757">
        <v>1037079</v>
      </c>
      <c r="B2757" t="s">
        <v>21</v>
      </c>
      <c r="C2757">
        <v>12.81</v>
      </c>
      <c r="D2757">
        <v>12.86</v>
      </c>
      <c r="E2757">
        <v>67.55</v>
      </c>
      <c r="F2757" t="s">
        <v>9</v>
      </c>
      <c r="G27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57">
        <f>IF(Table1[[#This Row],[is_ups_overcharge]]="ups overcharged",Table1[[#This Row],[ups ship charge]]-Table1[[#This Row],[ada ship charge]],0)</f>
        <v>0</v>
      </c>
    </row>
    <row r="2758" spans="1:9" x14ac:dyDescent="0.2">
      <c r="A2758">
        <v>1037098</v>
      </c>
      <c r="B2758" t="s">
        <v>21</v>
      </c>
      <c r="C2758">
        <v>12.75</v>
      </c>
      <c r="D2758">
        <v>12.86</v>
      </c>
      <c r="E2758">
        <v>39.950000000000003</v>
      </c>
      <c r="F2758" t="s">
        <v>9</v>
      </c>
      <c r="G27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58">
        <f>IF(Table1[[#This Row],[is_ups_overcharge]]="ups overcharged",Table1[[#This Row],[ups ship charge]]-Table1[[#This Row],[ada ship charge]],0)</f>
        <v>0</v>
      </c>
    </row>
    <row r="2759" spans="1:9" x14ac:dyDescent="0.2">
      <c r="A2759">
        <v>1037099</v>
      </c>
      <c r="B2759" t="s">
        <v>21</v>
      </c>
      <c r="C2759">
        <v>13.7</v>
      </c>
      <c r="D2759">
        <v>15.17</v>
      </c>
      <c r="E2759">
        <v>99.95</v>
      </c>
      <c r="F2759" t="s">
        <v>9</v>
      </c>
      <c r="G27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59">
        <f>IF(Table1[[#This Row],[is_ups_overcharge]]="ups overcharged",Table1[[#This Row],[ups ship charge]]-Table1[[#This Row],[ada ship charge]],0)</f>
        <v>0</v>
      </c>
    </row>
    <row r="2760" spans="1:9" x14ac:dyDescent="0.2">
      <c r="A2760">
        <v>1037115</v>
      </c>
      <c r="B2760" t="s">
        <v>21</v>
      </c>
      <c r="C2760">
        <v>13.7</v>
      </c>
      <c r="D2760">
        <v>13.75</v>
      </c>
      <c r="E2760">
        <v>41.9</v>
      </c>
      <c r="F2760" t="s">
        <v>9</v>
      </c>
      <c r="G27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60">
        <f>IF(Table1[[#This Row],[is_ups_overcharge]]="ups overcharged",Table1[[#This Row],[ups ship charge]]-Table1[[#This Row],[ada ship charge]],0)</f>
        <v>0</v>
      </c>
    </row>
    <row r="2761" spans="1:9" x14ac:dyDescent="0.2">
      <c r="A2761">
        <v>1037125</v>
      </c>
      <c r="B2761" t="s">
        <v>21</v>
      </c>
      <c r="C2761">
        <v>9.66</v>
      </c>
      <c r="D2761">
        <v>9.75</v>
      </c>
      <c r="E2761">
        <v>39.950000000000003</v>
      </c>
      <c r="F2761" t="s">
        <v>6</v>
      </c>
      <c r="G27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61">
        <f>IF(Table1[[#This Row],[is_ups_overcharge]]="ups overcharged",Table1[[#This Row],[ups ship charge]]-Table1[[#This Row],[ada ship charge]],0)</f>
        <v>0</v>
      </c>
    </row>
    <row r="2762" spans="1:9" x14ac:dyDescent="0.2">
      <c r="A2762">
        <v>1037128</v>
      </c>
      <c r="B2762" t="s">
        <v>21</v>
      </c>
      <c r="C2762">
        <v>12.81</v>
      </c>
      <c r="D2762">
        <v>12.86</v>
      </c>
      <c r="E2762">
        <v>133.15</v>
      </c>
      <c r="F2762" t="s">
        <v>9</v>
      </c>
      <c r="G27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62">
        <f>IF(Table1[[#This Row],[is_ups_overcharge]]="ups overcharged",Table1[[#This Row],[ups ship charge]]-Table1[[#This Row],[ada ship charge]],0)</f>
        <v>0</v>
      </c>
    </row>
    <row r="2763" spans="1:9" x14ac:dyDescent="0.2">
      <c r="A2763">
        <v>1037148</v>
      </c>
      <c r="B2763" t="s">
        <v>21</v>
      </c>
      <c r="C2763">
        <v>13.63</v>
      </c>
      <c r="D2763">
        <v>13.75</v>
      </c>
      <c r="E2763">
        <v>78.849999999999994</v>
      </c>
      <c r="F2763" t="s">
        <v>9</v>
      </c>
      <c r="G27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63">
        <f>IF(Table1[[#This Row],[is_ups_overcharge]]="ups overcharged",Table1[[#This Row],[ups ship charge]]-Table1[[#This Row],[ada ship charge]],0)</f>
        <v>0</v>
      </c>
    </row>
    <row r="2764" spans="1:9" x14ac:dyDescent="0.2">
      <c r="A2764">
        <v>1037149</v>
      </c>
      <c r="B2764" t="s">
        <v>21</v>
      </c>
      <c r="C2764">
        <v>13.64</v>
      </c>
      <c r="D2764">
        <v>14.2</v>
      </c>
      <c r="E2764">
        <v>77.7</v>
      </c>
      <c r="F2764" t="s">
        <v>9</v>
      </c>
      <c r="G27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64">
        <f>IF(Table1[[#This Row],[is_ups_overcharge]]="ups overcharged",Table1[[#This Row],[ups ship charge]]-Table1[[#This Row],[ada ship charge]],0)</f>
        <v>0</v>
      </c>
    </row>
    <row r="2765" spans="1:9" x14ac:dyDescent="0.2">
      <c r="A2765">
        <v>1037167</v>
      </c>
      <c r="B2765" t="s">
        <v>21</v>
      </c>
      <c r="C2765">
        <v>12.75</v>
      </c>
      <c r="D2765">
        <v>12.86</v>
      </c>
      <c r="E2765">
        <v>17.45</v>
      </c>
      <c r="F2765" t="s">
        <v>9</v>
      </c>
      <c r="G27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65">
        <f>IF(Table1[[#This Row],[is_ups_overcharge]]="ups overcharged",Table1[[#This Row],[ups ship charge]]-Table1[[#This Row],[ada ship charge]],0)</f>
        <v>0</v>
      </c>
    </row>
    <row r="2766" spans="1:9" x14ac:dyDescent="0.2">
      <c r="A2766">
        <v>1037183</v>
      </c>
      <c r="B2766" t="s">
        <v>21</v>
      </c>
      <c r="C2766">
        <v>13.64</v>
      </c>
      <c r="D2766">
        <v>13.75</v>
      </c>
      <c r="E2766">
        <v>125.4</v>
      </c>
      <c r="F2766" t="s">
        <v>9</v>
      </c>
      <c r="G27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66">
        <f>IF(Table1[[#This Row],[is_ups_overcharge]]="ups overcharged",Table1[[#This Row],[ups ship charge]]-Table1[[#This Row],[ada ship charge]],0)</f>
        <v>0</v>
      </c>
    </row>
    <row r="2767" spans="1:9" x14ac:dyDescent="0.2">
      <c r="A2767">
        <v>1037193</v>
      </c>
      <c r="B2767" t="s">
        <v>21</v>
      </c>
      <c r="C2767">
        <v>13.64</v>
      </c>
      <c r="D2767">
        <v>13.75</v>
      </c>
      <c r="E2767">
        <v>55.85</v>
      </c>
      <c r="F2767" t="s">
        <v>9</v>
      </c>
      <c r="G27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67">
        <f>IF(Table1[[#This Row],[is_ups_overcharge]]="ups overcharged",Table1[[#This Row],[ups ship charge]]-Table1[[#This Row],[ada ship charge]],0)</f>
        <v>0</v>
      </c>
    </row>
    <row r="2768" spans="1:9" x14ac:dyDescent="0.2">
      <c r="A2768">
        <v>1037196</v>
      </c>
      <c r="B2768" t="s">
        <v>21</v>
      </c>
      <c r="C2768">
        <v>12.75</v>
      </c>
      <c r="D2768">
        <v>12.86</v>
      </c>
      <c r="E2768">
        <v>47.9</v>
      </c>
      <c r="F2768" t="s">
        <v>9</v>
      </c>
      <c r="G27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68">
        <f>IF(Table1[[#This Row],[is_ups_overcharge]]="ups overcharged",Table1[[#This Row],[ups ship charge]]-Table1[[#This Row],[ada ship charge]],0)</f>
        <v>0</v>
      </c>
    </row>
    <row r="2769" spans="1:9" x14ac:dyDescent="0.2">
      <c r="A2769">
        <v>1037211</v>
      </c>
      <c r="B2769" t="s">
        <v>21</v>
      </c>
      <c r="C2769">
        <v>13.64</v>
      </c>
      <c r="D2769">
        <v>13.75</v>
      </c>
      <c r="E2769">
        <v>67.849999999999994</v>
      </c>
      <c r="F2769" t="s">
        <v>9</v>
      </c>
      <c r="G27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69">
        <f>IF(Table1[[#This Row],[is_ups_overcharge]]="ups overcharged",Table1[[#This Row],[ups ship charge]]-Table1[[#This Row],[ada ship charge]],0)</f>
        <v>0</v>
      </c>
    </row>
    <row r="2770" spans="1:9" x14ac:dyDescent="0.2">
      <c r="A2770">
        <v>1037240</v>
      </c>
      <c r="B2770" t="s">
        <v>21</v>
      </c>
      <c r="C2770">
        <v>12.75</v>
      </c>
      <c r="D2770">
        <v>12.86</v>
      </c>
      <c r="E2770">
        <v>44.95</v>
      </c>
      <c r="F2770" t="s">
        <v>9</v>
      </c>
      <c r="G27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70">
        <f>IF(Table1[[#This Row],[is_ups_overcharge]]="ups overcharged",Table1[[#This Row],[ups ship charge]]-Table1[[#This Row],[ada ship charge]],0)</f>
        <v>0</v>
      </c>
    </row>
    <row r="2771" spans="1:9" x14ac:dyDescent="0.2">
      <c r="A2771">
        <v>1037259</v>
      </c>
      <c r="B2771" t="s">
        <v>21</v>
      </c>
      <c r="C2771">
        <v>16.77</v>
      </c>
      <c r="D2771">
        <v>16.82</v>
      </c>
      <c r="E2771">
        <v>87.45</v>
      </c>
      <c r="F2771" t="s">
        <v>10</v>
      </c>
      <c r="G27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71">
        <f>IF(Table1[[#This Row],[is_ups_overcharge]]="ups overcharged",Table1[[#This Row],[ups ship charge]]-Table1[[#This Row],[ada ship charge]],0)</f>
        <v>0</v>
      </c>
    </row>
    <row r="2772" spans="1:9" x14ac:dyDescent="0.2">
      <c r="A2772">
        <v>1037268</v>
      </c>
      <c r="B2772" t="s">
        <v>21</v>
      </c>
      <c r="C2772">
        <v>120.64</v>
      </c>
      <c r="D2772">
        <v>122.6</v>
      </c>
      <c r="E2772">
        <v>804.57</v>
      </c>
      <c r="F2772" t="s">
        <v>11</v>
      </c>
      <c r="G27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72">
        <f>IF(Table1[[#This Row],[is_ups_overcharge]]="ups overcharged",Table1[[#This Row],[ups ship charge]]-Table1[[#This Row],[ada ship charge]],0)</f>
        <v>0</v>
      </c>
    </row>
    <row r="2773" spans="1:9" x14ac:dyDescent="0.2">
      <c r="A2773">
        <v>1037279</v>
      </c>
      <c r="B2773" t="s">
        <v>21</v>
      </c>
      <c r="C2773">
        <v>13.64</v>
      </c>
      <c r="D2773">
        <v>13.75</v>
      </c>
      <c r="E2773">
        <v>98.65</v>
      </c>
      <c r="F2773" t="s">
        <v>9</v>
      </c>
      <c r="G27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73">
        <f>IF(Table1[[#This Row],[is_ups_overcharge]]="ups overcharged",Table1[[#This Row],[ups ship charge]]-Table1[[#This Row],[ada ship charge]],0)</f>
        <v>0</v>
      </c>
    </row>
    <row r="2774" spans="1:9" x14ac:dyDescent="0.2">
      <c r="A2774">
        <v>1037290</v>
      </c>
      <c r="B2774" t="s">
        <v>21</v>
      </c>
      <c r="C2774">
        <v>12.75</v>
      </c>
      <c r="D2774">
        <v>12.86</v>
      </c>
      <c r="E2774">
        <v>9.9499999999999993</v>
      </c>
      <c r="F2774" t="s">
        <v>9</v>
      </c>
      <c r="G27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74">
        <f>IF(Table1[[#This Row],[is_ups_overcharge]]="ups overcharged",Table1[[#This Row],[ups ship charge]]-Table1[[#This Row],[ada ship charge]],0)</f>
        <v>0</v>
      </c>
    </row>
    <row r="2775" spans="1:9" x14ac:dyDescent="0.2">
      <c r="A2775">
        <v>1037291</v>
      </c>
      <c r="B2775" t="s">
        <v>21</v>
      </c>
      <c r="C2775">
        <v>12.75</v>
      </c>
      <c r="D2775">
        <v>12.86</v>
      </c>
      <c r="E2775">
        <v>29.95</v>
      </c>
      <c r="F2775" t="s">
        <v>9</v>
      </c>
      <c r="G27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75">
        <f>IF(Table1[[#This Row],[is_ups_overcharge]]="ups overcharged",Table1[[#This Row],[ups ship charge]]-Table1[[#This Row],[ada ship charge]],0)</f>
        <v>0</v>
      </c>
    </row>
    <row r="2776" spans="1:9" x14ac:dyDescent="0.2">
      <c r="A2776">
        <v>1037294</v>
      </c>
      <c r="B2776" t="s">
        <v>21</v>
      </c>
      <c r="C2776">
        <v>16.46</v>
      </c>
      <c r="D2776">
        <v>16.510000000000002</v>
      </c>
      <c r="E2776">
        <v>109.95</v>
      </c>
      <c r="F2776" t="s">
        <v>10</v>
      </c>
      <c r="G27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76">
        <f>IF(Table1[[#This Row],[is_ups_overcharge]]="ups overcharged",Table1[[#This Row],[ups ship charge]]-Table1[[#This Row],[ada ship charge]],0)</f>
        <v>0</v>
      </c>
    </row>
    <row r="2777" spans="1:9" x14ac:dyDescent="0.2">
      <c r="A2777">
        <v>1037314</v>
      </c>
      <c r="B2777" t="s">
        <v>21</v>
      </c>
      <c r="C2777">
        <v>16.87</v>
      </c>
      <c r="D2777">
        <v>16.920000000000002</v>
      </c>
      <c r="E2777">
        <v>43.6</v>
      </c>
      <c r="F2777" t="s">
        <v>10</v>
      </c>
      <c r="G27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77">
        <f>IF(Table1[[#This Row],[is_ups_overcharge]]="ups overcharged",Table1[[#This Row],[ups ship charge]]-Table1[[#This Row],[ada ship charge]],0)</f>
        <v>0</v>
      </c>
    </row>
    <row r="2778" spans="1:9" x14ac:dyDescent="0.2">
      <c r="A2778">
        <v>1037350</v>
      </c>
      <c r="B2778" t="s">
        <v>21</v>
      </c>
      <c r="C2778">
        <v>26.87</v>
      </c>
      <c r="D2778">
        <v>26.73</v>
      </c>
      <c r="E2778">
        <v>14.95</v>
      </c>
      <c r="F2778" t="s">
        <v>15</v>
      </c>
      <c r="G27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7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778">
        <f>IF(Table1[[#This Row],[is_ups_overcharge]]="ups overcharged",Table1[[#This Row],[ups ship charge]]-Table1[[#This Row],[ada ship charge]],0)</f>
        <v>0.14000000000000057</v>
      </c>
    </row>
    <row r="2779" spans="1:9" x14ac:dyDescent="0.2">
      <c r="A2779">
        <v>1037385</v>
      </c>
      <c r="B2779" t="s">
        <v>21</v>
      </c>
      <c r="C2779">
        <v>12.75</v>
      </c>
      <c r="D2779">
        <v>12.8</v>
      </c>
      <c r="E2779">
        <v>46.4</v>
      </c>
      <c r="F2779" t="s">
        <v>9</v>
      </c>
      <c r="G27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79">
        <f>IF(Table1[[#This Row],[is_ups_overcharge]]="ups overcharged",Table1[[#This Row],[ups ship charge]]-Table1[[#This Row],[ada ship charge]],0)</f>
        <v>0</v>
      </c>
    </row>
    <row r="2780" spans="1:9" x14ac:dyDescent="0.2">
      <c r="A2780">
        <v>1037395</v>
      </c>
      <c r="B2780" t="s">
        <v>21</v>
      </c>
      <c r="C2780">
        <v>13.64</v>
      </c>
      <c r="D2780">
        <v>13.69</v>
      </c>
      <c r="E2780">
        <v>15.55</v>
      </c>
      <c r="F2780" t="s">
        <v>9</v>
      </c>
      <c r="G27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80">
        <f>IF(Table1[[#This Row],[is_ups_overcharge]]="ups overcharged",Table1[[#This Row],[ups ship charge]]-Table1[[#This Row],[ada ship charge]],0)</f>
        <v>0</v>
      </c>
    </row>
    <row r="2781" spans="1:9" x14ac:dyDescent="0.2">
      <c r="A2781">
        <v>1037399</v>
      </c>
      <c r="B2781" t="s">
        <v>21</v>
      </c>
      <c r="C2781">
        <v>12.75</v>
      </c>
      <c r="D2781">
        <v>12.8</v>
      </c>
      <c r="E2781">
        <v>91.95</v>
      </c>
      <c r="F2781" t="s">
        <v>9</v>
      </c>
      <c r="G27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81">
        <f>IF(Table1[[#This Row],[is_ups_overcharge]]="ups overcharged",Table1[[#This Row],[ups ship charge]]-Table1[[#This Row],[ada ship charge]],0)</f>
        <v>0</v>
      </c>
    </row>
    <row r="2782" spans="1:9" x14ac:dyDescent="0.2">
      <c r="A2782">
        <v>1037400</v>
      </c>
      <c r="B2782" t="s">
        <v>21</v>
      </c>
      <c r="C2782">
        <v>12.75</v>
      </c>
      <c r="D2782">
        <v>12.8</v>
      </c>
      <c r="E2782">
        <v>60.4</v>
      </c>
      <c r="F2782" t="s">
        <v>9</v>
      </c>
      <c r="G27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82">
        <f>IF(Table1[[#This Row],[is_ups_overcharge]]="ups overcharged",Table1[[#This Row],[ups ship charge]]-Table1[[#This Row],[ada ship charge]],0)</f>
        <v>0</v>
      </c>
    </row>
    <row r="2783" spans="1:9" x14ac:dyDescent="0.2">
      <c r="A2783">
        <v>1037401</v>
      </c>
      <c r="B2783" t="s">
        <v>21</v>
      </c>
      <c r="C2783">
        <v>12.81</v>
      </c>
      <c r="D2783">
        <v>12.8</v>
      </c>
      <c r="E2783">
        <v>31.9</v>
      </c>
      <c r="F2783" t="s">
        <v>9</v>
      </c>
      <c r="G27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83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783">
        <f>IF(Table1[[#This Row],[is_ups_overcharge]]="ups overcharged",Table1[[#This Row],[ups ship charge]]-Table1[[#This Row],[ada ship charge]],0)</f>
        <v>9.9999999999997868E-3</v>
      </c>
    </row>
    <row r="2784" spans="1:9" x14ac:dyDescent="0.2">
      <c r="A2784">
        <v>1037404</v>
      </c>
      <c r="B2784" t="s">
        <v>21</v>
      </c>
      <c r="C2784">
        <v>16.46</v>
      </c>
      <c r="D2784">
        <v>16.39</v>
      </c>
      <c r="E2784">
        <v>119.85</v>
      </c>
      <c r="F2784" t="s">
        <v>10</v>
      </c>
      <c r="G27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8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784">
        <f>IF(Table1[[#This Row],[is_ups_overcharge]]="ups overcharged",Table1[[#This Row],[ups ship charge]]-Table1[[#This Row],[ada ship charge]],0)</f>
        <v>7.0000000000000284E-2</v>
      </c>
    </row>
    <row r="2785" spans="1:9" x14ac:dyDescent="0.2">
      <c r="A2785">
        <v>1037408</v>
      </c>
      <c r="B2785" t="s">
        <v>21</v>
      </c>
      <c r="C2785">
        <v>9.66</v>
      </c>
      <c r="D2785">
        <v>9.7100000000000009</v>
      </c>
      <c r="E2785">
        <v>44.65</v>
      </c>
      <c r="F2785" t="s">
        <v>6</v>
      </c>
      <c r="G27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85">
        <f>IF(Table1[[#This Row],[is_ups_overcharge]]="ups overcharged",Table1[[#This Row],[ups ship charge]]-Table1[[#This Row],[ada ship charge]],0)</f>
        <v>0</v>
      </c>
    </row>
    <row r="2786" spans="1:9" x14ac:dyDescent="0.2">
      <c r="A2786">
        <v>1037414</v>
      </c>
      <c r="B2786" t="s">
        <v>21</v>
      </c>
      <c r="C2786">
        <v>9.7100000000000009</v>
      </c>
      <c r="D2786">
        <v>9.6999999999999993</v>
      </c>
      <c r="E2786">
        <v>34.950000000000003</v>
      </c>
      <c r="F2786" t="s">
        <v>6</v>
      </c>
      <c r="G27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86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786">
        <f>IF(Table1[[#This Row],[is_ups_overcharge]]="ups overcharged",Table1[[#This Row],[ups ship charge]]-Table1[[#This Row],[ada ship charge]],0)</f>
        <v>1.0000000000001563E-2</v>
      </c>
    </row>
    <row r="2787" spans="1:9" x14ac:dyDescent="0.2">
      <c r="A2787">
        <v>1037417</v>
      </c>
      <c r="B2787" t="s">
        <v>21</v>
      </c>
      <c r="C2787">
        <v>24.87</v>
      </c>
      <c r="D2787">
        <v>24.74</v>
      </c>
      <c r="E2787">
        <v>164.85</v>
      </c>
      <c r="F2787" t="s">
        <v>15</v>
      </c>
      <c r="G27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87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787">
        <f>IF(Table1[[#This Row],[is_ups_overcharge]]="ups overcharged",Table1[[#This Row],[ups ship charge]]-Table1[[#This Row],[ada ship charge]],0)</f>
        <v>0.13000000000000256</v>
      </c>
    </row>
    <row r="2788" spans="1:9" x14ac:dyDescent="0.2">
      <c r="A2788">
        <v>1037418</v>
      </c>
      <c r="B2788" t="s">
        <v>21</v>
      </c>
      <c r="C2788">
        <v>12.75</v>
      </c>
      <c r="D2788">
        <v>12.8</v>
      </c>
      <c r="E2788">
        <v>26.45</v>
      </c>
      <c r="F2788" t="s">
        <v>9</v>
      </c>
      <c r="G27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88">
        <f>IF(Table1[[#This Row],[is_ups_overcharge]]="ups overcharged",Table1[[#This Row],[ups ship charge]]-Table1[[#This Row],[ada ship charge]],0)</f>
        <v>0</v>
      </c>
    </row>
    <row r="2789" spans="1:9" x14ac:dyDescent="0.2">
      <c r="A2789">
        <v>1037426</v>
      </c>
      <c r="B2789" t="s">
        <v>21</v>
      </c>
      <c r="C2789">
        <v>13.83</v>
      </c>
      <c r="D2789">
        <v>14.21</v>
      </c>
      <c r="E2789">
        <v>155.55000000000001</v>
      </c>
      <c r="F2789" t="s">
        <v>9</v>
      </c>
      <c r="G27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89">
        <f>IF(Table1[[#This Row],[is_ups_overcharge]]="ups overcharged",Table1[[#This Row],[ups ship charge]]-Table1[[#This Row],[ada ship charge]],0)</f>
        <v>0</v>
      </c>
    </row>
    <row r="2790" spans="1:9" x14ac:dyDescent="0.2">
      <c r="A2790">
        <v>1037430</v>
      </c>
      <c r="B2790" t="s">
        <v>21</v>
      </c>
      <c r="C2790">
        <v>12.75</v>
      </c>
      <c r="D2790">
        <v>12.8</v>
      </c>
      <c r="E2790">
        <v>82.6</v>
      </c>
      <c r="F2790" t="s">
        <v>9</v>
      </c>
      <c r="G27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90">
        <f>IF(Table1[[#This Row],[is_ups_overcharge]]="ups overcharged",Table1[[#This Row],[ups ship charge]]-Table1[[#This Row],[ada ship charge]],0)</f>
        <v>0</v>
      </c>
    </row>
    <row r="2791" spans="1:9" x14ac:dyDescent="0.2">
      <c r="A2791">
        <v>1037434</v>
      </c>
      <c r="B2791" t="s">
        <v>21</v>
      </c>
      <c r="C2791">
        <v>12.75</v>
      </c>
      <c r="D2791">
        <v>12.8</v>
      </c>
      <c r="E2791">
        <v>91.35</v>
      </c>
      <c r="F2791" t="s">
        <v>9</v>
      </c>
      <c r="G27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91">
        <f>IF(Table1[[#This Row],[is_ups_overcharge]]="ups overcharged",Table1[[#This Row],[ups ship charge]]-Table1[[#This Row],[ada ship charge]],0)</f>
        <v>0</v>
      </c>
    </row>
    <row r="2792" spans="1:9" x14ac:dyDescent="0.2">
      <c r="A2792">
        <v>1037439</v>
      </c>
      <c r="B2792" t="s">
        <v>21</v>
      </c>
      <c r="C2792">
        <v>12.75</v>
      </c>
      <c r="D2792">
        <v>12.8</v>
      </c>
      <c r="E2792">
        <v>23.95</v>
      </c>
      <c r="F2792" t="s">
        <v>9</v>
      </c>
      <c r="G27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92">
        <f>IF(Table1[[#This Row],[is_ups_overcharge]]="ups overcharged",Table1[[#This Row],[ups ship charge]]-Table1[[#This Row],[ada ship charge]],0)</f>
        <v>0</v>
      </c>
    </row>
    <row r="2793" spans="1:9" x14ac:dyDescent="0.2">
      <c r="A2793">
        <v>1037449</v>
      </c>
      <c r="B2793" t="s">
        <v>21</v>
      </c>
      <c r="C2793">
        <v>9.65</v>
      </c>
      <c r="D2793">
        <v>9.6999999999999993</v>
      </c>
      <c r="E2793">
        <v>55.8</v>
      </c>
      <c r="F2793" t="s">
        <v>6</v>
      </c>
      <c r="G27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93">
        <f>IF(Table1[[#This Row],[is_ups_overcharge]]="ups overcharged",Table1[[#This Row],[ups ship charge]]-Table1[[#This Row],[ada ship charge]],0)</f>
        <v>0</v>
      </c>
    </row>
    <row r="2794" spans="1:9" x14ac:dyDescent="0.2">
      <c r="A2794">
        <v>1037456</v>
      </c>
      <c r="B2794" t="s">
        <v>21</v>
      </c>
      <c r="C2794">
        <v>12.75</v>
      </c>
      <c r="D2794">
        <v>12.8</v>
      </c>
      <c r="E2794">
        <v>49.9</v>
      </c>
      <c r="F2794" t="s">
        <v>9</v>
      </c>
      <c r="G27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94">
        <f>IF(Table1[[#This Row],[is_ups_overcharge]]="ups overcharged",Table1[[#This Row],[ups ship charge]]-Table1[[#This Row],[ada ship charge]],0)</f>
        <v>0</v>
      </c>
    </row>
    <row r="2795" spans="1:9" x14ac:dyDescent="0.2">
      <c r="A2795">
        <v>1037466</v>
      </c>
      <c r="B2795" t="s">
        <v>21</v>
      </c>
      <c r="C2795">
        <v>12.75</v>
      </c>
      <c r="D2795">
        <v>12.8</v>
      </c>
      <c r="E2795">
        <v>49.9</v>
      </c>
      <c r="F2795" t="s">
        <v>9</v>
      </c>
      <c r="G27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95">
        <f>IF(Table1[[#This Row],[is_ups_overcharge]]="ups overcharged",Table1[[#This Row],[ups ship charge]]-Table1[[#This Row],[ada ship charge]],0)</f>
        <v>0</v>
      </c>
    </row>
    <row r="2796" spans="1:9" x14ac:dyDescent="0.2">
      <c r="A2796">
        <v>1037477</v>
      </c>
      <c r="B2796" t="s">
        <v>21</v>
      </c>
      <c r="C2796">
        <v>15.33</v>
      </c>
      <c r="D2796">
        <v>15.38</v>
      </c>
      <c r="E2796">
        <v>73.400000000000006</v>
      </c>
      <c r="F2796" t="s">
        <v>12</v>
      </c>
      <c r="G27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96">
        <f>IF(Table1[[#This Row],[is_ups_overcharge]]="ups overcharged",Table1[[#This Row],[ups ship charge]]-Table1[[#This Row],[ada ship charge]],0)</f>
        <v>0</v>
      </c>
    </row>
    <row r="2797" spans="1:9" x14ac:dyDescent="0.2">
      <c r="A2797">
        <v>1037478</v>
      </c>
      <c r="B2797" t="s">
        <v>21</v>
      </c>
      <c r="C2797">
        <v>12.75</v>
      </c>
      <c r="D2797">
        <v>12.8</v>
      </c>
      <c r="E2797">
        <v>1.5</v>
      </c>
      <c r="F2797" t="s">
        <v>9</v>
      </c>
      <c r="G27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97">
        <f>IF(Table1[[#This Row],[is_ups_overcharge]]="ups overcharged",Table1[[#This Row],[ups ship charge]]-Table1[[#This Row],[ada ship charge]],0)</f>
        <v>0</v>
      </c>
    </row>
    <row r="2798" spans="1:9" x14ac:dyDescent="0.2">
      <c r="A2798">
        <v>1037488</v>
      </c>
      <c r="B2798" t="s">
        <v>21</v>
      </c>
      <c r="C2798">
        <v>13.64</v>
      </c>
      <c r="D2798">
        <v>13.69</v>
      </c>
      <c r="E2798">
        <v>40.9</v>
      </c>
      <c r="F2798" t="s">
        <v>9</v>
      </c>
      <c r="G27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98">
        <f>IF(Table1[[#This Row],[is_ups_overcharge]]="ups overcharged",Table1[[#This Row],[ups ship charge]]-Table1[[#This Row],[ada ship charge]],0)</f>
        <v>0</v>
      </c>
    </row>
    <row r="2799" spans="1:9" x14ac:dyDescent="0.2">
      <c r="A2799">
        <v>1037513</v>
      </c>
      <c r="B2799" t="s">
        <v>21</v>
      </c>
      <c r="C2799">
        <v>13.64</v>
      </c>
      <c r="D2799">
        <v>13.69</v>
      </c>
      <c r="E2799">
        <v>67.7</v>
      </c>
      <c r="F2799" t="s">
        <v>9</v>
      </c>
      <c r="G27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7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799">
        <f>IF(Table1[[#This Row],[is_ups_overcharge]]="ups overcharged",Table1[[#This Row],[ups ship charge]]-Table1[[#This Row],[ada ship charge]],0)</f>
        <v>0</v>
      </c>
    </row>
    <row r="2800" spans="1:9" x14ac:dyDescent="0.2">
      <c r="A2800">
        <v>1037518</v>
      </c>
      <c r="B2800" t="s">
        <v>21</v>
      </c>
      <c r="C2800">
        <v>15.33</v>
      </c>
      <c r="D2800">
        <v>15.38</v>
      </c>
      <c r="E2800">
        <v>117.35</v>
      </c>
      <c r="F2800" t="s">
        <v>12</v>
      </c>
      <c r="G28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00">
        <f>IF(Table1[[#This Row],[is_ups_overcharge]]="ups overcharged",Table1[[#This Row],[ups ship charge]]-Table1[[#This Row],[ada ship charge]],0)</f>
        <v>0</v>
      </c>
    </row>
    <row r="2801" spans="1:9" x14ac:dyDescent="0.2">
      <c r="A2801">
        <v>1037534</v>
      </c>
      <c r="B2801" t="s">
        <v>21</v>
      </c>
      <c r="C2801">
        <v>13.64</v>
      </c>
      <c r="D2801">
        <v>13.69</v>
      </c>
      <c r="E2801">
        <v>5</v>
      </c>
      <c r="F2801" t="s">
        <v>9</v>
      </c>
      <c r="G28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01">
        <f>IF(Table1[[#This Row],[is_ups_overcharge]]="ups overcharged",Table1[[#This Row],[ups ship charge]]-Table1[[#This Row],[ada ship charge]],0)</f>
        <v>0</v>
      </c>
    </row>
    <row r="2802" spans="1:9" x14ac:dyDescent="0.2">
      <c r="A2802">
        <v>1037546</v>
      </c>
      <c r="B2802" t="s">
        <v>21</v>
      </c>
      <c r="C2802">
        <v>12.75</v>
      </c>
      <c r="D2802">
        <v>12.8</v>
      </c>
      <c r="E2802">
        <v>15</v>
      </c>
      <c r="F2802" t="s">
        <v>9</v>
      </c>
      <c r="G28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02">
        <f>IF(Table1[[#This Row],[is_ups_overcharge]]="ups overcharged",Table1[[#This Row],[ups ship charge]]-Table1[[#This Row],[ada ship charge]],0)</f>
        <v>0</v>
      </c>
    </row>
    <row r="2803" spans="1:9" x14ac:dyDescent="0.2">
      <c r="A2803">
        <v>1037551</v>
      </c>
      <c r="B2803" t="s">
        <v>21</v>
      </c>
      <c r="C2803">
        <v>12.75</v>
      </c>
      <c r="D2803">
        <v>12.8</v>
      </c>
      <c r="E2803">
        <v>32.65</v>
      </c>
      <c r="F2803" t="s">
        <v>9</v>
      </c>
      <c r="G28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03">
        <f>IF(Table1[[#This Row],[is_ups_overcharge]]="ups overcharged",Table1[[#This Row],[ups ship charge]]-Table1[[#This Row],[ada ship charge]],0)</f>
        <v>0</v>
      </c>
    </row>
    <row r="2804" spans="1:9" x14ac:dyDescent="0.2">
      <c r="A2804">
        <v>1037560</v>
      </c>
      <c r="B2804" t="s">
        <v>21</v>
      </c>
      <c r="C2804">
        <v>16.34</v>
      </c>
      <c r="D2804">
        <v>16.39</v>
      </c>
      <c r="E2804">
        <v>49.85</v>
      </c>
      <c r="F2804" t="s">
        <v>10</v>
      </c>
      <c r="G28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04">
        <f>IF(Table1[[#This Row],[is_ups_overcharge]]="ups overcharged",Table1[[#This Row],[ups ship charge]]-Table1[[#This Row],[ada ship charge]],0)</f>
        <v>0</v>
      </c>
    </row>
    <row r="2805" spans="1:9" x14ac:dyDescent="0.2">
      <c r="A2805">
        <v>1037571</v>
      </c>
      <c r="B2805" t="s">
        <v>21</v>
      </c>
      <c r="C2805">
        <v>13.63</v>
      </c>
      <c r="D2805">
        <v>14.7</v>
      </c>
      <c r="E2805">
        <v>59.95</v>
      </c>
      <c r="F2805" t="s">
        <v>9</v>
      </c>
      <c r="G28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05">
        <f>IF(Table1[[#This Row],[is_ups_overcharge]]="ups overcharged",Table1[[#This Row],[ups ship charge]]-Table1[[#This Row],[ada ship charge]],0)</f>
        <v>0</v>
      </c>
    </row>
    <row r="2806" spans="1:9" x14ac:dyDescent="0.2">
      <c r="A2806">
        <v>1037586</v>
      </c>
      <c r="B2806" t="s">
        <v>21</v>
      </c>
      <c r="C2806">
        <v>9.65</v>
      </c>
      <c r="D2806">
        <v>9.6999999999999993</v>
      </c>
      <c r="E2806">
        <v>15.85</v>
      </c>
      <c r="F2806" t="s">
        <v>6</v>
      </c>
      <c r="G28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06">
        <f>IF(Table1[[#This Row],[is_ups_overcharge]]="ups overcharged",Table1[[#This Row],[ups ship charge]]-Table1[[#This Row],[ada ship charge]],0)</f>
        <v>0</v>
      </c>
    </row>
    <row r="2807" spans="1:9" x14ac:dyDescent="0.2">
      <c r="A2807">
        <v>1037595</v>
      </c>
      <c r="B2807" t="s">
        <v>21</v>
      </c>
      <c r="C2807">
        <v>13.64</v>
      </c>
      <c r="D2807">
        <v>13.69</v>
      </c>
      <c r="E2807">
        <v>46.7</v>
      </c>
      <c r="F2807" t="s">
        <v>9</v>
      </c>
      <c r="G28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07">
        <f>IF(Table1[[#This Row],[is_ups_overcharge]]="ups overcharged",Table1[[#This Row],[ups ship charge]]-Table1[[#This Row],[ada ship charge]],0)</f>
        <v>0</v>
      </c>
    </row>
    <row r="2808" spans="1:9" x14ac:dyDescent="0.2">
      <c r="A2808">
        <v>1037606</v>
      </c>
      <c r="B2808" t="s">
        <v>21</v>
      </c>
      <c r="C2808">
        <v>12.75</v>
      </c>
      <c r="D2808">
        <v>12.8</v>
      </c>
      <c r="E2808">
        <v>33.950000000000003</v>
      </c>
      <c r="F2808" t="s">
        <v>9</v>
      </c>
      <c r="G28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08">
        <f>IF(Table1[[#This Row],[is_ups_overcharge]]="ups overcharged",Table1[[#This Row],[ups ship charge]]-Table1[[#This Row],[ada ship charge]],0)</f>
        <v>0</v>
      </c>
    </row>
    <row r="2809" spans="1:9" x14ac:dyDescent="0.2">
      <c r="A2809">
        <v>1037624</v>
      </c>
      <c r="B2809" t="s">
        <v>21</v>
      </c>
      <c r="C2809">
        <v>16.649999999999999</v>
      </c>
      <c r="D2809">
        <v>16.7</v>
      </c>
      <c r="E2809">
        <v>25.95</v>
      </c>
      <c r="F2809" t="s">
        <v>10</v>
      </c>
      <c r="G28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09">
        <f>IF(Table1[[#This Row],[is_ups_overcharge]]="ups overcharged",Table1[[#This Row],[ups ship charge]]-Table1[[#This Row],[ada ship charge]],0)</f>
        <v>0</v>
      </c>
    </row>
    <row r="2810" spans="1:9" x14ac:dyDescent="0.2">
      <c r="A2810">
        <v>1037629</v>
      </c>
      <c r="B2810" t="s">
        <v>21</v>
      </c>
      <c r="C2810">
        <v>13.64</v>
      </c>
      <c r="D2810">
        <v>13.69</v>
      </c>
      <c r="E2810">
        <v>62.85</v>
      </c>
      <c r="F2810" t="s">
        <v>9</v>
      </c>
      <c r="G28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10">
        <f>IF(Table1[[#This Row],[is_ups_overcharge]]="ups overcharged",Table1[[#This Row],[ups ship charge]]-Table1[[#This Row],[ada ship charge]],0)</f>
        <v>0</v>
      </c>
    </row>
    <row r="2811" spans="1:9" x14ac:dyDescent="0.2">
      <c r="A2811">
        <v>1037633</v>
      </c>
      <c r="B2811" t="s">
        <v>21</v>
      </c>
      <c r="C2811">
        <v>13.64</v>
      </c>
      <c r="D2811">
        <v>13.69</v>
      </c>
      <c r="E2811">
        <v>120.8</v>
      </c>
      <c r="F2811" t="s">
        <v>9</v>
      </c>
      <c r="G28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11">
        <f>IF(Table1[[#This Row],[is_ups_overcharge]]="ups overcharged",Table1[[#This Row],[ups ship charge]]-Table1[[#This Row],[ada ship charge]],0)</f>
        <v>0</v>
      </c>
    </row>
    <row r="2812" spans="1:9" x14ac:dyDescent="0.2">
      <c r="A2812">
        <v>1037634</v>
      </c>
      <c r="B2812" t="s">
        <v>21</v>
      </c>
      <c r="C2812">
        <v>9.65</v>
      </c>
      <c r="D2812">
        <v>9.7100000000000009</v>
      </c>
      <c r="E2812">
        <v>46.85</v>
      </c>
      <c r="F2812" t="s">
        <v>6</v>
      </c>
      <c r="G28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12">
        <f>IF(Table1[[#This Row],[is_ups_overcharge]]="ups overcharged",Table1[[#This Row],[ups ship charge]]-Table1[[#This Row],[ada ship charge]],0)</f>
        <v>0</v>
      </c>
    </row>
    <row r="2813" spans="1:9" x14ac:dyDescent="0.2">
      <c r="A2813">
        <v>1037641</v>
      </c>
      <c r="B2813" t="s">
        <v>21</v>
      </c>
      <c r="C2813">
        <v>16.59</v>
      </c>
      <c r="D2813">
        <v>16.64</v>
      </c>
      <c r="E2813">
        <v>118</v>
      </c>
      <c r="F2813" t="s">
        <v>12</v>
      </c>
      <c r="G28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13">
        <f>IF(Table1[[#This Row],[is_ups_overcharge]]="ups overcharged",Table1[[#This Row],[ups ship charge]]-Table1[[#This Row],[ada ship charge]],0)</f>
        <v>0</v>
      </c>
    </row>
    <row r="2814" spans="1:9" x14ac:dyDescent="0.2">
      <c r="A2814">
        <v>1037656</v>
      </c>
      <c r="B2814" t="s">
        <v>21</v>
      </c>
      <c r="C2814">
        <v>15.32</v>
      </c>
      <c r="D2814">
        <v>15.38</v>
      </c>
      <c r="E2814">
        <v>34.9</v>
      </c>
      <c r="F2814" t="s">
        <v>12</v>
      </c>
      <c r="G28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14">
        <f>IF(Table1[[#This Row],[is_ups_overcharge]]="ups overcharged",Table1[[#This Row],[ups ship charge]]-Table1[[#This Row],[ada ship charge]],0)</f>
        <v>0</v>
      </c>
    </row>
    <row r="2815" spans="1:9" x14ac:dyDescent="0.2">
      <c r="A2815">
        <v>1037657</v>
      </c>
      <c r="B2815" t="s">
        <v>21</v>
      </c>
      <c r="C2815">
        <v>13.64</v>
      </c>
      <c r="D2815">
        <v>13.69</v>
      </c>
      <c r="E2815">
        <v>44.1</v>
      </c>
      <c r="F2815" t="s">
        <v>9</v>
      </c>
      <c r="G28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15">
        <f>IF(Table1[[#This Row],[is_ups_overcharge]]="ups overcharged",Table1[[#This Row],[ups ship charge]]-Table1[[#This Row],[ada ship charge]],0)</f>
        <v>0</v>
      </c>
    </row>
    <row r="2816" spans="1:9" x14ac:dyDescent="0.2">
      <c r="A2816">
        <v>1037659</v>
      </c>
      <c r="B2816" t="s">
        <v>21</v>
      </c>
      <c r="C2816">
        <v>9.65</v>
      </c>
      <c r="D2816">
        <v>9.6999999999999993</v>
      </c>
      <c r="E2816">
        <v>143.55000000000001</v>
      </c>
      <c r="F2816" t="s">
        <v>6</v>
      </c>
      <c r="G28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16">
        <f>IF(Table1[[#This Row],[is_ups_overcharge]]="ups overcharged",Table1[[#This Row],[ups ship charge]]-Table1[[#This Row],[ada ship charge]],0)</f>
        <v>0</v>
      </c>
    </row>
    <row r="2817" spans="1:9" x14ac:dyDescent="0.2">
      <c r="A2817">
        <v>1037680</v>
      </c>
      <c r="B2817" t="s">
        <v>21</v>
      </c>
      <c r="C2817">
        <v>19.14</v>
      </c>
      <c r="D2817">
        <v>16.64</v>
      </c>
      <c r="E2817">
        <v>168.9</v>
      </c>
      <c r="F2817" t="s">
        <v>12</v>
      </c>
      <c r="G28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17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817">
        <f>IF(Table1[[#This Row],[is_ups_overcharge]]="ups overcharged",Table1[[#This Row],[ups ship charge]]-Table1[[#This Row],[ada ship charge]],0)</f>
        <v>2.5</v>
      </c>
    </row>
    <row r="2818" spans="1:9" x14ac:dyDescent="0.2">
      <c r="A2818">
        <v>1037682</v>
      </c>
      <c r="B2818" t="s">
        <v>21</v>
      </c>
      <c r="C2818">
        <v>13.64</v>
      </c>
      <c r="D2818">
        <v>13.69</v>
      </c>
      <c r="E2818">
        <v>8.9499999999999993</v>
      </c>
      <c r="F2818" t="s">
        <v>9</v>
      </c>
      <c r="G28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18">
        <f>IF(Table1[[#This Row],[is_ups_overcharge]]="ups overcharged",Table1[[#This Row],[ups ship charge]]-Table1[[#This Row],[ada ship charge]],0)</f>
        <v>0</v>
      </c>
    </row>
    <row r="2819" spans="1:9" x14ac:dyDescent="0.2">
      <c r="A2819">
        <v>1037692</v>
      </c>
      <c r="B2819" t="s">
        <v>21</v>
      </c>
      <c r="C2819">
        <v>13.64</v>
      </c>
      <c r="D2819">
        <v>13.68</v>
      </c>
      <c r="E2819">
        <v>36.75</v>
      </c>
      <c r="F2819" t="s">
        <v>9</v>
      </c>
      <c r="G28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19">
        <f>IF(Table1[[#This Row],[is_ups_overcharge]]="ups overcharged",Table1[[#This Row],[ups ship charge]]-Table1[[#This Row],[ada ship charge]],0)</f>
        <v>0</v>
      </c>
    </row>
    <row r="2820" spans="1:9" x14ac:dyDescent="0.2">
      <c r="A2820">
        <v>1037713</v>
      </c>
      <c r="B2820" t="s">
        <v>21</v>
      </c>
      <c r="C2820">
        <v>13.64</v>
      </c>
      <c r="D2820">
        <v>13.69</v>
      </c>
      <c r="E2820">
        <v>38.35</v>
      </c>
      <c r="F2820" t="s">
        <v>9</v>
      </c>
      <c r="G28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20">
        <f>IF(Table1[[#This Row],[is_ups_overcharge]]="ups overcharged",Table1[[#This Row],[ups ship charge]]-Table1[[#This Row],[ada ship charge]],0)</f>
        <v>0</v>
      </c>
    </row>
    <row r="2821" spans="1:9" x14ac:dyDescent="0.2">
      <c r="A2821">
        <v>1037718</v>
      </c>
      <c r="B2821" t="s">
        <v>21</v>
      </c>
      <c r="C2821">
        <v>15.02</v>
      </c>
      <c r="D2821">
        <v>15.07</v>
      </c>
      <c r="E2821">
        <v>49.35</v>
      </c>
      <c r="F2821" t="s">
        <v>12</v>
      </c>
      <c r="G28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21">
        <f>IF(Table1[[#This Row],[is_ups_overcharge]]="ups overcharged",Table1[[#This Row],[ups ship charge]]-Table1[[#This Row],[ada ship charge]],0)</f>
        <v>0</v>
      </c>
    </row>
    <row r="2822" spans="1:9" x14ac:dyDescent="0.2">
      <c r="A2822">
        <v>1037719</v>
      </c>
      <c r="B2822" t="s">
        <v>21</v>
      </c>
      <c r="C2822">
        <v>13.64</v>
      </c>
      <c r="D2822">
        <v>13.69</v>
      </c>
      <c r="E2822">
        <v>8</v>
      </c>
      <c r="F2822" t="s">
        <v>9</v>
      </c>
      <c r="G28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22">
        <f>IF(Table1[[#This Row],[is_ups_overcharge]]="ups overcharged",Table1[[#This Row],[ups ship charge]]-Table1[[#This Row],[ada ship charge]],0)</f>
        <v>0</v>
      </c>
    </row>
    <row r="2823" spans="1:9" x14ac:dyDescent="0.2">
      <c r="A2823">
        <v>1037758</v>
      </c>
      <c r="B2823" t="s">
        <v>21</v>
      </c>
      <c r="C2823">
        <v>12.75</v>
      </c>
      <c r="D2823">
        <v>12.8</v>
      </c>
      <c r="E2823">
        <v>74.55</v>
      </c>
      <c r="F2823" t="s">
        <v>9</v>
      </c>
      <c r="G28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23">
        <f>IF(Table1[[#This Row],[is_ups_overcharge]]="ups overcharged",Table1[[#This Row],[ups ship charge]]-Table1[[#This Row],[ada ship charge]],0)</f>
        <v>0</v>
      </c>
    </row>
    <row r="2824" spans="1:9" x14ac:dyDescent="0.2">
      <c r="A2824">
        <v>1037786</v>
      </c>
      <c r="B2824" t="s">
        <v>21</v>
      </c>
      <c r="C2824">
        <v>13.64</v>
      </c>
      <c r="D2824">
        <v>13.69</v>
      </c>
      <c r="E2824">
        <v>124.5</v>
      </c>
      <c r="F2824" t="s">
        <v>9</v>
      </c>
      <c r="G28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24">
        <f>IF(Table1[[#This Row],[is_ups_overcharge]]="ups overcharged",Table1[[#This Row],[ups ship charge]]-Table1[[#This Row],[ada ship charge]],0)</f>
        <v>0</v>
      </c>
    </row>
    <row r="2825" spans="1:9" x14ac:dyDescent="0.2">
      <c r="A2825">
        <v>1037802</v>
      </c>
      <c r="B2825" t="s">
        <v>21</v>
      </c>
      <c r="C2825">
        <v>9.66</v>
      </c>
      <c r="D2825">
        <v>12.8</v>
      </c>
      <c r="E2825">
        <v>15.8</v>
      </c>
      <c r="F2825" t="s">
        <v>6</v>
      </c>
      <c r="G28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25">
        <f>IF(Table1[[#This Row],[is_ups_overcharge]]="ups overcharged",Table1[[#This Row],[ups ship charge]]-Table1[[#This Row],[ada ship charge]],0)</f>
        <v>0</v>
      </c>
    </row>
    <row r="2826" spans="1:9" x14ac:dyDescent="0.2">
      <c r="A2826">
        <v>1037814</v>
      </c>
      <c r="B2826" t="s">
        <v>21</v>
      </c>
      <c r="C2826">
        <v>16.649999999999999</v>
      </c>
      <c r="D2826">
        <v>16.690000000000001</v>
      </c>
      <c r="E2826">
        <v>54.65</v>
      </c>
      <c r="F2826" t="s">
        <v>10</v>
      </c>
      <c r="G28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26">
        <f>IF(Table1[[#This Row],[is_ups_overcharge]]="ups overcharged",Table1[[#This Row],[ups ship charge]]-Table1[[#This Row],[ada ship charge]],0)</f>
        <v>0</v>
      </c>
    </row>
    <row r="2827" spans="1:9" x14ac:dyDescent="0.2">
      <c r="A2827">
        <v>1037819</v>
      </c>
      <c r="B2827" t="s">
        <v>21</v>
      </c>
      <c r="C2827">
        <v>16.649999999999999</v>
      </c>
      <c r="D2827">
        <v>16.7</v>
      </c>
      <c r="E2827">
        <v>23.9</v>
      </c>
      <c r="F2827" t="s">
        <v>10</v>
      </c>
      <c r="G28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27">
        <f>IF(Table1[[#This Row],[is_ups_overcharge]]="ups overcharged",Table1[[#This Row],[ups ship charge]]-Table1[[#This Row],[ada ship charge]],0)</f>
        <v>0</v>
      </c>
    </row>
    <row r="2828" spans="1:9" x14ac:dyDescent="0.2">
      <c r="A2828">
        <v>1037831</v>
      </c>
      <c r="B2828" t="s">
        <v>21</v>
      </c>
      <c r="C2828">
        <v>13.64</v>
      </c>
      <c r="D2828">
        <v>13.75</v>
      </c>
      <c r="E2828">
        <v>21</v>
      </c>
      <c r="F2828" t="s">
        <v>9</v>
      </c>
      <c r="G28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28">
        <f>IF(Table1[[#This Row],[is_ups_overcharge]]="ups overcharged",Table1[[#This Row],[ups ship charge]]-Table1[[#This Row],[ada ship charge]],0)</f>
        <v>0</v>
      </c>
    </row>
    <row r="2829" spans="1:9" x14ac:dyDescent="0.2">
      <c r="A2829">
        <v>1037851</v>
      </c>
      <c r="B2829" t="s">
        <v>21</v>
      </c>
      <c r="C2829">
        <v>16.64</v>
      </c>
      <c r="D2829">
        <v>16.82</v>
      </c>
      <c r="E2829">
        <v>22.4</v>
      </c>
      <c r="F2829" t="s">
        <v>10</v>
      </c>
      <c r="G28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29">
        <f>IF(Table1[[#This Row],[is_ups_overcharge]]="ups overcharged",Table1[[#This Row],[ups ship charge]]-Table1[[#This Row],[ada ship charge]],0)</f>
        <v>0</v>
      </c>
    </row>
    <row r="2830" spans="1:9" x14ac:dyDescent="0.2">
      <c r="A2830">
        <v>1037870</v>
      </c>
      <c r="B2830" t="s">
        <v>21</v>
      </c>
      <c r="C2830">
        <v>12.75</v>
      </c>
      <c r="D2830">
        <v>12.86</v>
      </c>
      <c r="E2830">
        <v>9.9499999999999993</v>
      </c>
      <c r="F2830" t="s">
        <v>9</v>
      </c>
      <c r="G28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30">
        <f>IF(Table1[[#This Row],[is_ups_overcharge]]="ups overcharged",Table1[[#This Row],[ups ship charge]]-Table1[[#This Row],[ada ship charge]],0)</f>
        <v>0</v>
      </c>
    </row>
    <row r="2831" spans="1:9" x14ac:dyDescent="0.2">
      <c r="A2831">
        <v>1037874</v>
      </c>
      <c r="B2831" t="s">
        <v>21</v>
      </c>
      <c r="C2831">
        <v>16.649999999999999</v>
      </c>
      <c r="D2831">
        <v>16.82</v>
      </c>
      <c r="E2831">
        <v>12.5</v>
      </c>
      <c r="F2831" t="s">
        <v>10</v>
      </c>
      <c r="G28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31">
        <f>IF(Table1[[#This Row],[is_ups_overcharge]]="ups overcharged",Table1[[#This Row],[ups ship charge]]-Table1[[#This Row],[ada ship charge]],0)</f>
        <v>0</v>
      </c>
    </row>
    <row r="2832" spans="1:9" x14ac:dyDescent="0.2">
      <c r="A2832">
        <v>1037896</v>
      </c>
      <c r="B2832" t="s">
        <v>21</v>
      </c>
      <c r="C2832">
        <v>9.65</v>
      </c>
      <c r="D2832">
        <v>9.7899999999999991</v>
      </c>
      <c r="E2832">
        <v>51.35</v>
      </c>
      <c r="F2832" t="s">
        <v>6</v>
      </c>
      <c r="G28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32">
        <f>IF(Table1[[#This Row],[is_ups_overcharge]]="ups overcharged",Table1[[#This Row],[ups ship charge]]-Table1[[#This Row],[ada ship charge]],0)</f>
        <v>0</v>
      </c>
    </row>
    <row r="2833" spans="1:9" x14ac:dyDescent="0.2">
      <c r="A2833">
        <v>1037913</v>
      </c>
      <c r="B2833" t="s">
        <v>21</v>
      </c>
      <c r="C2833">
        <v>16.34</v>
      </c>
      <c r="D2833">
        <v>16.510000000000002</v>
      </c>
      <c r="E2833">
        <v>32.85</v>
      </c>
      <c r="F2833" t="s">
        <v>10</v>
      </c>
      <c r="G28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33">
        <f>IF(Table1[[#This Row],[is_ups_overcharge]]="ups overcharged",Table1[[#This Row],[ups ship charge]]-Table1[[#This Row],[ada ship charge]],0)</f>
        <v>0</v>
      </c>
    </row>
    <row r="2834" spans="1:9" x14ac:dyDescent="0.2">
      <c r="A2834">
        <v>1037917</v>
      </c>
      <c r="B2834" t="s">
        <v>21</v>
      </c>
      <c r="C2834">
        <v>13.64</v>
      </c>
      <c r="D2834">
        <v>13.75</v>
      </c>
      <c r="E2834">
        <v>67.150000000000006</v>
      </c>
      <c r="F2834" t="s">
        <v>9</v>
      </c>
      <c r="G28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34">
        <f>IF(Table1[[#This Row],[is_ups_overcharge]]="ups overcharged",Table1[[#This Row],[ups ship charge]]-Table1[[#This Row],[ada ship charge]],0)</f>
        <v>0</v>
      </c>
    </row>
    <row r="2835" spans="1:9" x14ac:dyDescent="0.2">
      <c r="A2835">
        <v>1037932</v>
      </c>
      <c r="B2835" t="s">
        <v>21</v>
      </c>
      <c r="C2835">
        <v>13.64</v>
      </c>
      <c r="D2835">
        <v>13.75</v>
      </c>
      <c r="E2835">
        <v>19.95</v>
      </c>
      <c r="F2835" t="s">
        <v>9</v>
      </c>
      <c r="G28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35">
        <f>IF(Table1[[#This Row],[is_ups_overcharge]]="ups overcharged",Table1[[#This Row],[ups ship charge]]-Table1[[#This Row],[ada ship charge]],0)</f>
        <v>0</v>
      </c>
    </row>
    <row r="2836" spans="1:9" x14ac:dyDescent="0.2">
      <c r="A2836">
        <v>1037937</v>
      </c>
      <c r="B2836" t="s">
        <v>21</v>
      </c>
      <c r="C2836">
        <v>15.33</v>
      </c>
      <c r="D2836">
        <v>15.49</v>
      </c>
      <c r="E2836">
        <v>37.299999999999997</v>
      </c>
      <c r="F2836" t="s">
        <v>12</v>
      </c>
      <c r="G28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36">
        <f>IF(Table1[[#This Row],[is_ups_overcharge]]="ups overcharged",Table1[[#This Row],[ups ship charge]]-Table1[[#This Row],[ada ship charge]],0)</f>
        <v>0</v>
      </c>
    </row>
    <row r="2837" spans="1:9" x14ac:dyDescent="0.2">
      <c r="A2837">
        <v>1037957</v>
      </c>
      <c r="B2837" t="s">
        <v>21</v>
      </c>
      <c r="C2837">
        <v>13.64</v>
      </c>
      <c r="D2837">
        <v>13.76</v>
      </c>
      <c r="E2837">
        <v>50.65</v>
      </c>
      <c r="F2837" t="s">
        <v>9</v>
      </c>
      <c r="G28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37">
        <f>IF(Table1[[#This Row],[is_ups_overcharge]]="ups overcharged",Table1[[#This Row],[ups ship charge]]-Table1[[#This Row],[ada ship charge]],0)</f>
        <v>0</v>
      </c>
    </row>
    <row r="2838" spans="1:9" x14ac:dyDescent="0.2">
      <c r="A2838">
        <v>1037964</v>
      </c>
      <c r="B2838" t="s">
        <v>21</v>
      </c>
      <c r="C2838">
        <v>13.64</v>
      </c>
      <c r="D2838">
        <v>13.75</v>
      </c>
      <c r="E2838">
        <v>67.7</v>
      </c>
      <c r="F2838" t="s">
        <v>9</v>
      </c>
      <c r="G28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38">
        <f>IF(Table1[[#This Row],[is_ups_overcharge]]="ups overcharged",Table1[[#This Row],[ups ship charge]]-Table1[[#This Row],[ada ship charge]],0)</f>
        <v>0</v>
      </c>
    </row>
    <row r="2839" spans="1:9" x14ac:dyDescent="0.2">
      <c r="A2839">
        <v>1037968</v>
      </c>
      <c r="B2839" t="s">
        <v>21</v>
      </c>
      <c r="C2839">
        <v>13.64</v>
      </c>
      <c r="D2839">
        <v>13.75</v>
      </c>
      <c r="E2839">
        <v>7.95</v>
      </c>
      <c r="F2839" t="s">
        <v>9</v>
      </c>
      <c r="G28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39">
        <f>IF(Table1[[#This Row],[is_ups_overcharge]]="ups overcharged",Table1[[#This Row],[ups ship charge]]-Table1[[#This Row],[ada ship charge]],0)</f>
        <v>0</v>
      </c>
    </row>
    <row r="2840" spans="1:9" x14ac:dyDescent="0.2">
      <c r="A2840">
        <v>1037970</v>
      </c>
      <c r="B2840" t="s">
        <v>21</v>
      </c>
      <c r="C2840">
        <v>12.75</v>
      </c>
      <c r="D2840">
        <v>12.86</v>
      </c>
      <c r="E2840">
        <v>21.85</v>
      </c>
      <c r="F2840" t="s">
        <v>9</v>
      </c>
      <c r="G28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40">
        <f>IF(Table1[[#This Row],[is_ups_overcharge]]="ups overcharged",Table1[[#This Row],[ups ship charge]]-Table1[[#This Row],[ada ship charge]],0)</f>
        <v>0</v>
      </c>
    </row>
    <row r="2841" spans="1:9" x14ac:dyDescent="0.2">
      <c r="A2841">
        <v>1037986</v>
      </c>
      <c r="B2841" t="s">
        <v>21</v>
      </c>
      <c r="C2841">
        <v>18.32</v>
      </c>
      <c r="D2841">
        <v>18.510000000000002</v>
      </c>
      <c r="E2841">
        <v>59.55</v>
      </c>
      <c r="F2841" t="s">
        <v>15</v>
      </c>
      <c r="G28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41">
        <f>IF(Table1[[#This Row],[is_ups_overcharge]]="ups overcharged",Table1[[#This Row],[ups ship charge]]-Table1[[#This Row],[ada ship charge]],0)</f>
        <v>0</v>
      </c>
    </row>
    <row r="2842" spans="1:9" x14ac:dyDescent="0.2">
      <c r="A2842">
        <v>1037997</v>
      </c>
      <c r="B2842" t="s">
        <v>21</v>
      </c>
      <c r="C2842">
        <v>12.75</v>
      </c>
      <c r="D2842">
        <v>12.86</v>
      </c>
      <c r="E2842">
        <v>65.8</v>
      </c>
      <c r="F2842" t="s">
        <v>9</v>
      </c>
      <c r="G28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42">
        <f>IF(Table1[[#This Row],[is_ups_overcharge]]="ups overcharged",Table1[[#This Row],[ups ship charge]]-Table1[[#This Row],[ada ship charge]],0)</f>
        <v>0</v>
      </c>
    </row>
    <row r="2843" spans="1:9" x14ac:dyDescent="0.2">
      <c r="A2843">
        <v>1038027</v>
      </c>
      <c r="B2843" t="s">
        <v>21</v>
      </c>
      <c r="C2843">
        <v>9.65</v>
      </c>
      <c r="D2843">
        <v>9.75</v>
      </c>
      <c r="E2843">
        <v>34.9</v>
      </c>
      <c r="F2843" t="s">
        <v>6</v>
      </c>
      <c r="G28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43">
        <f>IF(Table1[[#This Row],[is_ups_overcharge]]="ups overcharged",Table1[[#This Row],[ups ship charge]]-Table1[[#This Row],[ada ship charge]],0)</f>
        <v>0</v>
      </c>
    </row>
    <row r="2844" spans="1:9" x14ac:dyDescent="0.2">
      <c r="A2844">
        <v>1038034</v>
      </c>
      <c r="B2844" t="s">
        <v>21</v>
      </c>
      <c r="C2844">
        <v>12.75</v>
      </c>
      <c r="D2844">
        <v>12.86</v>
      </c>
      <c r="E2844">
        <v>45.2</v>
      </c>
      <c r="F2844" t="s">
        <v>9</v>
      </c>
      <c r="G28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44">
        <f>IF(Table1[[#This Row],[is_ups_overcharge]]="ups overcharged",Table1[[#This Row],[ups ship charge]]-Table1[[#This Row],[ada ship charge]],0)</f>
        <v>0</v>
      </c>
    </row>
    <row r="2845" spans="1:9" x14ac:dyDescent="0.2">
      <c r="A2845">
        <v>1038038</v>
      </c>
      <c r="B2845" t="s">
        <v>21</v>
      </c>
      <c r="C2845">
        <v>13.64</v>
      </c>
      <c r="D2845">
        <v>13.75</v>
      </c>
      <c r="E2845">
        <v>96.7</v>
      </c>
      <c r="F2845" t="s">
        <v>9</v>
      </c>
      <c r="G28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45">
        <f>IF(Table1[[#This Row],[is_ups_overcharge]]="ups overcharged",Table1[[#This Row],[ups ship charge]]-Table1[[#This Row],[ada ship charge]],0)</f>
        <v>0</v>
      </c>
    </row>
    <row r="2846" spans="1:9" x14ac:dyDescent="0.2">
      <c r="A2846">
        <v>1038074</v>
      </c>
      <c r="B2846" t="s">
        <v>21</v>
      </c>
      <c r="C2846">
        <v>9.66</v>
      </c>
      <c r="D2846">
        <v>9.75</v>
      </c>
      <c r="E2846">
        <v>8</v>
      </c>
      <c r="F2846" t="s">
        <v>6</v>
      </c>
      <c r="G28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46">
        <f>IF(Table1[[#This Row],[is_ups_overcharge]]="ups overcharged",Table1[[#This Row],[ups ship charge]]-Table1[[#This Row],[ada ship charge]],0)</f>
        <v>0</v>
      </c>
    </row>
    <row r="2847" spans="1:9" x14ac:dyDescent="0.2">
      <c r="A2847">
        <v>1038089</v>
      </c>
      <c r="B2847" t="s">
        <v>21</v>
      </c>
      <c r="C2847">
        <v>15.33</v>
      </c>
      <c r="D2847">
        <v>15.49</v>
      </c>
      <c r="E2847">
        <v>125.55</v>
      </c>
      <c r="F2847" t="s">
        <v>12</v>
      </c>
      <c r="G28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47">
        <f>IF(Table1[[#This Row],[is_ups_overcharge]]="ups overcharged",Table1[[#This Row],[ups ship charge]]-Table1[[#This Row],[ada ship charge]],0)</f>
        <v>0</v>
      </c>
    </row>
    <row r="2848" spans="1:9" x14ac:dyDescent="0.2">
      <c r="A2848">
        <v>1038108</v>
      </c>
      <c r="B2848" t="s">
        <v>21</v>
      </c>
      <c r="C2848">
        <v>9.65</v>
      </c>
      <c r="D2848">
        <v>9.76</v>
      </c>
      <c r="E2848">
        <v>13.85</v>
      </c>
      <c r="F2848" t="s">
        <v>6</v>
      </c>
      <c r="G28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48">
        <f>IF(Table1[[#This Row],[is_ups_overcharge]]="ups overcharged",Table1[[#This Row],[ups ship charge]]-Table1[[#This Row],[ada ship charge]],0)</f>
        <v>0</v>
      </c>
    </row>
    <row r="2849" spans="1:9" x14ac:dyDescent="0.2">
      <c r="A2849">
        <v>1038116</v>
      </c>
      <c r="B2849" t="s">
        <v>21</v>
      </c>
      <c r="C2849">
        <v>13.64</v>
      </c>
      <c r="D2849">
        <v>13.76</v>
      </c>
      <c r="E2849">
        <v>89.9</v>
      </c>
      <c r="F2849" t="s">
        <v>9</v>
      </c>
      <c r="G28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49">
        <f>IF(Table1[[#This Row],[is_ups_overcharge]]="ups overcharged",Table1[[#This Row],[ups ship charge]]-Table1[[#This Row],[ada ship charge]],0)</f>
        <v>0</v>
      </c>
    </row>
    <row r="2850" spans="1:9" x14ac:dyDescent="0.2">
      <c r="A2850">
        <v>1038117</v>
      </c>
      <c r="B2850" t="s">
        <v>21</v>
      </c>
      <c r="C2850">
        <v>15.02</v>
      </c>
      <c r="D2850">
        <v>15.18</v>
      </c>
      <c r="E2850">
        <v>59.8</v>
      </c>
      <c r="F2850" t="s">
        <v>12</v>
      </c>
      <c r="G28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50">
        <f>IF(Table1[[#This Row],[is_ups_overcharge]]="ups overcharged",Table1[[#This Row],[ups ship charge]]-Table1[[#This Row],[ada ship charge]],0)</f>
        <v>0</v>
      </c>
    </row>
    <row r="2851" spans="1:9" x14ac:dyDescent="0.2">
      <c r="A2851">
        <v>1038121</v>
      </c>
      <c r="B2851" t="s">
        <v>21</v>
      </c>
      <c r="C2851">
        <v>12.75</v>
      </c>
      <c r="D2851">
        <v>12.86</v>
      </c>
      <c r="E2851">
        <v>17.8</v>
      </c>
      <c r="F2851" t="s">
        <v>9</v>
      </c>
      <c r="G28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51">
        <f>IF(Table1[[#This Row],[is_ups_overcharge]]="ups overcharged",Table1[[#This Row],[ups ship charge]]-Table1[[#This Row],[ada ship charge]],0)</f>
        <v>0</v>
      </c>
    </row>
    <row r="2852" spans="1:9" x14ac:dyDescent="0.2">
      <c r="A2852">
        <v>1038149</v>
      </c>
      <c r="B2852" t="s">
        <v>21</v>
      </c>
      <c r="C2852">
        <v>12.75</v>
      </c>
      <c r="D2852">
        <v>12.86</v>
      </c>
      <c r="E2852">
        <v>71.5</v>
      </c>
      <c r="F2852" t="s">
        <v>9</v>
      </c>
      <c r="G28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52">
        <f>IF(Table1[[#This Row],[is_ups_overcharge]]="ups overcharged",Table1[[#This Row],[ups ship charge]]-Table1[[#This Row],[ada ship charge]],0)</f>
        <v>0</v>
      </c>
    </row>
    <row r="2853" spans="1:9" x14ac:dyDescent="0.2">
      <c r="A2853">
        <v>1038151</v>
      </c>
      <c r="B2853" t="s">
        <v>21</v>
      </c>
      <c r="C2853">
        <v>13.64</v>
      </c>
      <c r="D2853">
        <v>13.76</v>
      </c>
      <c r="E2853">
        <v>59.55</v>
      </c>
      <c r="F2853" t="s">
        <v>9</v>
      </c>
      <c r="G28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53">
        <f>IF(Table1[[#This Row],[is_ups_overcharge]]="ups overcharged",Table1[[#This Row],[ups ship charge]]-Table1[[#This Row],[ada ship charge]],0)</f>
        <v>0</v>
      </c>
    </row>
    <row r="2854" spans="1:9" x14ac:dyDescent="0.2">
      <c r="A2854">
        <v>1038189</v>
      </c>
      <c r="B2854" t="s">
        <v>21</v>
      </c>
      <c r="C2854">
        <v>18.59</v>
      </c>
      <c r="D2854">
        <v>20.5</v>
      </c>
      <c r="E2854">
        <v>85</v>
      </c>
      <c r="F2854" t="s">
        <v>10</v>
      </c>
      <c r="G28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54">
        <f>IF(Table1[[#This Row],[is_ups_overcharge]]="ups overcharged",Table1[[#This Row],[ups ship charge]]-Table1[[#This Row],[ada ship charge]],0)</f>
        <v>0</v>
      </c>
    </row>
    <row r="2855" spans="1:9" x14ac:dyDescent="0.2">
      <c r="A2855">
        <v>1038193</v>
      </c>
      <c r="B2855" t="s">
        <v>21</v>
      </c>
      <c r="C2855">
        <v>9.66</v>
      </c>
      <c r="D2855">
        <v>9.75</v>
      </c>
      <c r="E2855">
        <v>7.95</v>
      </c>
      <c r="F2855" t="s">
        <v>6</v>
      </c>
      <c r="G28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55">
        <f>IF(Table1[[#This Row],[is_ups_overcharge]]="ups overcharged",Table1[[#This Row],[ups ship charge]]-Table1[[#This Row],[ada ship charge]],0)</f>
        <v>0</v>
      </c>
    </row>
    <row r="2856" spans="1:9" x14ac:dyDescent="0.2">
      <c r="A2856">
        <v>1038197</v>
      </c>
      <c r="B2856" t="s">
        <v>21</v>
      </c>
      <c r="C2856">
        <v>13.64</v>
      </c>
      <c r="D2856">
        <v>13.75</v>
      </c>
      <c r="E2856">
        <v>54.9</v>
      </c>
      <c r="F2856" t="s">
        <v>9</v>
      </c>
      <c r="G28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56">
        <f>IF(Table1[[#This Row],[is_ups_overcharge]]="ups overcharged",Table1[[#This Row],[ups ship charge]]-Table1[[#This Row],[ada ship charge]],0)</f>
        <v>0</v>
      </c>
    </row>
    <row r="2857" spans="1:9" x14ac:dyDescent="0.2">
      <c r="A2857">
        <v>1038202</v>
      </c>
      <c r="B2857" t="s">
        <v>21</v>
      </c>
      <c r="C2857">
        <v>15.02</v>
      </c>
      <c r="D2857">
        <v>15.18</v>
      </c>
      <c r="E2857">
        <v>4.95</v>
      </c>
      <c r="F2857" t="s">
        <v>12</v>
      </c>
      <c r="G28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57">
        <f>IF(Table1[[#This Row],[is_ups_overcharge]]="ups overcharged",Table1[[#This Row],[ups ship charge]]-Table1[[#This Row],[ada ship charge]],0)</f>
        <v>0</v>
      </c>
    </row>
    <row r="2858" spans="1:9" x14ac:dyDescent="0.2">
      <c r="A2858">
        <v>1038285</v>
      </c>
      <c r="B2858" t="s">
        <v>21</v>
      </c>
      <c r="C2858">
        <v>16.649999999999999</v>
      </c>
      <c r="D2858">
        <v>16.82</v>
      </c>
      <c r="E2858">
        <v>58.1</v>
      </c>
      <c r="F2858" t="s">
        <v>10</v>
      </c>
      <c r="G28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58">
        <f>IF(Table1[[#This Row],[is_ups_overcharge]]="ups overcharged",Table1[[#This Row],[ups ship charge]]-Table1[[#This Row],[ada ship charge]],0)</f>
        <v>0</v>
      </c>
    </row>
    <row r="2859" spans="1:9" x14ac:dyDescent="0.2">
      <c r="A2859">
        <v>1038299</v>
      </c>
      <c r="B2859" t="s">
        <v>21</v>
      </c>
      <c r="C2859">
        <v>58.59</v>
      </c>
      <c r="D2859">
        <v>59.07</v>
      </c>
      <c r="E2859">
        <v>189.15</v>
      </c>
      <c r="F2859" t="s">
        <v>8</v>
      </c>
      <c r="G28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59">
        <f>IF(Table1[[#This Row],[is_ups_overcharge]]="ups overcharged",Table1[[#This Row],[ups ship charge]]-Table1[[#This Row],[ada ship charge]],0)</f>
        <v>0</v>
      </c>
    </row>
    <row r="2860" spans="1:9" x14ac:dyDescent="0.2">
      <c r="A2860">
        <v>1038312</v>
      </c>
      <c r="B2860" t="s">
        <v>21</v>
      </c>
      <c r="C2860">
        <v>13.64</v>
      </c>
      <c r="D2860">
        <v>13.75</v>
      </c>
      <c r="E2860">
        <v>19.95</v>
      </c>
      <c r="F2860" t="s">
        <v>9</v>
      </c>
      <c r="G28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60">
        <f>IF(Table1[[#This Row],[is_ups_overcharge]]="ups overcharged",Table1[[#This Row],[ups ship charge]]-Table1[[#This Row],[ada ship charge]],0)</f>
        <v>0</v>
      </c>
    </row>
    <row r="2861" spans="1:9" x14ac:dyDescent="0.2">
      <c r="A2861">
        <v>1038320</v>
      </c>
      <c r="B2861" t="s">
        <v>21</v>
      </c>
      <c r="C2861">
        <v>13.64</v>
      </c>
      <c r="D2861">
        <v>13.75</v>
      </c>
      <c r="E2861">
        <v>62.35</v>
      </c>
      <c r="F2861" t="s">
        <v>9</v>
      </c>
      <c r="G28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61">
        <f>IF(Table1[[#This Row],[is_ups_overcharge]]="ups overcharged",Table1[[#This Row],[ups ship charge]]-Table1[[#This Row],[ada ship charge]],0)</f>
        <v>0</v>
      </c>
    </row>
    <row r="2862" spans="1:9" x14ac:dyDescent="0.2">
      <c r="A2862">
        <v>1038331</v>
      </c>
      <c r="B2862" t="s">
        <v>21</v>
      </c>
      <c r="C2862">
        <v>12.75</v>
      </c>
      <c r="D2862">
        <v>12.86</v>
      </c>
      <c r="E2862">
        <v>14.95</v>
      </c>
      <c r="F2862" t="s">
        <v>9</v>
      </c>
      <c r="G28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62">
        <f>IF(Table1[[#This Row],[is_ups_overcharge]]="ups overcharged",Table1[[#This Row],[ups ship charge]]-Table1[[#This Row],[ada ship charge]],0)</f>
        <v>0</v>
      </c>
    </row>
    <row r="2863" spans="1:9" x14ac:dyDescent="0.2">
      <c r="A2863">
        <v>1038354</v>
      </c>
      <c r="B2863" t="s">
        <v>21</v>
      </c>
      <c r="C2863">
        <v>13.64</v>
      </c>
      <c r="D2863">
        <v>13.75</v>
      </c>
      <c r="E2863">
        <v>38.85</v>
      </c>
      <c r="F2863" t="s">
        <v>9</v>
      </c>
      <c r="G28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63">
        <f>IF(Table1[[#This Row],[is_ups_overcharge]]="ups overcharged",Table1[[#This Row],[ups ship charge]]-Table1[[#This Row],[ada ship charge]],0)</f>
        <v>0</v>
      </c>
    </row>
    <row r="2864" spans="1:9" x14ac:dyDescent="0.2">
      <c r="A2864">
        <v>1038361</v>
      </c>
      <c r="B2864" t="s">
        <v>21</v>
      </c>
      <c r="C2864">
        <v>16.649999999999999</v>
      </c>
      <c r="D2864">
        <v>16.82</v>
      </c>
      <c r="E2864">
        <v>25.5</v>
      </c>
      <c r="F2864" t="s">
        <v>10</v>
      </c>
      <c r="G28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64">
        <f>IF(Table1[[#This Row],[is_ups_overcharge]]="ups overcharged",Table1[[#This Row],[ups ship charge]]-Table1[[#This Row],[ada ship charge]],0)</f>
        <v>0</v>
      </c>
    </row>
    <row r="2865" spans="1:9" x14ac:dyDescent="0.2">
      <c r="A2865">
        <v>1038375</v>
      </c>
      <c r="B2865" t="s">
        <v>21</v>
      </c>
      <c r="C2865">
        <v>13.64</v>
      </c>
      <c r="D2865">
        <v>13.75</v>
      </c>
      <c r="E2865">
        <v>10.85</v>
      </c>
      <c r="F2865" t="s">
        <v>9</v>
      </c>
      <c r="G28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65">
        <f>IF(Table1[[#This Row],[is_ups_overcharge]]="ups overcharged",Table1[[#This Row],[ups ship charge]]-Table1[[#This Row],[ada ship charge]],0)</f>
        <v>0</v>
      </c>
    </row>
    <row r="2866" spans="1:9" x14ac:dyDescent="0.2">
      <c r="A2866">
        <v>1038411</v>
      </c>
      <c r="B2866" t="s">
        <v>21</v>
      </c>
      <c r="C2866">
        <v>12.26</v>
      </c>
      <c r="D2866">
        <v>16.82</v>
      </c>
      <c r="E2866">
        <v>27.8</v>
      </c>
      <c r="F2866" t="s">
        <v>13</v>
      </c>
      <c r="G28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66">
        <f>IF(Table1[[#This Row],[is_ups_overcharge]]="ups overcharged",Table1[[#This Row],[ups ship charge]]-Table1[[#This Row],[ada ship charge]],0)</f>
        <v>0</v>
      </c>
    </row>
    <row r="2867" spans="1:9" x14ac:dyDescent="0.2">
      <c r="A2867">
        <v>1038417</v>
      </c>
      <c r="B2867" t="s">
        <v>21</v>
      </c>
      <c r="C2867">
        <v>13.63</v>
      </c>
      <c r="D2867">
        <v>13.75</v>
      </c>
      <c r="E2867">
        <v>69.8</v>
      </c>
      <c r="F2867" t="s">
        <v>9</v>
      </c>
      <c r="G28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67">
        <f>IF(Table1[[#This Row],[is_ups_overcharge]]="ups overcharged",Table1[[#This Row],[ups ship charge]]-Table1[[#This Row],[ada ship charge]],0)</f>
        <v>0</v>
      </c>
    </row>
    <row r="2868" spans="1:9" x14ac:dyDescent="0.2">
      <c r="A2868">
        <v>1038419</v>
      </c>
      <c r="B2868" t="s">
        <v>21</v>
      </c>
      <c r="C2868">
        <v>13.94</v>
      </c>
      <c r="D2868">
        <v>14.09</v>
      </c>
      <c r="E2868">
        <v>75.75</v>
      </c>
      <c r="F2868" t="s">
        <v>16</v>
      </c>
      <c r="G28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68">
        <f>IF(Table1[[#This Row],[is_ups_overcharge]]="ups overcharged",Table1[[#This Row],[ups ship charge]]-Table1[[#This Row],[ada ship charge]],0)</f>
        <v>0</v>
      </c>
    </row>
    <row r="2869" spans="1:9" x14ac:dyDescent="0.2">
      <c r="A2869">
        <v>1038448</v>
      </c>
      <c r="B2869" t="s">
        <v>21</v>
      </c>
      <c r="C2869">
        <v>12.75</v>
      </c>
      <c r="D2869">
        <v>12.8</v>
      </c>
      <c r="E2869">
        <v>9.9499999999999993</v>
      </c>
      <c r="F2869" t="s">
        <v>9</v>
      </c>
      <c r="G28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69">
        <f>IF(Table1[[#This Row],[is_ups_overcharge]]="ups overcharged",Table1[[#This Row],[ups ship charge]]-Table1[[#This Row],[ada ship charge]],0)</f>
        <v>0</v>
      </c>
    </row>
    <row r="2870" spans="1:9" x14ac:dyDescent="0.2">
      <c r="A2870">
        <v>1038511</v>
      </c>
      <c r="B2870" t="s">
        <v>21</v>
      </c>
      <c r="C2870">
        <v>15.02</v>
      </c>
      <c r="D2870">
        <v>15.07</v>
      </c>
      <c r="E2870">
        <v>34.85</v>
      </c>
      <c r="F2870" t="s">
        <v>12</v>
      </c>
      <c r="G28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70">
        <f>IF(Table1[[#This Row],[is_ups_overcharge]]="ups overcharged",Table1[[#This Row],[ups ship charge]]-Table1[[#This Row],[ada ship charge]],0)</f>
        <v>0</v>
      </c>
    </row>
    <row r="2871" spans="1:9" x14ac:dyDescent="0.2">
      <c r="A2871">
        <v>1038515</v>
      </c>
      <c r="B2871" t="s">
        <v>21</v>
      </c>
      <c r="C2871">
        <v>64.930000000000007</v>
      </c>
      <c r="D2871">
        <v>79.81</v>
      </c>
      <c r="E2871">
        <v>53.4</v>
      </c>
      <c r="F2871" t="s">
        <v>8</v>
      </c>
      <c r="G28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71">
        <f>IF(Table1[[#This Row],[is_ups_overcharge]]="ups overcharged",Table1[[#This Row],[ups ship charge]]-Table1[[#This Row],[ada ship charge]],0)</f>
        <v>0</v>
      </c>
    </row>
    <row r="2872" spans="1:9" x14ac:dyDescent="0.2">
      <c r="A2872">
        <v>1038536</v>
      </c>
      <c r="B2872" t="s">
        <v>21</v>
      </c>
      <c r="C2872">
        <v>12.75</v>
      </c>
      <c r="D2872">
        <v>12.8</v>
      </c>
      <c r="E2872">
        <v>60.15</v>
      </c>
      <c r="F2872" t="s">
        <v>9</v>
      </c>
      <c r="G28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72">
        <f>IF(Table1[[#This Row],[is_ups_overcharge]]="ups overcharged",Table1[[#This Row],[ups ship charge]]-Table1[[#This Row],[ada ship charge]],0)</f>
        <v>0</v>
      </c>
    </row>
    <row r="2873" spans="1:9" x14ac:dyDescent="0.2">
      <c r="A2873">
        <v>1038563</v>
      </c>
      <c r="B2873" t="s">
        <v>21</v>
      </c>
      <c r="C2873">
        <v>13.64</v>
      </c>
      <c r="D2873">
        <v>13.69</v>
      </c>
      <c r="E2873">
        <v>19.899999999999999</v>
      </c>
      <c r="F2873" t="s">
        <v>9</v>
      </c>
      <c r="G28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73">
        <f>IF(Table1[[#This Row],[is_ups_overcharge]]="ups overcharged",Table1[[#This Row],[ups ship charge]]-Table1[[#This Row],[ada ship charge]],0)</f>
        <v>0</v>
      </c>
    </row>
    <row r="2874" spans="1:9" x14ac:dyDescent="0.2">
      <c r="A2874">
        <v>1038567</v>
      </c>
      <c r="B2874" t="s">
        <v>21</v>
      </c>
      <c r="C2874">
        <v>12.75</v>
      </c>
      <c r="D2874">
        <v>12.8</v>
      </c>
      <c r="E2874">
        <v>79.8</v>
      </c>
      <c r="F2874" t="s">
        <v>9</v>
      </c>
      <c r="G28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74">
        <f>IF(Table1[[#This Row],[is_ups_overcharge]]="ups overcharged",Table1[[#This Row],[ups ship charge]]-Table1[[#This Row],[ada ship charge]],0)</f>
        <v>0</v>
      </c>
    </row>
    <row r="2875" spans="1:9" x14ac:dyDescent="0.2">
      <c r="A2875">
        <v>1038575</v>
      </c>
      <c r="B2875" t="s">
        <v>21</v>
      </c>
      <c r="C2875">
        <v>13.64</v>
      </c>
      <c r="D2875">
        <v>13.69</v>
      </c>
      <c r="E2875">
        <v>25</v>
      </c>
      <c r="F2875" t="s">
        <v>9</v>
      </c>
      <c r="G28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75">
        <f>IF(Table1[[#This Row],[is_ups_overcharge]]="ups overcharged",Table1[[#This Row],[ups ship charge]]-Table1[[#This Row],[ada ship charge]],0)</f>
        <v>0</v>
      </c>
    </row>
    <row r="2876" spans="1:9" x14ac:dyDescent="0.2">
      <c r="A2876">
        <v>1038576</v>
      </c>
      <c r="B2876" t="s">
        <v>21</v>
      </c>
      <c r="C2876">
        <v>9.65</v>
      </c>
      <c r="D2876">
        <v>12.8</v>
      </c>
      <c r="E2876">
        <v>5.95</v>
      </c>
      <c r="F2876" t="s">
        <v>6</v>
      </c>
      <c r="G28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76">
        <f>IF(Table1[[#This Row],[is_ups_overcharge]]="ups overcharged",Table1[[#This Row],[ups ship charge]]-Table1[[#This Row],[ada ship charge]],0)</f>
        <v>0</v>
      </c>
    </row>
    <row r="2877" spans="1:9" x14ac:dyDescent="0.2">
      <c r="A2877">
        <v>1038580</v>
      </c>
      <c r="B2877" t="s">
        <v>21</v>
      </c>
      <c r="C2877">
        <v>21.7</v>
      </c>
      <c r="D2877">
        <v>21.75</v>
      </c>
      <c r="E2877">
        <v>39.9</v>
      </c>
      <c r="F2877" t="s">
        <v>15</v>
      </c>
      <c r="G28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77">
        <f>IF(Table1[[#This Row],[is_ups_overcharge]]="ups overcharged",Table1[[#This Row],[ups ship charge]]-Table1[[#This Row],[ada ship charge]],0)</f>
        <v>0</v>
      </c>
    </row>
    <row r="2878" spans="1:9" x14ac:dyDescent="0.2">
      <c r="A2878">
        <v>1038589</v>
      </c>
      <c r="B2878" t="s">
        <v>21</v>
      </c>
      <c r="C2878">
        <v>9.65</v>
      </c>
      <c r="D2878">
        <v>9.6999999999999993</v>
      </c>
      <c r="E2878">
        <v>30.4</v>
      </c>
      <c r="F2878" t="s">
        <v>6</v>
      </c>
      <c r="G28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78">
        <f>IF(Table1[[#This Row],[is_ups_overcharge]]="ups overcharged",Table1[[#This Row],[ups ship charge]]-Table1[[#This Row],[ada ship charge]],0)</f>
        <v>0</v>
      </c>
    </row>
    <row r="2879" spans="1:9" x14ac:dyDescent="0.2">
      <c r="A2879">
        <v>1038626</v>
      </c>
      <c r="B2879" t="s">
        <v>21</v>
      </c>
      <c r="C2879">
        <v>12.75</v>
      </c>
      <c r="D2879">
        <v>12.8</v>
      </c>
      <c r="E2879">
        <v>31.8</v>
      </c>
      <c r="F2879" t="s">
        <v>9</v>
      </c>
      <c r="G28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79">
        <f>IF(Table1[[#This Row],[is_ups_overcharge]]="ups overcharged",Table1[[#This Row],[ups ship charge]]-Table1[[#This Row],[ada ship charge]],0)</f>
        <v>0</v>
      </c>
    </row>
    <row r="2880" spans="1:9" x14ac:dyDescent="0.2">
      <c r="A2880">
        <v>1038638</v>
      </c>
      <c r="B2880" t="s">
        <v>21</v>
      </c>
      <c r="C2880">
        <v>13.64</v>
      </c>
      <c r="D2880">
        <v>13.69</v>
      </c>
      <c r="E2880">
        <v>9.9499999999999993</v>
      </c>
      <c r="F2880" t="s">
        <v>9</v>
      </c>
      <c r="G28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80">
        <f>IF(Table1[[#This Row],[is_ups_overcharge]]="ups overcharged",Table1[[#This Row],[ups ship charge]]-Table1[[#This Row],[ada ship charge]],0)</f>
        <v>0</v>
      </c>
    </row>
    <row r="2881" spans="1:9" x14ac:dyDescent="0.2">
      <c r="A2881">
        <v>1038673</v>
      </c>
      <c r="B2881" t="s">
        <v>21</v>
      </c>
      <c r="C2881">
        <v>14.49</v>
      </c>
      <c r="D2881">
        <v>15.97</v>
      </c>
      <c r="E2881">
        <v>572.79999999999995</v>
      </c>
      <c r="F2881" t="s">
        <v>14</v>
      </c>
      <c r="G28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81">
        <f>IF(Table1[[#This Row],[is_ups_overcharge]]="ups overcharged",Table1[[#This Row],[ups ship charge]]-Table1[[#This Row],[ada ship charge]],0)</f>
        <v>0</v>
      </c>
    </row>
    <row r="2882" spans="1:9" x14ac:dyDescent="0.2">
      <c r="A2882">
        <v>1038679</v>
      </c>
      <c r="B2882" t="s">
        <v>21</v>
      </c>
      <c r="C2882">
        <v>12.26</v>
      </c>
      <c r="D2882">
        <v>12.31</v>
      </c>
      <c r="E2882">
        <v>7.5</v>
      </c>
      <c r="F2882" t="s">
        <v>13</v>
      </c>
      <c r="G28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82">
        <f>IF(Table1[[#This Row],[is_ups_overcharge]]="ups overcharged",Table1[[#This Row],[ups ship charge]]-Table1[[#This Row],[ada ship charge]],0)</f>
        <v>0</v>
      </c>
    </row>
    <row r="2883" spans="1:9" x14ac:dyDescent="0.2">
      <c r="A2883">
        <v>1038682</v>
      </c>
      <c r="B2883" t="s">
        <v>21</v>
      </c>
      <c r="C2883">
        <v>12.26</v>
      </c>
      <c r="D2883">
        <v>12.31</v>
      </c>
      <c r="E2883">
        <v>322.2</v>
      </c>
      <c r="F2883" t="s">
        <v>13</v>
      </c>
      <c r="G28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83">
        <f>IF(Table1[[#This Row],[is_ups_overcharge]]="ups overcharged",Table1[[#This Row],[ups ship charge]]-Table1[[#This Row],[ada ship charge]],0)</f>
        <v>0</v>
      </c>
    </row>
    <row r="2884" spans="1:9" x14ac:dyDescent="0.2">
      <c r="A2884">
        <v>1038727</v>
      </c>
      <c r="B2884" t="s">
        <v>21</v>
      </c>
      <c r="C2884">
        <v>13.64</v>
      </c>
      <c r="D2884">
        <v>13.69</v>
      </c>
      <c r="E2884">
        <v>5</v>
      </c>
      <c r="F2884" t="s">
        <v>9</v>
      </c>
      <c r="G28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84">
        <f>IF(Table1[[#This Row],[is_ups_overcharge]]="ups overcharged",Table1[[#This Row],[ups ship charge]]-Table1[[#This Row],[ada ship charge]],0)</f>
        <v>0</v>
      </c>
    </row>
    <row r="2885" spans="1:9" x14ac:dyDescent="0.2">
      <c r="A2885">
        <v>1038743</v>
      </c>
      <c r="B2885" t="s">
        <v>21</v>
      </c>
      <c r="C2885">
        <v>12.75</v>
      </c>
      <c r="D2885">
        <v>12.8</v>
      </c>
      <c r="E2885">
        <v>40.85</v>
      </c>
      <c r="F2885" t="s">
        <v>9</v>
      </c>
      <c r="G28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85">
        <f>IF(Table1[[#This Row],[is_ups_overcharge]]="ups overcharged",Table1[[#This Row],[ups ship charge]]-Table1[[#This Row],[ada ship charge]],0)</f>
        <v>0</v>
      </c>
    </row>
    <row r="2886" spans="1:9" x14ac:dyDescent="0.2">
      <c r="A2886">
        <v>1038774</v>
      </c>
      <c r="B2886" t="s">
        <v>21</v>
      </c>
      <c r="C2886">
        <v>13.64</v>
      </c>
      <c r="D2886">
        <v>13.69</v>
      </c>
      <c r="E2886">
        <v>5</v>
      </c>
      <c r="F2886" t="s">
        <v>9</v>
      </c>
      <c r="G28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86">
        <f>IF(Table1[[#This Row],[is_ups_overcharge]]="ups overcharged",Table1[[#This Row],[ups ship charge]]-Table1[[#This Row],[ada ship charge]],0)</f>
        <v>0</v>
      </c>
    </row>
    <row r="2887" spans="1:9" x14ac:dyDescent="0.2">
      <c r="A2887">
        <v>1038775</v>
      </c>
      <c r="B2887" t="s">
        <v>21</v>
      </c>
      <c r="C2887">
        <v>12.75</v>
      </c>
      <c r="D2887">
        <v>12.8</v>
      </c>
      <c r="E2887">
        <v>59.9</v>
      </c>
      <c r="F2887" t="s">
        <v>9</v>
      </c>
      <c r="G28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87">
        <f>IF(Table1[[#This Row],[is_ups_overcharge]]="ups overcharged",Table1[[#This Row],[ups ship charge]]-Table1[[#This Row],[ada ship charge]],0)</f>
        <v>0</v>
      </c>
    </row>
    <row r="2888" spans="1:9" x14ac:dyDescent="0.2">
      <c r="A2888">
        <v>1038779</v>
      </c>
      <c r="B2888" t="s">
        <v>21</v>
      </c>
      <c r="C2888">
        <v>12.75</v>
      </c>
      <c r="D2888">
        <v>12.8</v>
      </c>
      <c r="E2888">
        <v>5</v>
      </c>
      <c r="F2888" t="s">
        <v>9</v>
      </c>
      <c r="G28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88">
        <f>IF(Table1[[#This Row],[is_ups_overcharge]]="ups overcharged",Table1[[#This Row],[ups ship charge]]-Table1[[#This Row],[ada ship charge]],0)</f>
        <v>0</v>
      </c>
    </row>
    <row r="2889" spans="1:9" x14ac:dyDescent="0.2">
      <c r="A2889">
        <v>1038780</v>
      </c>
      <c r="B2889" t="s">
        <v>21</v>
      </c>
      <c r="C2889">
        <v>15.02</v>
      </c>
      <c r="D2889">
        <v>15.07</v>
      </c>
      <c r="E2889">
        <v>19.95</v>
      </c>
      <c r="F2889" t="s">
        <v>12</v>
      </c>
      <c r="G28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89">
        <f>IF(Table1[[#This Row],[is_ups_overcharge]]="ups overcharged",Table1[[#This Row],[ups ship charge]]-Table1[[#This Row],[ada ship charge]],0)</f>
        <v>0</v>
      </c>
    </row>
    <row r="2890" spans="1:9" x14ac:dyDescent="0.2">
      <c r="A2890">
        <v>1038799</v>
      </c>
      <c r="B2890" t="s">
        <v>21</v>
      </c>
      <c r="C2890">
        <v>16.75</v>
      </c>
      <c r="D2890">
        <v>20.36</v>
      </c>
      <c r="E2890">
        <v>59.9</v>
      </c>
      <c r="F2890" t="s">
        <v>10</v>
      </c>
      <c r="G28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90">
        <f>IF(Table1[[#This Row],[is_ups_overcharge]]="ups overcharged",Table1[[#This Row],[ups ship charge]]-Table1[[#This Row],[ada ship charge]],0)</f>
        <v>0</v>
      </c>
    </row>
    <row r="2891" spans="1:9" x14ac:dyDescent="0.2">
      <c r="A2891">
        <v>1038824</v>
      </c>
      <c r="B2891" t="s">
        <v>21</v>
      </c>
      <c r="C2891">
        <v>13.64</v>
      </c>
      <c r="D2891">
        <v>13.69</v>
      </c>
      <c r="E2891">
        <v>7.5</v>
      </c>
      <c r="F2891" t="s">
        <v>9</v>
      </c>
      <c r="G28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91">
        <f>IF(Table1[[#This Row],[is_ups_overcharge]]="ups overcharged",Table1[[#This Row],[ups ship charge]]-Table1[[#This Row],[ada ship charge]],0)</f>
        <v>0</v>
      </c>
    </row>
    <row r="2892" spans="1:9" x14ac:dyDescent="0.2">
      <c r="A2892">
        <v>1038838</v>
      </c>
      <c r="B2892" t="s">
        <v>21</v>
      </c>
      <c r="C2892">
        <v>12.75</v>
      </c>
      <c r="D2892">
        <v>12.8</v>
      </c>
      <c r="E2892">
        <v>5</v>
      </c>
      <c r="F2892" t="s">
        <v>9</v>
      </c>
      <c r="G28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92">
        <f>IF(Table1[[#This Row],[is_ups_overcharge]]="ups overcharged",Table1[[#This Row],[ups ship charge]]-Table1[[#This Row],[ada ship charge]],0)</f>
        <v>0</v>
      </c>
    </row>
    <row r="2893" spans="1:9" x14ac:dyDescent="0.2">
      <c r="A2893">
        <v>1038853</v>
      </c>
      <c r="B2893" t="s">
        <v>21</v>
      </c>
      <c r="C2893">
        <v>9.66</v>
      </c>
      <c r="D2893">
        <v>9.7100000000000009</v>
      </c>
      <c r="E2893">
        <v>5</v>
      </c>
      <c r="F2893" t="s">
        <v>6</v>
      </c>
      <c r="G28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93">
        <f>IF(Table1[[#This Row],[is_ups_overcharge]]="ups overcharged",Table1[[#This Row],[ups ship charge]]-Table1[[#This Row],[ada ship charge]],0)</f>
        <v>0</v>
      </c>
    </row>
    <row r="2894" spans="1:9" x14ac:dyDescent="0.2">
      <c r="A2894">
        <v>1038866</v>
      </c>
      <c r="B2894" t="s">
        <v>21</v>
      </c>
      <c r="C2894">
        <v>16.649999999999999</v>
      </c>
      <c r="D2894">
        <v>16.7</v>
      </c>
      <c r="E2894">
        <v>69.900000000000006</v>
      </c>
      <c r="F2894" t="s">
        <v>10</v>
      </c>
      <c r="G28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94">
        <f>IF(Table1[[#This Row],[is_ups_overcharge]]="ups overcharged",Table1[[#This Row],[ups ship charge]]-Table1[[#This Row],[ada ship charge]],0)</f>
        <v>0</v>
      </c>
    </row>
    <row r="2895" spans="1:9" x14ac:dyDescent="0.2">
      <c r="A2895">
        <v>1038881</v>
      </c>
      <c r="B2895" t="s">
        <v>21</v>
      </c>
      <c r="C2895">
        <v>12.75</v>
      </c>
      <c r="D2895">
        <v>12.8</v>
      </c>
      <c r="E2895">
        <v>83.05</v>
      </c>
      <c r="F2895" t="s">
        <v>9</v>
      </c>
      <c r="G28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95">
        <f>IF(Table1[[#This Row],[is_ups_overcharge]]="ups overcharged",Table1[[#This Row],[ups ship charge]]-Table1[[#This Row],[ada ship charge]],0)</f>
        <v>0</v>
      </c>
    </row>
    <row r="2896" spans="1:9" x14ac:dyDescent="0.2">
      <c r="A2896">
        <v>1038952</v>
      </c>
      <c r="B2896" t="s">
        <v>21</v>
      </c>
      <c r="C2896">
        <v>12.75</v>
      </c>
      <c r="D2896">
        <v>12.8</v>
      </c>
      <c r="E2896">
        <v>112.5</v>
      </c>
      <c r="F2896" t="s">
        <v>9</v>
      </c>
      <c r="G28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96">
        <f>IF(Table1[[#This Row],[is_ups_overcharge]]="ups overcharged",Table1[[#This Row],[ups ship charge]]-Table1[[#This Row],[ada ship charge]],0)</f>
        <v>0</v>
      </c>
    </row>
    <row r="2897" spans="1:9" x14ac:dyDescent="0.2">
      <c r="A2897">
        <v>1038978</v>
      </c>
      <c r="B2897" t="s">
        <v>21</v>
      </c>
      <c r="C2897">
        <v>9.66</v>
      </c>
      <c r="D2897">
        <v>9.7100000000000009</v>
      </c>
      <c r="E2897">
        <v>5</v>
      </c>
      <c r="F2897" t="s">
        <v>6</v>
      </c>
      <c r="G28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97">
        <f>IF(Table1[[#This Row],[is_ups_overcharge]]="ups overcharged",Table1[[#This Row],[ups ship charge]]-Table1[[#This Row],[ada ship charge]],0)</f>
        <v>0</v>
      </c>
    </row>
    <row r="2898" spans="1:9" x14ac:dyDescent="0.2">
      <c r="A2898">
        <v>1038983</v>
      </c>
      <c r="B2898" t="s">
        <v>21</v>
      </c>
      <c r="C2898">
        <v>9.66</v>
      </c>
      <c r="D2898">
        <v>9.7100000000000009</v>
      </c>
      <c r="E2898">
        <v>11.25</v>
      </c>
      <c r="F2898" t="s">
        <v>6</v>
      </c>
      <c r="G28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98">
        <f>IF(Table1[[#This Row],[is_ups_overcharge]]="ups overcharged",Table1[[#This Row],[ups ship charge]]-Table1[[#This Row],[ada ship charge]],0)</f>
        <v>0</v>
      </c>
    </row>
    <row r="2899" spans="1:9" x14ac:dyDescent="0.2">
      <c r="A2899">
        <v>1038989</v>
      </c>
      <c r="B2899" t="s">
        <v>21</v>
      </c>
      <c r="C2899">
        <v>12.75</v>
      </c>
      <c r="D2899">
        <v>12.8</v>
      </c>
      <c r="E2899">
        <v>33.75</v>
      </c>
      <c r="F2899" t="s">
        <v>9</v>
      </c>
      <c r="G28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8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899">
        <f>IF(Table1[[#This Row],[is_ups_overcharge]]="ups overcharged",Table1[[#This Row],[ups ship charge]]-Table1[[#This Row],[ada ship charge]],0)</f>
        <v>0</v>
      </c>
    </row>
    <row r="2900" spans="1:9" x14ac:dyDescent="0.2">
      <c r="A2900">
        <v>1038995</v>
      </c>
      <c r="B2900" t="s">
        <v>21</v>
      </c>
      <c r="C2900">
        <v>12.75</v>
      </c>
      <c r="D2900">
        <v>12.8</v>
      </c>
      <c r="E2900">
        <v>11.4</v>
      </c>
      <c r="F2900" t="s">
        <v>9</v>
      </c>
      <c r="G29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00">
        <f>IF(Table1[[#This Row],[is_ups_overcharge]]="ups overcharged",Table1[[#This Row],[ups ship charge]]-Table1[[#This Row],[ada ship charge]],0)</f>
        <v>0</v>
      </c>
    </row>
    <row r="2901" spans="1:9" x14ac:dyDescent="0.2">
      <c r="A2901">
        <v>1038996</v>
      </c>
      <c r="B2901" t="s">
        <v>21</v>
      </c>
      <c r="C2901">
        <v>12.75</v>
      </c>
      <c r="D2901">
        <v>12.8</v>
      </c>
      <c r="E2901">
        <v>5</v>
      </c>
      <c r="F2901" t="s">
        <v>9</v>
      </c>
      <c r="G29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01">
        <f>IF(Table1[[#This Row],[is_ups_overcharge]]="ups overcharged",Table1[[#This Row],[ups ship charge]]-Table1[[#This Row],[ada ship charge]],0)</f>
        <v>0</v>
      </c>
    </row>
    <row r="2902" spans="1:9" x14ac:dyDescent="0.2">
      <c r="A2902">
        <v>1039021</v>
      </c>
      <c r="B2902" t="s">
        <v>21</v>
      </c>
      <c r="C2902">
        <v>13.64</v>
      </c>
      <c r="D2902">
        <v>13.69</v>
      </c>
      <c r="E2902">
        <v>64.849999999999994</v>
      </c>
      <c r="F2902" t="s">
        <v>9</v>
      </c>
      <c r="G29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02">
        <f>IF(Table1[[#This Row],[is_ups_overcharge]]="ups overcharged",Table1[[#This Row],[ups ship charge]]-Table1[[#This Row],[ada ship charge]],0)</f>
        <v>0</v>
      </c>
    </row>
    <row r="2903" spans="1:9" x14ac:dyDescent="0.2">
      <c r="A2903">
        <v>1039038</v>
      </c>
      <c r="B2903" t="s">
        <v>21</v>
      </c>
      <c r="C2903">
        <v>13.64</v>
      </c>
      <c r="D2903">
        <v>13.69</v>
      </c>
      <c r="E2903">
        <v>64.900000000000006</v>
      </c>
      <c r="F2903" t="s">
        <v>9</v>
      </c>
      <c r="G29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03">
        <f>IF(Table1[[#This Row],[is_ups_overcharge]]="ups overcharged",Table1[[#This Row],[ups ship charge]]-Table1[[#This Row],[ada ship charge]],0)</f>
        <v>0</v>
      </c>
    </row>
    <row r="2904" spans="1:9" x14ac:dyDescent="0.2">
      <c r="A2904">
        <v>1039083</v>
      </c>
      <c r="B2904" t="s">
        <v>21</v>
      </c>
      <c r="C2904">
        <v>12.75</v>
      </c>
      <c r="D2904">
        <v>13.81</v>
      </c>
      <c r="E2904">
        <v>47.75</v>
      </c>
      <c r="F2904" t="s">
        <v>9</v>
      </c>
      <c r="G29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04">
        <f>IF(Table1[[#This Row],[is_ups_overcharge]]="ups overcharged",Table1[[#This Row],[ups ship charge]]-Table1[[#This Row],[ada ship charge]],0)</f>
        <v>0</v>
      </c>
    </row>
    <row r="2905" spans="1:9" x14ac:dyDescent="0.2">
      <c r="A2905">
        <v>1039100</v>
      </c>
      <c r="B2905" t="s">
        <v>21</v>
      </c>
      <c r="C2905">
        <v>16.649999999999999</v>
      </c>
      <c r="D2905">
        <v>16.7</v>
      </c>
      <c r="E2905">
        <v>68.3</v>
      </c>
      <c r="F2905" t="s">
        <v>10</v>
      </c>
      <c r="G29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05">
        <f>IF(Table1[[#This Row],[is_ups_overcharge]]="ups overcharged",Table1[[#This Row],[ups ship charge]]-Table1[[#This Row],[ada ship charge]],0)</f>
        <v>0</v>
      </c>
    </row>
    <row r="2906" spans="1:9" x14ac:dyDescent="0.2">
      <c r="A2906">
        <v>1039103</v>
      </c>
      <c r="B2906" t="s">
        <v>21</v>
      </c>
      <c r="C2906">
        <v>12.75</v>
      </c>
      <c r="D2906">
        <v>12.8</v>
      </c>
      <c r="E2906">
        <v>47.9</v>
      </c>
      <c r="F2906" t="s">
        <v>9</v>
      </c>
      <c r="G29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06">
        <f>IF(Table1[[#This Row],[is_ups_overcharge]]="ups overcharged",Table1[[#This Row],[ups ship charge]]-Table1[[#This Row],[ada ship charge]],0)</f>
        <v>0</v>
      </c>
    </row>
    <row r="2907" spans="1:9" x14ac:dyDescent="0.2">
      <c r="A2907">
        <v>1039150</v>
      </c>
      <c r="B2907" t="s">
        <v>21</v>
      </c>
      <c r="C2907">
        <v>12.75</v>
      </c>
      <c r="D2907">
        <v>12.8</v>
      </c>
      <c r="E2907">
        <v>44.65</v>
      </c>
      <c r="F2907" t="s">
        <v>9</v>
      </c>
      <c r="G29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07">
        <f>IF(Table1[[#This Row],[is_ups_overcharge]]="ups overcharged",Table1[[#This Row],[ups ship charge]]-Table1[[#This Row],[ada ship charge]],0)</f>
        <v>0</v>
      </c>
    </row>
    <row r="2908" spans="1:9" x14ac:dyDescent="0.2">
      <c r="A2908">
        <v>1039232</v>
      </c>
      <c r="B2908" t="s">
        <v>21</v>
      </c>
      <c r="C2908">
        <v>12.75</v>
      </c>
      <c r="D2908">
        <v>12.8</v>
      </c>
      <c r="E2908">
        <v>39.950000000000003</v>
      </c>
      <c r="F2908" t="s">
        <v>9</v>
      </c>
      <c r="G29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08">
        <f>IF(Table1[[#This Row],[is_ups_overcharge]]="ups overcharged",Table1[[#This Row],[ups ship charge]]-Table1[[#This Row],[ada ship charge]],0)</f>
        <v>0</v>
      </c>
    </row>
    <row r="2909" spans="1:9" x14ac:dyDescent="0.2">
      <c r="A2909">
        <v>1039250</v>
      </c>
      <c r="B2909" t="s">
        <v>21</v>
      </c>
      <c r="C2909">
        <v>13.64</v>
      </c>
      <c r="D2909">
        <v>13.69</v>
      </c>
      <c r="E2909">
        <v>15.9</v>
      </c>
      <c r="F2909" t="s">
        <v>9</v>
      </c>
      <c r="G29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09">
        <f>IF(Table1[[#This Row],[is_ups_overcharge]]="ups overcharged",Table1[[#This Row],[ups ship charge]]-Table1[[#This Row],[ada ship charge]],0)</f>
        <v>0</v>
      </c>
    </row>
    <row r="2910" spans="1:9" x14ac:dyDescent="0.2">
      <c r="A2910">
        <v>1039268</v>
      </c>
      <c r="B2910" t="s">
        <v>21</v>
      </c>
      <c r="C2910">
        <v>13.64</v>
      </c>
      <c r="D2910">
        <v>13.69</v>
      </c>
      <c r="E2910">
        <v>39.950000000000003</v>
      </c>
      <c r="F2910" t="s">
        <v>9</v>
      </c>
      <c r="G29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10">
        <f>IF(Table1[[#This Row],[is_ups_overcharge]]="ups overcharged",Table1[[#This Row],[ups ship charge]]-Table1[[#This Row],[ada ship charge]],0)</f>
        <v>0</v>
      </c>
    </row>
    <row r="2911" spans="1:9" x14ac:dyDescent="0.2">
      <c r="A2911">
        <v>1039272</v>
      </c>
      <c r="B2911" t="s">
        <v>21</v>
      </c>
      <c r="C2911">
        <v>9.65</v>
      </c>
      <c r="D2911">
        <v>9.6999999999999993</v>
      </c>
      <c r="E2911">
        <v>51.6</v>
      </c>
      <c r="F2911" t="s">
        <v>6</v>
      </c>
      <c r="G29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11">
        <f>IF(Table1[[#This Row],[is_ups_overcharge]]="ups overcharged",Table1[[#This Row],[ups ship charge]]-Table1[[#This Row],[ada ship charge]],0)</f>
        <v>0</v>
      </c>
    </row>
    <row r="2912" spans="1:9" x14ac:dyDescent="0.2">
      <c r="A2912">
        <v>1039313</v>
      </c>
      <c r="B2912" t="s">
        <v>21</v>
      </c>
      <c r="C2912">
        <v>9.66</v>
      </c>
      <c r="D2912">
        <v>9.7100000000000009</v>
      </c>
      <c r="E2912">
        <v>85.85</v>
      </c>
      <c r="F2912" t="s">
        <v>6</v>
      </c>
      <c r="G29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12">
        <f>IF(Table1[[#This Row],[is_ups_overcharge]]="ups overcharged",Table1[[#This Row],[ups ship charge]]-Table1[[#This Row],[ada ship charge]],0)</f>
        <v>0</v>
      </c>
    </row>
    <row r="2913" spans="1:9" x14ac:dyDescent="0.2">
      <c r="A2913">
        <v>1039317</v>
      </c>
      <c r="B2913" t="s">
        <v>21</v>
      </c>
      <c r="C2913">
        <v>13.64</v>
      </c>
      <c r="D2913">
        <v>13.69</v>
      </c>
      <c r="E2913">
        <v>60.85</v>
      </c>
      <c r="F2913" t="s">
        <v>9</v>
      </c>
      <c r="G29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13">
        <f>IF(Table1[[#This Row],[is_ups_overcharge]]="ups overcharged",Table1[[#This Row],[ups ship charge]]-Table1[[#This Row],[ada ship charge]],0)</f>
        <v>0</v>
      </c>
    </row>
    <row r="2914" spans="1:9" x14ac:dyDescent="0.2">
      <c r="A2914">
        <v>1039345</v>
      </c>
      <c r="B2914" t="s">
        <v>21</v>
      </c>
      <c r="C2914">
        <v>16.649999999999999</v>
      </c>
      <c r="D2914">
        <v>16.7</v>
      </c>
      <c r="E2914">
        <v>34.9</v>
      </c>
      <c r="F2914" t="s">
        <v>10</v>
      </c>
      <c r="G29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14">
        <f>IF(Table1[[#This Row],[is_ups_overcharge]]="ups overcharged",Table1[[#This Row],[ups ship charge]]-Table1[[#This Row],[ada ship charge]],0)</f>
        <v>0</v>
      </c>
    </row>
    <row r="2915" spans="1:9" x14ac:dyDescent="0.2">
      <c r="A2915">
        <v>1039356</v>
      </c>
      <c r="B2915" t="s">
        <v>21</v>
      </c>
      <c r="C2915">
        <v>10.94</v>
      </c>
      <c r="D2915">
        <v>10.99</v>
      </c>
      <c r="E2915">
        <v>27.95</v>
      </c>
      <c r="F2915" t="s">
        <v>14</v>
      </c>
      <c r="G29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15">
        <f>IF(Table1[[#This Row],[is_ups_overcharge]]="ups overcharged",Table1[[#This Row],[ups ship charge]]-Table1[[#This Row],[ada ship charge]],0)</f>
        <v>0</v>
      </c>
    </row>
    <row r="2916" spans="1:9" x14ac:dyDescent="0.2">
      <c r="A2916">
        <v>1039364</v>
      </c>
      <c r="B2916" t="s">
        <v>21</v>
      </c>
      <c r="C2916">
        <v>12.75</v>
      </c>
      <c r="D2916">
        <v>13.25</v>
      </c>
      <c r="E2916">
        <v>85</v>
      </c>
      <c r="F2916" t="s">
        <v>9</v>
      </c>
      <c r="G29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16">
        <f>IF(Table1[[#This Row],[is_ups_overcharge]]="ups overcharged",Table1[[#This Row],[ups ship charge]]-Table1[[#This Row],[ada ship charge]],0)</f>
        <v>0</v>
      </c>
    </row>
    <row r="2917" spans="1:9" x14ac:dyDescent="0.2">
      <c r="A2917">
        <v>1039380</v>
      </c>
      <c r="B2917" t="s">
        <v>21</v>
      </c>
      <c r="C2917">
        <v>12.75</v>
      </c>
      <c r="D2917">
        <v>12.8</v>
      </c>
      <c r="E2917">
        <v>29.95</v>
      </c>
      <c r="F2917" t="s">
        <v>9</v>
      </c>
      <c r="G29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17">
        <f>IF(Table1[[#This Row],[is_ups_overcharge]]="ups overcharged",Table1[[#This Row],[ups ship charge]]-Table1[[#This Row],[ada ship charge]],0)</f>
        <v>0</v>
      </c>
    </row>
    <row r="2918" spans="1:9" x14ac:dyDescent="0.2">
      <c r="A2918">
        <v>1039402</v>
      </c>
      <c r="B2918" t="s">
        <v>21</v>
      </c>
      <c r="C2918">
        <v>13.64</v>
      </c>
      <c r="D2918">
        <v>13.69</v>
      </c>
      <c r="E2918">
        <v>47.9</v>
      </c>
      <c r="F2918" t="s">
        <v>9</v>
      </c>
      <c r="G29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18">
        <f>IF(Table1[[#This Row],[is_ups_overcharge]]="ups overcharged",Table1[[#This Row],[ups ship charge]]-Table1[[#This Row],[ada ship charge]],0)</f>
        <v>0</v>
      </c>
    </row>
    <row r="2919" spans="1:9" x14ac:dyDescent="0.2">
      <c r="A2919">
        <v>1039408</v>
      </c>
      <c r="B2919" t="s">
        <v>21</v>
      </c>
      <c r="C2919">
        <v>16.34</v>
      </c>
      <c r="D2919">
        <v>16.39</v>
      </c>
      <c r="E2919">
        <v>47.9</v>
      </c>
      <c r="F2919" t="s">
        <v>10</v>
      </c>
      <c r="G29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19">
        <f>IF(Table1[[#This Row],[is_ups_overcharge]]="ups overcharged",Table1[[#This Row],[ups ship charge]]-Table1[[#This Row],[ada ship charge]],0)</f>
        <v>0</v>
      </c>
    </row>
    <row r="2920" spans="1:9" x14ac:dyDescent="0.2">
      <c r="A2920">
        <v>1039430</v>
      </c>
      <c r="B2920" t="s">
        <v>21</v>
      </c>
      <c r="C2920">
        <v>12.75</v>
      </c>
      <c r="D2920">
        <v>13.25</v>
      </c>
      <c r="E2920">
        <v>72.7</v>
      </c>
      <c r="F2920" t="s">
        <v>9</v>
      </c>
      <c r="G29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20">
        <f>IF(Table1[[#This Row],[is_ups_overcharge]]="ups overcharged",Table1[[#This Row],[ups ship charge]]-Table1[[#This Row],[ada ship charge]],0)</f>
        <v>0</v>
      </c>
    </row>
    <row r="2921" spans="1:9" x14ac:dyDescent="0.2">
      <c r="A2921">
        <v>1039464</v>
      </c>
      <c r="B2921" t="s">
        <v>21</v>
      </c>
      <c r="C2921">
        <v>12.75</v>
      </c>
      <c r="D2921">
        <v>12.8</v>
      </c>
      <c r="E2921">
        <v>164.75</v>
      </c>
      <c r="F2921" t="s">
        <v>9</v>
      </c>
      <c r="G29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21">
        <f>IF(Table1[[#This Row],[is_ups_overcharge]]="ups overcharged",Table1[[#This Row],[ups ship charge]]-Table1[[#This Row],[ada ship charge]],0)</f>
        <v>0</v>
      </c>
    </row>
    <row r="2922" spans="1:9" x14ac:dyDescent="0.2">
      <c r="A2922">
        <v>1039475</v>
      </c>
      <c r="B2922" t="s">
        <v>21</v>
      </c>
      <c r="C2922">
        <v>12.75</v>
      </c>
      <c r="D2922">
        <v>12.8</v>
      </c>
      <c r="E2922">
        <v>10.85</v>
      </c>
      <c r="F2922" t="s">
        <v>9</v>
      </c>
      <c r="G29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22">
        <f>IF(Table1[[#This Row],[is_ups_overcharge]]="ups overcharged",Table1[[#This Row],[ups ship charge]]-Table1[[#This Row],[ada ship charge]],0)</f>
        <v>0</v>
      </c>
    </row>
    <row r="2923" spans="1:9" x14ac:dyDescent="0.2">
      <c r="A2923">
        <v>1039482</v>
      </c>
      <c r="B2923" t="s">
        <v>21</v>
      </c>
      <c r="C2923">
        <v>12.75</v>
      </c>
      <c r="D2923">
        <v>12.8</v>
      </c>
      <c r="E2923">
        <v>155.94999999999999</v>
      </c>
      <c r="F2923" t="s">
        <v>9</v>
      </c>
      <c r="G29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23">
        <f>IF(Table1[[#This Row],[is_ups_overcharge]]="ups overcharged",Table1[[#This Row],[ups ship charge]]-Table1[[#This Row],[ada ship charge]],0)</f>
        <v>0</v>
      </c>
    </row>
    <row r="2924" spans="1:9" x14ac:dyDescent="0.2">
      <c r="A2924">
        <v>1039514</v>
      </c>
      <c r="B2924" t="s">
        <v>21</v>
      </c>
      <c r="C2924">
        <v>59.9</v>
      </c>
      <c r="D2924">
        <v>59.95</v>
      </c>
      <c r="E2924">
        <v>39.950000000000003</v>
      </c>
      <c r="F2924" t="s">
        <v>11</v>
      </c>
      <c r="G29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24">
        <f>IF(Table1[[#This Row],[is_ups_overcharge]]="ups overcharged",Table1[[#This Row],[ups ship charge]]-Table1[[#This Row],[ada ship charge]],0)</f>
        <v>0</v>
      </c>
    </row>
    <row r="2925" spans="1:9" x14ac:dyDescent="0.2">
      <c r="A2925">
        <v>1039538</v>
      </c>
      <c r="B2925" t="s">
        <v>21</v>
      </c>
      <c r="C2925">
        <v>16.64</v>
      </c>
      <c r="D2925">
        <v>16.690000000000001</v>
      </c>
      <c r="E2925">
        <v>15</v>
      </c>
      <c r="F2925" t="s">
        <v>10</v>
      </c>
      <c r="G29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25">
        <f>IF(Table1[[#This Row],[is_ups_overcharge]]="ups overcharged",Table1[[#This Row],[ups ship charge]]-Table1[[#This Row],[ada ship charge]],0)</f>
        <v>0</v>
      </c>
    </row>
    <row r="2926" spans="1:9" x14ac:dyDescent="0.2">
      <c r="A2926">
        <v>1039549</v>
      </c>
      <c r="B2926" t="s">
        <v>21</v>
      </c>
      <c r="C2926">
        <v>9.65</v>
      </c>
      <c r="D2926">
        <v>9.7100000000000009</v>
      </c>
      <c r="E2926">
        <v>27.9</v>
      </c>
      <c r="F2926" t="s">
        <v>6</v>
      </c>
      <c r="G29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26">
        <f>IF(Table1[[#This Row],[is_ups_overcharge]]="ups overcharged",Table1[[#This Row],[ups ship charge]]-Table1[[#This Row],[ada ship charge]],0)</f>
        <v>0</v>
      </c>
    </row>
    <row r="2927" spans="1:9" x14ac:dyDescent="0.2">
      <c r="A2927">
        <v>1039566</v>
      </c>
      <c r="B2927" t="s">
        <v>21</v>
      </c>
      <c r="C2927">
        <v>71.209999999999994</v>
      </c>
      <c r="D2927">
        <v>71.260000000000005</v>
      </c>
      <c r="E2927">
        <v>83.15</v>
      </c>
      <c r="F2927" t="s">
        <v>11</v>
      </c>
      <c r="G29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27">
        <f>IF(Table1[[#This Row],[is_ups_overcharge]]="ups overcharged",Table1[[#This Row],[ups ship charge]]-Table1[[#This Row],[ada ship charge]],0)</f>
        <v>0</v>
      </c>
    </row>
    <row r="2928" spans="1:9" x14ac:dyDescent="0.2">
      <c r="A2928">
        <v>1039569</v>
      </c>
      <c r="B2928" t="s">
        <v>21</v>
      </c>
      <c r="C2928">
        <v>9.65</v>
      </c>
      <c r="D2928">
        <v>13.69</v>
      </c>
      <c r="E2928">
        <v>19.95</v>
      </c>
      <c r="F2928" t="s">
        <v>6</v>
      </c>
      <c r="G29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28">
        <f>IF(Table1[[#This Row],[is_ups_overcharge]]="ups overcharged",Table1[[#This Row],[ups ship charge]]-Table1[[#This Row],[ada ship charge]],0)</f>
        <v>0</v>
      </c>
    </row>
    <row r="2929" spans="1:9" x14ac:dyDescent="0.2">
      <c r="A2929">
        <v>1039603</v>
      </c>
      <c r="B2929" t="s">
        <v>21</v>
      </c>
      <c r="C2929">
        <v>26.37</v>
      </c>
      <c r="D2929">
        <v>26.42</v>
      </c>
      <c r="E2929">
        <v>174.75</v>
      </c>
      <c r="F2929" t="s">
        <v>15</v>
      </c>
      <c r="G29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29">
        <f>IF(Table1[[#This Row],[is_ups_overcharge]]="ups overcharged",Table1[[#This Row],[ups ship charge]]-Table1[[#This Row],[ada ship charge]],0)</f>
        <v>0</v>
      </c>
    </row>
    <row r="2930" spans="1:9" x14ac:dyDescent="0.2">
      <c r="A2930">
        <v>1039605</v>
      </c>
      <c r="B2930" t="s">
        <v>21</v>
      </c>
      <c r="C2930">
        <v>12.75</v>
      </c>
      <c r="D2930">
        <v>12.8</v>
      </c>
      <c r="E2930">
        <v>59.95</v>
      </c>
      <c r="F2930" t="s">
        <v>9</v>
      </c>
      <c r="G29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30">
        <f>IF(Table1[[#This Row],[is_ups_overcharge]]="ups overcharged",Table1[[#This Row],[ups ship charge]]-Table1[[#This Row],[ada ship charge]],0)</f>
        <v>0</v>
      </c>
    </row>
    <row r="2931" spans="1:9" x14ac:dyDescent="0.2">
      <c r="A2931">
        <v>1039619</v>
      </c>
      <c r="B2931" t="s">
        <v>21</v>
      </c>
      <c r="C2931">
        <v>16.34</v>
      </c>
      <c r="D2931">
        <v>16.39</v>
      </c>
      <c r="E2931">
        <v>44.85</v>
      </c>
      <c r="F2931" t="s">
        <v>10</v>
      </c>
      <c r="G29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31">
        <f>IF(Table1[[#This Row],[is_ups_overcharge]]="ups overcharged",Table1[[#This Row],[ups ship charge]]-Table1[[#This Row],[ada ship charge]],0)</f>
        <v>0</v>
      </c>
    </row>
    <row r="2932" spans="1:9" x14ac:dyDescent="0.2">
      <c r="A2932">
        <v>1039626</v>
      </c>
      <c r="B2932" t="s">
        <v>21</v>
      </c>
      <c r="C2932">
        <v>13.64</v>
      </c>
      <c r="D2932">
        <v>13.69</v>
      </c>
      <c r="E2932">
        <v>43.8</v>
      </c>
      <c r="F2932" t="s">
        <v>9</v>
      </c>
      <c r="G29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32">
        <f>IF(Table1[[#This Row],[is_ups_overcharge]]="ups overcharged",Table1[[#This Row],[ups ship charge]]-Table1[[#This Row],[ada ship charge]],0)</f>
        <v>0</v>
      </c>
    </row>
    <row r="2933" spans="1:9" x14ac:dyDescent="0.2">
      <c r="A2933">
        <v>1039630</v>
      </c>
      <c r="B2933" t="s">
        <v>21</v>
      </c>
      <c r="C2933">
        <v>12.75</v>
      </c>
      <c r="D2933">
        <v>12.8</v>
      </c>
      <c r="E2933">
        <v>99.95</v>
      </c>
      <c r="F2933" t="s">
        <v>9</v>
      </c>
      <c r="G29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33">
        <f>IF(Table1[[#This Row],[is_ups_overcharge]]="ups overcharged",Table1[[#This Row],[ups ship charge]]-Table1[[#This Row],[ada ship charge]],0)</f>
        <v>0</v>
      </c>
    </row>
    <row r="2934" spans="1:9" x14ac:dyDescent="0.2">
      <c r="A2934">
        <v>1039636</v>
      </c>
      <c r="B2934" t="s">
        <v>21</v>
      </c>
      <c r="C2934">
        <v>12.75</v>
      </c>
      <c r="D2934">
        <v>14.21</v>
      </c>
      <c r="E2934">
        <v>99.95</v>
      </c>
      <c r="F2934" t="s">
        <v>9</v>
      </c>
      <c r="G29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34">
        <f>IF(Table1[[#This Row],[is_ups_overcharge]]="ups overcharged",Table1[[#This Row],[ups ship charge]]-Table1[[#This Row],[ada ship charge]],0)</f>
        <v>0</v>
      </c>
    </row>
    <row r="2935" spans="1:9" x14ac:dyDescent="0.2">
      <c r="A2935">
        <v>1039639</v>
      </c>
      <c r="B2935" t="s">
        <v>21</v>
      </c>
      <c r="C2935">
        <v>16.59</v>
      </c>
      <c r="D2935">
        <v>20.46</v>
      </c>
      <c r="E2935">
        <v>99.95</v>
      </c>
      <c r="F2935" t="s">
        <v>12</v>
      </c>
      <c r="G29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35">
        <f>IF(Table1[[#This Row],[is_ups_overcharge]]="ups overcharged",Table1[[#This Row],[ups ship charge]]-Table1[[#This Row],[ada ship charge]],0)</f>
        <v>0</v>
      </c>
    </row>
    <row r="2936" spans="1:9" x14ac:dyDescent="0.2">
      <c r="A2936">
        <v>1039648</v>
      </c>
      <c r="B2936" t="s">
        <v>21</v>
      </c>
      <c r="C2936">
        <v>12.75</v>
      </c>
      <c r="D2936">
        <v>12.8</v>
      </c>
      <c r="E2936">
        <v>11.9</v>
      </c>
      <c r="F2936" t="s">
        <v>9</v>
      </c>
      <c r="G29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36">
        <f>IF(Table1[[#This Row],[is_ups_overcharge]]="ups overcharged",Table1[[#This Row],[ups ship charge]]-Table1[[#This Row],[ada ship charge]],0)</f>
        <v>0</v>
      </c>
    </row>
    <row r="2937" spans="1:9" x14ac:dyDescent="0.2">
      <c r="A2937">
        <v>1039655</v>
      </c>
      <c r="B2937" t="s">
        <v>21</v>
      </c>
      <c r="C2937">
        <v>12.75</v>
      </c>
      <c r="D2937">
        <v>12.8</v>
      </c>
      <c r="E2937">
        <v>24.9</v>
      </c>
      <c r="F2937" t="s">
        <v>9</v>
      </c>
      <c r="G29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37">
        <f>IF(Table1[[#This Row],[is_ups_overcharge]]="ups overcharged",Table1[[#This Row],[ups ship charge]]-Table1[[#This Row],[ada ship charge]],0)</f>
        <v>0</v>
      </c>
    </row>
    <row r="2938" spans="1:9" x14ac:dyDescent="0.2">
      <c r="A2938">
        <v>1039661</v>
      </c>
      <c r="B2938" t="s">
        <v>21</v>
      </c>
      <c r="C2938">
        <v>66.650000000000006</v>
      </c>
      <c r="D2938">
        <v>65.37</v>
      </c>
      <c r="E2938">
        <v>595.35</v>
      </c>
      <c r="F2938" t="s">
        <v>15</v>
      </c>
      <c r="G29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3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938">
        <f>IF(Table1[[#This Row],[is_ups_overcharge]]="ups overcharged",Table1[[#This Row],[ups ship charge]]-Table1[[#This Row],[ada ship charge]],0)</f>
        <v>1.2800000000000011</v>
      </c>
    </row>
    <row r="2939" spans="1:9" x14ac:dyDescent="0.2">
      <c r="A2939">
        <v>1039693</v>
      </c>
      <c r="B2939" t="s">
        <v>21</v>
      </c>
      <c r="C2939">
        <v>13.64</v>
      </c>
      <c r="D2939">
        <v>13.69</v>
      </c>
      <c r="E2939">
        <v>146.85</v>
      </c>
      <c r="F2939" t="s">
        <v>9</v>
      </c>
      <c r="G29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39">
        <f>IF(Table1[[#This Row],[is_ups_overcharge]]="ups overcharged",Table1[[#This Row],[ups ship charge]]-Table1[[#This Row],[ada ship charge]],0)</f>
        <v>0</v>
      </c>
    </row>
    <row r="2940" spans="1:9" x14ac:dyDescent="0.2">
      <c r="A2940">
        <v>1039714</v>
      </c>
      <c r="B2940" t="s">
        <v>21</v>
      </c>
      <c r="C2940">
        <v>12.75</v>
      </c>
      <c r="D2940">
        <v>12.8</v>
      </c>
      <c r="E2940">
        <v>59.95</v>
      </c>
      <c r="F2940" t="s">
        <v>9</v>
      </c>
      <c r="G29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40">
        <f>IF(Table1[[#This Row],[is_ups_overcharge]]="ups overcharged",Table1[[#This Row],[ups ship charge]]-Table1[[#This Row],[ada ship charge]],0)</f>
        <v>0</v>
      </c>
    </row>
    <row r="2941" spans="1:9" x14ac:dyDescent="0.2">
      <c r="A2941">
        <v>1039735</v>
      </c>
      <c r="B2941" t="s">
        <v>21</v>
      </c>
      <c r="C2941">
        <v>16.649999999999999</v>
      </c>
      <c r="D2941">
        <v>16.7</v>
      </c>
      <c r="E2941">
        <v>15.8</v>
      </c>
      <c r="F2941" t="s">
        <v>10</v>
      </c>
      <c r="G29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41">
        <f>IF(Table1[[#This Row],[is_ups_overcharge]]="ups overcharged",Table1[[#This Row],[ups ship charge]]-Table1[[#This Row],[ada ship charge]],0)</f>
        <v>0</v>
      </c>
    </row>
    <row r="2942" spans="1:9" x14ac:dyDescent="0.2">
      <c r="A2942">
        <v>1039736</v>
      </c>
      <c r="B2942" t="s">
        <v>21</v>
      </c>
      <c r="C2942">
        <v>12.36</v>
      </c>
      <c r="D2942">
        <v>16.489999999999998</v>
      </c>
      <c r="E2942">
        <v>24.75</v>
      </c>
      <c r="F2942" t="s">
        <v>13</v>
      </c>
      <c r="G29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42">
        <f>IF(Table1[[#This Row],[is_ups_overcharge]]="ups overcharged",Table1[[#This Row],[ups ship charge]]-Table1[[#This Row],[ada ship charge]],0)</f>
        <v>0</v>
      </c>
    </row>
    <row r="2943" spans="1:9" x14ac:dyDescent="0.2">
      <c r="A2943">
        <v>1039737</v>
      </c>
      <c r="B2943" t="s">
        <v>21</v>
      </c>
      <c r="C2943">
        <v>13.64</v>
      </c>
      <c r="D2943">
        <v>13.69</v>
      </c>
      <c r="E2943">
        <v>56.55</v>
      </c>
      <c r="F2943" t="s">
        <v>9</v>
      </c>
      <c r="G29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43">
        <f>IF(Table1[[#This Row],[is_ups_overcharge]]="ups overcharged",Table1[[#This Row],[ups ship charge]]-Table1[[#This Row],[ada ship charge]],0)</f>
        <v>0</v>
      </c>
    </row>
    <row r="2944" spans="1:9" x14ac:dyDescent="0.2">
      <c r="A2944">
        <v>1039789</v>
      </c>
      <c r="B2944" t="s">
        <v>21</v>
      </c>
      <c r="C2944">
        <v>12.75</v>
      </c>
      <c r="D2944">
        <v>13.03</v>
      </c>
      <c r="E2944">
        <v>99.95</v>
      </c>
      <c r="F2944" t="s">
        <v>9</v>
      </c>
      <c r="G29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44">
        <f>IF(Table1[[#This Row],[is_ups_overcharge]]="ups overcharged",Table1[[#This Row],[ups ship charge]]-Table1[[#This Row],[ada ship charge]],0)</f>
        <v>0</v>
      </c>
    </row>
    <row r="2945" spans="1:9" x14ac:dyDescent="0.2">
      <c r="A2945">
        <v>1039814</v>
      </c>
      <c r="B2945" t="s">
        <v>21</v>
      </c>
      <c r="C2945">
        <v>16.440000000000001</v>
      </c>
      <c r="D2945">
        <v>20.05</v>
      </c>
      <c r="E2945">
        <v>80.849999999999994</v>
      </c>
      <c r="F2945" t="s">
        <v>10</v>
      </c>
      <c r="G29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45">
        <f>IF(Table1[[#This Row],[is_ups_overcharge]]="ups overcharged",Table1[[#This Row],[ups ship charge]]-Table1[[#This Row],[ada ship charge]],0)</f>
        <v>0</v>
      </c>
    </row>
    <row r="2946" spans="1:9" x14ac:dyDescent="0.2">
      <c r="A2946">
        <v>1039823</v>
      </c>
      <c r="B2946" t="s">
        <v>21</v>
      </c>
      <c r="C2946">
        <v>13.64</v>
      </c>
      <c r="D2946">
        <v>13.68</v>
      </c>
      <c r="E2946">
        <v>106.1</v>
      </c>
      <c r="F2946" t="s">
        <v>9</v>
      </c>
      <c r="G29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46">
        <f>IF(Table1[[#This Row],[is_ups_overcharge]]="ups overcharged",Table1[[#This Row],[ups ship charge]]-Table1[[#This Row],[ada ship charge]],0)</f>
        <v>0</v>
      </c>
    </row>
    <row r="2947" spans="1:9" x14ac:dyDescent="0.2">
      <c r="A2947">
        <v>1039824</v>
      </c>
      <c r="B2947" t="s">
        <v>21</v>
      </c>
      <c r="C2947">
        <v>13.64</v>
      </c>
      <c r="D2947">
        <v>13.69</v>
      </c>
      <c r="E2947">
        <v>84.35</v>
      </c>
      <c r="F2947" t="s">
        <v>9</v>
      </c>
      <c r="G29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47">
        <f>IF(Table1[[#This Row],[is_ups_overcharge]]="ups overcharged",Table1[[#This Row],[ups ship charge]]-Table1[[#This Row],[ada ship charge]],0)</f>
        <v>0</v>
      </c>
    </row>
    <row r="2948" spans="1:9" x14ac:dyDescent="0.2">
      <c r="A2948">
        <v>1039826</v>
      </c>
      <c r="B2948" t="s">
        <v>21</v>
      </c>
      <c r="C2948">
        <v>9.66</v>
      </c>
      <c r="D2948">
        <v>9.7100000000000009</v>
      </c>
      <c r="E2948">
        <v>85.55</v>
      </c>
      <c r="F2948" t="s">
        <v>6</v>
      </c>
      <c r="G29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48">
        <f>IF(Table1[[#This Row],[is_ups_overcharge]]="ups overcharged",Table1[[#This Row],[ups ship charge]]-Table1[[#This Row],[ada ship charge]],0)</f>
        <v>0</v>
      </c>
    </row>
    <row r="2949" spans="1:9" x14ac:dyDescent="0.2">
      <c r="A2949">
        <v>1039920</v>
      </c>
      <c r="B2949" t="s">
        <v>21</v>
      </c>
      <c r="C2949">
        <v>12.75</v>
      </c>
      <c r="D2949">
        <v>12.8</v>
      </c>
      <c r="E2949">
        <v>66.900000000000006</v>
      </c>
      <c r="F2949" t="s">
        <v>9</v>
      </c>
      <c r="G29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49">
        <f>IF(Table1[[#This Row],[is_ups_overcharge]]="ups overcharged",Table1[[#This Row],[ups ship charge]]-Table1[[#This Row],[ada ship charge]],0)</f>
        <v>0</v>
      </c>
    </row>
    <row r="2950" spans="1:9" x14ac:dyDescent="0.2">
      <c r="A2950">
        <v>1039932</v>
      </c>
      <c r="B2950" t="s">
        <v>21</v>
      </c>
      <c r="C2950">
        <v>16.34</v>
      </c>
      <c r="D2950">
        <v>16.39</v>
      </c>
      <c r="E2950">
        <v>22.35</v>
      </c>
      <c r="F2950" t="s">
        <v>10</v>
      </c>
      <c r="G29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50">
        <f>IF(Table1[[#This Row],[is_ups_overcharge]]="ups overcharged",Table1[[#This Row],[ups ship charge]]-Table1[[#This Row],[ada ship charge]],0)</f>
        <v>0</v>
      </c>
    </row>
    <row r="2951" spans="1:9" x14ac:dyDescent="0.2">
      <c r="A2951">
        <v>1039942</v>
      </c>
      <c r="B2951" t="s">
        <v>21</v>
      </c>
      <c r="C2951">
        <v>12.75</v>
      </c>
      <c r="D2951">
        <v>14.21</v>
      </c>
      <c r="E2951">
        <v>99.95</v>
      </c>
      <c r="F2951" t="s">
        <v>9</v>
      </c>
      <c r="G29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51">
        <f>IF(Table1[[#This Row],[is_ups_overcharge]]="ups overcharged",Table1[[#This Row],[ups ship charge]]-Table1[[#This Row],[ada ship charge]],0)</f>
        <v>0</v>
      </c>
    </row>
    <row r="2952" spans="1:9" x14ac:dyDescent="0.2">
      <c r="A2952">
        <v>1039951</v>
      </c>
      <c r="B2952" t="s">
        <v>21</v>
      </c>
      <c r="C2952">
        <v>16.649999999999999</v>
      </c>
      <c r="D2952">
        <v>16.7</v>
      </c>
      <c r="E2952">
        <v>9.9</v>
      </c>
      <c r="F2952" t="s">
        <v>10</v>
      </c>
      <c r="G29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52">
        <f>IF(Table1[[#This Row],[is_ups_overcharge]]="ups overcharged",Table1[[#This Row],[ups ship charge]]-Table1[[#This Row],[ada ship charge]],0)</f>
        <v>0</v>
      </c>
    </row>
    <row r="2953" spans="1:9" x14ac:dyDescent="0.2">
      <c r="A2953">
        <v>1039965</v>
      </c>
      <c r="B2953" t="s">
        <v>21</v>
      </c>
      <c r="C2953">
        <v>9.65</v>
      </c>
      <c r="D2953">
        <v>9.6999999999999993</v>
      </c>
      <c r="E2953">
        <v>11.9</v>
      </c>
      <c r="F2953" t="s">
        <v>6</v>
      </c>
      <c r="G29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53">
        <f>IF(Table1[[#This Row],[is_ups_overcharge]]="ups overcharged",Table1[[#This Row],[ups ship charge]]-Table1[[#This Row],[ada ship charge]],0)</f>
        <v>0</v>
      </c>
    </row>
    <row r="2954" spans="1:9" x14ac:dyDescent="0.2">
      <c r="A2954">
        <v>1039972</v>
      </c>
      <c r="B2954" t="s">
        <v>21</v>
      </c>
      <c r="C2954">
        <v>12.75</v>
      </c>
      <c r="D2954">
        <v>12.8</v>
      </c>
      <c r="E2954">
        <v>34.75</v>
      </c>
      <c r="F2954" t="s">
        <v>9</v>
      </c>
      <c r="G29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54">
        <f>IF(Table1[[#This Row],[is_ups_overcharge]]="ups overcharged",Table1[[#This Row],[ups ship charge]]-Table1[[#This Row],[ada ship charge]],0)</f>
        <v>0</v>
      </c>
    </row>
    <row r="2955" spans="1:9" x14ac:dyDescent="0.2">
      <c r="A2955">
        <v>1039978</v>
      </c>
      <c r="B2955" t="s">
        <v>21</v>
      </c>
      <c r="C2955">
        <v>12.75</v>
      </c>
      <c r="D2955">
        <v>12.8</v>
      </c>
      <c r="E2955">
        <v>95.55</v>
      </c>
      <c r="F2955" t="s">
        <v>9</v>
      </c>
      <c r="G29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55">
        <f>IF(Table1[[#This Row],[is_ups_overcharge]]="ups overcharged",Table1[[#This Row],[ups ship charge]]-Table1[[#This Row],[ada ship charge]],0)</f>
        <v>0</v>
      </c>
    </row>
    <row r="2956" spans="1:9" x14ac:dyDescent="0.2">
      <c r="A2956">
        <v>1040020</v>
      </c>
      <c r="B2956" t="s">
        <v>21</v>
      </c>
      <c r="C2956">
        <v>12.75</v>
      </c>
      <c r="D2956">
        <v>12.8</v>
      </c>
      <c r="E2956">
        <v>37.799999999999997</v>
      </c>
      <c r="F2956" t="s">
        <v>9</v>
      </c>
      <c r="G29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56">
        <f>IF(Table1[[#This Row],[is_ups_overcharge]]="ups overcharged",Table1[[#This Row],[ups ship charge]]-Table1[[#This Row],[ada ship charge]],0)</f>
        <v>0</v>
      </c>
    </row>
    <row r="2957" spans="1:9" x14ac:dyDescent="0.2">
      <c r="A2957">
        <v>1040026</v>
      </c>
      <c r="B2957" t="s">
        <v>21</v>
      </c>
      <c r="C2957">
        <v>13.64</v>
      </c>
      <c r="D2957">
        <v>13.69</v>
      </c>
      <c r="E2957">
        <v>43.85</v>
      </c>
      <c r="F2957" t="s">
        <v>9</v>
      </c>
      <c r="G29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57">
        <f>IF(Table1[[#This Row],[is_ups_overcharge]]="ups overcharged",Table1[[#This Row],[ups ship charge]]-Table1[[#This Row],[ada ship charge]],0)</f>
        <v>0</v>
      </c>
    </row>
    <row r="2958" spans="1:9" x14ac:dyDescent="0.2">
      <c r="A2958">
        <v>1040090</v>
      </c>
      <c r="B2958" t="s">
        <v>21</v>
      </c>
      <c r="C2958">
        <v>12.75</v>
      </c>
      <c r="D2958">
        <v>12.8</v>
      </c>
      <c r="E2958">
        <v>153.6</v>
      </c>
      <c r="F2958" t="s">
        <v>9</v>
      </c>
      <c r="G29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58">
        <f>IF(Table1[[#This Row],[is_ups_overcharge]]="ups overcharged",Table1[[#This Row],[ups ship charge]]-Table1[[#This Row],[ada ship charge]],0)</f>
        <v>0</v>
      </c>
    </row>
    <row r="2959" spans="1:9" x14ac:dyDescent="0.2">
      <c r="A2959">
        <v>1040091</v>
      </c>
      <c r="B2959" t="s">
        <v>21</v>
      </c>
      <c r="C2959">
        <v>15.02</v>
      </c>
      <c r="D2959">
        <v>15.65</v>
      </c>
      <c r="E2959">
        <v>61.2</v>
      </c>
      <c r="F2959" t="s">
        <v>12</v>
      </c>
      <c r="G29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59">
        <f>IF(Table1[[#This Row],[is_ups_overcharge]]="ups overcharged",Table1[[#This Row],[ups ship charge]]-Table1[[#This Row],[ada ship charge]],0)</f>
        <v>0</v>
      </c>
    </row>
    <row r="2960" spans="1:9" x14ac:dyDescent="0.2">
      <c r="A2960">
        <v>1040096</v>
      </c>
      <c r="B2960" t="s">
        <v>21</v>
      </c>
      <c r="C2960">
        <v>78.19</v>
      </c>
      <c r="D2960">
        <v>81.38</v>
      </c>
      <c r="E2960">
        <v>262.55</v>
      </c>
      <c r="F2960" t="s">
        <v>11</v>
      </c>
      <c r="G29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60">
        <f>IF(Table1[[#This Row],[is_ups_overcharge]]="ups overcharged",Table1[[#This Row],[ups ship charge]]-Table1[[#This Row],[ada ship charge]],0)</f>
        <v>0</v>
      </c>
    </row>
    <row r="2961" spans="1:9" x14ac:dyDescent="0.2">
      <c r="A2961">
        <v>1040105</v>
      </c>
      <c r="B2961" t="s">
        <v>21</v>
      </c>
      <c r="C2961">
        <v>12.75</v>
      </c>
      <c r="D2961">
        <v>12.8</v>
      </c>
      <c r="E2961">
        <v>7.35</v>
      </c>
      <c r="F2961" t="s">
        <v>9</v>
      </c>
      <c r="G29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61">
        <f>IF(Table1[[#This Row],[is_ups_overcharge]]="ups overcharged",Table1[[#This Row],[ups ship charge]]-Table1[[#This Row],[ada ship charge]],0)</f>
        <v>0</v>
      </c>
    </row>
    <row r="2962" spans="1:9" x14ac:dyDescent="0.2">
      <c r="A2962">
        <v>1040111</v>
      </c>
      <c r="B2962" t="s">
        <v>21</v>
      </c>
      <c r="C2962">
        <v>12.75</v>
      </c>
      <c r="D2962">
        <v>12.8</v>
      </c>
      <c r="E2962">
        <v>72.75</v>
      </c>
      <c r="F2962" t="s">
        <v>9</v>
      </c>
      <c r="G29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62">
        <f>IF(Table1[[#This Row],[is_ups_overcharge]]="ups overcharged",Table1[[#This Row],[ups ship charge]]-Table1[[#This Row],[ada ship charge]],0)</f>
        <v>0</v>
      </c>
    </row>
    <row r="2963" spans="1:9" x14ac:dyDescent="0.2">
      <c r="A2963">
        <v>1040154</v>
      </c>
      <c r="B2963" t="s">
        <v>21</v>
      </c>
      <c r="C2963">
        <v>16.64</v>
      </c>
      <c r="D2963">
        <v>16.7</v>
      </c>
      <c r="E2963">
        <v>80</v>
      </c>
      <c r="F2963" t="s">
        <v>10</v>
      </c>
      <c r="G29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63">
        <f>IF(Table1[[#This Row],[is_ups_overcharge]]="ups overcharged",Table1[[#This Row],[ups ship charge]]-Table1[[#This Row],[ada ship charge]],0)</f>
        <v>0</v>
      </c>
    </row>
    <row r="2964" spans="1:9" x14ac:dyDescent="0.2">
      <c r="A2964">
        <v>1040158</v>
      </c>
      <c r="B2964" t="s">
        <v>21</v>
      </c>
      <c r="C2964">
        <v>12.75</v>
      </c>
      <c r="D2964">
        <v>12.8</v>
      </c>
      <c r="E2964">
        <v>104.65</v>
      </c>
      <c r="F2964" t="s">
        <v>9</v>
      </c>
      <c r="G29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64">
        <f>IF(Table1[[#This Row],[is_ups_overcharge]]="ups overcharged",Table1[[#This Row],[ups ship charge]]-Table1[[#This Row],[ada ship charge]],0)</f>
        <v>0</v>
      </c>
    </row>
    <row r="2965" spans="1:9" x14ac:dyDescent="0.2">
      <c r="A2965">
        <v>1040160</v>
      </c>
      <c r="B2965" t="s">
        <v>21</v>
      </c>
      <c r="C2965">
        <v>13.63</v>
      </c>
      <c r="D2965">
        <v>14.7</v>
      </c>
      <c r="E2965">
        <v>17.5</v>
      </c>
      <c r="F2965" t="s">
        <v>9</v>
      </c>
      <c r="G29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65">
        <f>IF(Table1[[#This Row],[is_ups_overcharge]]="ups overcharged",Table1[[#This Row],[ups ship charge]]-Table1[[#This Row],[ada ship charge]],0)</f>
        <v>0</v>
      </c>
    </row>
    <row r="2966" spans="1:9" x14ac:dyDescent="0.2">
      <c r="A2966">
        <v>1040167</v>
      </c>
      <c r="B2966" t="s">
        <v>21</v>
      </c>
      <c r="C2966">
        <v>66.760000000000005</v>
      </c>
      <c r="D2966">
        <v>66.81</v>
      </c>
      <c r="E2966">
        <v>224.7</v>
      </c>
      <c r="F2966" t="s">
        <v>8</v>
      </c>
      <c r="G29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66">
        <f>IF(Table1[[#This Row],[is_ups_overcharge]]="ups overcharged",Table1[[#This Row],[ups ship charge]]-Table1[[#This Row],[ada ship charge]],0)</f>
        <v>0</v>
      </c>
    </row>
    <row r="2967" spans="1:9" x14ac:dyDescent="0.2">
      <c r="A2967">
        <v>1040197</v>
      </c>
      <c r="B2967" t="s">
        <v>21</v>
      </c>
      <c r="C2967">
        <v>66.98</v>
      </c>
      <c r="D2967">
        <v>67.02</v>
      </c>
      <c r="E2967">
        <v>146.5</v>
      </c>
      <c r="F2967" t="s">
        <v>8</v>
      </c>
      <c r="G29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67">
        <f>IF(Table1[[#This Row],[is_ups_overcharge]]="ups overcharged",Table1[[#This Row],[ups ship charge]]-Table1[[#This Row],[ada ship charge]],0)</f>
        <v>0</v>
      </c>
    </row>
    <row r="2968" spans="1:9" x14ac:dyDescent="0.2">
      <c r="A2968">
        <v>1040201</v>
      </c>
      <c r="B2968" t="s">
        <v>21</v>
      </c>
      <c r="C2968">
        <v>59.85</v>
      </c>
      <c r="D2968">
        <v>77.87</v>
      </c>
      <c r="E2968">
        <v>185.45</v>
      </c>
      <c r="F2968" t="s">
        <v>8</v>
      </c>
      <c r="G29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68">
        <f>IF(Table1[[#This Row],[is_ups_overcharge]]="ups overcharged",Table1[[#This Row],[ups ship charge]]-Table1[[#This Row],[ada ship charge]],0)</f>
        <v>0</v>
      </c>
    </row>
    <row r="2969" spans="1:9" x14ac:dyDescent="0.2">
      <c r="A2969">
        <v>1040208</v>
      </c>
      <c r="B2969" t="s">
        <v>21</v>
      </c>
      <c r="C2969">
        <v>16.34</v>
      </c>
      <c r="D2969">
        <v>16.39</v>
      </c>
      <c r="E2969">
        <v>4.75</v>
      </c>
      <c r="F2969" t="s">
        <v>10</v>
      </c>
      <c r="G29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69">
        <f>IF(Table1[[#This Row],[is_ups_overcharge]]="ups overcharged",Table1[[#This Row],[ups ship charge]]-Table1[[#This Row],[ada ship charge]],0)</f>
        <v>0</v>
      </c>
    </row>
    <row r="2970" spans="1:9" x14ac:dyDescent="0.2">
      <c r="A2970">
        <v>1040213</v>
      </c>
      <c r="B2970" t="s">
        <v>21</v>
      </c>
      <c r="C2970">
        <v>12.75</v>
      </c>
      <c r="D2970">
        <v>12.8</v>
      </c>
      <c r="E2970">
        <v>14</v>
      </c>
      <c r="F2970" t="s">
        <v>9</v>
      </c>
      <c r="G29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70">
        <f>IF(Table1[[#This Row],[is_ups_overcharge]]="ups overcharged",Table1[[#This Row],[ups ship charge]]-Table1[[#This Row],[ada ship charge]],0)</f>
        <v>0</v>
      </c>
    </row>
    <row r="2971" spans="1:9" x14ac:dyDescent="0.2">
      <c r="A2971">
        <v>1040240</v>
      </c>
      <c r="B2971" t="s">
        <v>21</v>
      </c>
      <c r="C2971">
        <v>12.75</v>
      </c>
      <c r="D2971">
        <v>12.8</v>
      </c>
      <c r="E2971">
        <v>34.9</v>
      </c>
      <c r="F2971" t="s">
        <v>9</v>
      </c>
      <c r="G29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71">
        <f>IF(Table1[[#This Row],[is_ups_overcharge]]="ups overcharged",Table1[[#This Row],[ups ship charge]]-Table1[[#This Row],[ada ship charge]],0)</f>
        <v>0</v>
      </c>
    </row>
    <row r="2972" spans="1:9" x14ac:dyDescent="0.2">
      <c r="A2972">
        <v>1040242</v>
      </c>
      <c r="B2972" t="s">
        <v>21</v>
      </c>
      <c r="C2972">
        <v>15.02</v>
      </c>
      <c r="D2972">
        <v>15.07</v>
      </c>
      <c r="E2972">
        <v>93.1</v>
      </c>
      <c r="F2972" t="s">
        <v>12</v>
      </c>
      <c r="G29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72">
        <f>IF(Table1[[#This Row],[is_ups_overcharge]]="ups overcharged",Table1[[#This Row],[ups ship charge]]-Table1[[#This Row],[ada ship charge]],0)</f>
        <v>0</v>
      </c>
    </row>
    <row r="2973" spans="1:9" x14ac:dyDescent="0.2">
      <c r="A2973">
        <v>1040250</v>
      </c>
      <c r="B2973" t="s">
        <v>21</v>
      </c>
      <c r="C2973">
        <v>9.65</v>
      </c>
      <c r="D2973">
        <v>0</v>
      </c>
      <c r="E2973">
        <v>8.9700000000000006</v>
      </c>
      <c r="F2973" t="s">
        <v>6</v>
      </c>
      <c r="G29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73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2973">
        <f>IF(Table1[[#This Row],[is_ups_overcharge]]="ups overcharged",Table1[[#This Row],[ups ship charge]]-Table1[[#This Row],[ada ship charge]],0)</f>
        <v>9.65</v>
      </c>
    </row>
    <row r="2974" spans="1:9" x14ac:dyDescent="0.2">
      <c r="A2974">
        <v>1040265</v>
      </c>
      <c r="B2974" t="s">
        <v>21</v>
      </c>
      <c r="C2974">
        <v>13.94</v>
      </c>
      <c r="D2974">
        <v>18.07</v>
      </c>
      <c r="E2974">
        <v>11.8</v>
      </c>
      <c r="F2974" t="s">
        <v>16</v>
      </c>
      <c r="G29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74">
        <f>IF(Table1[[#This Row],[is_ups_overcharge]]="ups overcharged",Table1[[#This Row],[ups ship charge]]-Table1[[#This Row],[ada ship charge]],0)</f>
        <v>0</v>
      </c>
    </row>
    <row r="2975" spans="1:9" x14ac:dyDescent="0.2">
      <c r="A2975">
        <v>1040294</v>
      </c>
      <c r="B2975" t="s">
        <v>21</v>
      </c>
      <c r="C2975">
        <v>12.75</v>
      </c>
      <c r="D2975">
        <v>12.8</v>
      </c>
      <c r="E2975">
        <v>31.5</v>
      </c>
      <c r="F2975" t="s">
        <v>9</v>
      </c>
      <c r="G29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75">
        <f>IF(Table1[[#This Row],[is_ups_overcharge]]="ups overcharged",Table1[[#This Row],[ups ship charge]]-Table1[[#This Row],[ada ship charge]],0)</f>
        <v>0</v>
      </c>
    </row>
    <row r="2976" spans="1:9" x14ac:dyDescent="0.2">
      <c r="A2976">
        <v>1040304</v>
      </c>
      <c r="B2976" t="s">
        <v>21</v>
      </c>
      <c r="C2976">
        <v>9.66</v>
      </c>
      <c r="D2976">
        <v>13.69</v>
      </c>
      <c r="E2976">
        <v>6.5</v>
      </c>
      <c r="F2976" t="s">
        <v>6</v>
      </c>
      <c r="G29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76">
        <f>IF(Table1[[#This Row],[is_ups_overcharge]]="ups overcharged",Table1[[#This Row],[ups ship charge]]-Table1[[#This Row],[ada ship charge]],0)</f>
        <v>0</v>
      </c>
    </row>
    <row r="2977" spans="1:9" x14ac:dyDescent="0.2">
      <c r="A2977">
        <v>1040309</v>
      </c>
      <c r="B2977" t="s">
        <v>21</v>
      </c>
      <c r="C2977">
        <v>12.75</v>
      </c>
      <c r="D2977">
        <v>12.8</v>
      </c>
      <c r="E2977">
        <v>13.35</v>
      </c>
      <c r="F2977" t="s">
        <v>9</v>
      </c>
      <c r="G29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77">
        <f>IF(Table1[[#This Row],[is_ups_overcharge]]="ups overcharged",Table1[[#This Row],[ups ship charge]]-Table1[[#This Row],[ada ship charge]],0)</f>
        <v>0</v>
      </c>
    </row>
    <row r="2978" spans="1:9" x14ac:dyDescent="0.2">
      <c r="A2978">
        <v>1040349</v>
      </c>
      <c r="B2978" t="s">
        <v>21</v>
      </c>
      <c r="C2978">
        <v>9.66</v>
      </c>
      <c r="D2978">
        <v>9.7100000000000009</v>
      </c>
      <c r="E2978">
        <v>42.4</v>
      </c>
      <c r="F2978" t="s">
        <v>6</v>
      </c>
      <c r="G29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78">
        <f>IF(Table1[[#This Row],[is_ups_overcharge]]="ups overcharged",Table1[[#This Row],[ups ship charge]]-Table1[[#This Row],[ada ship charge]],0)</f>
        <v>0</v>
      </c>
    </row>
    <row r="2979" spans="1:9" x14ac:dyDescent="0.2">
      <c r="A2979">
        <v>1040353</v>
      </c>
      <c r="B2979" t="s">
        <v>21</v>
      </c>
      <c r="C2979">
        <v>15.32</v>
      </c>
      <c r="D2979">
        <v>15.37</v>
      </c>
      <c r="E2979">
        <v>45.95</v>
      </c>
      <c r="F2979" t="s">
        <v>12</v>
      </c>
      <c r="G29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79">
        <f>IF(Table1[[#This Row],[is_ups_overcharge]]="ups overcharged",Table1[[#This Row],[ups ship charge]]-Table1[[#This Row],[ada ship charge]],0)</f>
        <v>0</v>
      </c>
    </row>
    <row r="2980" spans="1:9" x14ac:dyDescent="0.2">
      <c r="A2980">
        <v>1040364</v>
      </c>
      <c r="B2980" t="s">
        <v>21</v>
      </c>
      <c r="C2980">
        <v>13.64</v>
      </c>
      <c r="D2980">
        <v>13.69</v>
      </c>
      <c r="E2980">
        <v>16.7</v>
      </c>
      <c r="F2980" t="s">
        <v>9</v>
      </c>
      <c r="G29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80">
        <f>IF(Table1[[#This Row],[is_ups_overcharge]]="ups overcharged",Table1[[#This Row],[ups ship charge]]-Table1[[#This Row],[ada ship charge]],0)</f>
        <v>0</v>
      </c>
    </row>
    <row r="2981" spans="1:9" x14ac:dyDescent="0.2">
      <c r="A2981">
        <v>1040367</v>
      </c>
      <c r="B2981" t="s">
        <v>21</v>
      </c>
      <c r="C2981">
        <v>16.440000000000001</v>
      </c>
      <c r="D2981">
        <v>16.489999999999998</v>
      </c>
      <c r="E2981">
        <v>52.85</v>
      </c>
      <c r="F2981" t="s">
        <v>10</v>
      </c>
      <c r="G29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81">
        <f>IF(Table1[[#This Row],[is_ups_overcharge]]="ups overcharged",Table1[[#This Row],[ups ship charge]]-Table1[[#This Row],[ada ship charge]],0)</f>
        <v>0</v>
      </c>
    </row>
    <row r="2982" spans="1:9" x14ac:dyDescent="0.2">
      <c r="A2982">
        <v>1040388</v>
      </c>
      <c r="B2982" t="s">
        <v>21</v>
      </c>
      <c r="C2982">
        <v>13.64</v>
      </c>
      <c r="D2982">
        <v>13.69</v>
      </c>
      <c r="E2982">
        <v>76.790000000000006</v>
      </c>
      <c r="F2982" t="s">
        <v>9</v>
      </c>
      <c r="G29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82">
        <f>IF(Table1[[#This Row],[is_ups_overcharge]]="ups overcharged",Table1[[#This Row],[ups ship charge]]-Table1[[#This Row],[ada ship charge]],0)</f>
        <v>0</v>
      </c>
    </row>
    <row r="2983" spans="1:9" x14ac:dyDescent="0.2">
      <c r="A2983">
        <v>1040390</v>
      </c>
      <c r="B2983" t="s">
        <v>21</v>
      </c>
      <c r="C2983">
        <v>13.64</v>
      </c>
      <c r="D2983">
        <v>13.69</v>
      </c>
      <c r="E2983">
        <v>29.95</v>
      </c>
      <c r="F2983" t="s">
        <v>9</v>
      </c>
      <c r="G29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83">
        <f>IF(Table1[[#This Row],[is_ups_overcharge]]="ups overcharged",Table1[[#This Row],[ups ship charge]]-Table1[[#This Row],[ada ship charge]],0)</f>
        <v>0</v>
      </c>
    </row>
    <row r="2984" spans="1:9" x14ac:dyDescent="0.2">
      <c r="A2984">
        <v>1040411</v>
      </c>
      <c r="B2984" t="s">
        <v>21</v>
      </c>
      <c r="C2984">
        <v>12.75</v>
      </c>
      <c r="D2984">
        <v>12.8</v>
      </c>
      <c r="E2984">
        <v>86.85</v>
      </c>
      <c r="F2984" t="s">
        <v>9</v>
      </c>
      <c r="G29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84">
        <f>IF(Table1[[#This Row],[is_ups_overcharge]]="ups overcharged",Table1[[#This Row],[ups ship charge]]-Table1[[#This Row],[ada ship charge]],0)</f>
        <v>0</v>
      </c>
    </row>
    <row r="2985" spans="1:9" x14ac:dyDescent="0.2">
      <c r="A2985">
        <v>1040438</v>
      </c>
      <c r="B2985" t="s">
        <v>21</v>
      </c>
      <c r="C2985">
        <v>9.65</v>
      </c>
      <c r="D2985">
        <v>9.6999999999999993</v>
      </c>
      <c r="E2985">
        <v>11.95</v>
      </c>
      <c r="F2985" t="s">
        <v>6</v>
      </c>
      <c r="G29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85">
        <f>IF(Table1[[#This Row],[is_ups_overcharge]]="ups overcharged",Table1[[#This Row],[ups ship charge]]-Table1[[#This Row],[ada ship charge]],0)</f>
        <v>0</v>
      </c>
    </row>
    <row r="2986" spans="1:9" x14ac:dyDescent="0.2">
      <c r="A2986">
        <v>1040439</v>
      </c>
      <c r="B2986" t="s">
        <v>21</v>
      </c>
      <c r="C2986">
        <v>12.75</v>
      </c>
      <c r="D2986">
        <v>12.8</v>
      </c>
      <c r="E2986">
        <v>18.8</v>
      </c>
      <c r="F2986" t="s">
        <v>9</v>
      </c>
      <c r="G29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86">
        <f>IF(Table1[[#This Row],[is_ups_overcharge]]="ups overcharged",Table1[[#This Row],[ups ship charge]]-Table1[[#This Row],[ada ship charge]],0)</f>
        <v>0</v>
      </c>
    </row>
    <row r="2987" spans="1:9" x14ac:dyDescent="0.2">
      <c r="A2987">
        <v>1040440</v>
      </c>
      <c r="B2987" t="s">
        <v>21</v>
      </c>
      <c r="C2987">
        <v>16.34</v>
      </c>
      <c r="D2987">
        <v>16.77</v>
      </c>
      <c r="E2987">
        <v>89.95</v>
      </c>
      <c r="F2987" t="s">
        <v>10</v>
      </c>
      <c r="G29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87">
        <f>IF(Table1[[#This Row],[is_ups_overcharge]]="ups overcharged",Table1[[#This Row],[ups ship charge]]-Table1[[#This Row],[ada ship charge]],0)</f>
        <v>0</v>
      </c>
    </row>
    <row r="2988" spans="1:9" x14ac:dyDescent="0.2">
      <c r="A2988">
        <v>1040455</v>
      </c>
      <c r="B2988" t="s">
        <v>21</v>
      </c>
      <c r="C2988">
        <v>13.64</v>
      </c>
      <c r="D2988">
        <v>13.69</v>
      </c>
      <c r="E2988">
        <v>41.85</v>
      </c>
      <c r="F2988" t="s">
        <v>9</v>
      </c>
      <c r="G29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88">
        <f>IF(Table1[[#This Row],[is_ups_overcharge]]="ups overcharged",Table1[[#This Row],[ups ship charge]]-Table1[[#This Row],[ada ship charge]],0)</f>
        <v>0</v>
      </c>
    </row>
    <row r="2989" spans="1:9" x14ac:dyDescent="0.2">
      <c r="A2989">
        <v>1040462</v>
      </c>
      <c r="B2989" t="s">
        <v>21</v>
      </c>
      <c r="C2989">
        <v>9.65</v>
      </c>
      <c r="D2989">
        <v>9.7100000000000009</v>
      </c>
      <c r="E2989">
        <v>72.75</v>
      </c>
      <c r="F2989" t="s">
        <v>6</v>
      </c>
      <c r="G29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89">
        <f>IF(Table1[[#This Row],[is_ups_overcharge]]="ups overcharged",Table1[[#This Row],[ups ship charge]]-Table1[[#This Row],[ada ship charge]],0)</f>
        <v>0</v>
      </c>
    </row>
    <row r="2990" spans="1:9" x14ac:dyDescent="0.2">
      <c r="A2990">
        <v>1040492</v>
      </c>
      <c r="B2990" t="s">
        <v>21</v>
      </c>
      <c r="C2990">
        <v>58.59</v>
      </c>
      <c r="D2990">
        <v>58.64</v>
      </c>
      <c r="E2990">
        <v>39.950000000000003</v>
      </c>
      <c r="F2990" t="s">
        <v>8</v>
      </c>
      <c r="G29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90">
        <f>IF(Table1[[#This Row],[is_ups_overcharge]]="ups overcharged",Table1[[#This Row],[ups ship charge]]-Table1[[#This Row],[ada ship charge]],0)</f>
        <v>0</v>
      </c>
    </row>
    <row r="2991" spans="1:9" x14ac:dyDescent="0.2">
      <c r="A2991">
        <v>1040495</v>
      </c>
      <c r="B2991" t="s">
        <v>21</v>
      </c>
      <c r="C2991">
        <v>13.64</v>
      </c>
      <c r="D2991">
        <v>13.69</v>
      </c>
      <c r="E2991">
        <v>44.45</v>
      </c>
      <c r="F2991" t="s">
        <v>9</v>
      </c>
      <c r="G29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91">
        <f>IF(Table1[[#This Row],[is_ups_overcharge]]="ups overcharged",Table1[[#This Row],[ups ship charge]]-Table1[[#This Row],[ada ship charge]],0)</f>
        <v>0</v>
      </c>
    </row>
    <row r="2992" spans="1:9" x14ac:dyDescent="0.2">
      <c r="A2992">
        <v>1040501</v>
      </c>
      <c r="B2992" t="s">
        <v>21</v>
      </c>
      <c r="C2992">
        <v>13.64</v>
      </c>
      <c r="D2992">
        <v>13.69</v>
      </c>
      <c r="E2992">
        <v>47.9</v>
      </c>
      <c r="F2992" t="s">
        <v>9</v>
      </c>
      <c r="G29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92">
        <f>IF(Table1[[#This Row],[is_ups_overcharge]]="ups overcharged",Table1[[#This Row],[ups ship charge]]-Table1[[#This Row],[ada ship charge]],0)</f>
        <v>0</v>
      </c>
    </row>
    <row r="2993" spans="1:9" x14ac:dyDescent="0.2">
      <c r="A2993">
        <v>1040527</v>
      </c>
      <c r="B2993" t="s">
        <v>21</v>
      </c>
      <c r="C2993">
        <v>12.75</v>
      </c>
      <c r="D2993">
        <v>12.8</v>
      </c>
      <c r="E2993">
        <v>99.95</v>
      </c>
      <c r="F2993" t="s">
        <v>9</v>
      </c>
      <c r="G29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93">
        <f>IF(Table1[[#This Row],[is_ups_overcharge]]="ups overcharged",Table1[[#This Row],[ups ship charge]]-Table1[[#This Row],[ada ship charge]],0)</f>
        <v>0</v>
      </c>
    </row>
    <row r="2994" spans="1:9" x14ac:dyDescent="0.2">
      <c r="A2994">
        <v>1040528</v>
      </c>
      <c r="B2994" t="s">
        <v>21</v>
      </c>
      <c r="C2994">
        <v>10.94</v>
      </c>
      <c r="D2994">
        <v>10.99</v>
      </c>
      <c r="E2994">
        <v>27.95</v>
      </c>
      <c r="F2994" t="s">
        <v>14</v>
      </c>
      <c r="G29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94">
        <f>IF(Table1[[#This Row],[is_ups_overcharge]]="ups overcharged",Table1[[#This Row],[ups ship charge]]-Table1[[#This Row],[ada ship charge]],0)</f>
        <v>0</v>
      </c>
    </row>
    <row r="2995" spans="1:9" x14ac:dyDescent="0.2">
      <c r="A2995">
        <v>1040530</v>
      </c>
      <c r="B2995" t="s">
        <v>21</v>
      </c>
      <c r="C2995">
        <v>9.66</v>
      </c>
      <c r="D2995">
        <v>12.8</v>
      </c>
      <c r="E2995">
        <v>39.950000000000003</v>
      </c>
      <c r="F2995" t="s">
        <v>6</v>
      </c>
      <c r="G29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95">
        <f>IF(Table1[[#This Row],[is_ups_overcharge]]="ups overcharged",Table1[[#This Row],[ups ship charge]]-Table1[[#This Row],[ada ship charge]],0)</f>
        <v>0</v>
      </c>
    </row>
    <row r="2996" spans="1:9" x14ac:dyDescent="0.2">
      <c r="A2996">
        <v>1040531</v>
      </c>
      <c r="B2996" t="s">
        <v>21</v>
      </c>
      <c r="C2996">
        <v>12.75</v>
      </c>
      <c r="D2996">
        <v>12.8</v>
      </c>
      <c r="E2996">
        <v>69.900000000000006</v>
      </c>
      <c r="F2996" t="s">
        <v>9</v>
      </c>
      <c r="G29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96">
        <f>IF(Table1[[#This Row],[is_ups_overcharge]]="ups overcharged",Table1[[#This Row],[ups ship charge]]-Table1[[#This Row],[ada ship charge]],0)</f>
        <v>0</v>
      </c>
    </row>
    <row r="2997" spans="1:9" x14ac:dyDescent="0.2">
      <c r="A2997">
        <v>1040542</v>
      </c>
      <c r="B2997" t="s">
        <v>21</v>
      </c>
      <c r="C2997">
        <v>16.34</v>
      </c>
      <c r="D2997">
        <v>16.39</v>
      </c>
      <c r="E2997">
        <v>39.950000000000003</v>
      </c>
      <c r="F2997" t="s">
        <v>10</v>
      </c>
      <c r="G29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97">
        <f>IF(Table1[[#This Row],[is_ups_overcharge]]="ups overcharged",Table1[[#This Row],[ups ship charge]]-Table1[[#This Row],[ada ship charge]],0)</f>
        <v>0</v>
      </c>
    </row>
    <row r="2998" spans="1:9" x14ac:dyDescent="0.2">
      <c r="A2998">
        <v>1040552</v>
      </c>
      <c r="B2998" t="s">
        <v>21</v>
      </c>
      <c r="C2998">
        <v>16.649999999999999</v>
      </c>
      <c r="D2998">
        <v>16.7</v>
      </c>
      <c r="E2998">
        <v>47.85</v>
      </c>
      <c r="F2998" t="s">
        <v>10</v>
      </c>
      <c r="G29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98">
        <f>IF(Table1[[#This Row],[is_ups_overcharge]]="ups overcharged",Table1[[#This Row],[ups ship charge]]-Table1[[#This Row],[ada ship charge]],0)</f>
        <v>0</v>
      </c>
    </row>
    <row r="2999" spans="1:9" x14ac:dyDescent="0.2">
      <c r="A2999">
        <v>1040556</v>
      </c>
      <c r="B2999" t="s">
        <v>21</v>
      </c>
      <c r="C2999">
        <v>13.64</v>
      </c>
      <c r="D2999">
        <v>13.69</v>
      </c>
      <c r="E2999">
        <v>39.950000000000003</v>
      </c>
      <c r="F2999" t="s">
        <v>9</v>
      </c>
      <c r="G29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29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2999">
        <f>IF(Table1[[#This Row],[is_ups_overcharge]]="ups overcharged",Table1[[#This Row],[ups ship charge]]-Table1[[#This Row],[ada ship charge]],0)</f>
        <v>0</v>
      </c>
    </row>
    <row r="3000" spans="1:9" x14ac:dyDescent="0.2">
      <c r="A3000">
        <v>1040562</v>
      </c>
      <c r="B3000" t="s">
        <v>21</v>
      </c>
      <c r="C3000">
        <v>13.64</v>
      </c>
      <c r="D3000">
        <v>13.69</v>
      </c>
      <c r="E3000">
        <v>39.950000000000003</v>
      </c>
      <c r="F3000" t="s">
        <v>9</v>
      </c>
      <c r="G30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00">
        <f>IF(Table1[[#This Row],[is_ups_overcharge]]="ups overcharged",Table1[[#This Row],[ups ship charge]]-Table1[[#This Row],[ada ship charge]],0)</f>
        <v>0</v>
      </c>
    </row>
    <row r="3001" spans="1:9" x14ac:dyDescent="0.2">
      <c r="A3001">
        <v>1040570</v>
      </c>
      <c r="B3001" t="s">
        <v>21</v>
      </c>
      <c r="C3001">
        <v>10.94</v>
      </c>
      <c r="D3001">
        <v>10.99</v>
      </c>
      <c r="E3001">
        <v>51.85</v>
      </c>
      <c r="F3001" t="s">
        <v>14</v>
      </c>
      <c r="G30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01">
        <f>IF(Table1[[#This Row],[is_ups_overcharge]]="ups overcharged",Table1[[#This Row],[ups ship charge]]-Table1[[#This Row],[ada ship charge]],0)</f>
        <v>0</v>
      </c>
    </row>
    <row r="3002" spans="1:9" x14ac:dyDescent="0.2">
      <c r="A3002">
        <v>1040572</v>
      </c>
      <c r="B3002" t="s">
        <v>21</v>
      </c>
      <c r="C3002">
        <v>12.75</v>
      </c>
      <c r="D3002">
        <v>12.8</v>
      </c>
      <c r="E3002">
        <v>39.950000000000003</v>
      </c>
      <c r="F3002" t="s">
        <v>9</v>
      </c>
      <c r="G30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02">
        <f>IF(Table1[[#This Row],[is_ups_overcharge]]="ups overcharged",Table1[[#This Row],[ups ship charge]]-Table1[[#This Row],[ada ship charge]],0)</f>
        <v>0</v>
      </c>
    </row>
    <row r="3003" spans="1:9" x14ac:dyDescent="0.2">
      <c r="A3003">
        <v>1040589</v>
      </c>
      <c r="B3003" t="s">
        <v>21</v>
      </c>
      <c r="C3003">
        <v>13.64</v>
      </c>
      <c r="D3003">
        <v>13.69</v>
      </c>
      <c r="E3003">
        <v>39.950000000000003</v>
      </c>
      <c r="F3003" t="s">
        <v>9</v>
      </c>
      <c r="G30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03">
        <f>IF(Table1[[#This Row],[is_ups_overcharge]]="ups overcharged",Table1[[#This Row],[ups ship charge]]-Table1[[#This Row],[ada ship charge]],0)</f>
        <v>0</v>
      </c>
    </row>
    <row r="3004" spans="1:9" x14ac:dyDescent="0.2">
      <c r="A3004">
        <v>1040591</v>
      </c>
      <c r="B3004" t="s">
        <v>21</v>
      </c>
      <c r="C3004">
        <v>15.33</v>
      </c>
      <c r="D3004">
        <v>15.38</v>
      </c>
      <c r="E3004">
        <v>10</v>
      </c>
      <c r="F3004" t="s">
        <v>12</v>
      </c>
      <c r="G30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04">
        <f>IF(Table1[[#This Row],[is_ups_overcharge]]="ups overcharged",Table1[[#This Row],[ups ship charge]]-Table1[[#This Row],[ada ship charge]],0)</f>
        <v>0</v>
      </c>
    </row>
    <row r="3005" spans="1:9" x14ac:dyDescent="0.2">
      <c r="A3005">
        <v>1040593</v>
      </c>
      <c r="B3005" t="s">
        <v>21</v>
      </c>
      <c r="C3005">
        <v>10.94</v>
      </c>
      <c r="D3005">
        <v>11.04</v>
      </c>
      <c r="E3005">
        <v>99.95</v>
      </c>
      <c r="F3005" t="s">
        <v>14</v>
      </c>
      <c r="G30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05">
        <f>IF(Table1[[#This Row],[is_ups_overcharge]]="ups overcharged",Table1[[#This Row],[ups ship charge]]-Table1[[#This Row],[ada ship charge]],0)</f>
        <v>0</v>
      </c>
    </row>
    <row r="3006" spans="1:9" x14ac:dyDescent="0.2">
      <c r="A3006">
        <v>1040633</v>
      </c>
      <c r="B3006" t="s">
        <v>21</v>
      </c>
      <c r="C3006">
        <v>9.65</v>
      </c>
      <c r="D3006">
        <v>9.6999999999999993</v>
      </c>
      <c r="E3006">
        <v>18.95</v>
      </c>
      <c r="F3006" t="s">
        <v>6</v>
      </c>
      <c r="G30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06">
        <f>IF(Table1[[#This Row],[is_ups_overcharge]]="ups overcharged",Table1[[#This Row],[ups ship charge]]-Table1[[#This Row],[ada ship charge]],0)</f>
        <v>0</v>
      </c>
    </row>
    <row r="3007" spans="1:9" x14ac:dyDescent="0.2">
      <c r="A3007">
        <v>1040642</v>
      </c>
      <c r="B3007" t="s">
        <v>21</v>
      </c>
      <c r="C3007">
        <v>9.65</v>
      </c>
      <c r="D3007">
        <v>9.6999999999999993</v>
      </c>
      <c r="E3007">
        <v>39.950000000000003</v>
      </c>
      <c r="F3007" t="s">
        <v>6</v>
      </c>
      <c r="G30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07">
        <f>IF(Table1[[#This Row],[is_ups_overcharge]]="ups overcharged",Table1[[#This Row],[ups ship charge]]-Table1[[#This Row],[ada ship charge]],0)</f>
        <v>0</v>
      </c>
    </row>
    <row r="3008" spans="1:9" x14ac:dyDescent="0.2">
      <c r="A3008">
        <v>1040649</v>
      </c>
      <c r="B3008" t="s">
        <v>21</v>
      </c>
      <c r="C3008">
        <v>15.02</v>
      </c>
      <c r="D3008">
        <v>15.07</v>
      </c>
      <c r="E3008">
        <v>39.950000000000003</v>
      </c>
      <c r="F3008" t="s">
        <v>12</v>
      </c>
      <c r="G30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08">
        <f>IF(Table1[[#This Row],[is_ups_overcharge]]="ups overcharged",Table1[[#This Row],[ups ship charge]]-Table1[[#This Row],[ada ship charge]],0)</f>
        <v>0</v>
      </c>
    </row>
    <row r="3009" spans="1:9" x14ac:dyDescent="0.2">
      <c r="A3009">
        <v>1040653</v>
      </c>
      <c r="B3009" t="s">
        <v>21</v>
      </c>
      <c r="C3009">
        <v>12.75</v>
      </c>
      <c r="D3009">
        <v>12.8</v>
      </c>
      <c r="E3009">
        <v>39.950000000000003</v>
      </c>
      <c r="F3009" t="s">
        <v>9</v>
      </c>
      <c r="G30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09">
        <f>IF(Table1[[#This Row],[is_ups_overcharge]]="ups overcharged",Table1[[#This Row],[ups ship charge]]-Table1[[#This Row],[ada ship charge]],0)</f>
        <v>0</v>
      </c>
    </row>
    <row r="3010" spans="1:9" x14ac:dyDescent="0.2">
      <c r="A3010">
        <v>1040657</v>
      </c>
      <c r="B3010" t="s">
        <v>21</v>
      </c>
      <c r="C3010">
        <v>13.64</v>
      </c>
      <c r="D3010">
        <v>13.69</v>
      </c>
      <c r="E3010">
        <v>39.950000000000003</v>
      </c>
      <c r="F3010" t="s">
        <v>9</v>
      </c>
      <c r="G30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10">
        <f>IF(Table1[[#This Row],[is_ups_overcharge]]="ups overcharged",Table1[[#This Row],[ups ship charge]]-Table1[[#This Row],[ada ship charge]],0)</f>
        <v>0</v>
      </c>
    </row>
    <row r="3011" spans="1:9" x14ac:dyDescent="0.2">
      <c r="A3011">
        <v>1040663</v>
      </c>
      <c r="B3011" t="s">
        <v>21</v>
      </c>
      <c r="C3011">
        <v>12.26</v>
      </c>
      <c r="D3011">
        <v>12.31</v>
      </c>
      <c r="E3011">
        <v>74.650000000000006</v>
      </c>
      <c r="F3011" t="s">
        <v>13</v>
      </c>
      <c r="G30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11">
        <f>IF(Table1[[#This Row],[is_ups_overcharge]]="ups overcharged",Table1[[#This Row],[ups ship charge]]-Table1[[#This Row],[ada ship charge]],0)</f>
        <v>0</v>
      </c>
    </row>
    <row r="3012" spans="1:9" x14ac:dyDescent="0.2">
      <c r="A3012">
        <v>1040673</v>
      </c>
      <c r="B3012" t="s">
        <v>21</v>
      </c>
      <c r="C3012">
        <v>15.33</v>
      </c>
      <c r="D3012">
        <v>15.39</v>
      </c>
      <c r="E3012">
        <v>29.95</v>
      </c>
      <c r="F3012" t="s">
        <v>12</v>
      </c>
      <c r="G30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12">
        <f>IF(Table1[[#This Row],[is_ups_overcharge]]="ups overcharged",Table1[[#This Row],[ups ship charge]]-Table1[[#This Row],[ada ship charge]],0)</f>
        <v>0</v>
      </c>
    </row>
    <row r="3013" spans="1:9" x14ac:dyDescent="0.2">
      <c r="A3013">
        <v>1040682</v>
      </c>
      <c r="B3013" t="s">
        <v>21</v>
      </c>
      <c r="C3013">
        <v>12.75</v>
      </c>
      <c r="D3013">
        <v>12.8</v>
      </c>
      <c r="E3013">
        <v>59.85</v>
      </c>
      <c r="F3013" t="s">
        <v>9</v>
      </c>
      <c r="G30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13">
        <f>IF(Table1[[#This Row],[is_ups_overcharge]]="ups overcharged",Table1[[#This Row],[ups ship charge]]-Table1[[#This Row],[ada ship charge]],0)</f>
        <v>0</v>
      </c>
    </row>
    <row r="3014" spans="1:9" x14ac:dyDescent="0.2">
      <c r="A3014">
        <v>1040690</v>
      </c>
      <c r="B3014" t="s">
        <v>21</v>
      </c>
      <c r="C3014">
        <v>13.64</v>
      </c>
      <c r="D3014">
        <v>13.69</v>
      </c>
      <c r="E3014">
        <v>39.950000000000003</v>
      </c>
      <c r="F3014" t="s">
        <v>9</v>
      </c>
      <c r="G30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14">
        <f>IF(Table1[[#This Row],[is_ups_overcharge]]="ups overcharged",Table1[[#This Row],[ups ship charge]]-Table1[[#This Row],[ada ship charge]],0)</f>
        <v>0</v>
      </c>
    </row>
    <row r="3015" spans="1:9" x14ac:dyDescent="0.2">
      <c r="A3015">
        <v>1040691</v>
      </c>
      <c r="B3015" t="s">
        <v>21</v>
      </c>
      <c r="C3015">
        <v>13.64</v>
      </c>
      <c r="D3015">
        <v>19.13</v>
      </c>
      <c r="E3015">
        <v>59.9</v>
      </c>
      <c r="F3015" t="s">
        <v>9</v>
      </c>
      <c r="G30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15">
        <f>IF(Table1[[#This Row],[is_ups_overcharge]]="ups overcharged",Table1[[#This Row],[ups ship charge]]-Table1[[#This Row],[ada ship charge]],0)</f>
        <v>0</v>
      </c>
    </row>
    <row r="3016" spans="1:9" x14ac:dyDescent="0.2">
      <c r="A3016">
        <v>1040709</v>
      </c>
      <c r="B3016" t="s">
        <v>21</v>
      </c>
      <c r="C3016">
        <v>12.75</v>
      </c>
      <c r="D3016">
        <v>12.8</v>
      </c>
      <c r="E3016">
        <v>39.950000000000003</v>
      </c>
      <c r="F3016" t="s">
        <v>9</v>
      </c>
      <c r="G30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16">
        <f>IF(Table1[[#This Row],[is_ups_overcharge]]="ups overcharged",Table1[[#This Row],[ups ship charge]]-Table1[[#This Row],[ada ship charge]],0)</f>
        <v>0</v>
      </c>
    </row>
    <row r="3017" spans="1:9" x14ac:dyDescent="0.2">
      <c r="A3017">
        <v>1040716</v>
      </c>
      <c r="B3017" t="s">
        <v>21</v>
      </c>
      <c r="C3017">
        <v>9.66</v>
      </c>
      <c r="D3017">
        <v>9.7100000000000009</v>
      </c>
      <c r="E3017">
        <v>16.899999999999999</v>
      </c>
      <c r="F3017" t="s">
        <v>6</v>
      </c>
      <c r="G30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17">
        <f>IF(Table1[[#This Row],[is_ups_overcharge]]="ups overcharged",Table1[[#This Row],[ups ship charge]]-Table1[[#This Row],[ada ship charge]],0)</f>
        <v>0</v>
      </c>
    </row>
    <row r="3018" spans="1:9" x14ac:dyDescent="0.2">
      <c r="A3018">
        <v>1040760</v>
      </c>
      <c r="B3018" t="s">
        <v>21</v>
      </c>
      <c r="C3018">
        <v>13.64</v>
      </c>
      <c r="D3018">
        <v>13.69</v>
      </c>
      <c r="E3018">
        <v>14.95</v>
      </c>
      <c r="F3018" t="s">
        <v>9</v>
      </c>
      <c r="G30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18">
        <f>IF(Table1[[#This Row],[is_ups_overcharge]]="ups overcharged",Table1[[#This Row],[ups ship charge]]-Table1[[#This Row],[ada ship charge]],0)</f>
        <v>0</v>
      </c>
    </row>
    <row r="3019" spans="1:9" x14ac:dyDescent="0.2">
      <c r="A3019">
        <v>1040789</v>
      </c>
      <c r="B3019" t="s">
        <v>21</v>
      </c>
      <c r="C3019">
        <v>13.64</v>
      </c>
      <c r="D3019">
        <v>13.69</v>
      </c>
      <c r="E3019">
        <v>60.9</v>
      </c>
      <c r="F3019" t="s">
        <v>9</v>
      </c>
      <c r="G30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19">
        <f>IF(Table1[[#This Row],[is_ups_overcharge]]="ups overcharged",Table1[[#This Row],[ups ship charge]]-Table1[[#This Row],[ada ship charge]],0)</f>
        <v>0</v>
      </c>
    </row>
    <row r="3020" spans="1:9" x14ac:dyDescent="0.2">
      <c r="A3020">
        <v>1040849</v>
      </c>
      <c r="B3020" t="s">
        <v>21</v>
      </c>
      <c r="C3020">
        <v>13.64</v>
      </c>
      <c r="D3020">
        <v>13.69</v>
      </c>
      <c r="E3020">
        <v>81.8</v>
      </c>
      <c r="F3020" t="s">
        <v>9</v>
      </c>
      <c r="G30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20">
        <f>IF(Table1[[#This Row],[is_ups_overcharge]]="ups overcharged",Table1[[#This Row],[ups ship charge]]-Table1[[#This Row],[ada ship charge]],0)</f>
        <v>0</v>
      </c>
    </row>
    <row r="3021" spans="1:9" x14ac:dyDescent="0.2">
      <c r="A3021">
        <v>1040865</v>
      </c>
      <c r="B3021" t="s">
        <v>21</v>
      </c>
      <c r="C3021">
        <v>13.94</v>
      </c>
      <c r="D3021">
        <v>13.99</v>
      </c>
      <c r="E3021">
        <v>30</v>
      </c>
      <c r="F3021" t="s">
        <v>16</v>
      </c>
      <c r="G30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21">
        <f>IF(Table1[[#This Row],[is_ups_overcharge]]="ups overcharged",Table1[[#This Row],[ups ship charge]]-Table1[[#This Row],[ada ship charge]],0)</f>
        <v>0</v>
      </c>
    </row>
    <row r="3022" spans="1:9" x14ac:dyDescent="0.2">
      <c r="A3022">
        <v>1040869</v>
      </c>
      <c r="B3022" t="s">
        <v>21</v>
      </c>
      <c r="C3022">
        <v>12.75</v>
      </c>
      <c r="D3022">
        <v>12.8</v>
      </c>
      <c r="E3022">
        <v>14.95</v>
      </c>
      <c r="F3022" t="s">
        <v>9</v>
      </c>
      <c r="G30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22">
        <f>IF(Table1[[#This Row],[is_ups_overcharge]]="ups overcharged",Table1[[#This Row],[ups ship charge]]-Table1[[#This Row],[ada ship charge]],0)</f>
        <v>0</v>
      </c>
    </row>
    <row r="3023" spans="1:9" x14ac:dyDescent="0.2">
      <c r="A3023">
        <v>1040880</v>
      </c>
      <c r="B3023" t="s">
        <v>21</v>
      </c>
      <c r="C3023">
        <v>16.34</v>
      </c>
      <c r="D3023">
        <v>16.39</v>
      </c>
      <c r="E3023">
        <v>8.9</v>
      </c>
      <c r="F3023" t="s">
        <v>10</v>
      </c>
      <c r="G30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23">
        <f>IF(Table1[[#This Row],[is_ups_overcharge]]="ups overcharged",Table1[[#This Row],[ups ship charge]]-Table1[[#This Row],[ada ship charge]],0)</f>
        <v>0</v>
      </c>
    </row>
    <row r="3024" spans="1:9" x14ac:dyDescent="0.2">
      <c r="A3024">
        <v>1040895</v>
      </c>
      <c r="B3024" t="s">
        <v>21</v>
      </c>
      <c r="C3024">
        <v>12.75</v>
      </c>
      <c r="D3024">
        <v>12.8</v>
      </c>
      <c r="E3024">
        <v>40.65</v>
      </c>
      <c r="F3024" t="s">
        <v>9</v>
      </c>
      <c r="G30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24">
        <f>IF(Table1[[#This Row],[is_ups_overcharge]]="ups overcharged",Table1[[#This Row],[ups ship charge]]-Table1[[#This Row],[ada ship charge]],0)</f>
        <v>0</v>
      </c>
    </row>
    <row r="3025" spans="1:9" x14ac:dyDescent="0.2">
      <c r="A3025">
        <v>1040907</v>
      </c>
      <c r="B3025" t="s">
        <v>21</v>
      </c>
      <c r="C3025">
        <v>13.64</v>
      </c>
      <c r="D3025">
        <v>13.69</v>
      </c>
      <c r="E3025">
        <v>3.9</v>
      </c>
      <c r="F3025" t="s">
        <v>9</v>
      </c>
      <c r="G30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25">
        <f>IF(Table1[[#This Row],[is_ups_overcharge]]="ups overcharged",Table1[[#This Row],[ups ship charge]]-Table1[[#This Row],[ada ship charge]],0)</f>
        <v>0</v>
      </c>
    </row>
    <row r="3026" spans="1:9" x14ac:dyDescent="0.2">
      <c r="A3026">
        <v>1040910</v>
      </c>
      <c r="B3026" t="s">
        <v>21</v>
      </c>
      <c r="C3026">
        <v>12.75</v>
      </c>
      <c r="D3026">
        <v>12.8</v>
      </c>
      <c r="E3026">
        <v>79.75</v>
      </c>
      <c r="F3026" t="s">
        <v>9</v>
      </c>
      <c r="G30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26">
        <f>IF(Table1[[#This Row],[is_ups_overcharge]]="ups overcharged",Table1[[#This Row],[ups ship charge]]-Table1[[#This Row],[ada ship charge]],0)</f>
        <v>0</v>
      </c>
    </row>
    <row r="3027" spans="1:9" x14ac:dyDescent="0.2">
      <c r="A3027">
        <v>1040914</v>
      </c>
      <c r="B3027" t="s">
        <v>21</v>
      </c>
      <c r="C3027">
        <v>15.32</v>
      </c>
      <c r="D3027">
        <v>15.37</v>
      </c>
      <c r="E3027">
        <v>62.5</v>
      </c>
      <c r="F3027" t="s">
        <v>12</v>
      </c>
      <c r="G30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27">
        <f>IF(Table1[[#This Row],[is_ups_overcharge]]="ups overcharged",Table1[[#This Row],[ups ship charge]]-Table1[[#This Row],[ada ship charge]],0)</f>
        <v>0</v>
      </c>
    </row>
    <row r="3028" spans="1:9" x14ac:dyDescent="0.2">
      <c r="A3028">
        <v>1040917</v>
      </c>
      <c r="B3028" t="s">
        <v>21</v>
      </c>
      <c r="C3028">
        <v>9.65</v>
      </c>
      <c r="D3028">
        <v>9.7100000000000009</v>
      </c>
      <c r="E3028">
        <v>23.85</v>
      </c>
      <c r="F3028" t="s">
        <v>6</v>
      </c>
      <c r="G30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28">
        <f>IF(Table1[[#This Row],[is_ups_overcharge]]="ups overcharged",Table1[[#This Row],[ups ship charge]]-Table1[[#This Row],[ada ship charge]],0)</f>
        <v>0</v>
      </c>
    </row>
    <row r="3029" spans="1:9" x14ac:dyDescent="0.2">
      <c r="A3029">
        <v>1040925</v>
      </c>
      <c r="B3029" t="s">
        <v>21</v>
      </c>
      <c r="C3029">
        <v>18.02</v>
      </c>
      <c r="D3029">
        <v>18.07</v>
      </c>
      <c r="E3029">
        <v>58.5</v>
      </c>
      <c r="F3029" t="s">
        <v>15</v>
      </c>
      <c r="G30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29">
        <f>IF(Table1[[#This Row],[is_ups_overcharge]]="ups overcharged",Table1[[#This Row],[ups ship charge]]-Table1[[#This Row],[ada ship charge]],0)</f>
        <v>0</v>
      </c>
    </row>
    <row r="3030" spans="1:9" x14ac:dyDescent="0.2">
      <c r="A3030">
        <v>1040935</v>
      </c>
      <c r="B3030" t="s">
        <v>21</v>
      </c>
      <c r="C3030">
        <v>12.75</v>
      </c>
      <c r="D3030">
        <v>12.8</v>
      </c>
      <c r="E3030">
        <v>7.95</v>
      </c>
      <c r="F3030" t="s">
        <v>9</v>
      </c>
      <c r="G30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30">
        <f>IF(Table1[[#This Row],[is_ups_overcharge]]="ups overcharged",Table1[[#This Row],[ups ship charge]]-Table1[[#This Row],[ada ship charge]],0)</f>
        <v>0</v>
      </c>
    </row>
    <row r="3031" spans="1:9" x14ac:dyDescent="0.2">
      <c r="A3031">
        <v>1040953</v>
      </c>
      <c r="B3031" t="s">
        <v>21</v>
      </c>
      <c r="C3031">
        <v>13.64</v>
      </c>
      <c r="D3031">
        <v>13.69</v>
      </c>
      <c r="E3031">
        <v>22.9</v>
      </c>
      <c r="F3031" t="s">
        <v>9</v>
      </c>
      <c r="G30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31">
        <f>IF(Table1[[#This Row],[is_ups_overcharge]]="ups overcharged",Table1[[#This Row],[ups ship charge]]-Table1[[#This Row],[ada ship charge]],0)</f>
        <v>0</v>
      </c>
    </row>
    <row r="3032" spans="1:9" x14ac:dyDescent="0.2">
      <c r="A3032">
        <v>1040955</v>
      </c>
      <c r="B3032" t="s">
        <v>21</v>
      </c>
      <c r="C3032">
        <v>9.66</v>
      </c>
      <c r="D3032">
        <v>9.7100000000000009</v>
      </c>
      <c r="E3032">
        <v>3.95</v>
      </c>
      <c r="F3032" t="s">
        <v>6</v>
      </c>
      <c r="G30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32">
        <f>IF(Table1[[#This Row],[is_ups_overcharge]]="ups overcharged",Table1[[#This Row],[ups ship charge]]-Table1[[#This Row],[ada ship charge]],0)</f>
        <v>0</v>
      </c>
    </row>
    <row r="3033" spans="1:9" x14ac:dyDescent="0.2">
      <c r="A3033">
        <v>1040962</v>
      </c>
      <c r="B3033" t="s">
        <v>21</v>
      </c>
      <c r="C3033">
        <v>13.64</v>
      </c>
      <c r="D3033">
        <v>14.49</v>
      </c>
      <c r="E3033">
        <v>99.95</v>
      </c>
      <c r="F3033" t="s">
        <v>9</v>
      </c>
      <c r="G30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33">
        <f>IF(Table1[[#This Row],[is_ups_overcharge]]="ups overcharged",Table1[[#This Row],[ups ship charge]]-Table1[[#This Row],[ada ship charge]],0)</f>
        <v>0</v>
      </c>
    </row>
    <row r="3034" spans="1:9" x14ac:dyDescent="0.2">
      <c r="A3034">
        <v>1041001</v>
      </c>
      <c r="B3034" t="s">
        <v>21</v>
      </c>
      <c r="C3034">
        <v>9.65</v>
      </c>
      <c r="D3034">
        <v>13.69</v>
      </c>
      <c r="E3034">
        <v>8.6</v>
      </c>
      <c r="F3034" t="s">
        <v>6</v>
      </c>
      <c r="G30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34">
        <f>IF(Table1[[#This Row],[is_ups_overcharge]]="ups overcharged",Table1[[#This Row],[ups ship charge]]-Table1[[#This Row],[ada ship charge]],0)</f>
        <v>0</v>
      </c>
    </row>
    <row r="3035" spans="1:9" x14ac:dyDescent="0.2">
      <c r="A3035">
        <v>1041004</v>
      </c>
      <c r="B3035" t="s">
        <v>21</v>
      </c>
      <c r="C3035">
        <v>15.33</v>
      </c>
      <c r="D3035">
        <v>15.38</v>
      </c>
      <c r="E3035">
        <v>29.7</v>
      </c>
      <c r="F3035" t="s">
        <v>12</v>
      </c>
      <c r="G30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35">
        <f>IF(Table1[[#This Row],[is_ups_overcharge]]="ups overcharged",Table1[[#This Row],[ups ship charge]]-Table1[[#This Row],[ada ship charge]],0)</f>
        <v>0</v>
      </c>
    </row>
    <row r="3036" spans="1:9" x14ac:dyDescent="0.2">
      <c r="A3036">
        <v>1041009</v>
      </c>
      <c r="B3036" t="s">
        <v>21</v>
      </c>
      <c r="C3036">
        <v>71.59</v>
      </c>
      <c r="D3036">
        <v>58.64</v>
      </c>
      <c r="E3036">
        <v>159.9</v>
      </c>
      <c r="F3036" t="s">
        <v>8</v>
      </c>
      <c r="G30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36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036">
        <f>IF(Table1[[#This Row],[is_ups_overcharge]]="ups overcharged",Table1[[#This Row],[ups ship charge]]-Table1[[#This Row],[ada ship charge]],0)</f>
        <v>12.950000000000003</v>
      </c>
    </row>
    <row r="3037" spans="1:9" x14ac:dyDescent="0.2">
      <c r="A3037">
        <v>1041070</v>
      </c>
      <c r="B3037" t="s">
        <v>21</v>
      </c>
      <c r="C3037">
        <v>12.75</v>
      </c>
      <c r="D3037">
        <v>12.8</v>
      </c>
      <c r="E3037">
        <v>94.9</v>
      </c>
      <c r="F3037" t="s">
        <v>9</v>
      </c>
      <c r="G30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37">
        <f>IF(Table1[[#This Row],[is_ups_overcharge]]="ups overcharged",Table1[[#This Row],[ups ship charge]]-Table1[[#This Row],[ada ship charge]],0)</f>
        <v>0</v>
      </c>
    </row>
    <row r="3038" spans="1:9" x14ac:dyDescent="0.2">
      <c r="A3038">
        <v>1041072</v>
      </c>
      <c r="B3038" t="s">
        <v>21</v>
      </c>
      <c r="C3038">
        <v>12.75</v>
      </c>
      <c r="D3038">
        <v>13.25</v>
      </c>
      <c r="E3038">
        <v>89.9</v>
      </c>
      <c r="F3038" t="s">
        <v>9</v>
      </c>
      <c r="G30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38">
        <f>IF(Table1[[#This Row],[is_ups_overcharge]]="ups overcharged",Table1[[#This Row],[ups ship charge]]-Table1[[#This Row],[ada ship charge]],0)</f>
        <v>0</v>
      </c>
    </row>
    <row r="3039" spans="1:9" x14ac:dyDescent="0.2">
      <c r="A3039">
        <v>1041073</v>
      </c>
      <c r="B3039" t="s">
        <v>21</v>
      </c>
      <c r="C3039">
        <v>10.94</v>
      </c>
      <c r="D3039">
        <v>10.99</v>
      </c>
      <c r="E3039">
        <v>99.95</v>
      </c>
      <c r="F3039" t="s">
        <v>14</v>
      </c>
      <c r="G30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39">
        <f>IF(Table1[[#This Row],[is_ups_overcharge]]="ups overcharged",Table1[[#This Row],[ups ship charge]]-Table1[[#This Row],[ada ship charge]],0)</f>
        <v>0</v>
      </c>
    </row>
    <row r="3040" spans="1:9" x14ac:dyDescent="0.2">
      <c r="A3040">
        <v>1041079</v>
      </c>
      <c r="B3040" t="s">
        <v>21</v>
      </c>
      <c r="C3040">
        <v>12.19</v>
      </c>
      <c r="D3040">
        <v>12.25</v>
      </c>
      <c r="E3040">
        <v>52.85</v>
      </c>
      <c r="F3040" t="s">
        <v>14</v>
      </c>
      <c r="G30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40">
        <f>IF(Table1[[#This Row],[is_ups_overcharge]]="ups overcharged",Table1[[#This Row],[ups ship charge]]-Table1[[#This Row],[ada ship charge]],0)</f>
        <v>0</v>
      </c>
    </row>
    <row r="3041" spans="1:9" x14ac:dyDescent="0.2">
      <c r="A3041">
        <v>1041108</v>
      </c>
      <c r="B3041" t="s">
        <v>21</v>
      </c>
      <c r="C3041">
        <v>12.75</v>
      </c>
      <c r="D3041">
        <v>12.8</v>
      </c>
      <c r="E3041">
        <v>79.95</v>
      </c>
      <c r="F3041" t="s">
        <v>9</v>
      </c>
      <c r="G30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41">
        <f>IF(Table1[[#This Row],[is_ups_overcharge]]="ups overcharged",Table1[[#This Row],[ups ship charge]]-Table1[[#This Row],[ada ship charge]],0)</f>
        <v>0</v>
      </c>
    </row>
    <row r="3042" spans="1:9" x14ac:dyDescent="0.2">
      <c r="A3042">
        <v>1041128</v>
      </c>
      <c r="B3042" t="s">
        <v>21</v>
      </c>
      <c r="C3042">
        <v>13.64</v>
      </c>
      <c r="D3042">
        <v>13.69</v>
      </c>
      <c r="E3042">
        <v>12.8</v>
      </c>
      <c r="F3042" t="s">
        <v>9</v>
      </c>
      <c r="G30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42">
        <f>IF(Table1[[#This Row],[is_ups_overcharge]]="ups overcharged",Table1[[#This Row],[ups ship charge]]-Table1[[#This Row],[ada ship charge]],0)</f>
        <v>0</v>
      </c>
    </row>
    <row r="3043" spans="1:9" x14ac:dyDescent="0.2">
      <c r="A3043">
        <v>1041158</v>
      </c>
      <c r="B3043" t="s">
        <v>21</v>
      </c>
      <c r="C3043">
        <v>13.64</v>
      </c>
      <c r="D3043">
        <v>13.69</v>
      </c>
      <c r="E3043">
        <v>32.799999999999997</v>
      </c>
      <c r="F3043" t="s">
        <v>9</v>
      </c>
      <c r="G30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43">
        <f>IF(Table1[[#This Row],[is_ups_overcharge]]="ups overcharged",Table1[[#This Row],[ups ship charge]]-Table1[[#This Row],[ada ship charge]],0)</f>
        <v>0</v>
      </c>
    </row>
    <row r="3044" spans="1:9" x14ac:dyDescent="0.2">
      <c r="A3044">
        <v>1041166</v>
      </c>
      <c r="B3044" t="s">
        <v>21</v>
      </c>
      <c r="C3044">
        <v>16.75</v>
      </c>
      <c r="D3044">
        <v>18.64</v>
      </c>
      <c r="E3044">
        <v>167.35</v>
      </c>
      <c r="F3044" t="s">
        <v>10</v>
      </c>
      <c r="G30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44">
        <f>IF(Table1[[#This Row],[is_ups_overcharge]]="ups overcharged",Table1[[#This Row],[ups ship charge]]-Table1[[#This Row],[ada ship charge]],0)</f>
        <v>0</v>
      </c>
    </row>
    <row r="3045" spans="1:9" x14ac:dyDescent="0.2">
      <c r="A3045">
        <v>1041219</v>
      </c>
      <c r="B3045" t="s">
        <v>21</v>
      </c>
      <c r="C3045">
        <v>12.75</v>
      </c>
      <c r="D3045">
        <v>12.8</v>
      </c>
      <c r="E3045">
        <v>27.35</v>
      </c>
      <c r="F3045" t="s">
        <v>9</v>
      </c>
      <c r="G30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45">
        <f>IF(Table1[[#This Row],[is_ups_overcharge]]="ups overcharged",Table1[[#This Row],[ups ship charge]]-Table1[[#This Row],[ada ship charge]],0)</f>
        <v>0</v>
      </c>
    </row>
    <row r="3046" spans="1:9" x14ac:dyDescent="0.2">
      <c r="A3046">
        <v>1041222</v>
      </c>
      <c r="B3046" t="s">
        <v>21</v>
      </c>
      <c r="C3046">
        <v>12.75</v>
      </c>
      <c r="D3046">
        <v>12.8</v>
      </c>
      <c r="E3046">
        <v>5.9</v>
      </c>
      <c r="F3046" t="s">
        <v>9</v>
      </c>
      <c r="G30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46">
        <f>IF(Table1[[#This Row],[is_ups_overcharge]]="ups overcharged",Table1[[#This Row],[ups ship charge]]-Table1[[#This Row],[ada ship charge]],0)</f>
        <v>0</v>
      </c>
    </row>
    <row r="3047" spans="1:9" x14ac:dyDescent="0.2">
      <c r="A3047">
        <v>1041239</v>
      </c>
      <c r="B3047" t="s">
        <v>21</v>
      </c>
      <c r="C3047">
        <v>12.75</v>
      </c>
      <c r="D3047">
        <v>12.8</v>
      </c>
      <c r="E3047">
        <v>18.95</v>
      </c>
      <c r="F3047" t="s">
        <v>9</v>
      </c>
      <c r="G30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47">
        <f>IF(Table1[[#This Row],[is_ups_overcharge]]="ups overcharged",Table1[[#This Row],[ups ship charge]]-Table1[[#This Row],[ada ship charge]],0)</f>
        <v>0</v>
      </c>
    </row>
    <row r="3048" spans="1:9" x14ac:dyDescent="0.2">
      <c r="A3048">
        <v>1041259</v>
      </c>
      <c r="B3048" t="s">
        <v>21</v>
      </c>
      <c r="C3048">
        <v>13.64</v>
      </c>
      <c r="D3048">
        <v>13.69</v>
      </c>
      <c r="E3048">
        <v>135.6</v>
      </c>
      <c r="F3048" t="s">
        <v>9</v>
      </c>
      <c r="G30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48">
        <f>IF(Table1[[#This Row],[is_ups_overcharge]]="ups overcharged",Table1[[#This Row],[ups ship charge]]-Table1[[#This Row],[ada ship charge]],0)</f>
        <v>0</v>
      </c>
    </row>
    <row r="3049" spans="1:9" x14ac:dyDescent="0.2">
      <c r="A3049">
        <v>1041267</v>
      </c>
      <c r="B3049" t="s">
        <v>21</v>
      </c>
      <c r="C3049">
        <v>9.65</v>
      </c>
      <c r="D3049">
        <v>9.6999999999999993</v>
      </c>
      <c r="E3049">
        <v>13.9</v>
      </c>
      <c r="F3049" t="s">
        <v>6</v>
      </c>
      <c r="G30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49">
        <f>IF(Table1[[#This Row],[is_ups_overcharge]]="ups overcharged",Table1[[#This Row],[ups ship charge]]-Table1[[#This Row],[ada ship charge]],0)</f>
        <v>0</v>
      </c>
    </row>
    <row r="3050" spans="1:9" x14ac:dyDescent="0.2">
      <c r="A3050">
        <v>1041270</v>
      </c>
      <c r="B3050" t="s">
        <v>21</v>
      </c>
      <c r="C3050">
        <v>13.64</v>
      </c>
      <c r="D3050">
        <v>13.69</v>
      </c>
      <c r="E3050">
        <v>69.900000000000006</v>
      </c>
      <c r="F3050" t="s">
        <v>9</v>
      </c>
      <c r="G30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50">
        <f>IF(Table1[[#This Row],[is_ups_overcharge]]="ups overcharged",Table1[[#This Row],[ups ship charge]]-Table1[[#This Row],[ada ship charge]],0)</f>
        <v>0</v>
      </c>
    </row>
    <row r="3051" spans="1:9" x14ac:dyDescent="0.2">
      <c r="A3051">
        <v>1041272</v>
      </c>
      <c r="B3051" t="s">
        <v>21</v>
      </c>
      <c r="C3051">
        <v>13.64</v>
      </c>
      <c r="D3051">
        <v>13.69</v>
      </c>
      <c r="E3051">
        <v>14.85</v>
      </c>
      <c r="F3051" t="s">
        <v>9</v>
      </c>
      <c r="G30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51">
        <f>IF(Table1[[#This Row],[is_ups_overcharge]]="ups overcharged",Table1[[#This Row],[ups ship charge]]-Table1[[#This Row],[ada ship charge]],0)</f>
        <v>0</v>
      </c>
    </row>
    <row r="3052" spans="1:9" x14ac:dyDescent="0.2">
      <c r="A3052">
        <v>1041277</v>
      </c>
      <c r="B3052" t="s">
        <v>21</v>
      </c>
      <c r="C3052">
        <v>12.75</v>
      </c>
      <c r="D3052">
        <v>12.8</v>
      </c>
      <c r="E3052">
        <v>56.85</v>
      </c>
      <c r="F3052" t="s">
        <v>9</v>
      </c>
      <c r="G30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52">
        <f>IF(Table1[[#This Row],[is_ups_overcharge]]="ups overcharged",Table1[[#This Row],[ups ship charge]]-Table1[[#This Row],[ada ship charge]],0)</f>
        <v>0</v>
      </c>
    </row>
    <row r="3053" spans="1:9" x14ac:dyDescent="0.2">
      <c r="A3053">
        <v>1041291</v>
      </c>
      <c r="B3053" t="s">
        <v>21</v>
      </c>
      <c r="C3053">
        <v>13.64</v>
      </c>
      <c r="D3053">
        <v>13.69</v>
      </c>
      <c r="E3053">
        <v>36.700000000000003</v>
      </c>
      <c r="F3053" t="s">
        <v>9</v>
      </c>
      <c r="G30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53">
        <f>IF(Table1[[#This Row],[is_ups_overcharge]]="ups overcharged",Table1[[#This Row],[ups ship charge]]-Table1[[#This Row],[ada ship charge]],0)</f>
        <v>0</v>
      </c>
    </row>
    <row r="3054" spans="1:9" x14ac:dyDescent="0.2">
      <c r="A3054">
        <v>1041313</v>
      </c>
      <c r="B3054" t="s">
        <v>21</v>
      </c>
      <c r="C3054">
        <v>19.77</v>
      </c>
      <c r="D3054">
        <v>18.07</v>
      </c>
      <c r="E3054">
        <v>127.75</v>
      </c>
      <c r="F3054" t="s">
        <v>10</v>
      </c>
      <c r="G30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5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054">
        <f>IF(Table1[[#This Row],[is_ups_overcharge]]="ups overcharged",Table1[[#This Row],[ups ship charge]]-Table1[[#This Row],[ada ship charge]],0)</f>
        <v>1.6999999999999993</v>
      </c>
    </row>
    <row r="3055" spans="1:9" x14ac:dyDescent="0.2">
      <c r="A3055">
        <v>1041315</v>
      </c>
      <c r="B3055" t="s">
        <v>21</v>
      </c>
      <c r="C3055">
        <v>12.26</v>
      </c>
      <c r="D3055">
        <v>12.31</v>
      </c>
      <c r="E3055">
        <v>34.9</v>
      </c>
      <c r="F3055" t="s">
        <v>13</v>
      </c>
      <c r="G30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55">
        <f>IF(Table1[[#This Row],[is_ups_overcharge]]="ups overcharged",Table1[[#This Row],[ups ship charge]]-Table1[[#This Row],[ada ship charge]],0)</f>
        <v>0</v>
      </c>
    </row>
    <row r="3056" spans="1:9" x14ac:dyDescent="0.2">
      <c r="A3056">
        <v>1041350</v>
      </c>
      <c r="B3056" t="s">
        <v>21</v>
      </c>
      <c r="C3056">
        <v>13.68</v>
      </c>
      <c r="D3056">
        <v>26.41</v>
      </c>
      <c r="E3056">
        <v>64.95</v>
      </c>
      <c r="F3056" t="s">
        <v>9</v>
      </c>
      <c r="G30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56">
        <f>IF(Table1[[#This Row],[is_ups_overcharge]]="ups overcharged",Table1[[#This Row],[ups ship charge]]-Table1[[#This Row],[ada ship charge]],0)</f>
        <v>0</v>
      </c>
    </row>
    <row r="3057" spans="1:9" x14ac:dyDescent="0.2">
      <c r="A3057">
        <v>1041381</v>
      </c>
      <c r="B3057" t="s">
        <v>21</v>
      </c>
      <c r="C3057">
        <v>13.64</v>
      </c>
      <c r="D3057">
        <v>19.13</v>
      </c>
      <c r="E3057">
        <v>59.9</v>
      </c>
      <c r="F3057" t="s">
        <v>9</v>
      </c>
      <c r="G30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57">
        <f>IF(Table1[[#This Row],[is_ups_overcharge]]="ups overcharged",Table1[[#This Row],[ups ship charge]]-Table1[[#This Row],[ada ship charge]],0)</f>
        <v>0</v>
      </c>
    </row>
    <row r="3058" spans="1:9" x14ac:dyDescent="0.2">
      <c r="A3058">
        <v>1041392</v>
      </c>
      <c r="B3058" t="s">
        <v>21</v>
      </c>
      <c r="C3058">
        <v>9.66</v>
      </c>
      <c r="D3058">
        <v>9.7100000000000009</v>
      </c>
      <c r="E3058">
        <v>24.9</v>
      </c>
      <c r="F3058" t="s">
        <v>6</v>
      </c>
      <c r="G30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58">
        <f>IF(Table1[[#This Row],[is_ups_overcharge]]="ups overcharged",Table1[[#This Row],[ups ship charge]]-Table1[[#This Row],[ada ship charge]],0)</f>
        <v>0</v>
      </c>
    </row>
    <row r="3059" spans="1:9" x14ac:dyDescent="0.2">
      <c r="A3059">
        <v>1041424</v>
      </c>
      <c r="B3059" t="s">
        <v>21</v>
      </c>
      <c r="C3059">
        <v>13.64</v>
      </c>
      <c r="D3059">
        <v>13.69</v>
      </c>
      <c r="E3059">
        <v>47.7</v>
      </c>
      <c r="F3059" t="s">
        <v>9</v>
      </c>
      <c r="G30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59">
        <f>IF(Table1[[#This Row],[is_ups_overcharge]]="ups overcharged",Table1[[#This Row],[ups ship charge]]-Table1[[#This Row],[ada ship charge]],0)</f>
        <v>0</v>
      </c>
    </row>
    <row r="3060" spans="1:9" x14ac:dyDescent="0.2">
      <c r="A3060">
        <v>1041425</v>
      </c>
      <c r="B3060" t="s">
        <v>21</v>
      </c>
      <c r="C3060">
        <v>12.75</v>
      </c>
      <c r="D3060">
        <v>12.8</v>
      </c>
      <c r="E3060">
        <v>48.8</v>
      </c>
      <c r="F3060" t="s">
        <v>9</v>
      </c>
      <c r="G30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60">
        <f>IF(Table1[[#This Row],[is_ups_overcharge]]="ups overcharged",Table1[[#This Row],[ups ship charge]]-Table1[[#This Row],[ada ship charge]],0)</f>
        <v>0</v>
      </c>
    </row>
    <row r="3061" spans="1:9" x14ac:dyDescent="0.2">
      <c r="A3061">
        <v>1041446</v>
      </c>
      <c r="B3061" t="s">
        <v>21</v>
      </c>
      <c r="C3061">
        <v>13.64</v>
      </c>
      <c r="D3061">
        <v>13.69</v>
      </c>
      <c r="E3061">
        <v>58.8</v>
      </c>
      <c r="F3061" t="s">
        <v>9</v>
      </c>
      <c r="G30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61">
        <f>IF(Table1[[#This Row],[is_ups_overcharge]]="ups overcharged",Table1[[#This Row],[ups ship charge]]-Table1[[#This Row],[ada ship charge]],0)</f>
        <v>0</v>
      </c>
    </row>
    <row r="3062" spans="1:9" x14ac:dyDescent="0.2">
      <c r="A3062">
        <v>1041449</v>
      </c>
      <c r="B3062" t="s">
        <v>21</v>
      </c>
      <c r="C3062">
        <v>12.75</v>
      </c>
      <c r="D3062">
        <v>12.8</v>
      </c>
      <c r="E3062">
        <v>9.9</v>
      </c>
      <c r="F3062" t="s">
        <v>9</v>
      </c>
      <c r="G30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62">
        <f>IF(Table1[[#This Row],[is_ups_overcharge]]="ups overcharged",Table1[[#This Row],[ups ship charge]]-Table1[[#This Row],[ada ship charge]],0)</f>
        <v>0</v>
      </c>
    </row>
    <row r="3063" spans="1:9" x14ac:dyDescent="0.2">
      <c r="A3063">
        <v>1041476</v>
      </c>
      <c r="B3063" t="s">
        <v>21</v>
      </c>
      <c r="C3063">
        <v>9.65</v>
      </c>
      <c r="D3063">
        <v>9.6999999999999993</v>
      </c>
      <c r="E3063">
        <v>119.85</v>
      </c>
      <c r="F3063" t="s">
        <v>6</v>
      </c>
      <c r="G30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63">
        <f>IF(Table1[[#This Row],[is_ups_overcharge]]="ups overcharged",Table1[[#This Row],[ups ship charge]]-Table1[[#This Row],[ada ship charge]],0)</f>
        <v>0</v>
      </c>
    </row>
    <row r="3064" spans="1:9" x14ac:dyDescent="0.2">
      <c r="A3064">
        <v>1041477</v>
      </c>
      <c r="B3064" t="s">
        <v>21</v>
      </c>
      <c r="C3064">
        <v>12.75</v>
      </c>
      <c r="D3064">
        <v>12.8</v>
      </c>
      <c r="E3064">
        <v>36.799999999999997</v>
      </c>
      <c r="F3064" t="s">
        <v>9</v>
      </c>
      <c r="G30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64">
        <f>IF(Table1[[#This Row],[is_ups_overcharge]]="ups overcharged",Table1[[#This Row],[ups ship charge]]-Table1[[#This Row],[ada ship charge]],0)</f>
        <v>0</v>
      </c>
    </row>
    <row r="3065" spans="1:9" x14ac:dyDescent="0.2">
      <c r="A3065">
        <v>1041484</v>
      </c>
      <c r="B3065" t="s">
        <v>21</v>
      </c>
      <c r="C3065">
        <v>12.75</v>
      </c>
      <c r="D3065">
        <v>12.8</v>
      </c>
      <c r="E3065">
        <v>24.95</v>
      </c>
      <c r="F3065" t="s">
        <v>9</v>
      </c>
      <c r="G30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65">
        <f>IF(Table1[[#This Row],[is_ups_overcharge]]="ups overcharged",Table1[[#This Row],[ups ship charge]]-Table1[[#This Row],[ada ship charge]],0)</f>
        <v>0</v>
      </c>
    </row>
    <row r="3066" spans="1:9" x14ac:dyDescent="0.2">
      <c r="A3066">
        <v>1041508</v>
      </c>
      <c r="B3066" t="s">
        <v>21</v>
      </c>
      <c r="C3066">
        <v>13.64</v>
      </c>
      <c r="D3066">
        <v>13.69</v>
      </c>
      <c r="E3066">
        <v>59.4</v>
      </c>
      <c r="F3066" t="s">
        <v>9</v>
      </c>
      <c r="G30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66">
        <f>IF(Table1[[#This Row],[is_ups_overcharge]]="ups overcharged",Table1[[#This Row],[ups ship charge]]-Table1[[#This Row],[ada ship charge]],0)</f>
        <v>0</v>
      </c>
    </row>
    <row r="3067" spans="1:9" x14ac:dyDescent="0.2">
      <c r="A3067">
        <v>1041509</v>
      </c>
      <c r="B3067" t="s">
        <v>21</v>
      </c>
      <c r="C3067">
        <v>13.94</v>
      </c>
      <c r="D3067">
        <v>13.99</v>
      </c>
      <c r="E3067">
        <v>79.3</v>
      </c>
      <c r="F3067" t="s">
        <v>16</v>
      </c>
      <c r="G30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67">
        <f>IF(Table1[[#This Row],[is_ups_overcharge]]="ups overcharged",Table1[[#This Row],[ups ship charge]]-Table1[[#This Row],[ada ship charge]],0)</f>
        <v>0</v>
      </c>
    </row>
    <row r="3068" spans="1:9" x14ac:dyDescent="0.2">
      <c r="A3068">
        <v>1041554</v>
      </c>
      <c r="B3068" t="s">
        <v>21</v>
      </c>
      <c r="C3068">
        <v>9.65</v>
      </c>
      <c r="D3068">
        <v>9.6999999999999993</v>
      </c>
      <c r="E3068">
        <v>23.95</v>
      </c>
      <c r="F3068" t="s">
        <v>6</v>
      </c>
      <c r="G30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68">
        <f>IF(Table1[[#This Row],[is_ups_overcharge]]="ups overcharged",Table1[[#This Row],[ups ship charge]]-Table1[[#This Row],[ada ship charge]],0)</f>
        <v>0</v>
      </c>
    </row>
    <row r="3069" spans="1:9" x14ac:dyDescent="0.2">
      <c r="A3069">
        <v>1041564</v>
      </c>
      <c r="B3069" t="s">
        <v>21</v>
      </c>
      <c r="C3069">
        <v>9.65</v>
      </c>
      <c r="D3069">
        <v>13.68</v>
      </c>
      <c r="E3069">
        <v>39.799999999999997</v>
      </c>
      <c r="F3069" t="s">
        <v>6</v>
      </c>
      <c r="G30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69">
        <f>IF(Table1[[#This Row],[is_ups_overcharge]]="ups overcharged",Table1[[#This Row],[ups ship charge]]-Table1[[#This Row],[ada ship charge]],0)</f>
        <v>0</v>
      </c>
    </row>
    <row r="3070" spans="1:9" x14ac:dyDescent="0.2">
      <c r="A3070">
        <v>1041566</v>
      </c>
      <c r="B3070" t="s">
        <v>21</v>
      </c>
      <c r="C3070">
        <v>9.65</v>
      </c>
      <c r="D3070">
        <v>9.6999999999999993</v>
      </c>
      <c r="E3070">
        <v>44.6</v>
      </c>
      <c r="F3070" t="s">
        <v>6</v>
      </c>
      <c r="G30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70">
        <f>IF(Table1[[#This Row],[is_ups_overcharge]]="ups overcharged",Table1[[#This Row],[ups ship charge]]-Table1[[#This Row],[ada ship charge]],0)</f>
        <v>0</v>
      </c>
    </row>
    <row r="3071" spans="1:9" x14ac:dyDescent="0.2">
      <c r="A3071">
        <v>1041569</v>
      </c>
      <c r="B3071" t="s">
        <v>21</v>
      </c>
      <c r="C3071">
        <v>55.79</v>
      </c>
      <c r="D3071">
        <v>58.64</v>
      </c>
      <c r="E3071">
        <v>116.25</v>
      </c>
      <c r="F3071" t="s">
        <v>8</v>
      </c>
      <c r="G30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71">
        <f>IF(Table1[[#This Row],[is_ups_overcharge]]="ups overcharged",Table1[[#This Row],[ups ship charge]]-Table1[[#This Row],[ada ship charge]],0)</f>
        <v>0</v>
      </c>
    </row>
    <row r="3072" spans="1:9" x14ac:dyDescent="0.2">
      <c r="A3072">
        <v>1041589</v>
      </c>
      <c r="B3072" t="s">
        <v>21</v>
      </c>
      <c r="C3072">
        <v>13.64</v>
      </c>
      <c r="D3072">
        <v>13.69</v>
      </c>
      <c r="E3072">
        <v>24.95</v>
      </c>
      <c r="F3072" t="s">
        <v>9</v>
      </c>
      <c r="G30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72">
        <f>IF(Table1[[#This Row],[is_ups_overcharge]]="ups overcharged",Table1[[#This Row],[ups ship charge]]-Table1[[#This Row],[ada ship charge]],0)</f>
        <v>0</v>
      </c>
    </row>
    <row r="3073" spans="1:9" x14ac:dyDescent="0.2">
      <c r="A3073">
        <v>1041590</v>
      </c>
      <c r="B3073" t="s">
        <v>21</v>
      </c>
      <c r="C3073">
        <v>10.94</v>
      </c>
      <c r="D3073">
        <v>10.99</v>
      </c>
      <c r="E3073">
        <v>17.5</v>
      </c>
      <c r="F3073" t="s">
        <v>14</v>
      </c>
      <c r="G30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73">
        <f>IF(Table1[[#This Row],[is_ups_overcharge]]="ups overcharged",Table1[[#This Row],[ups ship charge]]-Table1[[#This Row],[ada ship charge]],0)</f>
        <v>0</v>
      </c>
    </row>
    <row r="3074" spans="1:9" x14ac:dyDescent="0.2">
      <c r="A3074">
        <v>1041601</v>
      </c>
      <c r="B3074" t="s">
        <v>21</v>
      </c>
      <c r="C3074">
        <v>13.64</v>
      </c>
      <c r="D3074">
        <v>13.69</v>
      </c>
      <c r="E3074">
        <v>23.85</v>
      </c>
      <c r="F3074" t="s">
        <v>9</v>
      </c>
      <c r="G30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74">
        <f>IF(Table1[[#This Row],[is_ups_overcharge]]="ups overcharged",Table1[[#This Row],[ups ship charge]]-Table1[[#This Row],[ada ship charge]],0)</f>
        <v>0</v>
      </c>
    </row>
    <row r="3075" spans="1:9" x14ac:dyDescent="0.2">
      <c r="A3075">
        <v>1041625</v>
      </c>
      <c r="B3075" t="s">
        <v>21</v>
      </c>
      <c r="C3075">
        <v>18.79</v>
      </c>
      <c r="D3075">
        <v>18.84</v>
      </c>
      <c r="E3075">
        <v>131.65</v>
      </c>
      <c r="F3075" t="s">
        <v>15</v>
      </c>
      <c r="G30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75">
        <f>IF(Table1[[#This Row],[is_ups_overcharge]]="ups overcharged",Table1[[#This Row],[ups ship charge]]-Table1[[#This Row],[ada ship charge]],0)</f>
        <v>0</v>
      </c>
    </row>
    <row r="3076" spans="1:9" x14ac:dyDescent="0.2">
      <c r="A3076">
        <v>1041645</v>
      </c>
      <c r="B3076" t="s">
        <v>21</v>
      </c>
      <c r="C3076">
        <v>24.69</v>
      </c>
      <c r="D3076">
        <v>24.74</v>
      </c>
      <c r="E3076">
        <v>49.95</v>
      </c>
      <c r="F3076" t="s">
        <v>15</v>
      </c>
      <c r="G30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76">
        <f>IF(Table1[[#This Row],[is_ups_overcharge]]="ups overcharged",Table1[[#This Row],[ups ship charge]]-Table1[[#This Row],[ada ship charge]],0)</f>
        <v>0</v>
      </c>
    </row>
    <row r="3077" spans="1:9" x14ac:dyDescent="0.2">
      <c r="A3077">
        <v>1041689</v>
      </c>
      <c r="B3077" t="s">
        <v>21</v>
      </c>
      <c r="C3077">
        <v>13.64</v>
      </c>
      <c r="D3077">
        <v>13.69</v>
      </c>
      <c r="E3077">
        <v>47.9</v>
      </c>
      <c r="F3077" t="s">
        <v>9</v>
      </c>
      <c r="G30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77">
        <f>IF(Table1[[#This Row],[is_ups_overcharge]]="ups overcharged",Table1[[#This Row],[ups ship charge]]-Table1[[#This Row],[ada ship charge]],0)</f>
        <v>0</v>
      </c>
    </row>
    <row r="3078" spans="1:9" x14ac:dyDescent="0.2">
      <c r="A3078">
        <v>1041703</v>
      </c>
      <c r="B3078" t="s">
        <v>21</v>
      </c>
      <c r="C3078">
        <v>9.65</v>
      </c>
      <c r="D3078">
        <v>9.6999999999999993</v>
      </c>
      <c r="E3078">
        <v>39.950000000000003</v>
      </c>
      <c r="F3078" t="s">
        <v>6</v>
      </c>
      <c r="G30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78">
        <f>IF(Table1[[#This Row],[is_ups_overcharge]]="ups overcharged",Table1[[#This Row],[ups ship charge]]-Table1[[#This Row],[ada ship charge]],0)</f>
        <v>0</v>
      </c>
    </row>
    <row r="3079" spans="1:9" x14ac:dyDescent="0.2">
      <c r="A3079">
        <v>1041709</v>
      </c>
      <c r="B3079" t="s">
        <v>21</v>
      </c>
      <c r="C3079">
        <v>9.65</v>
      </c>
      <c r="D3079">
        <v>9.6999999999999993</v>
      </c>
      <c r="E3079">
        <v>39.950000000000003</v>
      </c>
      <c r="F3079" t="s">
        <v>6</v>
      </c>
      <c r="G30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79">
        <f>IF(Table1[[#This Row],[is_ups_overcharge]]="ups overcharged",Table1[[#This Row],[ups ship charge]]-Table1[[#This Row],[ada ship charge]],0)</f>
        <v>0</v>
      </c>
    </row>
    <row r="3080" spans="1:9" x14ac:dyDescent="0.2">
      <c r="A3080">
        <v>1041718</v>
      </c>
      <c r="B3080" t="s">
        <v>21</v>
      </c>
      <c r="C3080">
        <v>13.64</v>
      </c>
      <c r="D3080">
        <v>13.69</v>
      </c>
      <c r="E3080">
        <v>47.9</v>
      </c>
      <c r="F3080" t="s">
        <v>9</v>
      </c>
      <c r="G30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80">
        <f>IF(Table1[[#This Row],[is_ups_overcharge]]="ups overcharged",Table1[[#This Row],[ups ship charge]]-Table1[[#This Row],[ada ship charge]],0)</f>
        <v>0</v>
      </c>
    </row>
    <row r="3081" spans="1:9" x14ac:dyDescent="0.2">
      <c r="A3081">
        <v>1041726</v>
      </c>
      <c r="B3081" t="s">
        <v>21</v>
      </c>
      <c r="C3081">
        <v>13.64</v>
      </c>
      <c r="D3081">
        <v>13.69</v>
      </c>
      <c r="E3081">
        <v>86.65</v>
      </c>
      <c r="F3081" t="s">
        <v>9</v>
      </c>
      <c r="G30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81">
        <f>IF(Table1[[#This Row],[is_ups_overcharge]]="ups overcharged",Table1[[#This Row],[ups ship charge]]-Table1[[#This Row],[ada ship charge]],0)</f>
        <v>0</v>
      </c>
    </row>
    <row r="3082" spans="1:9" x14ac:dyDescent="0.2">
      <c r="A3082">
        <v>1041752</v>
      </c>
      <c r="B3082" t="s">
        <v>21</v>
      </c>
      <c r="C3082">
        <v>12.75</v>
      </c>
      <c r="D3082">
        <v>12.8</v>
      </c>
      <c r="E3082">
        <v>110.25</v>
      </c>
      <c r="F3082" t="s">
        <v>9</v>
      </c>
      <c r="G30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82">
        <f>IF(Table1[[#This Row],[is_ups_overcharge]]="ups overcharged",Table1[[#This Row],[ups ship charge]]-Table1[[#This Row],[ada ship charge]],0)</f>
        <v>0</v>
      </c>
    </row>
    <row r="3083" spans="1:9" x14ac:dyDescent="0.2">
      <c r="A3083">
        <v>1041772</v>
      </c>
      <c r="B3083" t="s">
        <v>21</v>
      </c>
      <c r="C3083">
        <v>13.64</v>
      </c>
      <c r="D3083">
        <v>13.69</v>
      </c>
      <c r="E3083">
        <v>94.35</v>
      </c>
      <c r="F3083" t="s">
        <v>9</v>
      </c>
      <c r="G30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83">
        <f>IF(Table1[[#This Row],[is_ups_overcharge]]="ups overcharged",Table1[[#This Row],[ups ship charge]]-Table1[[#This Row],[ada ship charge]],0)</f>
        <v>0</v>
      </c>
    </row>
    <row r="3084" spans="1:9" x14ac:dyDescent="0.2">
      <c r="A3084">
        <v>1041779</v>
      </c>
      <c r="B3084" t="s">
        <v>21</v>
      </c>
      <c r="C3084">
        <v>12.26</v>
      </c>
      <c r="D3084">
        <v>16.7</v>
      </c>
      <c r="E3084">
        <v>199.75</v>
      </c>
      <c r="F3084" t="s">
        <v>13</v>
      </c>
      <c r="G30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84">
        <f>IF(Table1[[#This Row],[is_ups_overcharge]]="ups overcharged",Table1[[#This Row],[ups ship charge]]-Table1[[#This Row],[ada ship charge]],0)</f>
        <v>0</v>
      </c>
    </row>
    <row r="3085" spans="1:9" x14ac:dyDescent="0.2">
      <c r="A3085">
        <v>1041813</v>
      </c>
      <c r="B3085" t="s">
        <v>21</v>
      </c>
      <c r="C3085">
        <v>9.66</v>
      </c>
      <c r="D3085">
        <v>12.8</v>
      </c>
      <c r="E3085">
        <v>144.69999999999999</v>
      </c>
      <c r="F3085" t="s">
        <v>6</v>
      </c>
      <c r="G30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85">
        <f>IF(Table1[[#This Row],[is_ups_overcharge]]="ups overcharged",Table1[[#This Row],[ups ship charge]]-Table1[[#This Row],[ada ship charge]],0)</f>
        <v>0</v>
      </c>
    </row>
    <row r="3086" spans="1:9" x14ac:dyDescent="0.2">
      <c r="A3086">
        <v>1041831</v>
      </c>
      <c r="B3086" t="s">
        <v>21</v>
      </c>
      <c r="C3086">
        <v>12.75</v>
      </c>
      <c r="D3086">
        <v>12.8</v>
      </c>
      <c r="E3086">
        <v>35.799999999999997</v>
      </c>
      <c r="F3086" t="s">
        <v>9</v>
      </c>
      <c r="G30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86">
        <f>IF(Table1[[#This Row],[is_ups_overcharge]]="ups overcharged",Table1[[#This Row],[ups ship charge]]-Table1[[#This Row],[ada ship charge]],0)</f>
        <v>0</v>
      </c>
    </row>
    <row r="3087" spans="1:9" x14ac:dyDescent="0.2">
      <c r="A3087">
        <v>1041833</v>
      </c>
      <c r="B3087" t="s">
        <v>21</v>
      </c>
      <c r="C3087">
        <v>16.64</v>
      </c>
      <c r="D3087">
        <v>16.690000000000001</v>
      </c>
      <c r="E3087">
        <v>39.950000000000003</v>
      </c>
      <c r="F3087" t="s">
        <v>10</v>
      </c>
      <c r="G30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87">
        <f>IF(Table1[[#This Row],[is_ups_overcharge]]="ups overcharged",Table1[[#This Row],[ups ship charge]]-Table1[[#This Row],[ada ship charge]],0)</f>
        <v>0</v>
      </c>
    </row>
    <row r="3088" spans="1:9" x14ac:dyDescent="0.2">
      <c r="A3088">
        <v>1041837</v>
      </c>
      <c r="B3088" t="s">
        <v>21</v>
      </c>
      <c r="C3088">
        <v>12.75</v>
      </c>
      <c r="D3088">
        <v>12.8</v>
      </c>
      <c r="E3088">
        <v>44.95</v>
      </c>
      <c r="F3088" t="s">
        <v>9</v>
      </c>
      <c r="G30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88">
        <f>IF(Table1[[#This Row],[is_ups_overcharge]]="ups overcharged",Table1[[#This Row],[ups ship charge]]-Table1[[#This Row],[ada ship charge]],0)</f>
        <v>0</v>
      </c>
    </row>
    <row r="3089" spans="1:9" x14ac:dyDescent="0.2">
      <c r="A3089">
        <v>1041844</v>
      </c>
      <c r="B3089" t="s">
        <v>21</v>
      </c>
      <c r="C3089">
        <v>9.65</v>
      </c>
      <c r="D3089">
        <v>13.69</v>
      </c>
      <c r="E3089">
        <v>59.9</v>
      </c>
      <c r="F3089" t="s">
        <v>6</v>
      </c>
      <c r="G30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89">
        <f>IF(Table1[[#This Row],[is_ups_overcharge]]="ups overcharged",Table1[[#This Row],[ups ship charge]]-Table1[[#This Row],[ada ship charge]],0)</f>
        <v>0</v>
      </c>
    </row>
    <row r="3090" spans="1:9" x14ac:dyDescent="0.2">
      <c r="A3090">
        <v>1041850</v>
      </c>
      <c r="B3090" t="s">
        <v>21</v>
      </c>
      <c r="C3090">
        <v>18.32</v>
      </c>
      <c r="D3090">
        <v>18.37</v>
      </c>
      <c r="E3090">
        <v>84.85</v>
      </c>
      <c r="F3090" t="s">
        <v>15</v>
      </c>
      <c r="G30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90">
        <f>IF(Table1[[#This Row],[is_ups_overcharge]]="ups overcharged",Table1[[#This Row],[ups ship charge]]-Table1[[#This Row],[ada ship charge]],0)</f>
        <v>0</v>
      </c>
    </row>
    <row r="3091" spans="1:9" x14ac:dyDescent="0.2">
      <c r="A3091">
        <v>1041875</v>
      </c>
      <c r="B3091" t="s">
        <v>21</v>
      </c>
      <c r="C3091">
        <v>17.02</v>
      </c>
      <c r="D3091">
        <v>17.07</v>
      </c>
      <c r="E3091">
        <v>137.80000000000001</v>
      </c>
      <c r="F3091" t="s">
        <v>10</v>
      </c>
      <c r="G30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91">
        <f>IF(Table1[[#This Row],[is_ups_overcharge]]="ups overcharged",Table1[[#This Row],[ups ship charge]]-Table1[[#This Row],[ada ship charge]],0)</f>
        <v>0</v>
      </c>
    </row>
    <row r="3092" spans="1:9" x14ac:dyDescent="0.2">
      <c r="A3092">
        <v>1041891</v>
      </c>
      <c r="B3092" t="s">
        <v>21</v>
      </c>
      <c r="C3092">
        <v>13.64</v>
      </c>
      <c r="D3092">
        <v>13.69</v>
      </c>
      <c r="E3092">
        <v>44.1</v>
      </c>
      <c r="F3092" t="s">
        <v>9</v>
      </c>
      <c r="G30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92">
        <f>IF(Table1[[#This Row],[is_ups_overcharge]]="ups overcharged",Table1[[#This Row],[ups ship charge]]-Table1[[#This Row],[ada ship charge]],0)</f>
        <v>0</v>
      </c>
    </row>
    <row r="3093" spans="1:9" x14ac:dyDescent="0.2">
      <c r="A3093">
        <v>1041895</v>
      </c>
      <c r="B3093" t="s">
        <v>21</v>
      </c>
      <c r="C3093">
        <v>12.75</v>
      </c>
      <c r="D3093">
        <v>12.8</v>
      </c>
      <c r="E3093">
        <v>24.95</v>
      </c>
      <c r="F3093" t="s">
        <v>9</v>
      </c>
      <c r="G30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93">
        <f>IF(Table1[[#This Row],[is_ups_overcharge]]="ups overcharged",Table1[[#This Row],[ups ship charge]]-Table1[[#This Row],[ada ship charge]],0)</f>
        <v>0</v>
      </c>
    </row>
    <row r="3094" spans="1:9" x14ac:dyDescent="0.2">
      <c r="A3094">
        <v>1041905</v>
      </c>
      <c r="B3094" t="s">
        <v>21</v>
      </c>
      <c r="C3094">
        <v>15.32</v>
      </c>
      <c r="D3094">
        <v>15.37</v>
      </c>
      <c r="E3094">
        <v>39.950000000000003</v>
      </c>
      <c r="F3094" t="s">
        <v>12</v>
      </c>
      <c r="G30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94">
        <f>IF(Table1[[#This Row],[is_ups_overcharge]]="ups overcharged",Table1[[#This Row],[ups ship charge]]-Table1[[#This Row],[ada ship charge]],0)</f>
        <v>0</v>
      </c>
    </row>
    <row r="3095" spans="1:9" x14ac:dyDescent="0.2">
      <c r="A3095">
        <v>1041929</v>
      </c>
      <c r="B3095" t="s">
        <v>21</v>
      </c>
      <c r="C3095">
        <v>18.32</v>
      </c>
      <c r="D3095">
        <v>18.37</v>
      </c>
      <c r="E3095">
        <v>47.9</v>
      </c>
      <c r="F3095" t="s">
        <v>15</v>
      </c>
      <c r="G30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95">
        <f>IF(Table1[[#This Row],[is_ups_overcharge]]="ups overcharged",Table1[[#This Row],[ups ship charge]]-Table1[[#This Row],[ada ship charge]],0)</f>
        <v>0</v>
      </c>
    </row>
    <row r="3096" spans="1:9" x14ac:dyDescent="0.2">
      <c r="A3096">
        <v>1041932</v>
      </c>
      <c r="B3096" t="s">
        <v>21</v>
      </c>
      <c r="C3096">
        <v>12.75</v>
      </c>
      <c r="D3096">
        <v>12.8</v>
      </c>
      <c r="E3096">
        <v>44.9</v>
      </c>
      <c r="F3096" t="s">
        <v>9</v>
      </c>
      <c r="G30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96">
        <f>IF(Table1[[#This Row],[is_ups_overcharge]]="ups overcharged",Table1[[#This Row],[ups ship charge]]-Table1[[#This Row],[ada ship charge]],0)</f>
        <v>0</v>
      </c>
    </row>
    <row r="3097" spans="1:9" x14ac:dyDescent="0.2">
      <c r="A3097">
        <v>1041955</v>
      </c>
      <c r="B3097" t="s">
        <v>21</v>
      </c>
      <c r="C3097">
        <v>12.75</v>
      </c>
      <c r="D3097">
        <v>12.8</v>
      </c>
      <c r="E3097">
        <v>55.6</v>
      </c>
      <c r="F3097" t="s">
        <v>9</v>
      </c>
      <c r="G30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97">
        <f>IF(Table1[[#This Row],[is_ups_overcharge]]="ups overcharged",Table1[[#This Row],[ups ship charge]]-Table1[[#This Row],[ada ship charge]],0)</f>
        <v>0</v>
      </c>
    </row>
    <row r="3098" spans="1:9" x14ac:dyDescent="0.2">
      <c r="A3098">
        <v>1041961</v>
      </c>
      <c r="B3098" t="s">
        <v>21</v>
      </c>
      <c r="C3098">
        <v>12.75</v>
      </c>
      <c r="D3098">
        <v>12.8</v>
      </c>
      <c r="E3098">
        <v>75.75</v>
      </c>
      <c r="F3098" t="s">
        <v>9</v>
      </c>
      <c r="G30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98">
        <f>IF(Table1[[#This Row],[is_ups_overcharge]]="ups overcharged",Table1[[#This Row],[ups ship charge]]-Table1[[#This Row],[ada ship charge]],0)</f>
        <v>0</v>
      </c>
    </row>
    <row r="3099" spans="1:9" x14ac:dyDescent="0.2">
      <c r="A3099">
        <v>1041984</v>
      </c>
      <c r="B3099" t="s">
        <v>21</v>
      </c>
      <c r="C3099">
        <v>13.64</v>
      </c>
      <c r="D3099">
        <v>13.69</v>
      </c>
      <c r="E3099">
        <v>53.85</v>
      </c>
      <c r="F3099" t="s">
        <v>9</v>
      </c>
      <c r="G30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0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099">
        <f>IF(Table1[[#This Row],[is_ups_overcharge]]="ups overcharged",Table1[[#This Row],[ups ship charge]]-Table1[[#This Row],[ada ship charge]],0)</f>
        <v>0</v>
      </c>
    </row>
    <row r="3100" spans="1:9" x14ac:dyDescent="0.2">
      <c r="A3100">
        <v>1042012</v>
      </c>
      <c r="B3100" t="s">
        <v>21</v>
      </c>
      <c r="C3100">
        <v>10.94</v>
      </c>
      <c r="D3100">
        <v>10.99</v>
      </c>
      <c r="E3100">
        <v>5</v>
      </c>
      <c r="F3100" t="s">
        <v>14</v>
      </c>
      <c r="G31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00">
        <f>IF(Table1[[#This Row],[is_ups_overcharge]]="ups overcharged",Table1[[#This Row],[ups ship charge]]-Table1[[#This Row],[ada ship charge]],0)</f>
        <v>0</v>
      </c>
    </row>
    <row r="3101" spans="1:9" x14ac:dyDescent="0.2">
      <c r="A3101">
        <v>1042015</v>
      </c>
      <c r="B3101" t="s">
        <v>21</v>
      </c>
      <c r="C3101">
        <v>16.34</v>
      </c>
      <c r="D3101">
        <v>16.39</v>
      </c>
      <c r="E3101">
        <v>20.6</v>
      </c>
      <c r="F3101" t="s">
        <v>10</v>
      </c>
      <c r="G31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01">
        <f>IF(Table1[[#This Row],[is_ups_overcharge]]="ups overcharged",Table1[[#This Row],[ups ship charge]]-Table1[[#This Row],[ada ship charge]],0)</f>
        <v>0</v>
      </c>
    </row>
    <row r="3102" spans="1:9" x14ac:dyDescent="0.2">
      <c r="A3102">
        <v>1042032</v>
      </c>
      <c r="B3102" t="s">
        <v>21</v>
      </c>
      <c r="C3102">
        <v>9.66</v>
      </c>
      <c r="D3102">
        <v>13.69</v>
      </c>
      <c r="E3102">
        <v>19.8</v>
      </c>
      <c r="F3102" t="s">
        <v>6</v>
      </c>
      <c r="G31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02">
        <f>IF(Table1[[#This Row],[is_ups_overcharge]]="ups overcharged",Table1[[#This Row],[ups ship charge]]-Table1[[#This Row],[ada ship charge]],0)</f>
        <v>0</v>
      </c>
    </row>
    <row r="3103" spans="1:9" x14ac:dyDescent="0.2">
      <c r="A3103">
        <v>1042045</v>
      </c>
      <c r="B3103" t="s">
        <v>21</v>
      </c>
      <c r="C3103">
        <v>12.26</v>
      </c>
      <c r="D3103">
        <v>12.31</v>
      </c>
      <c r="E3103">
        <v>36.85</v>
      </c>
      <c r="F3103" t="s">
        <v>13</v>
      </c>
      <c r="G31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03">
        <f>IF(Table1[[#This Row],[is_ups_overcharge]]="ups overcharged",Table1[[#This Row],[ups ship charge]]-Table1[[#This Row],[ada ship charge]],0)</f>
        <v>0</v>
      </c>
    </row>
    <row r="3104" spans="1:9" x14ac:dyDescent="0.2">
      <c r="A3104">
        <v>1042046</v>
      </c>
      <c r="B3104" t="s">
        <v>21</v>
      </c>
      <c r="C3104">
        <v>18.59</v>
      </c>
      <c r="D3104">
        <v>18.64</v>
      </c>
      <c r="E3104">
        <v>61.3</v>
      </c>
      <c r="F3104" t="s">
        <v>10</v>
      </c>
      <c r="G31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04">
        <f>IF(Table1[[#This Row],[is_ups_overcharge]]="ups overcharged",Table1[[#This Row],[ups ship charge]]-Table1[[#This Row],[ada ship charge]],0)</f>
        <v>0</v>
      </c>
    </row>
    <row r="3105" spans="1:9" x14ac:dyDescent="0.2">
      <c r="A3105">
        <v>1042058</v>
      </c>
      <c r="B3105" t="s">
        <v>21</v>
      </c>
      <c r="C3105">
        <v>18.32</v>
      </c>
      <c r="D3105">
        <v>18.37</v>
      </c>
      <c r="E3105">
        <v>2.5</v>
      </c>
      <c r="F3105" t="s">
        <v>15</v>
      </c>
      <c r="G31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05">
        <f>IF(Table1[[#This Row],[is_ups_overcharge]]="ups overcharged",Table1[[#This Row],[ups ship charge]]-Table1[[#This Row],[ada ship charge]],0)</f>
        <v>0</v>
      </c>
    </row>
    <row r="3106" spans="1:9" x14ac:dyDescent="0.2">
      <c r="A3106">
        <v>1042074</v>
      </c>
      <c r="B3106" t="s">
        <v>21</v>
      </c>
      <c r="C3106">
        <v>10.94</v>
      </c>
      <c r="D3106">
        <v>10.99</v>
      </c>
      <c r="E3106">
        <v>39.799999999999997</v>
      </c>
      <c r="F3106" t="s">
        <v>14</v>
      </c>
      <c r="G31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06">
        <f>IF(Table1[[#This Row],[is_ups_overcharge]]="ups overcharged",Table1[[#This Row],[ups ship charge]]-Table1[[#This Row],[ada ship charge]],0)</f>
        <v>0</v>
      </c>
    </row>
    <row r="3107" spans="1:9" x14ac:dyDescent="0.2">
      <c r="A3107">
        <v>1042086</v>
      </c>
      <c r="B3107" t="s">
        <v>21</v>
      </c>
      <c r="C3107">
        <v>13.64</v>
      </c>
      <c r="D3107">
        <v>13.69</v>
      </c>
      <c r="E3107">
        <v>93.6</v>
      </c>
      <c r="F3107" t="s">
        <v>9</v>
      </c>
      <c r="G31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07">
        <f>IF(Table1[[#This Row],[is_ups_overcharge]]="ups overcharged",Table1[[#This Row],[ups ship charge]]-Table1[[#This Row],[ada ship charge]],0)</f>
        <v>0</v>
      </c>
    </row>
    <row r="3108" spans="1:9" x14ac:dyDescent="0.2">
      <c r="A3108">
        <v>1042094</v>
      </c>
      <c r="B3108" t="s">
        <v>21</v>
      </c>
      <c r="C3108">
        <v>12.75</v>
      </c>
      <c r="D3108">
        <v>12.8</v>
      </c>
      <c r="E3108">
        <v>29.9</v>
      </c>
      <c r="F3108" t="s">
        <v>9</v>
      </c>
      <c r="G31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08">
        <f>IF(Table1[[#This Row],[is_ups_overcharge]]="ups overcharged",Table1[[#This Row],[ups ship charge]]-Table1[[#This Row],[ada ship charge]],0)</f>
        <v>0</v>
      </c>
    </row>
    <row r="3109" spans="1:9" x14ac:dyDescent="0.2">
      <c r="A3109">
        <v>1042109</v>
      </c>
      <c r="B3109" t="s">
        <v>21</v>
      </c>
      <c r="C3109">
        <v>13.64</v>
      </c>
      <c r="D3109">
        <v>13.69</v>
      </c>
      <c r="E3109">
        <v>34.75</v>
      </c>
      <c r="F3109" t="s">
        <v>9</v>
      </c>
      <c r="G31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09">
        <f>IF(Table1[[#This Row],[is_ups_overcharge]]="ups overcharged",Table1[[#This Row],[ups ship charge]]-Table1[[#This Row],[ada ship charge]],0)</f>
        <v>0</v>
      </c>
    </row>
    <row r="3110" spans="1:9" x14ac:dyDescent="0.2">
      <c r="A3110">
        <v>1042135</v>
      </c>
      <c r="B3110" t="s">
        <v>21</v>
      </c>
      <c r="C3110">
        <v>12.75</v>
      </c>
      <c r="D3110">
        <v>12.8</v>
      </c>
      <c r="E3110">
        <v>123.75</v>
      </c>
      <c r="F3110" t="s">
        <v>9</v>
      </c>
      <c r="G31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10">
        <f>IF(Table1[[#This Row],[is_ups_overcharge]]="ups overcharged",Table1[[#This Row],[ups ship charge]]-Table1[[#This Row],[ada ship charge]],0)</f>
        <v>0</v>
      </c>
    </row>
    <row r="3111" spans="1:9" x14ac:dyDescent="0.2">
      <c r="A3111">
        <v>1042157</v>
      </c>
      <c r="B3111" t="s">
        <v>21</v>
      </c>
      <c r="C3111">
        <v>23.16</v>
      </c>
      <c r="D3111">
        <v>23.21</v>
      </c>
      <c r="E3111">
        <v>23.75</v>
      </c>
      <c r="F3111" t="s">
        <v>15</v>
      </c>
      <c r="G31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11">
        <f>IF(Table1[[#This Row],[is_ups_overcharge]]="ups overcharged",Table1[[#This Row],[ups ship charge]]-Table1[[#This Row],[ada ship charge]],0)</f>
        <v>0</v>
      </c>
    </row>
    <row r="3112" spans="1:9" x14ac:dyDescent="0.2">
      <c r="A3112">
        <v>1042159</v>
      </c>
      <c r="B3112" t="s">
        <v>21</v>
      </c>
      <c r="C3112">
        <v>12.75</v>
      </c>
      <c r="D3112">
        <v>12.8</v>
      </c>
      <c r="E3112">
        <v>87.35</v>
      </c>
      <c r="F3112" t="s">
        <v>9</v>
      </c>
      <c r="G31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12">
        <f>IF(Table1[[#This Row],[is_ups_overcharge]]="ups overcharged",Table1[[#This Row],[ups ship charge]]-Table1[[#This Row],[ada ship charge]],0)</f>
        <v>0</v>
      </c>
    </row>
    <row r="3113" spans="1:9" x14ac:dyDescent="0.2">
      <c r="A3113">
        <v>1042161</v>
      </c>
      <c r="B3113" t="s">
        <v>21</v>
      </c>
      <c r="C3113">
        <v>9.65</v>
      </c>
      <c r="D3113">
        <v>9.6999999999999993</v>
      </c>
      <c r="E3113">
        <v>59.85</v>
      </c>
      <c r="F3113" t="s">
        <v>6</v>
      </c>
      <c r="G31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13">
        <f>IF(Table1[[#This Row],[is_ups_overcharge]]="ups overcharged",Table1[[#This Row],[ups ship charge]]-Table1[[#This Row],[ada ship charge]],0)</f>
        <v>0</v>
      </c>
    </row>
    <row r="3114" spans="1:9" x14ac:dyDescent="0.2">
      <c r="A3114">
        <v>1042202</v>
      </c>
      <c r="B3114" t="s">
        <v>21</v>
      </c>
      <c r="C3114">
        <v>20.73</v>
      </c>
      <c r="D3114">
        <v>23.2</v>
      </c>
      <c r="E3114">
        <v>232.88</v>
      </c>
      <c r="F3114" t="s">
        <v>15</v>
      </c>
      <c r="G31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14">
        <f>IF(Table1[[#This Row],[is_ups_overcharge]]="ups overcharged",Table1[[#This Row],[ups ship charge]]-Table1[[#This Row],[ada ship charge]],0)</f>
        <v>0</v>
      </c>
    </row>
    <row r="3115" spans="1:9" x14ac:dyDescent="0.2">
      <c r="A3115">
        <v>1042222</v>
      </c>
      <c r="B3115" t="s">
        <v>21</v>
      </c>
      <c r="C3115">
        <v>13.64</v>
      </c>
      <c r="D3115">
        <v>13.69</v>
      </c>
      <c r="E3115">
        <v>34.700000000000003</v>
      </c>
      <c r="F3115" t="s">
        <v>9</v>
      </c>
      <c r="G31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15">
        <f>IF(Table1[[#This Row],[is_ups_overcharge]]="ups overcharged",Table1[[#This Row],[ups ship charge]]-Table1[[#This Row],[ada ship charge]],0)</f>
        <v>0</v>
      </c>
    </row>
    <row r="3116" spans="1:9" x14ac:dyDescent="0.2">
      <c r="A3116">
        <v>1042229</v>
      </c>
      <c r="B3116" t="s">
        <v>21</v>
      </c>
      <c r="C3116">
        <v>12.75</v>
      </c>
      <c r="D3116">
        <v>12.8</v>
      </c>
      <c r="E3116">
        <v>14.75</v>
      </c>
      <c r="F3116" t="s">
        <v>9</v>
      </c>
      <c r="G31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16">
        <f>IF(Table1[[#This Row],[is_ups_overcharge]]="ups overcharged",Table1[[#This Row],[ups ship charge]]-Table1[[#This Row],[ada ship charge]],0)</f>
        <v>0</v>
      </c>
    </row>
    <row r="3117" spans="1:9" x14ac:dyDescent="0.2">
      <c r="A3117">
        <v>1042231</v>
      </c>
      <c r="B3117" t="s">
        <v>21</v>
      </c>
      <c r="C3117">
        <v>12.75</v>
      </c>
      <c r="D3117">
        <v>12.8</v>
      </c>
      <c r="E3117">
        <v>19.899999999999999</v>
      </c>
      <c r="F3117" t="s">
        <v>9</v>
      </c>
      <c r="G31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17">
        <f>IF(Table1[[#This Row],[is_ups_overcharge]]="ups overcharged",Table1[[#This Row],[ups ship charge]]-Table1[[#This Row],[ada ship charge]],0)</f>
        <v>0</v>
      </c>
    </row>
    <row r="3118" spans="1:9" x14ac:dyDescent="0.2">
      <c r="A3118">
        <v>1042236</v>
      </c>
      <c r="B3118" t="s">
        <v>21</v>
      </c>
      <c r="C3118">
        <v>12.26</v>
      </c>
      <c r="D3118">
        <v>12.31</v>
      </c>
      <c r="E3118">
        <v>163.69999999999999</v>
      </c>
      <c r="F3118" t="s">
        <v>13</v>
      </c>
      <c r="G31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18">
        <f>IF(Table1[[#This Row],[is_ups_overcharge]]="ups overcharged",Table1[[#This Row],[ups ship charge]]-Table1[[#This Row],[ada ship charge]],0)</f>
        <v>0</v>
      </c>
    </row>
    <row r="3119" spans="1:9" x14ac:dyDescent="0.2">
      <c r="A3119">
        <v>1042263</v>
      </c>
      <c r="B3119" t="s">
        <v>21</v>
      </c>
      <c r="C3119">
        <v>66.98</v>
      </c>
      <c r="D3119">
        <v>67.02</v>
      </c>
      <c r="E3119">
        <v>141.35</v>
      </c>
      <c r="F3119" t="s">
        <v>8</v>
      </c>
      <c r="G31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19">
        <f>IF(Table1[[#This Row],[is_ups_overcharge]]="ups overcharged",Table1[[#This Row],[ups ship charge]]-Table1[[#This Row],[ada ship charge]],0)</f>
        <v>0</v>
      </c>
    </row>
    <row r="3120" spans="1:9" x14ac:dyDescent="0.2">
      <c r="A3120">
        <v>1042276</v>
      </c>
      <c r="B3120" t="s">
        <v>21</v>
      </c>
      <c r="C3120">
        <v>13.64</v>
      </c>
      <c r="D3120">
        <v>13.69</v>
      </c>
      <c r="E3120">
        <v>2.5</v>
      </c>
      <c r="F3120" t="s">
        <v>9</v>
      </c>
      <c r="G31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20">
        <f>IF(Table1[[#This Row],[is_ups_overcharge]]="ups overcharged",Table1[[#This Row],[ups ship charge]]-Table1[[#This Row],[ada ship charge]],0)</f>
        <v>0</v>
      </c>
    </row>
    <row r="3121" spans="1:9" x14ac:dyDescent="0.2">
      <c r="A3121">
        <v>1042295</v>
      </c>
      <c r="B3121" t="s">
        <v>21</v>
      </c>
      <c r="C3121">
        <v>13.64</v>
      </c>
      <c r="D3121">
        <v>13.68</v>
      </c>
      <c r="E3121">
        <v>82.4</v>
      </c>
      <c r="F3121" t="s">
        <v>9</v>
      </c>
      <c r="G31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21">
        <f>IF(Table1[[#This Row],[is_ups_overcharge]]="ups overcharged",Table1[[#This Row],[ups ship charge]]-Table1[[#This Row],[ada ship charge]],0)</f>
        <v>0</v>
      </c>
    </row>
    <row r="3122" spans="1:9" x14ac:dyDescent="0.2">
      <c r="A3122">
        <v>1042305</v>
      </c>
      <c r="B3122" t="s">
        <v>21</v>
      </c>
      <c r="C3122">
        <v>10.57</v>
      </c>
      <c r="D3122">
        <v>11.43</v>
      </c>
      <c r="E3122">
        <v>99.8</v>
      </c>
      <c r="F3122" t="s">
        <v>6</v>
      </c>
      <c r="G31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22">
        <f>IF(Table1[[#This Row],[is_ups_overcharge]]="ups overcharged",Table1[[#This Row],[ups ship charge]]-Table1[[#This Row],[ada ship charge]],0)</f>
        <v>0</v>
      </c>
    </row>
    <row r="3123" spans="1:9" x14ac:dyDescent="0.2">
      <c r="A3123">
        <v>1042331</v>
      </c>
      <c r="B3123" t="s">
        <v>21</v>
      </c>
      <c r="C3123">
        <v>12.75</v>
      </c>
      <c r="D3123">
        <v>12.8</v>
      </c>
      <c r="E3123">
        <v>9.5</v>
      </c>
      <c r="F3123" t="s">
        <v>9</v>
      </c>
      <c r="G31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23">
        <f>IF(Table1[[#This Row],[is_ups_overcharge]]="ups overcharged",Table1[[#This Row],[ups ship charge]]-Table1[[#This Row],[ada ship charge]],0)</f>
        <v>0</v>
      </c>
    </row>
    <row r="3124" spans="1:9" x14ac:dyDescent="0.2">
      <c r="A3124">
        <v>1042337</v>
      </c>
      <c r="B3124" t="s">
        <v>21</v>
      </c>
      <c r="C3124">
        <v>23.47</v>
      </c>
      <c r="D3124">
        <v>23.52</v>
      </c>
      <c r="E3124">
        <v>34.75</v>
      </c>
      <c r="F3124" t="s">
        <v>15</v>
      </c>
      <c r="G31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24">
        <f>IF(Table1[[#This Row],[is_ups_overcharge]]="ups overcharged",Table1[[#This Row],[ups ship charge]]-Table1[[#This Row],[ada ship charge]],0)</f>
        <v>0</v>
      </c>
    </row>
    <row r="3125" spans="1:9" x14ac:dyDescent="0.2">
      <c r="A3125">
        <v>1042339</v>
      </c>
      <c r="B3125" t="s">
        <v>21</v>
      </c>
      <c r="C3125">
        <v>13.64</v>
      </c>
      <c r="D3125">
        <v>13.69</v>
      </c>
      <c r="E3125">
        <v>40.799999999999997</v>
      </c>
      <c r="F3125" t="s">
        <v>9</v>
      </c>
      <c r="G31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25">
        <f>IF(Table1[[#This Row],[is_ups_overcharge]]="ups overcharged",Table1[[#This Row],[ups ship charge]]-Table1[[#This Row],[ada ship charge]],0)</f>
        <v>0</v>
      </c>
    </row>
    <row r="3126" spans="1:9" x14ac:dyDescent="0.2">
      <c r="A3126">
        <v>1042353</v>
      </c>
      <c r="B3126" t="s">
        <v>21</v>
      </c>
      <c r="C3126">
        <v>9.65</v>
      </c>
      <c r="D3126">
        <v>9.7100000000000009</v>
      </c>
      <c r="E3126">
        <v>79.349999999999994</v>
      </c>
      <c r="F3126" t="s">
        <v>6</v>
      </c>
      <c r="G31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26">
        <f>IF(Table1[[#This Row],[is_ups_overcharge]]="ups overcharged",Table1[[#This Row],[ups ship charge]]-Table1[[#This Row],[ada ship charge]],0)</f>
        <v>0</v>
      </c>
    </row>
    <row r="3127" spans="1:9" x14ac:dyDescent="0.2">
      <c r="A3127">
        <v>1042354</v>
      </c>
      <c r="B3127" t="s">
        <v>21</v>
      </c>
      <c r="C3127">
        <v>12.75</v>
      </c>
      <c r="D3127">
        <v>12.8</v>
      </c>
      <c r="E3127">
        <v>27.65</v>
      </c>
      <c r="F3127" t="s">
        <v>9</v>
      </c>
      <c r="G31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27">
        <f>IF(Table1[[#This Row],[is_ups_overcharge]]="ups overcharged",Table1[[#This Row],[ups ship charge]]-Table1[[#This Row],[ada ship charge]],0)</f>
        <v>0</v>
      </c>
    </row>
    <row r="3128" spans="1:9" x14ac:dyDescent="0.2">
      <c r="A3128">
        <v>1042368</v>
      </c>
      <c r="B3128" t="s">
        <v>21</v>
      </c>
      <c r="C3128">
        <v>13.64</v>
      </c>
      <c r="D3128">
        <v>13.69</v>
      </c>
      <c r="E3128">
        <v>46.6</v>
      </c>
      <c r="F3128" t="s">
        <v>9</v>
      </c>
      <c r="G31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28">
        <f>IF(Table1[[#This Row],[is_ups_overcharge]]="ups overcharged",Table1[[#This Row],[ups ship charge]]-Table1[[#This Row],[ada ship charge]],0)</f>
        <v>0</v>
      </c>
    </row>
    <row r="3129" spans="1:9" x14ac:dyDescent="0.2">
      <c r="A3129">
        <v>1042381</v>
      </c>
      <c r="B3129" t="s">
        <v>21</v>
      </c>
      <c r="C3129">
        <v>12.75</v>
      </c>
      <c r="D3129">
        <v>12.8</v>
      </c>
      <c r="E3129">
        <v>23.4</v>
      </c>
      <c r="F3129" t="s">
        <v>9</v>
      </c>
      <c r="G31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29">
        <f>IF(Table1[[#This Row],[is_ups_overcharge]]="ups overcharged",Table1[[#This Row],[ups ship charge]]-Table1[[#This Row],[ada ship charge]],0)</f>
        <v>0</v>
      </c>
    </row>
    <row r="3130" spans="1:9" x14ac:dyDescent="0.2">
      <c r="A3130">
        <v>1042386</v>
      </c>
      <c r="B3130" t="s">
        <v>21</v>
      </c>
      <c r="C3130">
        <v>13.64</v>
      </c>
      <c r="D3130">
        <v>13.69</v>
      </c>
      <c r="E3130">
        <v>5.95</v>
      </c>
      <c r="F3130" t="s">
        <v>9</v>
      </c>
      <c r="G31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30">
        <f>IF(Table1[[#This Row],[is_ups_overcharge]]="ups overcharged",Table1[[#This Row],[ups ship charge]]-Table1[[#This Row],[ada ship charge]],0)</f>
        <v>0</v>
      </c>
    </row>
    <row r="3131" spans="1:9" x14ac:dyDescent="0.2">
      <c r="A3131">
        <v>1042392</v>
      </c>
      <c r="B3131" t="s">
        <v>21</v>
      </c>
      <c r="C3131">
        <v>12.75</v>
      </c>
      <c r="D3131">
        <v>12.8</v>
      </c>
      <c r="E3131">
        <v>85.15</v>
      </c>
      <c r="F3131" t="s">
        <v>9</v>
      </c>
      <c r="G31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31">
        <f>IF(Table1[[#This Row],[is_ups_overcharge]]="ups overcharged",Table1[[#This Row],[ups ship charge]]-Table1[[#This Row],[ada ship charge]],0)</f>
        <v>0</v>
      </c>
    </row>
    <row r="3132" spans="1:9" x14ac:dyDescent="0.2">
      <c r="A3132">
        <v>1042401</v>
      </c>
      <c r="B3132" t="s">
        <v>21</v>
      </c>
      <c r="C3132">
        <v>13.64</v>
      </c>
      <c r="D3132">
        <v>13.69</v>
      </c>
      <c r="E3132">
        <v>63</v>
      </c>
      <c r="F3132" t="s">
        <v>9</v>
      </c>
      <c r="G31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32">
        <f>IF(Table1[[#This Row],[is_ups_overcharge]]="ups overcharged",Table1[[#This Row],[ups ship charge]]-Table1[[#This Row],[ada ship charge]],0)</f>
        <v>0</v>
      </c>
    </row>
    <row r="3133" spans="1:9" x14ac:dyDescent="0.2">
      <c r="A3133">
        <v>1042423</v>
      </c>
      <c r="B3133" t="s">
        <v>21</v>
      </c>
      <c r="C3133">
        <v>12.75</v>
      </c>
      <c r="D3133">
        <v>12.8</v>
      </c>
      <c r="E3133">
        <v>22.85</v>
      </c>
      <c r="F3133" t="s">
        <v>9</v>
      </c>
      <c r="G31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33">
        <f>IF(Table1[[#This Row],[is_ups_overcharge]]="ups overcharged",Table1[[#This Row],[ups ship charge]]-Table1[[#This Row],[ada ship charge]],0)</f>
        <v>0</v>
      </c>
    </row>
    <row r="3134" spans="1:9" x14ac:dyDescent="0.2">
      <c r="A3134">
        <v>1042435</v>
      </c>
      <c r="B3134" t="s">
        <v>21</v>
      </c>
      <c r="C3134">
        <v>13.64</v>
      </c>
      <c r="D3134">
        <v>13.69</v>
      </c>
      <c r="E3134">
        <v>39.9</v>
      </c>
      <c r="F3134" t="s">
        <v>9</v>
      </c>
      <c r="G31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34">
        <f>IF(Table1[[#This Row],[is_ups_overcharge]]="ups overcharged",Table1[[#This Row],[ups ship charge]]-Table1[[#This Row],[ada ship charge]],0)</f>
        <v>0</v>
      </c>
    </row>
    <row r="3135" spans="1:9" x14ac:dyDescent="0.2">
      <c r="A3135">
        <v>1042437</v>
      </c>
      <c r="B3135" t="s">
        <v>21</v>
      </c>
      <c r="C3135">
        <v>23.16</v>
      </c>
      <c r="D3135">
        <v>23.21</v>
      </c>
      <c r="E3135">
        <v>2.95</v>
      </c>
      <c r="F3135" t="s">
        <v>15</v>
      </c>
      <c r="G31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35">
        <f>IF(Table1[[#This Row],[is_ups_overcharge]]="ups overcharged",Table1[[#This Row],[ups ship charge]]-Table1[[#This Row],[ada ship charge]],0)</f>
        <v>0</v>
      </c>
    </row>
    <row r="3136" spans="1:9" x14ac:dyDescent="0.2">
      <c r="A3136">
        <v>1042454</v>
      </c>
      <c r="B3136" t="s">
        <v>21</v>
      </c>
      <c r="C3136">
        <v>58.59</v>
      </c>
      <c r="D3136">
        <v>58.64</v>
      </c>
      <c r="E3136">
        <v>229.6</v>
      </c>
      <c r="F3136" t="s">
        <v>8</v>
      </c>
      <c r="G31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36">
        <f>IF(Table1[[#This Row],[is_ups_overcharge]]="ups overcharged",Table1[[#This Row],[ups ship charge]]-Table1[[#This Row],[ada ship charge]],0)</f>
        <v>0</v>
      </c>
    </row>
    <row r="3137" spans="1:9" x14ac:dyDescent="0.2">
      <c r="A3137">
        <v>1042469</v>
      </c>
      <c r="B3137" t="s">
        <v>21</v>
      </c>
      <c r="C3137">
        <v>16.440000000000001</v>
      </c>
      <c r="D3137">
        <v>16.489999999999998</v>
      </c>
      <c r="E3137">
        <v>33.35</v>
      </c>
      <c r="F3137" t="s">
        <v>10</v>
      </c>
      <c r="G31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37">
        <f>IF(Table1[[#This Row],[is_ups_overcharge]]="ups overcharged",Table1[[#This Row],[ups ship charge]]-Table1[[#This Row],[ada ship charge]],0)</f>
        <v>0</v>
      </c>
    </row>
    <row r="3138" spans="1:9" x14ac:dyDescent="0.2">
      <c r="A3138">
        <v>1042472</v>
      </c>
      <c r="B3138" t="s">
        <v>21</v>
      </c>
      <c r="C3138">
        <v>9.66</v>
      </c>
      <c r="D3138">
        <v>9.6999999999999993</v>
      </c>
      <c r="E3138">
        <v>49.15</v>
      </c>
      <c r="F3138" t="s">
        <v>6</v>
      </c>
      <c r="G31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38">
        <f>IF(Table1[[#This Row],[is_ups_overcharge]]="ups overcharged",Table1[[#This Row],[ups ship charge]]-Table1[[#This Row],[ada ship charge]],0)</f>
        <v>0</v>
      </c>
    </row>
    <row r="3139" spans="1:9" x14ac:dyDescent="0.2">
      <c r="A3139">
        <v>1042478</v>
      </c>
      <c r="B3139" t="s">
        <v>21</v>
      </c>
      <c r="C3139">
        <v>13.64</v>
      </c>
      <c r="D3139">
        <v>13.69</v>
      </c>
      <c r="E3139">
        <v>34.950000000000003</v>
      </c>
      <c r="F3139" t="s">
        <v>9</v>
      </c>
      <c r="G31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39">
        <f>IF(Table1[[#This Row],[is_ups_overcharge]]="ups overcharged",Table1[[#This Row],[ups ship charge]]-Table1[[#This Row],[ada ship charge]],0)</f>
        <v>0</v>
      </c>
    </row>
    <row r="3140" spans="1:9" x14ac:dyDescent="0.2">
      <c r="A3140">
        <v>1042502</v>
      </c>
      <c r="B3140" t="s">
        <v>21</v>
      </c>
      <c r="C3140">
        <v>12.75</v>
      </c>
      <c r="D3140">
        <v>12.8</v>
      </c>
      <c r="E3140">
        <v>25.85</v>
      </c>
      <c r="F3140" t="s">
        <v>9</v>
      </c>
      <c r="G31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40">
        <f>IF(Table1[[#This Row],[is_ups_overcharge]]="ups overcharged",Table1[[#This Row],[ups ship charge]]-Table1[[#This Row],[ada ship charge]],0)</f>
        <v>0</v>
      </c>
    </row>
    <row r="3141" spans="1:9" x14ac:dyDescent="0.2">
      <c r="A3141">
        <v>1042512</v>
      </c>
      <c r="B3141" t="s">
        <v>21</v>
      </c>
      <c r="C3141">
        <v>12.75</v>
      </c>
      <c r="D3141">
        <v>12.8</v>
      </c>
      <c r="E3141">
        <v>69.8</v>
      </c>
      <c r="F3141" t="s">
        <v>9</v>
      </c>
      <c r="G31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41">
        <f>IF(Table1[[#This Row],[is_ups_overcharge]]="ups overcharged",Table1[[#This Row],[ups ship charge]]-Table1[[#This Row],[ada ship charge]],0)</f>
        <v>0</v>
      </c>
    </row>
    <row r="3142" spans="1:9" x14ac:dyDescent="0.2">
      <c r="A3142">
        <v>1042533</v>
      </c>
      <c r="B3142" t="s">
        <v>21</v>
      </c>
      <c r="C3142">
        <v>12.75</v>
      </c>
      <c r="D3142">
        <v>12.8</v>
      </c>
      <c r="E3142">
        <v>23.9</v>
      </c>
      <c r="F3142" t="s">
        <v>9</v>
      </c>
      <c r="G31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42">
        <f>IF(Table1[[#This Row],[is_ups_overcharge]]="ups overcharged",Table1[[#This Row],[ups ship charge]]-Table1[[#This Row],[ada ship charge]],0)</f>
        <v>0</v>
      </c>
    </row>
    <row r="3143" spans="1:9" x14ac:dyDescent="0.2">
      <c r="A3143">
        <v>1042611</v>
      </c>
      <c r="B3143" t="s">
        <v>21</v>
      </c>
      <c r="C3143">
        <v>26.37</v>
      </c>
      <c r="D3143">
        <v>26.42</v>
      </c>
      <c r="E3143">
        <v>91.2</v>
      </c>
      <c r="F3143" t="s">
        <v>15</v>
      </c>
      <c r="G31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43">
        <f>IF(Table1[[#This Row],[is_ups_overcharge]]="ups overcharged",Table1[[#This Row],[ups ship charge]]-Table1[[#This Row],[ada ship charge]],0)</f>
        <v>0</v>
      </c>
    </row>
    <row r="3144" spans="1:9" x14ac:dyDescent="0.2">
      <c r="A3144">
        <v>1042612</v>
      </c>
      <c r="B3144" t="s">
        <v>21</v>
      </c>
      <c r="C3144">
        <v>18.02</v>
      </c>
      <c r="D3144">
        <v>18.84</v>
      </c>
      <c r="E3144">
        <v>74.95</v>
      </c>
      <c r="F3144" t="s">
        <v>15</v>
      </c>
      <c r="G31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44">
        <f>IF(Table1[[#This Row],[is_ups_overcharge]]="ups overcharged",Table1[[#This Row],[ups ship charge]]-Table1[[#This Row],[ada ship charge]],0)</f>
        <v>0</v>
      </c>
    </row>
    <row r="3145" spans="1:9" x14ac:dyDescent="0.2">
      <c r="A3145">
        <v>1042617</v>
      </c>
      <c r="B3145" t="s">
        <v>21</v>
      </c>
      <c r="C3145">
        <v>13.64</v>
      </c>
      <c r="D3145">
        <v>13.69</v>
      </c>
      <c r="E3145">
        <v>14.95</v>
      </c>
      <c r="F3145" t="s">
        <v>9</v>
      </c>
      <c r="G31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45">
        <f>IF(Table1[[#This Row],[is_ups_overcharge]]="ups overcharged",Table1[[#This Row],[ups ship charge]]-Table1[[#This Row],[ada ship charge]],0)</f>
        <v>0</v>
      </c>
    </row>
    <row r="3146" spans="1:9" x14ac:dyDescent="0.2">
      <c r="A3146">
        <v>1042618</v>
      </c>
      <c r="B3146" t="s">
        <v>21</v>
      </c>
      <c r="C3146">
        <v>15.02</v>
      </c>
      <c r="D3146">
        <v>15.07</v>
      </c>
      <c r="E3146">
        <v>115.55</v>
      </c>
      <c r="F3146" t="s">
        <v>12</v>
      </c>
      <c r="G31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46">
        <f>IF(Table1[[#This Row],[is_ups_overcharge]]="ups overcharged",Table1[[#This Row],[ups ship charge]]-Table1[[#This Row],[ada ship charge]],0)</f>
        <v>0</v>
      </c>
    </row>
    <row r="3147" spans="1:9" x14ac:dyDescent="0.2">
      <c r="A3147">
        <v>1042638</v>
      </c>
      <c r="B3147" t="s">
        <v>21</v>
      </c>
      <c r="C3147">
        <v>13.64</v>
      </c>
      <c r="D3147">
        <v>13.69</v>
      </c>
      <c r="E3147">
        <v>33.1</v>
      </c>
      <c r="F3147" t="s">
        <v>9</v>
      </c>
      <c r="G31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47">
        <f>IF(Table1[[#This Row],[is_ups_overcharge]]="ups overcharged",Table1[[#This Row],[ups ship charge]]-Table1[[#This Row],[ada ship charge]],0)</f>
        <v>0</v>
      </c>
    </row>
    <row r="3148" spans="1:9" x14ac:dyDescent="0.2">
      <c r="A3148">
        <v>1042654</v>
      </c>
      <c r="B3148" t="s">
        <v>21</v>
      </c>
      <c r="C3148">
        <v>9.66</v>
      </c>
      <c r="D3148">
        <v>9.7100000000000009</v>
      </c>
      <c r="E3148">
        <v>9.9499999999999993</v>
      </c>
      <c r="F3148" t="s">
        <v>6</v>
      </c>
      <c r="G31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48">
        <f>IF(Table1[[#This Row],[is_ups_overcharge]]="ups overcharged",Table1[[#This Row],[ups ship charge]]-Table1[[#This Row],[ada ship charge]],0)</f>
        <v>0</v>
      </c>
    </row>
    <row r="3149" spans="1:9" x14ac:dyDescent="0.2">
      <c r="A3149">
        <v>1042655</v>
      </c>
      <c r="B3149" t="s">
        <v>21</v>
      </c>
      <c r="C3149">
        <v>9.65</v>
      </c>
      <c r="D3149">
        <v>0</v>
      </c>
      <c r="E3149">
        <v>65.06</v>
      </c>
      <c r="F3149" t="s">
        <v>6</v>
      </c>
      <c r="G31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49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149">
        <f>IF(Table1[[#This Row],[is_ups_overcharge]]="ups overcharged",Table1[[#This Row],[ups ship charge]]-Table1[[#This Row],[ada ship charge]],0)</f>
        <v>9.65</v>
      </c>
    </row>
    <row r="3150" spans="1:9" x14ac:dyDescent="0.2">
      <c r="A3150">
        <v>1042665</v>
      </c>
      <c r="B3150" t="s">
        <v>21</v>
      </c>
      <c r="C3150">
        <v>12.75</v>
      </c>
      <c r="D3150">
        <v>12.8</v>
      </c>
      <c r="E3150">
        <v>33.6</v>
      </c>
      <c r="F3150" t="s">
        <v>9</v>
      </c>
      <c r="G31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50">
        <f>IF(Table1[[#This Row],[is_ups_overcharge]]="ups overcharged",Table1[[#This Row],[ups ship charge]]-Table1[[#This Row],[ada ship charge]],0)</f>
        <v>0</v>
      </c>
    </row>
    <row r="3151" spans="1:9" x14ac:dyDescent="0.2">
      <c r="A3151">
        <v>1042674</v>
      </c>
      <c r="B3151" t="s">
        <v>21</v>
      </c>
      <c r="C3151">
        <v>9.66</v>
      </c>
      <c r="D3151">
        <v>9.7100000000000009</v>
      </c>
      <c r="E3151">
        <v>89.8</v>
      </c>
      <c r="F3151" t="s">
        <v>6</v>
      </c>
      <c r="G31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51">
        <f>IF(Table1[[#This Row],[is_ups_overcharge]]="ups overcharged",Table1[[#This Row],[ups ship charge]]-Table1[[#This Row],[ada ship charge]],0)</f>
        <v>0</v>
      </c>
    </row>
    <row r="3152" spans="1:9" x14ac:dyDescent="0.2">
      <c r="A3152">
        <v>1042675</v>
      </c>
      <c r="B3152" t="s">
        <v>21</v>
      </c>
      <c r="C3152">
        <v>9.66</v>
      </c>
      <c r="D3152">
        <v>9.7100000000000009</v>
      </c>
      <c r="E3152">
        <v>74.849999999999994</v>
      </c>
      <c r="F3152" t="s">
        <v>6</v>
      </c>
      <c r="G31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52">
        <f>IF(Table1[[#This Row],[is_ups_overcharge]]="ups overcharged",Table1[[#This Row],[ups ship charge]]-Table1[[#This Row],[ada ship charge]],0)</f>
        <v>0</v>
      </c>
    </row>
    <row r="3153" spans="1:9" x14ac:dyDescent="0.2">
      <c r="A3153">
        <v>1042713</v>
      </c>
      <c r="B3153" t="s">
        <v>21</v>
      </c>
      <c r="C3153">
        <v>10.94</v>
      </c>
      <c r="D3153">
        <v>10.99</v>
      </c>
      <c r="E3153">
        <v>24.95</v>
      </c>
      <c r="F3153" t="s">
        <v>14</v>
      </c>
      <c r="G31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53">
        <f>IF(Table1[[#This Row],[is_ups_overcharge]]="ups overcharged",Table1[[#This Row],[ups ship charge]]-Table1[[#This Row],[ada ship charge]],0)</f>
        <v>0</v>
      </c>
    </row>
    <row r="3154" spans="1:9" x14ac:dyDescent="0.2">
      <c r="A3154">
        <v>1042730</v>
      </c>
      <c r="B3154" t="s">
        <v>21</v>
      </c>
      <c r="C3154">
        <v>9.65</v>
      </c>
      <c r="D3154">
        <v>9.6999999999999993</v>
      </c>
      <c r="E3154">
        <v>132.44999999999999</v>
      </c>
      <c r="F3154" t="s">
        <v>6</v>
      </c>
      <c r="G31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54">
        <f>IF(Table1[[#This Row],[is_ups_overcharge]]="ups overcharged",Table1[[#This Row],[ups ship charge]]-Table1[[#This Row],[ada ship charge]],0)</f>
        <v>0</v>
      </c>
    </row>
    <row r="3155" spans="1:9" x14ac:dyDescent="0.2">
      <c r="A3155">
        <v>1042740</v>
      </c>
      <c r="B3155" t="s">
        <v>21</v>
      </c>
      <c r="C3155">
        <v>16.34</v>
      </c>
      <c r="D3155">
        <v>16.39</v>
      </c>
      <c r="E3155">
        <v>11.95</v>
      </c>
      <c r="F3155" t="s">
        <v>10</v>
      </c>
      <c r="G31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55">
        <f>IF(Table1[[#This Row],[is_ups_overcharge]]="ups overcharged",Table1[[#This Row],[ups ship charge]]-Table1[[#This Row],[ada ship charge]],0)</f>
        <v>0</v>
      </c>
    </row>
    <row r="3156" spans="1:9" x14ac:dyDescent="0.2">
      <c r="A3156">
        <v>1042747</v>
      </c>
      <c r="B3156" t="s">
        <v>21</v>
      </c>
      <c r="C3156">
        <v>13.64</v>
      </c>
      <c r="D3156">
        <v>13.68</v>
      </c>
      <c r="E3156">
        <v>49.3</v>
      </c>
      <c r="F3156" t="s">
        <v>9</v>
      </c>
      <c r="G31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56">
        <f>IF(Table1[[#This Row],[is_ups_overcharge]]="ups overcharged",Table1[[#This Row],[ups ship charge]]-Table1[[#This Row],[ada ship charge]],0)</f>
        <v>0</v>
      </c>
    </row>
    <row r="3157" spans="1:9" x14ac:dyDescent="0.2">
      <c r="A3157">
        <v>1042762</v>
      </c>
      <c r="B3157" t="s">
        <v>21</v>
      </c>
      <c r="C3157">
        <v>12.75</v>
      </c>
      <c r="D3157">
        <v>12.8</v>
      </c>
      <c r="E3157">
        <v>36.85</v>
      </c>
      <c r="F3157" t="s">
        <v>9</v>
      </c>
      <c r="G31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57">
        <f>IF(Table1[[#This Row],[is_ups_overcharge]]="ups overcharged",Table1[[#This Row],[ups ship charge]]-Table1[[#This Row],[ada ship charge]],0)</f>
        <v>0</v>
      </c>
    </row>
    <row r="3158" spans="1:9" x14ac:dyDescent="0.2">
      <c r="A3158">
        <v>1042781</v>
      </c>
      <c r="B3158" t="s">
        <v>21</v>
      </c>
      <c r="C3158">
        <v>25.94</v>
      </c>
      <c r="D3158">
        <v>27.48</v>
      </c>
      <c r="E3158">
        <v>198.9</v>
      </c>
      <c r="F3158" t="s">
        <v>15</v>
      </c>
      <c r="G31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58">
        <f>IF(Table1[[#This Row],[is_ups_overcharge]]="ups overcharged",Table1[[#This Row],[ups ship charge]]-Table1[[#This Row],[ada ship charge]],0)</f>
        <v>0</v>
      </c>
    </row>
    <row r="3159" spans="1:9" x14ac:dyDescent="0.2">
      <c r="A3159">
        <v>1042794</v>
      </c>
      <c r="B3159" t="s">
        <v>21</v>
      </c>
      <c r="C3159">
        <v>12.75</v>
      </c>
      <c r="D3159">
        <v>12.8</v>
      </c>
      <c r="E3159">
        <v>86.45</v>
      </c>
      <c r="F3159" t="s">
        <v>9</v>
      </c>
      <c r="G31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59">
        <f>IF(Table1[[#This Row],[is_ups_overcharge]]="ups overcharged",Table1[[#This Row],[ups ship charge]]-Table1[[#This Row],[ada ship charge]],0)</f>
        <v>0</v>
      </c>
    </row>
    <row r="3160" spans="1:9" x14ac:dyDescent="0.2">
      <c r="A3160">
        <v>1042812</v>
      </c>
      <c r="B3160" t="s">
        <v>21</v>
      </c>
      <c r="C3160">
        <v>9.66</v>
      </c>
      <c r="D3160">
        <v>9.6999999999999993</v>
      </c>
      <c r="E3160">
        <v>40.25</v>
      </c>
      <c r="F3160" t="s">
        <v>6</v>
      </c>
      <c r="G31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60">
        <f>IF(Table1[[#This Row],[is_ups_overcharge]]="ups overcharged",Table1[[#This Row],[ups ship charge]]-Table1[[#This Row],[ada ship charge]],0)</f>
        <v>0</v>
      </c>
    </row>
    <row r="3161" spans="1:9" x14ac:dyDescent="0.2">
      <c r="A3161">
        <v>1042823</v>
      </c>
      <c r="B3161" t="s">
        <v>21</v>
      </c>
      <c r="C3161">
        <v>16.350000000000001</v>
      </c>
      <c r="D3161">
        <v>17.309999999999999</v>
      </c>
      <c r="E3161">
        <v>599.9</v>
      </c>
      <c r="F3161" t="s">
        <v>16</v>
      </c>
      <c r="G31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61">
        <f>IF(Table1[[#This Row],[is_ups_overcharge]]="ups overcharged",Table1[[#This Row],[ups ship charge]]-Table1[[#This Row],[ada ship charge]],0)</f>
        <v>0</v>
      </c>
    </row>
    <row r="3162" spans="1:9" x14ac:dyDescent="0.2">
      <c r="A3162">
        <v>1042825</v>
      </c>
      <c r="B3162" t="s">
        <v>21</v>
      </c>
      <c r="C3162">
        <v>16.75</v>
      </c>
      <c r="D3162">
        <v>18.64</v>
      </c>
      <c r="E3162">
        <v>14.95</v>
      </c>
      <c r="F3162" t="s">
        <v>10</v>
      </c>
      <c r="G31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62">
        <f>IF(Table1[[#This Row],[is_ups_overcharge]]="ups overcharged",Table1[[#This Row],[ups ship charge]]-Table1[[#This Row],[ada ship charge]],0)</f>
        <v>0</v>
      </c>
    </row>
    <row r="3163" spans="1:9" x14ac:dyDescent="0.2">
      <c r="A3163">
        <v>1042830</v>
      </c>
      <c r="B3163" t="s">
        <v>21</v>
      </c>
      <c r="C3163">
        <v>13.64</v>
      </c>
      <c r="D3163">
        <v>13.69</v>
      </c>
      <c r="E3163">
        <v>15.9</v>
      </c>
      <c r="F3163" t="s">
        <v>9</v>
      </c>
      <c r="G31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63">
        <f>IF(Table1[[#This Row],[is_ups_overcharge]]="ups overcharged",Table1[[#This Row],[ups ship charge]]-Table1[[#This Row],[ada ship charge]],0)</f>
        <v>0</v>
      </c>
    </row>
    <row r="3164" spans="1:9" x14ac:dyDescent="0.2">
      <c r="A3164">
        <v>1042845</v>
      </c>
      <c r="B3164" t="s">
        <v>21</v>
      </c>
      <c r="C3164">
        <v>23.47</v>
      </c>
      <c r="D3164">
        <v>23.52</v>
      </c>
      <c r="E3164">
        <v>39.799999999999997</v>
      </c>
      <c r="F3164" t="s">
        <v>15</v>
      </c>
      <c r="G31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64">
        <f>IF(Table1[[#This Row],[is_ups_overcharge]]="ups overcharged",Table1[[#This Row],[ups ship charge]]-Table1[[#This Row],[ada ship charge]],0)</f>
        <v>0</v>
      </c>
    </row>
    <row r="3165" spans="1:9" x14ac:dyDescent="0.2">
      <c r="A3165">
        <v>1042850</v>
      </c>
      <c r="B3165" t="s">
        <v>21</v>
      </c>
      <c r="C3165">
        <v>12.75</v>
      </c>
      <c r="D3165">
        <v>12.8</v>
      </c>
      <c r="E3165">
        <v>22.8</v>
      </c>
      <c r="F3165" t="s">
        <v>9</v>
      </c>
      <c r="G31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65">
        <f>IF(Table1[[#This Row],[is_ups_overcharge]]="ups overcharged",Table1[[#This Row],[ups ship charge]]-Table1[[#This Row],[ada ship charge]],0)</f>
        <v>0</v>
      </c>
    </row>
    <row r="3166" spans="1:9" x14ac:dyDescent="0.2">
      <c r="A3166">
        <v>1042865</v>
      </c>
      <c r="B3166" t="s">
        <v>21</v>
      </c>
      <c r="C3166">
        <v>9.65</v>
      </c>
      <c r="D3166">
        <v>9.7100000000000009</v>
      </c>
      <c r="E3166">
        <v>40.25</v>
      </c>
      <c r="F3166" t="s">
        <v>6</v>
      </c>
      <c r="G31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66">
        <f>IF(Table1[[#This Row],[is_ups_overcharge]]="ups overcharged",Table1[[#This Row],[ups ship charge]]-Table1[[#This Row],[ada ship charge]],0)</f>
        <v>0</v>
      </c>
    </row>
    <row r="3167" spans="1:9" x14ac:dyDescent="0.2">
      <c r="A3167">
        <v>1042890</v>
      </c>
      <c r="B3167" t="s">
        <v>21</v>
      </c>
      <c r="C3167">
        <v>13.64</v>
      </c>
      <c r="D3167">
        <v>13.69</v>
      </c>
      <c r="E3167">
        <v>45.95</v>
      </c>
      <c r="F3167" t="s">
        <v>9</v>
      </c>
      <c r="G31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67">
        <f>IF(Table1[[#This Row],[is_ups_overcharge]]="ups overcharged",Table1[[#This Row],[ups ship charge]]-Table1[[#This Row],[ada ship charge]],0)</f>
        <v>0</v>
      </c>
    </row>
    <row r="3168" spans="1:9" x14ac:dyDescent="0.2">
      <c r="A3168">
        <v>1042893</v>
      </c>
      <c r="B3168" t="s">
        <v>21</v>
      </c>
      <c r="C3168">
        <v>12.75</v>
      </c>
      <c r="D3168">
        <v>12.8</v>
      </c>
      <c r="E3168">
        <v>15</v>
      </c>
      <c r="F3168" t="s">
        <v>9</v>
      </c>
      <c r="G31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68">
        <f>IF(Table1[[#This Row],[is_ups_overcharge]]="ups overcharged",Table1[[#This Row],[ups ship charge]]-Table1[[#This Row],[ada ship charge]],0)</f>
        <v>0</v>
      </c>
    </row>
    <row r="3169" spans="1:9" x14ac:dyDescent="0.2">
      <c r="A3169">
        <v>1042908</v>
      </c>
      <c r="B3169" t="s">
        <v>21</v>
      </c>
      <c r="C3169">
        <v>9.66</v>
      </c>
      <c r="D3169">
        <v>9.7100000000000009</v>
      </c>
      <c r="E3169">
        <v>19.95</v>
      </c>
      <c r="F3169" t="s">
        <v>6</v>
      </c>
      <c r="G31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69">
        <f>IF(Table1[[#This Row],[is_ups_overcharge]]="ups overcharged",Table1[[#This Row],[ups ship charge]]-Table1[[#This Row],[ada ship charge]],0)</f>
        <v>0</v>
      </c>
    </row>
    <row r="3170" spans="1:9" x14ac:dyDescent="0.2">
      <c r="A3170">
        <v>1042982</v>
      </c>
      <c r="B3170" t="s">
        <v>21</v>
      </c>
      <c r="C3170">
        <v>9.66</v>
      </c>
      <c r="D3170">
        <v>9.7100000000000009</v>
      </c>
      <c r="E3170">
        <v>31.9</v>
      </c>
      <c r="F3170" t="s">
        <v>6</v>
      </c>
      <c r="G31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70">
        <f>IF(Table1[[#This Row],[is_ups_overcharge]]="ups overcharged",Table1[[#This Row],[ups ship charge]]-Table1[[#This Row],[ada ship charge]],0)</f>
        <v>0</v>
      </c>
    </row>
    <row r="3171" spans="1:9" x14ac:dyDescent="0.2">
      <c r="A3171">
        <v>1042985</v>
      </c>
      <c r="B3171" t="s">
        <v>21</v>
      </c>
      <c r="C3171">
        <v>89.68</v>
      </c>
      <c r="D3171">
        <v>156.91</v>
      </c>
      <c r="E3171">
        <v>1010.7</v>
      </c>
      <c r="F3171" t="s">
        <v>16</v>
      </c>
      <c r="G31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71">
        <f>IF(Table1[[#This Row],[is_ups_overcharge]]="ups overcharged",Table1[[#This Row],[ups ship charge]]-Table1[[#This Row],[ada ship charge]],0)</f>
        <v>0</v>
      </c>
    </row>
    <row r="3172" spans="1:9" x14ac:dyDescent="0.2">
      <c r="A3172">
        <v>1042989</v>
      </c>
      <c r="B3172" t="s">
        <v>21</v>
      </c>
      <c r="C3172">
        <v>13.64</v>
      </c>
      <c r="D3172">
        <v>13.69</v>
      </c>
      <c r="E3172">
        <v>13.9</v>
      </c>
      <c r="F3172" t="s">
        <v>9</v>
      </c>
      <c r="G31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72">
        <f>IF(Table1[[#This Row],[is_ups_overcharge]]="ups overcharged",Table1[[#This Row],[ups ship charge]]-Table1[[#This Row],[ada ship charge]],0)</f>
        <v>0</v>
      </c>
    </row>
    <row r="3173" spans="1:9" x14ac:dyDescent="0.2">
      <c r="A3173">
        <v>1043000</v>
      </c>
      <c r="B3173" t="s">
        <v>21</v>
      </c>
      <c r="C3173">
        <v>12.75</v>
      </c>
      <c r="D3173">
        <v>12.8</v>
      </c>
      <c r="E3173">
        <v>14.95</v>
      </c>
      <c r="F3173" t="s">
        <v>9</v>
      </c>
      <c r="G31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73">
        <f>IF(Table1[[#This Row],[is_ups_overcharge]]="ups overcharged",Table1[[#This Row],[ups ship charge]]-Table1[[#This Row],[ada ship charge]],0)</f>
        <v>0</v>
      </c>
    </row>
    <row r="3174" spans="1:9" x14ac:dyDescent="0.2">
      <c r="A3174">
        <v>1043023</v>
      </c>
      <c r="B3174" t="s">
        <v>21</v>
      </c>
      <c r="C3174">
        <v>58.31</v>
      </c>
      <c r="D3174">
        <v>61.16</v>
      </c>
      <c r="E3174">
        <v>23.8</v>
      </c>
      <c r="F3174" t="s">
        <v>11</v>
      </c>
      <c r="G31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74">
        <f>IF(Table1[[#This Row],[is_ups_overcharge]]="ups overcharged",Table1[[#This Row],[ups ship charge]]-Table1[[#This Row],[ada ship charge]],0)</f>
        <v>0</v>
      </c>
    </row>
    <row r="3175" spans="1:9" x14ac:dyDescent="0.2">
      <c r="A3175">
        <v>1043032</v>
      </c>
      <c r="B3175" t="s">
        <v>21</v>
      </c>
      <c r="C3175">
        <v>12.75</v>
      </c>
      <c r="D3175">
        <v>12.8</v>
      </c>
      <c r="E3175">
        <v>47.7</v>
      </c>
      <c r="F3175" t="s">
        <v>9</v>
      </c>
      <c r="G31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75">
        <f>IF(Table1[[#This Row],[is_ups_overcharge]]="ups overcharged",Table1[[#This Row],[ups ship charge]]-Table1[[#This Row],[ada ship charge]],0)</f>
        <v>0</v>
      </c>
    </row>
    <row r="3176" spans="1:9" x14ac:dyDescent="0.2">
      <c r="A3176">
        <v>1043036</v>
      </c>
      <c r="B3176" t="s">
        <v>21</v>
      </c>
      <c r="C3176">
        <v>24.69</v>
      </c>
      <c r="D3176">
        <v>27.29</v>
      </c>
      <c r="E3176">
        <v>98.3</v>
      </c>
      <c r="F3176" t="s">
        <v>15</v>
      </c>
      <c r="G31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76">
        <f>IF(Table1[[#This Row],[is_ups_overcharge]]="ups overcharged",Table1[[#This Row],[ups ship charge]]-Table1[[#This Row],[ada ship charge]],0)</f>
        <v>0</v>
      </c>
    </row>
    <row r="3177" spans="1:9" x14ac:dyDescent="0.2">
      <c r="A3177">
        <v>1043044</v>
      </c>
      <c r="B3177" t="s">
        <v>21</v>
      </c>
      <c r="C3177">
        <v>16.649999999999999</v>
      </c>
      <c r="D3177">
        <v>16.690000000000001</v>
      </c>
      <c r="E3177">
        <v>45.85</v>
      </c>
      <c r="F3177" t="s">
        <v>10</v>
      </c>
      <c r="G31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77">
        <f>IF(Table1[[#This Row],[is_ups_overcharge]]="ups overcharged",Table1[[#This Row],[ups ship charge]]-Table1[[#This Row],[ada ship charge]],0)</f>
        <v>0</v>
      </c>
    </row>
    <row r="3178" spans="1:9" x14ac:dyDescent="0.2">
      <c r="A3178">
        <v>1043058</v>
      </c>
      <c r="B3178" t="s">
        <v>21</v>
      </c>
      <c r="C3178">
        <v>9.66</v>
      </c>
      <c r="D3178">
        <v>9.7100000000000009</v>
      </c>
      <c r="E3178">
        <v>112.1</v>
      </c>
      <c r="F3178" t="s">
        <v>6</v>
      </c>
      <c r="G31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78">
        <f>IF(Table1[[#This Row],[is_ups_overcharge]]="ups overcharged",Table1[[#This Row],[ups ship charge]]-Table1[[#This Row],[ada ship charge]],0)</f>
        <v>0</v>
      </c>
    </row>
    <row r="3179" spans="1:9" x14ac:dyDescent="0.2">
      <c r="A3179">
        <v>1043079</v>
      </c>
      <c r="B3179" t="s">
        <v>21</v>
      </c>
      <c r="C3179">
        <v>9.65</v>
      </c>
      <c r="D3179">
        <v>13.69</v>
      </c>
      <c r="E3179">
        <v>143.80000000000001</v>
      </c>
      <c r="F3179" t="s">
        <v>6</v>
      </c>
      <c r="G31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79">
        <f>IF(Table1[[#This Row],[is_ups_overcharge]]="ups overcharged",Table1[[#This Row],[ups ship charge]]-Table1[[#This Row],[ada ship charge]],0)</f>
        <v>0</v>
      </c>
    </row>
    <row r="3180" spans="1:9" x14ac:dyDescent="0.2">
      <c r="A3180">
        <v>1043082</v>
      </c>
      <c r="B3180" t="s">
        <v>21</v>
      </c>
      <c r="C3180">
        <v>9.66</v>
      </c>
      <c r="D3180">
        <v>9.7100000000000009</v>
      </c>
      <c r="E3180">
        <v>108.8</v>
      </c>
      <c r="F3180" t="s">
        <v>6</v>
      </c>
      <c r="G31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80">
        <f>IF(Table1[[#This Row],[is_ups_overcharge]]="ups overcharged",Table1[[#This Row],[ups ship charge]]-Table1[[#This Row],[ada ship charge]],0)</f>
        <v>0</v>
      </c>
    </row>
    <row r="3181" spans="1:9" x14ac:dyDescent="0.2">
      <c r="A3181">
        <v>1043088</v>
      </c>
      <c r="B3181" t="s">
        <v>21</v>
      </c>
      <c r="C3181">
        <v>19.079999999999998</v>
      </c>
      <c r="D3181">
        <v>19.13</v>
      </c>
      <c r="E3181">
        <v>224.6</v>
      </c>
      <c r="F3181" t="s">
        <v>16</v>
      </c>
      <c r="G31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81">
        <f>IF(Table1[[#This Row],[is_ups_overcharge]]="ups overcharged",Table1[[#This Row],[ups ship charge]]-Table1[[#This Row],[ada ship charge]],0)</f>
        <v>0</v>
      </c>
    </row>
    <row r="3182" spans="1:9" x14ac:dyDescent="0.2">
      <c r="A3182">
        <v>1043093</v>
      </c>
      <c r="B3182" t="s">
        <v>21</v>
      </c>
      <c r="C3182">
        <v>16.34</v>
      </c>
      <c r="D3182">
        <v>16.39</v>
      </c>
      <c r="E3182">
        <v>39.799999999999997</v>
      </c>
      <c r="F3182" t="s">
        <v>10</v>
      </c>
      <c r="G31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82">
        <f>IF(Table1[[#This Row],[is_ups_overcharge]]="ups overcharged",Table1[[#This Row],[ups ship charge]]-Table1[[#This Row],[ada ship charge]],0)</f>
        <v>0</v>
      </c>
    </row>
    <row r="3183" spans="1:9" x14ac:dyDescent="0.2">
      <c r="A3183">
        <v>1043111</v>
      </c>
      <c r="B3183" t="s">
        <v>21</v>
      </c>
      <c r="C3183">
        <v>66.97</v>
      </c>
      <c r="D3183">
        <v>67.03</v>
      </c>
      <c r="E3183">
        <v>170.25</v>
      </c>
      <c r="F3183" t="s">
        <v>8</v>
      </c>
      <c r="G31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83">
        <f>IF(Table1[[#This Row],[is_ups_overcharge]]="ups overcharged",Table1[[#This Row],[ups ship charge]]-Table1[[#This Row],[ada ship charge]],0)</f>
        <v>0</v>
      </c>
    </row>
    <row r="3184" spans="1:9" x14ac:dyDescent="0.2">
      <c r="A3184">
        <v>1043120</v>
      </c>
      <c r="B3184" t="s">
        <v>21</v>
      </c>
      <c r="C3184">
        <v>12.75</v>
      </c>
      <c r="D3184">
        <v>12.8</v>
      </c>
      <c r="E3184">
        <v>3.95</v>
      </c>
      <c r="F3184" t="s">
        <v>9</v>
      </c>
      <c r="G31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84">
        <f>IF(Table1[[#This Row],[is_ups_overcharge]]="ups overcharged",Table1[[#This Row],[ups ship charge]]-Table1[[#This Row],[ada ship charge]],0)</f>
        <v>0</v>
      </c>
    </row>
    <row r="3185" spans="1:9" x14ac:dyDescent="0.2">
      <c r="A3185">
        <v>1043122</v>
      </c>
      <c r="B3185" t="s">
        <v>21</v>
      </c>
      <c r="C3185">
        <v>15.02</v>
      </c>
      <c r="D3185">
        <v>15.07</v>
      </c>
      <c r="E3185">
        <v>87</v>
      </c>
      <c r="F3185" t="s">
        <v>12</v>
      </c>
      <c r="G31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85">
        <f>IF(Table1[[#This Row],[is_ups_overcharge]]="ups overcharged",Table1[[#This Row],[ups ship charge]]-Table1[[#This Row],[ada ship charge]],0)</f>
        <v>0</v>
      </c>
    </row>
    <row r="3186" spans="1:9" x14ac:dyDescent="0.2">
      <c r="A3186">
        <v>1043139</v>
      </c>
      <c r="B3186" t="s">
        <v>21</v>
      </c>
      <c r="C3186">
        <v>15.02</v>
      </c>
      <c r="D3186">
        <v>15.07</v>
      </c>
      <c r="E3186">
        <v>66.7</v>
      </c>
      <c r="F3186" t="s">
        <v>12</v>
      </c>
      <c r="G31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86">
        <f>IF(Table1[[#This Row],[is_ups_overcharge]]="ups overcharged",Table1[[#This Row],[ups ship charge]]-Table1[[#This Row],[ada ship charge]],0)</f>
        <v>0</v>
      </c>
    </row>
    <row r="3187" spans="1:9" x14ac:dyDescent="0.2">
      <c r="A3187">
        <v>1043217</v>
      </c>
      <c r="B3187" t="s">
        <v>21</v>
      </c>
      <c r="C3187">
        <v>13.64</v>
      </c>
      <c r="D3187">
        <v>13.68</v>
      </c>
      <c r="E3187">
        <v>60.75</v>
      </c>
      <c r="F3187" t="s">
        <v>9</v>
      </c>
      <c r="G31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87">
        <f>IF(Table1[[#This Row],[is_ups_overcharge]]="ups overcharged",Table1[[#This Row],[ups ship charge]]-Table1[[#This Row],[ada ship charge]],0)</f>
        <v>0</v>
      </c>
    </row>
    <row r="3188" spans="1:9" x14ac:dyDescent="0.2">
      <c r="A3188">
        <v>1043227</v>
      </c>
      <c r="B3188" t="s">
        <v>21</v>
      </c>
      <c r="C3188">
        <v>26.37</v>
      </c>
      <c r="D3188">
        <v>28.73</v>
      </c>
      <c r="E3188">
        <v>237.45</v>
      </c>
      <c r="F3188" t="s">
        <v>15</v>
      </c>
      <c r="G31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88">
        <f>IF(Table1[[#This Row],[is_ups_overcharge]]="ups overcharged",Table1[[#This Row],[ups ship charge]]-Table1[[#This Row],[ada ship charge]],0)</f>
        <v>0</v>
      </c>
    </row>
    <row r="3189" spans="1:9" x14ac:dyDescent="0.2">
      <c r="A3189">
        <v>1043245</v>
      </c>
      <c r="B3189" t="s">
        <v>21</v>
      </c>
      <c r="C3189">
        <v>9.65</v>
      </c>
      <c r="D3189">
        <v>9.6999999999999993</v>
      </c>
      <c r="E3189">
        <v>74.95</v>
      </c>
      <c r="F3189" t="s">
        <v>6</v>
      </c>
      <c r="G31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89">
        <f>IF(Table1[[#This Row],[is_ups_overcharge]]="ups overcharged",Table1[[#This Row],[ups ship charge]]-Table1[[#This Row],[ada ship charge]],0)</f>
        <v>0</v>
      </c>
    </row>
    <row r="3190" spans="1:9" x14ac:dyDescent="0.2">
      <c r="A3190">
        <v>1043249</v>
      </c>
      <c r="B3190" t="s">
        <v>21</v>
      </c>
      <c r="C3190">
        <v>9.65</v>
      </c>
      <c r="D3190">
        <v>9.6999999999999993</v>
      </c>
      <c r="E3190">
        <v>3.95</v>
      </c>
      <c r="F3190" t="s">
        <v>6</v>
      </c>
      <c r="G31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90">
        <f>IF(Table1[[#This Row],[is_ups_overcharge]]="ups overcharged",Table1[[#This Row],[ups ship charge]]-Table1[[#This Row],[ada ship charge]],0)</f>
        <v>0</v>
      </c>
    </row>
    <row r="3191" spans="1:9" x14ac:dyDescent="0.2">
      <c r="A3191">
        <v>1043252</v>
      </c>
      <c r="B3191" t="s">
        <v>21</v>
      </c>
      <c r="C3191">
        <v>23.47</v>
      </c>
      <c r="D3191">
        <v>23.52</v>
      </c>
      <c r="E3191">
        <v>11.85</v>
      </c>
      <c r="F3191" t="s">
        <v>15</v>
      </c>
      <c r="G31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91">
        <f>IF(Table1[[#This Row],[is_ups_overcharge]]="ups overcharged",Table1[[#This Row],[ups ship charge]]-Table1[[#This Row],[ada ship charge]],0)</f>
        <v>0</v>
      </c>
    </row>
    <row r="3192" spans="1:9" x14ac:dyDescent="0.2">
      <c r="A3192">
        <v>1043258</v>
      </c>
      <c r="B3192" t="s">
        <v>21</v>
      </c>
      <c r="C3192">
        <v>12.75</v>
      </c>
      <c r="D3192">
        <v>12.8</v>
      </c>
      <c r="E3192">
        <v>64.900000000000006</v>
      </c>
      <c r="F3192" t="s">
        <v>9</v>
      </c>
      <c r="G31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92">
        <f>IF(Table1[[#This Row],[is_ups_overcharge]]="ups overcharged",Table1[[#This Row],[ups ship charge]]-Table1[[#This Row],[ada ship charge]],0)</f>
        <v>0</v>
      </c>
    </row>
    <row r="3193" spans="1:9" x14ac:dyDescent="0.2">
      <c r="A3193">
        <v>1043261</v>
      </c>
      <c r="B3193" t="s">
        <v>21</v>
      </c>
      <c r="C3193">
        <v>13.64</v>
      </c>
      <c r="D3193">
        <v>13.69</v>
      </c>
      <c r="E3193">
        <v>30.75</v>
      </c>
      <c r="F3193" t="s">
        <v>9</v>
      </c>
      <c r="G31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93">
        <f>IF(Table1[[#This Row],[is_ups_overcharge]]="ups overcharged",Table1[[#This Row],[ups ship charge]]-Table1[[#This Row],[ada ship charge]],0)</f>
        <v>0</v>
      </c>
    </row>
    <row r="3194" spans="1:9" x14ac:dyDescent="0.2">
      <c r="A3194">
        <v>1043292</v>
      </c>
      <c r="B3194" t="s">
        <v>21</v>
      </c>
      <c r="C3194">
        <v>12.75</v>
      </c>
      <c r="D3194">
        <v>12.8</v>
      </c>
      <c r="E3194">
        <v>123.45</v>
      </c>
      <c r="F3194" t="s">
        <v>9</v>
      </c>
      <c r="G31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94">
        <f>IF(Table1[[#This Row],[is_ups_overcharge]]="ups overcharged",Table1[[#This Row],[ups ship charge]]-Table1[[#This Row],[ada ship charge]],0)</f>
        <v>0</v>
      </c>
    </row>
    <row r="3195" spans="1:9" x14ac:dyDescent="0.2">
      <c r="A3195">
        <v>1043323</v>
      </c>
      <c r="B3195" t="s">
        <v>21</v>
      </c>
      <c r="C3195">
        <v>17.920000000000002</v>
      </c>
      <c r="D3195">
        <v>16.850000000000001</v>
      </c>
      <c r="E3195">
        <v>165.8</v>
      </c>
      <c r="F3195" t="s">
        <v>10</v>
      </c>
      <c r="G31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95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195">
        <f>IF(Table1[[#This Row],[is_ups_overcharge]]="ups overcharged",Table1[[#This Row],[ups ship charge]]-Table1[[#This Row],[ada ship charge]],0)</f>
        <v>1.0700000000000003</v>
      </c>
    </row>
    <row r="3196" spans="1:9" x14ac:dyDescent="0.2">
      <c r="A3196">
        <v>1043324</v>
      </c>
      <c r="B3196" t="s">
        <v>21</v>
      </c>
      <c r="C3196">
        <v>13.64</v>
      </c>
      <c r="D3196">
        <v>13.69</v>
      </c>
      <c r="E3196">
        <v>27.8</v>
      </c>
      <c r="F3196" t="s">
        <v>9</v>
      </c>
      <c r="G31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96">
        <f>IF(Table1[[#This Row],[is_ups_overcharge]]="ups overcharged",Table1[[#This Row],[ups ship charge]]-Table1[[#This Row],[ada ship charge]],0)</f>
        <v>0</v>
      </c>
    </row>
    <row r="3197" spans="1:9" x14ac:dyDescent="0.2">
      <c r="A3197">
        <v>1043332</v>
      </c>
      <c r="B3197" t="s">
        <v>21</v>
      </c>
      <c r="C3197">
        <v>15.02</v>
      </c>
      <c r="D3197">
        <v>15.07</v>
      </c>
      <c r="E3197">
        <v>46.1</v>
      </c>
      <c r="F3197" t="s">
        <v>12</v>
      </c>
      <c r="G31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97">
        <f>IF(Table1[[#This Row],[is_ups_overcharge]]="ups overcharged",Table1[[#This Row],[ups ship charge]]-Table1[[#This Row],[ada ship charge]],0)</f>
        <v>0</v>
      </c>
    </row>
    <row r="3198" spans="1:9" x14ac:dyDescent="0.2">
      <c r="A3198">
        <v>1043344</v>
      </c>
      <c r="B3198" t="s">
        <v>21</v>
      </c>
      <c r="C3198">
        <v>12.75</v>
      </c>
      <c r="D3198">
        <v>12.8</v>
      </c>
      <c r="E3198">
        <v>44.9</v>
      </c>
      <c r="F3198" t="s">
        <v>9</v>
      </c>
      <c r="G31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98">
        <f>IF(Table1[[#This Row],[is_ups_overcharge]]="ups overcharged",Table1[[#This Row],[ups ship charge]]-Table1[[#This Row],[ada ship charge]],0)</f>
        <v>0</v>
      </c>
    </row>
    <row r="3199" spans="1:9" x14ac:dyDescent="0.2">
      <c r="A3199">
        <v>1043364</v>
      </c>
      <c r="B3199" t="s">
        <v>21</v>
      </c>
      <c r="C3199">
        <v>15.02</v>
      </c>
      <c r="D3199">
        <v>15.07</v>
      </c>
      <c r="E3199">
        <v>131.05000000000001</v>
      </c>
      <c r="F3199" t="s">
        <v>12</v>
      </c>
      <c r="G31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1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199">
        <f>IF(Table1[[#This Row],[is_ups_overcharge]]="ups overcharged",Table1[[#This Row],[ups ship charge]]-Table1[[#This Row],[ada ship charge]],0)</f>
        <v>0</v>
      </c>
    </row>
    <row r="3200" spans="1:9" x14ac:dyDescent="0.2">
      <c r="A3200">
        <v>1043369</v>
      </c>
      <c r="B3200" t="s">
        <v>21</v>
      </c>
      <c r="C3200">
        <v>16.27</v>
      </c>
      <c r="D3200">
        <v>16.329999999999998</v>
      </c>
      <c r="E3200">
        <v>106.15</v>
      </c>
      <c r="F3200" t="s">
        <v>12</v>
      </c>
      <c r="G32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00">
        <f>IF(Table1[[#This Row],[is_ups_overcharge]]="ups overcharged",Table1[[#This Row],[ups ship charge]]-Table1[[#This Row],[ada ship charge]],0)</f>
        <v>0</v>
      </c>
    </row>
    <row r="3201" spans="1:9" x14ac:dyDescent="0.2">
      <c r="A3201">
        <v>1043374</v>
      </c>
      <c r="B3201" t="s">
        <v>21</v>
      </c>
      <c r="C3201">
        <v>12.75</v>
      </c>
      <c r="D3201">
        <v>12.8</v>
      </c>
      <c r="E3201">
        <v>85.8</v>
      </c>
      <c r="F3201" t="s">
        <v>9</v>
      </c>
      <c r="G32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01">
        <f>IF(Table1[[#This Row],[is_ups_overcharge]]="ups overcharged",Table1[[#This Row],[ups ship charge]]-Table1[[#This Row],[ada ship charge]],0)</f>
        <v>0</v>
      </c>
    </row>
    <row r="3202" spans="1:9" x14ac:dyDescent="0.2">
      <c r="A3202">
        <v>1043404</v>
      </c>
      <c r="B3202" t="s">
        <v>21</v>
      </c>
      <c r="C3202">
        <v>12.75</v>
      </c>
      <c r="D3202">
        <v>12.8</v>
      </c>
      <c r="E3202">
        <v>27.4</v>
      </c>
      <c r="F3202" t="s">
        <v>9</v>
      </c>
      <c r="G32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02">
        <f>IF(Table1[[#This Row],[is_ups_overcharge]]="ups overcharged",Table1[[#This Row],[ups ship charge]]-Table1[[#This Row],[ada ship charge]],0)</f>
        <v>0</v>
      </c>
    </row>
    <row r="3203" spans="1:9" x14ac:dyDescent="0.2">
      <c r="A3203">
        <v>1043429</v>
      </c>
      <c r="B3203" t="s">
        <v>21</v>
      </c>
      <c r="C3203">
        <v>12.75</v>
      </c>
      <c r="D3203">
        <v>12.8</v>
      </c>
      <c r="E3203">
        <v>9.9499999999999993</v>
      </c>
      <c r="F3203" t="s">
        <v>9</v>
      </c>
      <c r="G32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03">
        <f>IF(Table1[[#This Row],[is_ups_overcharge]]="ups overcharged",Table1[[#This Row],[ups ship charge]]-Table1[[#This Row],[ada ship charge]],0)</f>
        <v>0</v>
      </c>
    </row>
    <row r="3204" spans="1:9" x14ac:dyDescent="0.2">
      <c r="A3204">
        <v>1043444</v>
      </c>
      <c r="B3204" t="s">
        <v>21</v>
      </c>
      <c r="C3204">
        <v>13.63</v>
      </c>
      <c r="D3204">
        <v>13.68</v>
      </c>
      <c r="E3204">
        <v>41.65</v>
      </c>
      <c r="F3204" t="s">
        <v>9</v>
      </c>
      <c r="G32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04">
        <f>IF(Table1[[#This Row],[is_ups_overcharge]]="ups overcharged",Table1[[#This Row],[ups ship charge]]-Table1[[#This Row],[ada ship charge]],0)</f>
        <v>0</v>
      </c>
    </row>
    <row r="3205" spans="1:9" x14ac:dyDescent="0.2">
      <c r="A3205">
        <v>1043476</v>
      </c>
      <c r="B3205" t="s">
        <v>21</v>
      </c>
      <c r="C3205">
        <v>12.75</v>
      </c>
      <c r="D3205">
        <v>12.8</v>
      </c>
      <c r="E3205">
        <v>15.9</v>
      </c>
      <c r="F3205" t="s">
        <v>9</v>
      </c>
      <c r="G32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05">
        <f>IF(Table1[[#This Row],[is_ups_overcharge]]="ups overcharged",Table1[[#This Row],[ups ship charge]]-Table1[[#This Row],[ada ship charge]],0)</f>
        <v>0</v>
      </c>
    </row>
    <row r="3206" spans="1:9" x14ac:dyDescent="0.2">
      <c r="A3206">
        <v>1043480</v>
      </c>
      <c r="B3206" t="s">
        <v>21</v>
      </c>
      <c r="C3206">
        <v>13.64</v>
      </c>
      <c r="D3206">
        <v>13.69</v>
      </c>
      <c r="E3206">
        <v>59.7</v>
      </c>
      <c r="F3206" t="s">
        <v>9</v>
      </c>
      <c r="G32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06">
        <f>IF(Table1[[#This Row],[is_ups_overcharge]]="ups overcharged",Table1[[#This Row],[ups ship charge]]-Table1[[#This Row],[ada ship charge]],0)</f>
        <v>0</v>
      </c>
    </row>
    <row r="3207" spans="1:9" x14ac:dyDescent="0.2">
      <c r="A3207">
        <v>1043500</v>
      </c>
      <c r="B3207" t="s">
        <v>21</v>
      </c>
      <c r="C3207">
        <v>12.75</v>
      </c>
      <c r="D3207">
        <v>12.8</v>
      </c>
      <c r="E3207">
        <v>137.75</v>
      </c>
      <c r="F3207" t="s">
        <v>9</v>
      </c>
      <c r="G32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07">
        <f>IF(Table1[[#This Row],[is_ups_overcharge]]="ups overcharged",Table1[[#This Row],[ups ship charge]]-Table1[[#This Row],[ada ship charge]],0)</f>
        <v>0</v>
      </c>
    </row>
    <row r="3208" spans="1:9" x14ac:dyDescent="0.2">
      <c r="A3208">
        <v>1043511</v>
      </c>
      <c r="B3208" t="s">
        <v>21</v>
      </c>
      <c r="C3208">
        <v>16.34</v>
      </c>
      <c r="D3208">
        <v>16.39</v>
      </c>
      <c r="E3208">
        <v>37.5</v>
      </c>
      <c r="F3208" t="s">
        <v>10</v>
      </c>
      <c r="G32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08">
        <f>IF(Table1[[#This Row],[is_ups_overcharge]]="ups overcharged",Table1[[#This Row],[ups ship charge]]-Table1[[#This Row],[ada ship charge]],0)</f>
        <v>0</v>
      </c>
    </row>
    <row r="3209" spans="1:9" x14ac:dyDescent="0.2">
      <c r="A3209">
        <v>1043520</v>
      </c>
      <c r="B3209" t="s">
        <v>21</v>
      </c>
      <c r="C3209">
        <v>9.65</v>
      </c>
      <c r="D3209">
        <v>9.6999999999999993</v>
      </c>
      <c r="E3209">
        <v>37.9</v>
      </c>
      <c r="F3209" t="s">
        <v>6</v>
      </c>
      <c r="G32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09">
        <f>IF(Table1[[#This Row],[is_ups_overcharge]]="ups overcharged",Table1[[#This Row],[ups ship charge]]-Table1[[#This Row],[ada ship charge]],0)</f>
        <v>0</v>
      </c>
    </row>
    <row r="3210" spans="1:9" x14ac:dyDescent="0.2">
      <c r="A3210">
        <v>1043525</v>
      </c>
      <c r="B3210" t="s">
        <v>21</v>
      </c>
      <c r="C3210">
        <v>12.26</v>
      </c>
      <c r="D3210">
        <v>12.31</v>
      </c>
      <c r="E3210">
        <v>97.2</v>
      </c>
      <c r="F3210" t="s">
        <v>13</v>
      </c>
      <c r="G32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10">
        <f>IF(Table1[[#This Row],[is_ups_overcharge]]="ups overcharged",Table1[[#This Row],[ups ship charge]]-Table1[[#This Row],[ada ship charge]],0)</f>
        <v>0</v>
      </c>
    </row>
    <row r="3211" spans="1:9" x14ac:dyDescent="0.2">
      <c r="A3211">
        <v>1043534</v>
      </c>
      <c r="B3211" t="s">
        <v>21</v>
      </c>
      <c r="C3211">
        <v>13.64</v>
      </c>
      <c r="D3211">
        <v>14.2</v>
      </c>
      <c r="E3211">
        <v>47.4</v>
      </c>
      <c r="F3211" t="s">
        <v>9</v>
      </c>
      <c r="G32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11">
        <f>IF(Table1[[#This Row],[is_ups_overcharge]]="ups overcharged",Table1[[#This Row],[ups ship charge]]-Table1[[#This Row],[ada ship charge]],0)</f>
        <v>0</v>
      </c>
    </row>
    <row r="3212" spans="1:9" x14ac:dyDescent="0.2">
      <c r="A3212">
        <v>1043535</v>
      </c>
      <c r="B3212" t="s">
        <v>21</v>
      </c>
      <c r="C3212">
        <v>13.64</v>
      </c>
      <c r="D3212">
        <v>13.69</v>
      </c>
      <c r="E3212">
        <v>23.1</v>
      </c>
      <c r="F3212" t="s">
        <v>9</v>
      </c>
      <c r="G32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12">
        <f>IF(Table1[[#This Row],[is_ups_overcharge]]="ups overcharged",Table1[[#This Row],[ups ship charge]]-Table1[[#This Row],[ada ship charge]],0)</f>
        <v>0</v>
      </c>
    </row>
    <row r="3213" spans="1:9" x14ac:dyDescent="0.2">
      <c r="A3213">
        <v>1043537</v>
      </c>
      <c r="B3213" t="s">
        <v>21</v>
      </c>
      <c r="C3213">
        <v>13.64</v>
      </c>
      <c r="D3213">
        <v>13.69</v>
      </c>
      <c r="E3213">
        <v>35</v>
      </c>
      <c r="F3213" t="s">
        <v>9</v>
      </c>
      <c r="G32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13">
        <f>IF(Table1[[#This Row],[is_ups_overcharge]]="ups overcharged",Table1[[#This Row],[ups ship charge]]-Table1[[#This Row],[ada ship charge]],0)</f>
        <v>0</v>
      </c>
    </row>
    <row r="3214" spans="1:9" x14ac:dyDescent="0.2">
      <c r="A3214">
        <v>1043561</v>
      </c>
      <c r="B3214" t="s">
        <v>21</v>
      </c>
      <c r="C3214">
        <v>12.26</v>
      </c>
      <c r="D3214">
        <v>12.31</v>
      </c>
      <c r="E3214">
        <v>119.85</v>
      </c>
      <c r="F3214" t="s">
        <v>13</v>
      </c>
      <c r="G32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14">
        <f>IF(Table1[[#This Row],[is_ups_overcharge]]="ups overcharged",Table1[[#This Row],[ups ship charge]]-Table1[[#This Row],[ada ship charge]],0)</f>
        <v>0</v>
      </c>
    </row>
    <row r="3215" spans="1:9" x14ac:dyDescent="0.2">
      <c r="A3215">
        <v>1043572</v>
      </c>
      <c r="B3215" t="s">
        <v>21</v>
      </c>
      <c r="C3215">
        <v>13.64</v>
      </c>
      <c r="D3215">
        <v>13.69</v>
      </c>
      <c r="E3215">
        <v>24.95</v>
      </c>
      <c r="F3215" t="s">
        <v>9</v>
      </c>
      <c r="G32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15">
        <f>IF(Table1[[#This Row],[is_ups_overcharge]]="ups overcharged",Table1[[#This Row],[ups ship charge]]-Table1[[#This Row],[ada ship charge]],0)</f>
        <v>0</v>
      </c>
    </row>
    <row r="3216" spans="1:9" x14ac:dyDescent="0.2">
      <c r="A3216">
        <v>1043615</v>
      </c>
      <c r="B3216" t="s">
        <v>21</v>
      </c>
      <c r="C3216">
        <v>58.59</v>
      </c>
      <c r="D3216">
        <v>58.64</v>
      </c>
      <c r="E3216">
        <v>23.9</v>
      </c>
      <c r="F3216" t="s">
        <v>8</v>
      </c>
      <c r="G32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16">
        <f>IF(Table1[[#This Row],[is_ups_overcharge]]="ups overcharged",Table1[[#This Row],[ups ship charge]]-Table1[[#This Row],[ada ship charge]],0)</f>
        <v>0</v>
      </c>
    </row>
    <row r="3217" spans="1:9" x14ac:dyDescent="0.2">
      <c r="A3217">
        <v>1043618</v>
      </c>
      <c r="B3217" t="s">
        <v>21</v>
      </c>
      <c r="C3217">
        <v>25.49</v>
      </c>
      <c r="D3217">
        <v>25.54</v>
      </c>
      <c r="E3217">
        <v>264.45</v>
      </c>
      <c r="F3217" t="s">
        <v>16</v>
      </c>
      <c r="G32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17">
        <f>IF(Table1[[#This Row],[is_ups_overcharge]]="ups overcharged",Table1[[#This Row],[ups ship charge]]-Table1[[#This Row],[ada ship charge]],0)</f>
        <v>0</v>
      </c>
    </row>
    <row r="3218" spans="1:9" x14ac:dyDescent="0.2">
      <c r="A3218">
        <v>1043640</v>
      </c>
      <c r="B3218" t="s">
        <v>21</v>
      </c>
      <c r="C3218">
        <v>12.36</v>
      </c>
      <c r="D3218">
        <v>15.97</v>
      </c>
      <c r="E3218">
        <v>79.95</v>
      </c>
      <c r="F3218" t="s">
        <v>13</v>
      </c>
      <c r="G32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18">
        <f>IF(Table1[[#This Row],[is_ups_overcharge]]="ups overcharged",Table1[[#This Row],[ups ship charge]]-Table1[[#This Row],[ada ship charge]],0)</f>
        <v>0</v>
      </c>
    </row>
    <row r="3219" spans="1:9" x14ac:dyDescent="0.2">
      <c r="A3219">
        <v>1043647</v>
      </c>
      <c r="B3219" t="s">
        <v>21</v>
      </c>
      <c r="C3219">
        <v>9.65</v>
      </c>
      <c r="D3219">
        <v>13.69</v>
      </c>
      <c r="E3219">
        <v>26.6</v>
      </c>
      <c r="F3219" t="s">
        <v>6</v>
      </c>
      <c r="G32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19">
        <f>IF(Table1[[#This Row],[is_ups_overcharge]]="ups overcharged",Table1[[#This Row],[ups ship charge]]-Table1[[#This Row],[ada ship charge]],0)</f>
        <v>0</v>
      </c>
    </row>
    <row r="3220" spans="1:9" x14ac:dyDescent="0.2">
      <c r="A3220">
        <v>1043672</v>
      </c>
      <c r="B3220" t="s">
        <v>21</v>
      </c>
      <c r="C3220">
        <v>13.64</v>
      </c>
      <c r="D3220">
        <v>13.69</v>
      </c>
      <c r="E3220">
        <v>11.9</v>
      </c>
      <c r="F3220" t="s">
        <v>9</v>
      </c>
      <c r="G32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20">
        <f>IF(Table1[[#This Row],[is_ups_overcharge]]="ups overcharged",Table1[[#This Row],[ups ship charge]]-Table1[[#This Row],[ada ship charge]],0)</f>
        <v>0</v>
      </c>
    </row>
    <row r="3221" spans="1:9" x14ac:dyDescent="0.2">
      <c r="A3221">
        <v>1043701</v>
      </c>
      <c r="B3221" t="s">
        <v>21</v>
      </c>
      <c r="C3221">
        <v>9.65</v>
      </c>
      <c r="D3221">
        <v>9.6999999999999993</v>
      </c>
      <c r="E3221">
        <v>6.95</v>
      </c>
      <c r="F3221" t="s">
        <v>6</v>
      </c>
      <c r="G32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21">
        <f>IF(Table1[[#This Row],[is_ups_overcharge]]="ups overcharged",Table1[[#This Row],[ups ship charge]]-Table1[[#This Row],[ada ship charge]],0)</f>
        <v>0</v>
      </c>
    </row>
    <row r="3222" spans="1:9" x14ac:dyDescent="0.2">
      <c r="A3222">
        <v>1043710</v>
      </c>
      <c r="B3222" t="s">
        <v>21</v>
      </c>
      <c r="C3222">
        <v>12.26</v>
      </c>
      <c r="D3222">
        <v>12.31</v>
      </c>
      <c r="E3222">
        <v>25.85</v>
      </c>
      <c r="F3222" t="s">
        <v>13</v>
      </c>
      <c r="G32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22">
        <f>IF(Table1[[#This Row],[is_ups_overcharge]]="ups overcharged",Table1[[#This Row],[ups ship charge]]-Table1[[#This Row],[ada ship charge]],0)</f>
        <v>0</v>
      </c>
    </row>
    <row r="3223" spans="1:9" x14ac:dyDescent="0.2">
      <c r="A3223">
        <v>1043716</v>
      </c>
      <c r="B3223" t="s">
        <v>21</v>
      </c>
      <c r="C3223">
        <v>12.75</v>
      </c>
      <c r="D3223">
        <v>12.8</v>
      </c>
      <c r="E3223">
        <v>60.4</v>
      </c>
      <c r="F3223" t="s">
        <v>9</v>
      </c>
      <c r="G32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23">
        <f>IF(Table1[[#This Row],[is_ups_overcharge]]="ups overcharged",Table1[[#This Row],[ups ship charge]]-Table1[[#This Row],[ada ship charge]],0)</f>
        <v>0</v>
      </c>
    </row>
    <row r="3224" spans="1:9" x14ac:dyDescent="0.2">
      <c r="A3224">
        <v>1043719</v>
      </c>
      <c r="B3224" t="s">
        <v>21</v>
      </c>
      <c r="C3224">
        <v>12.75</v>
      </c>
      <c r="D3224">
        <v>12.8</v>
      </c>
      <c r="E3224">
        <v>120.45</v>
      </c>
      <c r="F3224" t="s">
        <v>9</v>
      </c>
      <c r="G32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24">
        <f>IF(Table1[[#This Row],[is_ups_overcharge]]="ups overcharged",Table1[[#This Row],[ups ship charge]]-Table1[[#This Row],[ada ship charge]],0)</f>
        <v>0</v>
      </c>
    </row>
    <row r="3225" spans="1:9" x14ac:dyDescent="0.2">
      <c r="A3225">
        <v>1043737</v>
      </c>
      <c r="B3225" t="s">
        <v>21</v>
      </c>
      <c r="C3225">
        <v>12.75</v>
      </c>
      <c r="D3225">
        <v>12.8</v>
      </c>
      <c r="E3225">
        <v>24.45</v>
      </c>
      <c r="F3225" t="s">
        <v>9</v>
      </c>
      <c r="G32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25">
        <f>IF(Table1[[#This Row],[is_ups_overcharge]]="ups overcharged",Table1[[#This Row],[ups ship charge]]-Table1[[#This Row],[ada ship charge]],0)</f>
        <v>0</v>
      </c>
    </row>
    <row r="3226" spans="1:9" x14ac:dyDescent="0.2">
      <c r="A3226">
        <v>1043765</v>
      </c>
      <c r="B3226" t="s">
        <v>21</v>
      </c>
      <c r="C3226">
        <v>13.64</v>
      </c>
      <c r="D3226">
        <v>13.69</v>
      </c>
      <c r="E3226">
        <v>47.9</v>
      </c>
      <c r="F3226" t="s">
        <v>9</v>
      </c>
      <c r="G32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26">
        <f>IF(Table1[[#This Row],[is_ups_overcharge]]="ups overcharged",Table1[[#This Row],[ups ship charge]]-Table1[[#This Row],[ada ship charge]],0)</f>
        <v>0</v>
      </c>
    </row>
    <row r="3227" spans="1:9" x14ac:dyDescent="0.2">
      <c r="A3227">
        <v>1043770</v>
      </c>
      <c r="B3227" t="s">
        <v>21</v>
      </c>
      <c r="C3227">
        <v>13.64</v>
      </c>
      <c r="D3227">
        <v>13.69</v>
      </c>
      <c r="E3227">
        <v>51.9</v>
      </c>
      <c r="F3227" t="s">
        <v>9</v>
      </c>
      <c r="G32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27">
        <f>IF(Table1[[#This Row],[is_ups_overcharge]]="ups overcharged",Table1[[#This Row],[ups ship charge]]-Table1[[#This Row],[ada ship charge]],0)</f>
        <v>0</v>
      </c>
    </row>
    <row r="3228" spans="1:9" x14ac:dyDescent="0.2">
      <c r="A3228">
        <v>1043792</v>
      </c>
      <c r="B3228" t="s">
        <v>21</v>
      </c>
      <c r="C3228">
        <v>13.64</v>
      </c>
      <c r="D3228">
        <v>13.69</v>
      </c>
      <c r="E3228">
        <v>47.9</v>
      </c>
      <c r="F3228" t="s">
        <v>9</v>
      </c>
      <c r="G32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28">
        <f>IF(Table1[[#This Row],[is_ups_overcharge]]="ups overcharged",Table1[[#This Row],[ups ship charge]]-Table1[[#This Row],[ada ship charge]],0)</f>
        <v>0</v>
      </c>
    </row>
    <row r="3229" spans="1:9" x14ac:dyDescent="0.2">
      <c r="A3229">
        <v>1043804</v>
      </c>
      <c r="B3229" t="s">
        <v>21</v>
      </c>
      <c r="C3229">
        <v>12.75</v>
      </c>
      <c r="D3229">
        <v>12.8</v>
      </c>
      <c r="E3229">
        <v>39.950000000000003</v>
      </c>
      <c r="F3229" t="s">
        <v>9</v>
      </c>
      <c r="G32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29">
        <f>IF(Table1[[#This Row],[is_ups_overcharge]]="ups overcharged",Table1[[#This Row],[ups ship charge]]-Table1[[#This Row],[ada ship charge]],0)</f>
        <v>0</v>
      </c>
    </row>
    <row r="3230" spans="1:9" x14ac:dyDescent="0.2">
      <c r="A3230">
        <v>1043840</v>
      </c>
      <c r="B3230" t="s">
        <v>21</v>
      </c>
      <c r="C3230">
        <v>13.64</v>
      </c>
      <c r="D3230">
        <v>13.69</v>
      </c>
      <c r="E3230">
        <v>86.3</v>
      </c>
      <c r="F3230" t="s">
        <v>9</v>
      </c>
      <c r="G32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30">
        <f>IF(Table1[[#This Row],[is_ups_overcharge]]="ups overcharged",Table1[[#This Row],[ups ship charge]]-Table1[[#This Row],[ada ship charge]],0)</f>
        <v>0</v>
      </c>
    </row>
    <row r="3231" spans="1:9" x14ac:dyDescent="0.2">
      <c r="A3231">
        <v>1043868</v>
      </c>
      <c r="B3231" t="s">
        <v>21</v>
      </c>
      <c r="C3231">
        <v>13.64</v>
      </c>
      <c r="D3231">
        <v>13.69</v>
      </c>
      <c r="E3231">
        <v>39.950000000000003</v>
      </c>
      <c r="F3231" t="s">
        <v>9</v>
      </c>
      <c r="G32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31">
        <f>IF(Table1[[#This Row],[is_ups_overcharge]]="ups overcharged",Table1[[#This Row],[ups ship charge]]-Table1[[#This Row],[ada ship charge]],0)</f>
        <v>0</v>
      </c>
    </row>
    <row r="3232" spans="1:9" x14ac:dyDescent="0.2">
      <c r="A3232">
        <v>1043874</v>
      </c>
      <c r="B3232" t="s">
        <v>21</v>
      </c>
      <c r="C3232">
        <v>12.75</v>
      </c>
      <c r="D3232">
        <v>12.8</v>
      </c>
      <c r="E3232">
        <v>99.95</v>
      </c>
      <c r="F3232" t="s">
        <v>9</v>
      </c>
      <c r="G32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32">
        <f>IF(Table1[[#This Row],[is_ups_overcharge]]="ups overcharged",Table1[[#This Row],[ups ship charge]]-Table1[[#This Row],[ada ship charge]],0)</f>
        <v>0</v>
      </c>
    </row>
    <row r="3233" spans="1:9" x14ac:dyDescent="0.2">
      <c r="A3233">
        <v>1043876</v>
      </c>
      <c r="B3233" t="s">
        <v>21</v>
      </c>
      <c r="C3233">
        <v>12.75</v>
      </c>
      <c r="D3233">
        <v>12.8</v>
      </c>
      <c r="E3233">
        <v>55.85</v>
      </c>
      <c r="F3233" t="s">
        <v>9</v>
      </c>
      <c r="G32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33">
        <f>IF(Table1[[#This Row],[is_ups_overcharge]]="ups overcharged",Table1[[#This Row],[ups ship charge]]-Table1[[#This Row],[ada ship charge]],0)</f>
        <v>0</v>
      </c>
    </row>
    <row r="3234" spans="1:9" x14ac:dyDescent="0.2">
      <c r="A3234">
        <v>1043891</v>
      </c>
      <c r="B3234" t="s">
        <v>21</v>
      </c>
      <c r="C3234">
        <v>16.649999999999999</v>
      </c>
      <c r="D3234">
        <v>16.7</v>
      </c>
      <c r="E3234">
        <v>67.8</v>
      </c>
      <c r="F3234" t="s">
        <v>10</v>
      </c>
      <c r="G32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34">
        <f>IF(Table1[[#This Row],[is_ups_overcharge]]="ups overcharged",Table1[[#This Row],[ups ship charge]]-Table1[[#This Row],[ada ship charge]],0)</f>
        <v>0</v>
      </c>
    </row>
    <row r="3235" spans="1:9" x14ac:dyDescent="0.2">
      <c r="A3235">
        <v>1043902</v>
      </c>
      <c r="B3235" t="s">
        <v>21</v>
      </c>
      <c r="C3235">
        <v>10.94</v>
      </c>
      <c r="D3235">
        <v>10.99</v>
      </c>
      <c r="E3235">
        <v>45.9</v>
      </c>
      <c r="F3235" t="s">
        <v>14</v>
      </c>
      <c r="G32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35">
        <f>IF(Table1[[#This Row],[is_ups_overcharge]]="ups overcharged",Table1[[#This Row],[ups ship charge]]-Table1[[#This Row],[ada ship charge]],0)</f>
        <v>0</v>
      </c>
    </row>
    <row r="3236" spans="1:9" x14ac:dyDescent="0.2">
      <c r="A3236">
        <v>1043906</v>
      </c>
      <c r="B3236" t="s">
        <v>21</v>
      </c>
      <c r="C3236">
        <v>12.75</v>
      </c>
      <c r="D3236">
        <v>13.61</v>
      </c>
      <c r="E3236">
        <v>109.9</v>
      </c>
      <c r="F3236" t="s">
        <v>9</v>
      </c>
      <c r="G32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36">
        <f>IF(Table1[[#This Row],[is_ups_overcharge]]="ups overcharged",Table1[[#This Row],[ups ship charge]]-Table1[[#This Row],[ada ship charge]],0)</f>
        <v>0</v>
      </c>
    </row>
    <row r="3237" spans="1:9" x14ac:dyDescent="0.2">
      <c r="A3237">
        <v>1043909</v>
      </c>
      <c r="B3237" t="s">
        <v>21</v>
      </c>
      <c r="C3237">
        <v>12.75</v>
      </c>
      <c r="D3237">
        <v>12.8</v>
      </c>
      <c r="E3237">
        <v>39.950000000000003</v>
      </c>
      <c r="F3237" t="s">
        <v>9</v>
      </c>
      <c r="G32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37">
        <f>IF(Table1[[#This Row],[is_ups_overcharge]]="ups overcharged",Table1[[#This Row],[ups ship charge]]-Table1[[#This Row],[ada ship charge]],0)</f>
        <v>0</v>
      </c>
    </row>
    <row r="3238" spans="1:9" x14ac:dyDescent="0.2">
      <c r="A3238">
        <v>1043911</v>
      </c>
      <c r="B3238" t="s">
        <v>21</v>
      </c>
      <c r="C3238">
        <v>12.75</v>
      </c>
      <c r="D3238">
        <v>13.2</v>
      </c>
      <c r="E3238">
        <v>185.8</v>
      </c>
      <c r="F3238" t="s">
        <v>9</v>
      </c>
      <c r="G32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38">
        <f>IF(Table1[[#This Row],[is_ups_overcharge]]="ups overcharged",Table1[[#This Row],[ups ship charge]]-Table1[[#This Row],[ada ship charge]],0)</f>
        <v>0</v>
      </c>
    </row>
    <row r="3239" spans="1:9" x14ac:dyDescent="0.2">
      <c r="A3239">
        <v>1043937</v>
      </c>
      <c r="B3239" t="s">
        <v>21</v>
      </c>
      <c r="C3239">
        <v>12.75</v>
      </c>
      <c r="D3239">
        <v>12.8</v>
      </c>
      <c r="E3239">
        <v>74.7</v>
      </c>
      <c r="F3239" t="s">
        <v>9</v>
      </c>
      <c r="G32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39">
        <f>IF(Table1[[#This Row],[is_ups_overcharge]]="ups overcharged",Table1[[#This Row],[ups ship charge]]-Table1[[#This Row],[ada ship charge]],0)</f>
        <v>0</v>
      </c>
    </row>
    <row r="3240" spans="1:9" x14ac:dyDescent="0.2">
      <c r="A3240">
        <v>1043947</v>
      </c>
      <c r="B3240" t="s">
        <v>21</v>
      </c>
      <c r="C3240">
        <v>13.64</v>
      </c>
      <c r="D3240">
        <v>13.69</v>
      </c>
      <c r="E3240">
        <v>39.950000000000003</v>
      </c>
      <c r="F3240" t="s">
        <v>9</v>
      </c>
      <c r="G32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40">
        <f>IF(Table1[[#This Row],[is_ups_overcharge]]="ups overcharged",Table1[[#This Row],[ups ship charge]]-Table1[[#This Row],[ada ship charge]],0)</f>
        <v>0</v>
      </c>
    </row>
    <row r="3241" spans="1:9" x14ac:dyDescent="0.2">
      <c r="A3241">
        <v>1043954</v>
      </c>
      <c r="B3241" t="s">
        <v>21</v>
      </c>
      <c r="C3241">
        <v>15.33</v>
      </c>
      <c r="D3241">
        <v>15.38</v>
      </c>
      <c r="E3241">
        <v>99.95</v>
      </c>
      <c r="F3241" t="s">
        <v>12</v>
      </c>
      <c r="G32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41">
        <f>IF(Table1[[#This Row],[is_ups_overcharge]]="ups overcharged",Table1[[#This Row],[ups ship charge]]-Table1[[#This Row],[ada ship charge]],0)</f>
        <v>0</v>
      </c>
    </row>
    <row r="3242" spans="1:9" x14ac:dyDescent="0.2">
      <c r="A3242">
        <v>1043961</v>
      </c>
      <c r="B3242" t="s">
        <v>21</v>
      </c>
      <c r="C3242">
        <v>13.64</v>
      </c>
      <c r="D3242">
        <v>13.69</v>
      </c>
      <c r="E3242">
        <v>67.8</v>
      </c>
      <c r="F3242" t="s">
        <v>9</v>
      </c>
      <c r="G32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42">
        <f>IF(Table1[[#This Row],[is_ups_overcharge]]="ups overcharged",Table1[[#This Row],[ups ship charge]]-Table1[[#This Row],[ada ship charge]],0)</f>
        <v>0</v>
      </c>
    </row>
    <row r="3243" spans="1:9" x14ac:dyDescent="0.2">
      <c r="A3243">
        <v>1043965</v>
      </c>
      <c r="B3243" t="s">
        <v>21</v>
      </c>
      <c r="C3243">
        <v>13.64</v>
      </c>
      <c r="D3243">
        <v>13.69</v>
      </c>
      <c r="E3243">
        <v>5.95</v>
      </c>
      <c r="F3243" t="s">
        <v>9</v>
      </c>
      <c r="G32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43">
        <f>IF(Table1[[#This Row],[is_ups_overcharge]]="ups overcharged",Table1[[#This Row],[ups ship charge]]-Table1[[#This Row],[ada ship charge]],0)</f>
        <v>0</v>
      </c>
    </row>
    <row r="3244" spans="1:9" x14ac:dyDescent="0.2">
      <c r="A3244">
        <v>1043977</v>
      </c>
      <c r="B3244" t="s">
        <v>21</v>
      </c>
      <c r="C3244">
        <v>12.75</v>
      </c>
      <c r="D3244">
        <v>12.8</v>
      </c>
      <c r="E3244">
        <v>39.950000000000003</v>
      </c>
      <c r="F3244" t="s">
        <v>9</v>
      </c>
      <c r="G32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44">
        <f>IF(Table1[[#This Row],[is_ups_overcharge]]="ups overcharged",Table1[[#This Row],[ups ship charge]]-Table1[[#This Row],[ada ship charge]],0)</f>
        <v>0</v>
      </c>
    </row>
    <row r="3245" spans="1:9" x14ac:dyDescent="0.2">
      <c r="A3245">
        <v>1043983</v>
      </c>
      <c r="B3245" t="s">
        <v>21</v>
      </c>
      <c r="C3245">
        <v>13.64</v>
      </c>
      <c r="D3245">
        <v>13.69</v>
      </c>
      <c r="E3245">
        <v>39.950000000000003</v>
      </c>
      <c r="F3245" t="s">
        <v>9</v>
      </c>
      <c r="G32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45">
        <f>IF(Table1[[#This Row],[is_ups_overcharge]]="ups overcharged",Table1[[#This Row],[ups ship charge]]-Table1[[#This Row],[ada ship charge]],0)</f>
        <v>0</v>
      </c>
    </row>
    <row r="3246" spans="1:9" x14ac:dyDescent="0.2">
      <c r="A3246">
        <v>1044002</v>
      </c>
      <c r="B3246" t="s">
        <v>21</v>
      </c>
      <c r="C3246">
        <v>12.75</v>
      </c>
      <c r="D3246">
        <v>12.8</v>
      </c>
      <c r="E3246">
        <v>55.9</v>
      </c>
      <c r="F3246" t="s">
        <v>9</v>
      </c>
      <c r="G32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46">
        <f>IF(Table1[[#This Row],[is_ups_overcharge]]="ups overcharged",Table1[[#This Row],[ups ship charge]]-Table1[[#This Row],[ada ship charge]],0)</f>
        <v>0</v>
      </c>
    </row>
    <row r="3247" spans="1:9" x14ac:dyDescent="0.2">
      <c r="A3247">
        <v>1044014</v>
      </c>
      <c r="B3247" t="s">
        <v>21</v>
      </c>
      <c r="C3247">
        <v>13.64</v>
      </c>
      <c r="D3247">
        <v>13.69</v>
      </c>
      <c r="E3247">
        <v>47.9</v>
      </c>
      <c r="F3247" t="s">
        <v>9</v>
      </c>
      <c r="G32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47">
        <f>IF(Table1[[#This Row],[is_ups_overcharge]]="ups overcharged",Table1[[#This Row],[ups ship charge]]-Table1[[#This Row],[ada ship charge]],0)</f>
        <v>0</v>
      </c>
    </row>
    <row r="3248" spans="1:9" x14ac:dyDescent="0.2">
      <c r="A3248">
        <v>1044015</v>
      </c>
      <c r="B3248" t="s">
        <v>21</v>
      </c>
      <c r="C3248">
        <v>12.75</v>
      </c>
      <c r="D3248">
        <v>12.8</v>
      </c>
      <c r="E3248">
        <v>39.950000000000003</v>
      </c>
      <c r="F3248" t="s">
        <v>9</v>
      </c>
      <c r="G32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48">
        <f>IF(Table1[[#This Row],[is_ups_overcharge]]="ups overcharged",Table1[[#This Row],[ups ship charge]]-Table1[[#This Row],[ada ship charge]],0)</f>
        <v>0</v>
      </c>
    </row>
    <row r="3249" spans="1:9" x14ac:dyDescent="0.2">
      <c r="A3249">
        <v>1044019</v>
      </c>
      <c r="B3249" t="s">
        <v>21</v>
      </c>
      <c r="C3249">
        <v>9.66</v>
      </c>
      <c r="D3249">
        <v>9.7100000000000009</v>
      </c>
      <c r="E3249">
        <v>39.950000000000003</v>
      </c>
      <c r="F3249" t="s">
        <v>6</v>
      </c>
      <c r="G32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49">
        <f>IF(Table1[[#This Row],[is_ups_overcharge]]="ups overcharged",Table1[[#This Row],[ups ship charge]]-Table1[[#This Row],[ada ship charge]],0)</f>
        <v>0</v>
      </c>
    </row>
    <row r="3250" spans="1:9" x14ac:dyDescent="0.2">
      <c r="A3250">
        <v>1044022</v>
      </c>
      <c r="B3250" t="s">
        <v>21</v>
      </c>
      <c r="C3250">
        <v>13.64</v>
      </c>
      <c r="D3250">
        <v>13.69</v>
      </c>
      <c r="E3250">
        <v>39.950000000000003</v>
      </c>
      <c r="F3250" t="s">
        <v>9</v>
      </c>
      <c r="G32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50">
        <f>IF(Table1[[#This Row],[is_ups_overcharge]]="ups overcharged",Table1[[#This Row],[ups ship charge]]-Table1[[#This Row],[ada ship charge]],0)</f>
        <v>0</v>
      </c>
    </row>
    <row r="3251" spans="1:9" x14ac:dyDescent="0.2">
      <c r="A3251">
        <v>1044032</v>
      </c>
      <c r="B3251" t="s">
        <v>21</v>
      </c>
      <c r="C3251">
        <v>12.75</v>
      </c>
      <c r="D3251">
        <v>12.84</v>
      </c>
      <c r="E3251">
        <v>46.9</v>
      </c>
      <c r="F3251" t="s">
        <v>9</v>
      </c>
      <c r="G32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51">
        <f>IF(Table1[[#This Row],[is_ups_overcharge]]="ups overcharged",Table1[[#This Row],[ups ship charge]]-Table1[[#This Row],[ada ship charge]],0)</f>
        <v>0</v>
      </c>
    </row>
    <row r="3252" spans="1:9" x14ac:dyDescent="0.2">
      <c r="A3252">
        <v>1044037</v>
      </c>
      <c r="B3252" t="s">
        <v>21</v>
      </c>
      <c r="C3252">
        <v>13.64</v>
      </c>
      <c r="D3252">
        <v>13.69</v>
      </c>
      <c r="E3252">
        <v>7.5</v>
      </c>
      <c r="F3252" t="s">
        <v>9</v>
      </c>
      <c r="G32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52">
        <f>IF(Table1[[#This Row],[is_ups_overcharge]]="ups overcharged",Table1[[#This Row],[ups ship charge]]-Table1[[#This Row],[ada ship charge]],0)</f>
        <v>0</v>
      </c>
    </row>
    <row r="3253" spans="1:9" x14ac:dyDescent="0.2">
      <c r="A3253">
        <v>1044040</v>
      </c>
      <c r="B3253" t="s">
        <v>21</v>
      </c>
      <c r="C3253">
        <v>13.68</v>
      </c>
      <c r="D3253">
        <v>13.73</v>
      </c>
      <c r="E3253">
        <v>77.650000000000006</v>
      </c>
      <c r="F3253" t="s">
        <v>9</v>
      </c>
      <c r="G32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53">
        <f>IF(Table1[[#This Row],[is_ups_overcharge]]="ups overcharged",Table1[[#This Row],[ups ship charge]]-Table1[[#This Row],[ada ship charge]],0)</f>
        <v>0</v>
      </c>
    </row>
    <row r="3254" spans="1:9" x14ac:dyDescent="0.2">
      <c r="A3254">
        <v>1044044</v>
      </c>
      <c r="B3254" t="s">
        <v>21</v>
      </c>
      <c r="C3254">
        <v>9.65</v>
      </c>
      <c r="D3254">
        <v>13.69</v>
      </c>
      <c r="E3254">
        <v>19.95</v>
      </c>
      <c r="F3254" t="s">
        <v>6</v>
      </c>
      <c r="G32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54">
        <f>IF(Table1[[#This Row],[is_ups_overcharge]]="ups overcharged",Table1[[#This Row],[ups ship charge]]-Table1[[#This Row],[ada ship charge]],0)</f>
        <v>0</v>
      </c>
    </row>
    <row r="3255" spans="1:9" x14ac:dyDescent="0.2">
      <c r="A3255">
        <v>1044071</v>
      </c>
      <c r="B3255" t="s">
        <v>21</v>
      </c>
      <c r="C3255">
        <v>12.75</v>
      </c>
      <c r="D3255">
        <v>12.8</v>
      </c>
      <c r="E3255">
        <v>119.35</v>
      </c>
      <c r="F3255" t="s">
        <v>9</v>
      </c>
      <c r="G32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55">
        <f>IF(Table1[[#This Row],[is_ups_overcharge]]="ups overcharged",Table1[[#This Row],[ups ship charge]]-Table1[[#This Row],[ada ship charge]],0)</f>
        <v>0</v>
      </c>
    </row>
    <row r="3256" spans="1:9" x14ac:dyDescent="0.2">
      <c r="A3256">
        <v>1044090</v>
      </c>
      <c r="B3256" t="s">
        <v>21</v>
      </c>
      <c r="C3256">
        <v>15.32</v>
      </c>
      <c r="D3256">
        <v>15.37</v>
      </c>
      <c r="E3256">
        <v>4.5</v>
      </c>
      <c r="F3256" t="s">
        <v>12</v>
      </c>
      <c r="G32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56">
        <f>IF(Table1[[#This Row],[is_ups_overcharge]]="ups overcharged",Table1[[#This Row],[ups ship charge]]-Table1[[#This Row],[ada ship charge]],0)</f>
        <v>0</v>
      </c>
    </row>
    <row r="3257" spans="1:9" x14ac:dyDescent="0.2">
      <c r="A3257">
        <v>1044093</v>
      </c>
      <c r="B3257" t="s">
        <v>21</v>
      </c>
      <c r="C3257">
        <v>12.75</v>
      </c>
      <c r="D3257">
        <v>12.8</v>
      </c>
      <c r="E3257">
        <v>14.95</v>
      </c>
      <c r="F3257" t="s">
        <v>9</v>
      </c>
      <c r="G32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57">
        <f>IF(Table1[[#This Row],[is_ups_overcharge]]="ups overcharged",Table1[[#This Row],[ups ship charge]]-Table1[[#This Row],[ada ship charge]],0)</f>
        <v>0</v>
      </c>
    </row>
    <row r="3258" spans="1:9" x14ac:dyDescent="0.2">
      <c r="A3258">
        <v>1044121</v>
      </c>
      <c r="B3258" t="s">
        <v>21</v>
      </c>
      <c r="C3258">
        <v>12.75</v>
      </c>
      <c r="D3258">
        <v>12.8</v>
      </c>
      <c r="E3258">
        <v>39.950000000000003</v>
      </c>
      <c r="F3258" t="s">
        <v>9</v>
      </c>
      <c r="G32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58">
        <f>IF(Table1[[#This Row],[is_ups_overcharge]]="ups overcharged",Table1[[#This Row],[ups ship charge]]-Table1[[#This Row],[ada ship charge]],0)</f>
        <v>0</v>
      </c>
    </row>
    <row r="3259" spans="1:9" x14ac:dyDescent="0.2">
      <c r="A3259">
        <v>1044149</v>
      </c>
      <c r="B3259" t="s">
        <v>21</v>
      </c>
      <c r="C3259">
        <v>13.64</v>
      </c>
      <c r="D3259">
        <v>13.69</v>
      </c>
      <c r="E3259">
        <v>38.450000000000003</v>
      </c>
      <c r="F3259" t="s">
        <v>9</v>
      </c>
      <c r="G32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59">
        <f>IF(Table1[[#This Row],[is_ups_overcharge]]="ups overcharged",Table1[[#This Row],[ups ship charge]]-Table1[[#This Row],[ada ship charge]],0)</f>
        <v>0</v>
      </c>
    </row>
    <row r="3260" spans="1:9" x14ac:dyDescent="0.2">
      <c r="A3260">
        <v>1044164</v>
      </c>
      <c r="B3260" t="s">
        <v>21</v>
      </c>
      <c r="C3260">
        <v>13.64</v>
      </c>
      <c r="D3260">
        <v>13.69</v>
      </c>
      <c r="E3260">
        <v>67.75</v>
      </c>
      <c r="F3260" t="s">
        <v>9</v>
      </c>
      <c r="G32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60">
        <f>IF(Table1[[#This Row],[is_ups_overcharge]]="ups overcharged",Table1[[#This Row],[ups ship charge]]-Table1[[#This Row],[ada ship charge]],0)</f>
        <v>0</v>
      </c>
    </row>
    <row r="3261" spans="1:9" x14ac:dyDescent="0.2">
      <c r="A3261">
        <v>1044165</v>
      </c>
      <c r="B3261" t="s">
        <v>21</v>
      </c>
      <c r="C3261">
        <v>12.75</v>
      </c>
      <c r="D3261">
        <v>12.8</v>
      </c>
      <c r="E3261">
        <v>39.950000000000003</v>
      </c>
      <c r="F3261" t="s">
        <v>9</v>
      </c>
      <c r="G32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61">
        <f>IF(Table1[[#This Row],[is_ups_overcharge]]="ups overcharged",Table1[[#This Row],[ups ship charge]]-Table1[[#This Row],[ada ship charge]],0)</f>
        <v>0</v>
      </c>
    </row>
    <row r="3262" spans="1:9" x14ac:dyDescent="0.2">
      <c r="A3262">
        <v>1044196</v>
      </c>
      <c r="B3262" t="s">
        <v>21</v>
      </c>
      <c r="C3262">
        <v>12.75</v>
      </c>
      <c r="D3262">
        <v>12.8</v>
      </c>
      <c r="E3262">
        <v>24.9</v>
      </c>
      <c r="F3262" t="s">
        <v>9</v>
      </c>
      <c r="G32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62">
        <f>IF(Table1[[#This Row],[is_ups_overcharge]]="ups overcharged",Table1[[#This Row],[ups ship charge]]-Table1[[#This Row],[ada ship charge]],0)</f>
        <v>0</v>
      </c>
    </row>
    <row r="3263" spans="1:9" x14ac:dyDescent="0.2">
      <c r="A3263">
        <v>1044220</v>
      </c>
      <c r="B3263" t="s">
        <v>21</v>
      </c>
      <c r="C3263">
        <v>9.66</v>
      </c>
      <c r="D3263">
        <v>9.6999999999999993</v>
      </c>
      <c r="E3263">
        <v>50.65</v>
      </c>
      <c r="F3263" t="s">
        <v>6</v>
      </c>
      <c r="G32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63">
        <f>IF(Table1[[#This Row],[is_ups_overcharge]]="ups overcharged",Table1[[#This Row],[ups ship charge]]-Table1[[#This Row],[ada ship charge]],0)</f>
        <v>0</v>
      </c>
    </row>
    <row r="3264" spans="1:9" x14ac:dyDescent="0.2">
      <c r="A3264">
        <v>1044239</v>
      </c>
      <c r="B3264" t="s">
        <v>21</v>
      </c>
      <c r="C3264">
        <v>13.64</v>
      </c>
      <c r="D3264">
        <v>13.69</v>
      </c>
      <c r="E3264">
        <v>21.3</v>
      </c>
      <c r="F3264" t="s">
        <v>9</v>
      </c>
      <c r="G32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64">
        <f>IF(Table1[[#This Row],[is_ups_overcharge]]="ups overcharged",Table1[[#This Row],[ups ship charge]]-Table1[[#This Row],[ada ship charge]],0)</f>
        <v>0</v>
      </c>
    </row>
    <row r="3265" spans="1:9" x14ac:dyDescent="0.2">
      <c r="A3265">
        <v>1044241</v>
      </c>
      <c r="B3265" t="s">
        <v>21</v>
      </c>
      <c r="C3265">
        <v>13.64</v>
      </c>
      <c r="D3265">
        <v>13.69</v>
      </c>
      <c r="E3265">
        <v>58.9</v>
      </c>
      <c r="F3265" t="s">
        <v>9</v>
      </c>
      <c r="G32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65">
        <f>IF(Table1[[#This Row],[is_ups_overcharge]]="ups overcharged",Table1[[#This Row],[ups ship charge]]-Table1[[#This Row],[ada ship charge]],0)</f>
        <v>0</v>
      </c>
    </row>
    <row r="3266" spans="1:9" x14ac:dyDescent="0.2">
      <c r="A3266">
        <v>1044251</v>
      </c>
      <c r="B3266" t="s">
        <v>21</v>
      </c>
      <c r="C3266">
        <v>16.8</v>
      </c>
      <c r="D3266">
        <v>17.97</v>
      </c>
      <c r="E3266">
        <v>206.2</v>
      </c>
      <c r="F3266" t="s">
        <v>10</v>
      </c>
      <c r="G32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66">
        <f>IF(Table1[[#This Row],[is_ups_overcharge]]="ups overcharged",Table1[[#This Row],[ups ship charge]]-Table1[[#This Row],[ada ship charge]],0)</f>
        <v>0</v>
      </c>
    </row>
    <row r="3267" spans="1:9" x14ac:dyDescent="0.2">
      <c r="A3267">
        <v>1044274</v>
      </c>
      <c r="B3267" t="s">
        <v>21</v>
      </c>
      <c r="C3267">
        <v>12.75</v>
      </c>
      <c r="D3267">
        <v>12.8</v>
      </c>
      <c r="E3267">
        <v>34.950000000000003</v>
      </c>
      <c r="F3267" t="s">
        <v>9</v>
      </c>
      <c r="G32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67">
        <f>IF(Table1[[#This Row],[is_ups_overcharge]]="ups overcharged",Table1[[#This Row],[ups ship charge]]-Table1[[#This Row],[ada ship charge]],0)</f>
        <v>0</v>
      </c>
    </row>
    <row r="3268" spans="1:9" x14ac:dyDescent="0.2">
      <c r="A3268">
        <v>1044281</v>
      </c>
      <c r="B3268" t="s">
        <v>21</v>
      </c>
      <c r="C3268">
        <v>12.75</v>
      </c>
      <c r="D3268">
        <v>12.8</v>
      </c>
      <c r="E3268">
        <v>47.7</v>
      </c>
      <c r="F3268" t="s">
        <v>9</v>
      </c>
      <c r="G32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68">
        <f>IF(Table1[[#This Row],[is_ups_overcharge]]="ups overcharged",Table1[[#This Row],[ups ship charge]]-Table1[[#This Row],[ada ship charge]],0)</f>
        <v>0</v>
      </c>
    </row>
    <row r="3269" spans="1:9" x14ac:dyDescent="0.2">
      <c r="A3269">
        <v>1044288</v>
      </c>
      <c r="B3269" t="s">
        <v>21</v>
      </c>
      <c r="C3269">
        <v>16.34</v>
      </c>
      <c r="D3269">
        <v>16.39</v>
      </c>
      <c r="E3269">
        <v>32.65</v>
      </c>
      <c r="F3269" t="s">
        <v>10</v>
      </c>
      <c r="G32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69">
        <f>IF(Table1[[#This Row],[is_ups_overcharge]]="ups overcharged",Table1[[#This Row],[ups ship charge]]-Table1[[#This Row],[ada ship charge]],0)</f>
        <v>0</v>
      </c>
    </row>
    <row r="3270" spans="1:9" x14ac:dyDescent="0.2">
      <c r="A3270">
        <v>1044293</v>
      </c>
      <c r="B3270" t="s">
        <v>21</v>
      </c>
      <c r="C3270">
        <v>13.64</v>
      </c>
      <c r="D3270">
        <v>13.69</v>
      </c>
      <c r="E3270">
        <v>27.8</v>
      </c>
      <c r="F3270" t="s">
        <v>9</v>
      </c>
      <c r="G32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70">
        <f>IF(Table1[[#This Row],[is_ups_overcharge]]="ups overcharged",Table1[[#This Row],[ups ship charge]]-Table1[[#This Row],[ada ship charge]],0)</f>
        <v>0</v>
      </c>
    </row>
    <row r="3271" spans="1:9" x14ac:dyDescent="0.2">
      <c r="A3271">
        <v>1044302</v>
      </c>
      <c r="B3271" t="s">
        <v>21</v>
      </c>
      <c r="C3271">
        <v>16.649999999999999</v>
      </c>
      <c r="D3271">
        <v>16.7</v>
      </c>
      <c r="E3271">
        <v>86.9</v>
      </c>
      <c r="F3271" t="s">
        <v>10</v>
      </c>
      <c r="G32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71">
        <f>IF(Table1[[#This Row],[is_ups_overcharge]]="ups overcharged",Table1[[#This Row],[ups ship charge]]-Table1[[#This Row],[ada ship charge]],0)</f>
        <v>0</v>
      </c>
    </row>
    <row r="3272" spans="1:9" x14ac:dyDescent="0.2">
      <c r="A3272">
        <v>1044308</v>
      </c>
      <c r="B3272" t="s">
        <v>21</v>
      </c>
      <c r="C3272">
        <v>15.02</v>
      </c>
      <c r="D3272">
        <v>15.07</v>
      </c>
      <c r="E3272">
        <v>8.0500000000000007</v>
      </c>
      <c r="F3272" t="s">
        <v>12</v>
      </c>
      <c r="G32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72">
        <f>IF(Table1[[#This Row],[is_ups_overcharge]]="ups overcharged",Table1[[#This Row],[ups ship charge]]-Table1[[#This Row],[ada ship charge]],0)</f>
        <v>0</v>
      </c>
    </row>
    <row r="3273" spans="1:9" x14ac:dyDescent="0.2">
      <c r="A3273">
        <v>1044321</v>
      </c>
      <c r="B3273" t="s">
        <v>21</v>
      </c>
      <c r="C3273">
        <v>13.64</v>
      </c>
      <c r="D3273">
        <v>13.69</v>
      </c>
      <c r="E3273">
        <v>9.75</v>
      </c>
      <c r="F3273" t="s">
        <v>9</v>
      </c>
      <c r="G32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73">
        <f>IF(Table1[[#This Row],[is_ups_overcharge]]="ups overcharged",Table1[[#This Row],[ups ship charge]]-Table1[[#This Row],[ada ship charge]],0)</f>
        <v>0</v>
      </c>
    </row>
    <row r="3274" spans="1:9" x14ac:dyDescent="0.2">
      <c r="A3274">
        <v>1044338</v>
      </c>
      <c r="B3274" t="s">
        <v>21</v>
      </c>
      <c r="C3274">
        <v>19.09</v>
      </c>
      <c r="D3274">
        <v>20.86</v>
      </c>
      <c r="E3274">
        <v>208.1</v>
      </c>
      <c r="F3274" t="s">
        <v>15</v>
      </c>
      <c r="G32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74">
        <f>IF(Table1[[#This Row],[is_ups_overcharge]]="ups overcharged",Table1[[#This Row],[ups ship charge]]-Table1[[#This Row],[ada ship charge]],0)</f>
        <v>0</v>
      </c>
    </row>
    <row r="3275" spans="1:9" x14ac:dyDescent="0.2">
      <c r="A3275">
        <v>1044348</v>
      </c>
      <c r="B3275" t="s">
        <v>21</v>
      </c>
      <c r="C3275">
        <v>9.65</v>
      </c>
      <c r="D3275">
        <v>9.74</v>
      </c>
      <c r="E3275">
        <v>95.75</v>
      </c>
      <c r="F3275" t="s">
        <v>6</v>
      </c>
      <c r="G32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75">
        <f>IF(Table1[[#This Row],[is_ups_overcharge]]="ups overcharged",Table1[[#This Row],[ups ship charge]]-Table1[[#This Row],[ada ship charge]],0)</f>
        <v>0</v>
      </c>
    </row>
    <row r="3276" spans="1:9" x14ac:dyDescent="0.2">
      <c r="A3276">
        <v>1044362</v>
      </c>
      <c r="B3276" t="s">
        <v>21</v>
      </c>
      <c r="C3276">
        <v>13.63</v>
      </c>
      <c r="D3276">
        <v>13.69</v>
      </c>
      <c r="E3276">
        <v>99.85</v>
      </c>
      <c r="F3276" t="s">
        <v>9</v>
      </c>
      <c r="G32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76">
        <f>IF(Table1[[#This Row],[is_ups_overcharge]]="ups overcharged",Table1[[#This Row],[ups ship charge]]-Table1[[#This Row],[ada ship charge]],0)</f>
        <v>0</v>
      </c>
    </row>
    <row r="3277" spans="1:9" x14ac:dyDescent="0.2">
      <c r="A3277">
        <v>1044378</v>
      </c>
      <c r="B3277" t="s">
        <v>21</v>
      </c>
      <c r="C3277">
        <v>16.75</v>
      </c>
      <c r="D3277">
        <v>18.64</v>
      </c>
      <c r="E3277">
        <v>21.9</v>
      </c>
      <c r="F3277" t="s">
        <v>10</v>
      </c>
      <c r="G32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77">
        <f>IF(Table1[[#This Row],[is_ups_overcharge]]="ups overcharged",Table1[[#This Row],[ups ship charge]]-Table1[[#This Row],[ada ship charge]],0)</f>
        <v>0</v>
      </c>
    </row>
    <row r="3278" spans="1:9" x14ac:dyDescent="0.2">
      <c r="A3278">
        <v>1044395</v>
      </c>
      <c r="B3278" t="s">
        <v>21</v>
      </c>
      <c r="C3278">
        <v>12.75</v>
      </c>
      <c r="D3278">
        <v>12.8</v>
      </c>
      <c r="E3278">
        <v>25.15</v>
      </c>
      <c r="F3278" t="s">
        <v>9</v>
      </c>
      <c r="G32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78">
        <f>IF(Table1[[#This Row],[is_ups_overcharge]]="ups overcharged",Table1[[#This Row],[ups ship charge]]-Table1[[#This Row],[ada ship charge]],0)</f>
        <v>0</v>
      </c>
    </row>
    <row r="3279" spans="1:9" x14ac:dyDescent="0.2">
      <c r="A3279">
        <v>1044401</v>
      </c>
      <c r="B3279" t="s">
        <v>21</v>
      </c>
      <c r="C3279">
        <v>12.75</v>
      </c>
      <c r="D3279">
        <v>13.25</v>
      </c>
      <c r="E3279">
        <v>75.900000000000006</v>
      </c>
      <c r="F3279" t="s">
        <v>9</v>
      </c>
      <c r="G32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79">
        <f>IF(Table1[[#This Row],[is_ups_overcharge]]="ups overcharged",Table1[[#This Row],[ups ship charge]]-Table1[[#This Row],[ada ship charge]],0)</f>
        <v>0</v>
      </c>
    </row>
    <row r="3280" spans="1:9" x14ac:dyDescent="0.2">
      <c r="A3280">
        <v>1044406</v>
      </c>
      <c r="B3280" t="s">
        <v>21</v>
      </c>
      <c r="C3280">
        <v>13.64</v>
      </c>
      <c r="D3280">
        <v>13.69</v>
      </c>
      <c r="E3280">
        <v>68.900000000000006</v>
      </c>
      <c r="F3280" t="s">
        <v>9</v>
      </c>
      <c r="G32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80">
        <f>IF(Table1[[#This Row],[is_ups_overcharge]]="ups overcharged",Table1[[#This Row],[ups ship charge]]-Table1[[#This Row],[ada ship charge]],0)</f>
        <v>0</v>
      </c>
    </row>
    <row r="3281" spans="1:9" x14ac:dyDescent="0.2">
      <c r="A3281">
        <v>1044413</v>
      </c>
      <c r="B3281" t="s">
        <v>21</v>
      </c>
      <c r="C3281">
        <v>13.63</v>
      </c>
      <c r="D3281">
        <v>14.7</v>
      </c>
      <c r="E3281">
        <v>37</v>
      </c>
      <c r="F3281" t="s">
        <v>9</v>
      </c>
      <c r="G32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81">
        <f>IF(Table1[[#This Row],[is_ups_overcharge]]="ups overcharged",Table1[[#This Row],[ups ship charge]]-Table1[[#This Row],[ada ship charge]],0)</f>
        <v>0</v>
      </c>
    </row>
    <row r="3282" spans="1:9" x14ac:dyDescent="0.2">
      <c r="A3282">
        <v>1044416</v>
      </c>
      <c r="B3282" t="s">
        <v>21</v>
      </c>
      <c r="C3282">
        <v>13.64</v>
      </c>
      <c r="D3282">
        <v>13.69</v>
      </c>
      <c r="E3282">
        <v>32.799999999999997</v>
      </c>
      <c r="F3282" t="s">
        <v>9</v>
      </c>
      <c r="G32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82">
        <f>IF(Table1[[#This Row],[is_ups_overcharge]]="ups overcharged",Table1[[#This Row],[ups ship charge]]-Table1[[#This Row],[ada ship charge]],0)</f>
        <v>0</v>
      </c>
    </row>
    <row r="3283" spans="1:9" x14ac:dyDescent="0.2">
      <c r="A3283">
        <v>1044420</v>
      </c>
      <c r="B3283" t="s">
        <v>21</v>
      </c>
      <c r="C3283">
        <v>12.75</v>
      </c>
      <c r="D3283">
        <v>12.8</v>
      </c>
      <c r="E3283">
        <v>33.35</v>
      </c>
      <c r="F3283" t="s">
        <v>9</v>
      </c>
      <c r="G32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83">
        <f>IF(Table1[[#This Row],[is_ups_overcharge]]="ups overcharged",Table1[[#This Row],[ups ship charge]]-Table1[[#This Row],[ada ship charge]],0)</f>
        <v>0</v>
      </c>
    </row>
    <row r="3284" spans="1:9" x14ac:dyDescent="0.2">
      <c r="A3284">
        <v>1044425</v>
      </c>
      <c r="B3284" t="s">
        <v>21</v>
      </c>
      <c r="C3284">
        <v>12.75</v>
      </c>
      <c r="D3284">
        <v>12.8</v>
      </c>
      <c r="E3284">
        <v>67.849999999999994</v>
      </c>
      <c r="F3284" t="s">
        <v>9</v>
      </c>
      <c r="G32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84">
        <f>IF(Table1[[#This Row],[is_ups_overcharge]]="ups overcharged",Table1[[#This Row],[ups ship charge]]-Table1[[#This Row],[ada ship charge]],0)</f>
        <v>0</v>
      </c>
    </row>
    <row r="3285" spans="1:9" x14ac:dyDescent="0.2">
      <c r="A3285">
        <v>1044450</v>
      </c>
      <c r="B3285" t="s">
        <v>21</v>
      </c>
      <c r="C3285">
        <v>16.440000000000001</v>
      </c>
      <c r="D3285">
        <v>16.489999999999998</v>
      </c>
      <c r="E3285">
        <v>11.9</v>
      </c>
      <c r="F3285" t="s">
        <v>10</v>
      </c>
      <c r="G32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85">
        <f>IF(Table1[[#This Row],[is_ups_overcharge]]="ups overcharged",Table1[[#This Row],[ups ship charge]]-Table1[[#This Row],[ada ship charge]],0)</f>
        <v>0</v>
      </c>
    </row>
    <row r="3286" spans="1:9" x14ac:dyDescent="0.2">
      <c r="A3286">
        <v>1044480</v>
      </c>
      <c r="B3286" t="s">
        <v>21</v>
      </c>
      <c r="C3286">
        <v>17.64</v>
      </c>
      <c r="D3286">
        <v>18.87</v>
      </c>
      <c r="E3286">
        <v>230.75</v>
      </c>
      <c r="F3286" t="s">
        <v>12</v>
      </c>
      <c r="G32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86">
        <f>IF(Table1[[#This Row],[is_ups_overcharge]]="ups overcharged",Table1[[#This Row],[ups ship charge]]-Table1[[#This Row],[ada ship charge]],0)</f>
        <v>0</v>
      </c>
    </row>
    <row r="3287" spans="1:9" x14ac:dyDescent="0.2">
      <c r="A3287">
        <v>1044492</v>
      </c>
      <c r="B3287" t="s">
        <v>21</v>
      </c>
      <c r="C3287">
        <v>13.64</v>
      </c>
      <c r="D3287">
        <v>13.69</v>
      </c>
      <c r="E3287">
        <v>24.95</v>
      </c>
      <c r="F3287" t="s">
        <v>9</v>
      </c>
      <c r="G32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87">
        <f>IF(Table1[[#This Row],[is_ups_overcharge]]="ups overcharged",Table1[[#This Row],[ups ship charge]]-Table1[[#This Row],[ada ship charge]],0)</f>
        <v>0</v>
      </c>
    </row>
    <row r="3288" spans="1:9" x14ac:dyDescent="0.2">
      <c r="A3288">
        <v>1044515</v>
      </c>
      <c r="B3288" t="s">
        <v>21</v>
      </c>
      <c r="C3288">
        <v>13.64</v>
      </c>
      <c r="D3288">
        <v>13.69</v>
      </c>
      <c r="E3288">
        <v>18.8</v>
      </c>
      <c r="F3288" t="s">
        <v>9</v>
      </c>
      <c r="G32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88">
        <f>IF(Table1[[#This Row],[is_ups_overcharge]]="ups overcharged",Table1[[#This Row],[ups ship charge]]-Table1[[#This Row],[ada ship charge]],0)</f>
        <v>0</v>
      </c>
    </row>
    <row r="3289" spans="1:9" x14ac:dyDescent="0.2">
      <c r="A3289">
        <v>1044519</v>
      </c>
      <c r="B3289" t="s">
        <v>21</v>
      </c>
      <c r="C3289">
        <v>10.94</v>
      </c>
      <c r="D3289">
        <v>10.99</v>
      </c>
      <c r="E3289">
        <v>8.6</v>
      </c>
      <c r="F3289" t="s">
        <v>14</v>
      </c>
      <c r="G32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89">
        <f>IF(Table1[[#This Row],[is_ups_overcharge]]="ups overcharged",Table1[[#This Row],[ups ship charge]]-Table1[[#This Row],[ada ship charge]],0)</f>
        <v>0</v>
      </c>
    </row>
    <row r="3290" spans="1:9" x14ac:dyDescent="0.2">
      <c r="A3290">
        <v>1044530</v>
      </c>
      <c r="B3290" t="s">
        <v>21</v>
      </c>
      <c r="C3290">
        <v>16.72</v>
      </c>
      <c r="D3290">
        <v>16.77</v>
      </c>
      <c r="E3290">
        <v>109.9</v>
      </c>
      <c r="F3290" t="s">
        <v>10</v>
      </c>
      <c r="G32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90">
        <f>IF(Table1[[#This Row],[is_ups_overcharge]]="ups overcharged",Table1[[#This Row],[ups ship charge]]-Table1[[#This Row],[ada ship charge]],0)</f>
        <v>0</v>
      </c>
    </row>
    <row r="3291" spans="1:9" x14ac:dyDescent="0.2">
      <c r="A3291">
        <v>1044537</v>
      </c>
      <c r="B3291" t="s">
        <v>21</v>
      </c>
      <c r="C3291">
        <v>13.64</v>
      </c>
      <c r="D3291">
        <v>13.69</v>
      </c>
      <c r="E3291">
        <v>34.950000000000003</v>
      </c>
      <c r="F3291" t="s">
        <v>9</v>
      </c>
      <c r="G32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91">
        <f>IF(Table1[[#This Row],[is_ups_overcharge]]="ups overcharged",Table1[[#This Row],[ups ship charge]]-Table1[[#This Row],[ada ship charge]],0)</f>
        <v>0</v>
      </c>
    </row>
    <row r="3292" spans="1:9" x14ac:dyDescent="0.2">
      <c r="A3292">
        <v>1044554</v>
      </c>
      <c r="B3292" t="s">
        <v>21</v>
      </c>
      <c r="C3292">
        <v>13.64</v>
      </c>
      <c r="D3292">
        <v>13.69</v>
      </c>
      <c r="E3292">
        <v>51.15</v>
      </c>
      <c r="F3292" t="s">
        <v>9</v>
      </c>
      <c r="G32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92">
        <f>IF(Table1[[#This Row],[is_ups_overcharge]]="ups overcharged",Table1[[#This Row],[ups ship charge]]-Table1[[#This Row],[ada ship charge]],0)</f>
        <v>0</v>
      </c>
    </row>
    <row r="3293" spans="1:9" x14ac:dyDescent="0.2">
      <c r="A3293">
        <v>1044560</v>
      </c>
      <c r="B3293" t="s">
        <v>21</v>
      </c>
      <c r="C3293">
        <v>16.34</v>
      </c>
      <c r="D3293">
        <v>16.39</v>
      </c>
      <c r="E3293">
        <v>57.8</v>
      </c>
      <c r="F3293" t="s">
        <v>10</v>
      </c>
      <c r="G32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93">
        <f>IF(Table1[[#This Row],[is_ups_overcharge]]="ups overcharged",Table1[[#This Row],[ups ship charge]]-Table1[[#This Row],[ada ship charge]],0)</f>
        <v>0</v>
      </c>
    </row>
    <row r="3294" spans="1:9" x14ac:dyDescent="0.2">
      <c r="A3294">
        <v>1044585</v>
      </c>
      <c r="B3294" t="s">
        <v>21</v>
      </c>
      <c r="C3294">
        <v>12.75</v>
      </c>
      <c r="D3294">
        <v>12.8</v>
      </c>
      <c r="E3294">
        <v>29.95</v>
      </c>
      <c r="F3294" t="s">
        <v>9</v>
      </c>
      <c r="G32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94">
        <f>IF(Table1[[#This Row],[is_ups_overcharge]]="ups overcharged",Table1[[#This Row],[ups ship charge]]-Table1[[#This Row],[ada ship charge]],0)</f>
        <v>0</v>
      </c>
    </row>
    <row r="3295" spans="1:9" x14ac:dyDescent="0.2">
      <c r="A3295">
        <v>1044590</v>
      </c>
      <c r="B3295" t="s">
        <v>21</v>
      </c>
      <c r="C3295">
        <v>13.64</v>
      </c>
      <c r="D3295">
        <v>13.69</v>
      </c>
      <c r="E3295">
        <v>1.75</v>
      </c>
      <c r="F3295" t="s">
        <v>9</v>
      </c>
      <c r="G32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95">
        <f>IF(Table1[[#This Row],[is_ups_overcharge]]="ups overcharged",Table1[[#This Row],[ups ship charge]]-Table1[[#This Row],[ada ship charge]],0)</f>
        <v>0</v>
      </c>
    </row>
    <row r="3296" spans="1:9" x14ac:dyDescent="0.2">
      <c r="A3296">
        <v>1044631</v>
      </c>
      <c r="B3296" t="s">
        <v>21</v>
      </c>
      <c r="C3296">
        <v>13.64</v>
      </c>
      <c r="D3296">
        <v>13.69</v>
      </c>
      <c r="E3296">
        <v>19.95</v>
      </c>
      <c r="F3296" t="s">
        <v>9</v>
      </c>
      <c r="G32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96">
        <f>IF(Table1[[#This Row],[is_ups_overcharge]]="ups overcharged",Table1[[#This Row],[ups ship charge]]-Table1[[#This Row],[ada ship charge]],0)</f>
        <v>0</v>
      </c>
    </row>
    <row r="3297" spans="1:9" x14ac:dyDescent="0.2">
      <c r="A3297">
        <v>1044637</v>
      </c>
      <c r="B3297" t="s">
        <v>21</v>
      </c>
      <c r="C3297">
        <v>9.65</v>
      </c>
      <c r="D3297">
        <v>9.6999999999999993</v>
      </c>
      <c r="E3297">
        <v>9.9499999999999993</v>
      </c>
      <c r="F3297" t="s">
        <v>6</v>
      </c>
      <c r="G32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97">
        <f>IF(Table1[[#This Row],[is_ups_overcharge]]="ups overcharged",Table1[[#This Row],[ups ship charge]]-Table1[[#This Row],[ada ship charge]],0)</f>
        <v>0</v>
      </c>
    </row>
    <row r="3298" spans="1:9" x14ac:dyDescent="0.2">
      <c r="A3298">
        <v>1044649</v>
      </c>
      <c r="B3298" t="s">
        <v>21</v>
      </c>
      <c r="C3298">
        <v>16.28</v>
      </c>
      <c r="D3298">
        <v>17.690000000000001</v>
      </c>
      <c r="E3298">
        <v>46.4</v>
      </c>
      <c r="F3298" t="s">
        <v>12</v>
      </c>
      <c r="G32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98">
        <f>IF(Table1[[#This Row],[is_ups_overcharge]]="ups overcharged",Table1[[#This Row],[ups ship charge]]-Table1[[#This Row],[ada ship charge]],0)</f>
        <v>0</v>
      </c>
    </row>
    <row r="3299" spans="1:9" x14ac:dyDescent="0.2">
      <c r="A3299">
        <v>1044652</v>
      </c>
      <c r="B3299" t="s">
        <v>21</v>
      </c>
      <c r="C3299">
        <v>12.75</v>
      </c>
      <c r="D3299">
        <v>12.8</v>
      </c>
      <c r="E3299">
        <v>36.700000000000003</v>
      </c>
      <c r="F3299" t="s">
        <v>9</v>
      </c>
      <c r="G32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2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299">
        <f>IF(Table1[[#This Row],[is_ups_overcharge]]="ups overcharged",Table1[[#This Row],[ups ship charge]]-Table1[[#This Row],[ada ship charge]],0)</f>
        <v>0</v>
      </c>
    </row>
    <row r="3300" spans="1:9" x14ac:dyDescent="0.2">
      <c r="A3300">
        <v>1044669</v>
      </c>
      <c r="B3300" t="s">
        <v>21</v>
      </c>
      <c r="C3300">
        <v>13.64</v>
      </c>
      <c r="D3300">
        <v>13.69</v>
      </c>
      <c r="E3300">
        <v>14.95</v>
      </c>
      <c r="F3300" t="s">
        <v>9</v>
      </c>
      <c r="G33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00">
        <f>IF(Table1[[#This Row],[is_ups_overcharge]]="ups overcharged",Table1[[#This Row],[ups ship charge]]-Table1[[#This Row],[ada ship charge]],0)</f>
        <v>0</v>
      </c>
    </row>
    <row r="3301" spans="1:9" x14ac:dyDescent="0.2">
      <c r="A3301">
        <v>1044677</v>
      </c>
      <c r="B3301" t="s">
        <v>21</v>
      </c>
      <c r="C3301">
        <v>12.75</v>
      </c>
      <c r="D3301">
        <v>12.8</v>
      </c>
      <c r="E3301">
        <v>7.95</v>
      </c>
      <c r="F3301" t="s">
        <v>9</v>
      </c>
      <c r="G33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01">
        <f>IF(Table1[[#This Row],[is_ups_overcharge]]="ups overcharged",Table1[[#This Row],[ups ship charge]]-Table1[[#This Row],[ada ship charge]],0)</f>
        <v>0</v>
      </c>
    </row>
    <row r="3302" spans="1:9" x14ac:dyDescent="0.2">
      <c r="A3302">
        <v>1044687</v>
      </c>
      <c r="B3302" t="s">
        <v>21</v>
      </c>
      <c r="C3302">
        <v>13.64</v>
      </c>
      <c r="D3302">
        <v>13.69</v>
      </c>
      <c r="E3302">
        <v>34.1</v>
      </c>
      <c r="F3302" t="s">
        <v>9</v>
      </c>
      <c r="G33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02">
        <f>IF(Table1[[#This Row],[is_ups_overcharge]]="ups overcharged",Table1[[#This Row],[ups ship charge]]-Table1[[#This Row],[ada ship charge]],0)</f>
        <v>0</v>
      </c>
    </row>
    <row r="3303" spans="1:9" x14ac:dyDescent="0.2">
      <c r="A3303">
        <v>1044691</v>
      </c>
      <c r="B3303" t="s">
        <v>21</v>
      </c>
      <c r="C3303">
        <v>9.65</v>
      </c>
      <c r="D3303">
        <v>9.6999999999999993</v>
      </c>
      <c r="E3303">
        <v>83.6</v>
      </c>
      <c r="F3303" t="s">
        <v>6</v>
      </c>
      <c r="G33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03">
        <f>IF(Table1[[#This Row],[is_ups_overcharge]]="ups overcharged",Table1[[#This Row],[ups ship charge]]-Table1[[#This Row],[ada ship charge]],0)</f>
        <v>0</v>
      </c>
    </row>
    <row r="3304" spans="1:9" x14ac:dyDescent="0.2">
      <c r="A3304">
        <v>1044705</v>
      </c>
      <c r="B3304" t="s">
        <v>21</v>
      </c>
      <c r="C3304">
        <v>16.440000000000001</v>
      </c>
      <c r="D3304">
        <v>24.01</v>
      </c>
      <c r="E3304">
        <v>39.950000000000003</v>
      </c>
      <c r="F3304" t="s">
        <v>10</v>
      </c>
      <c r="G33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04">
        <f>IF(Table1[[#This Row],[is_ups_overcharge]]="ups overcharged",Table1[[#This Row],[ups ship charge]]-Table1[[#This Row],[ada ship charge]],0)</f>
        <v>0</v>
      </c>
    </row>
    <row r="3305" spans="1:9" x14ac:dyDescent="0.2">
      <c r="A3305">
        <v>1044707</v>
      </c>
      <c r="B3305" t="s">
        <v>21</v>
      </c>
      <c r="C3305">
        <v>12.75</v>
      </c>
      <c r="D3305">
        <v>12.8</v>
      </c>
      <c r="E3305">
        <v>32.9</v>
      </c>
      <c r="F3305" t="s">
        <v>9</v>
      </c>
      <c r="G33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05">
        <f>IF(Table1[[#This Row],[is_ups_overcharge]]="ups overcharged",Table1[[#This Row],[ups ship charge]]-Table1[[#This Row],[ada ship charge]],0)</f>
        <v>0</v>
      </c>
    </row>
    <row r="3306" spans="1:9" x14ac:dyDescent="0.2">
      <c r="A3306">
        <v>1044739</v>
      </c>
      <c r="B3306" t="s">
        <v>21</v>
      </c>
      <c r="C3306">
        <v>10.94</v>
      </c>
      <c r="D3306">
        <v>10.99</v>
      </c>
      <c r="E3306">
        <v>104.85</v>
      </c>
      <c r="F3306" t="s">
        <v>14</v>
      </c>
      <c r="G33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06">
        <f>IF(Table1[[#This Row],[is_ups_overcharge]]="ups overcharged",Table1[[#This Row],[ups ship charge]]-Table1[[#This Row],[ada ship charge]],0)</f>
        <v>0</v>
      </c>
    </row>
    <row r="3307" spans="1:9" x14ac:dyDescent="0.2">
      <c r="A3307">
        <v>1044767</v>
      </c>
      <c r="B3307" t="s">
        <v>21</v>
      </c>
      <c r="C3307">
        <v>15.02</v>
      </c>
      <c r="D3307">
        <v>15.07</v>
      </c>
      <c r="E3307">
        <v>3</v>
      </c>
      <c r="F3307" t="s">
        <v>12</v>
      </c>
      <c r="G33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07">
        <f>IF(Table1[[#This Row],[is_ups_overcharge]]="ups overcharged",Table1[[#This Row],[ups ship charge]]-Table1[[#This Row],[ada ship charge]],0)</f>
        <v>0</v>
      </c>
    </row>
    <row r="3308" spans="1:9" x14ac:dyDescent="0.2">
      <c r="A3308">
        <v>1044771</v>
      </c>
      <c r="B3308" t="s">
        <v>21</v>
      </c>
      <c r="C3308">
        <v>12.75</v>
      </c>
      <c r="D3308">
        <v>12.8</v>
      </c>
      <c r="E3308">
        <v>92.75</v>
      </c>
      <c r="F3308" t="s">
        <v>9</v>
      </c>
      <c r="G33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08">
        <f>IF(Table1[[#This Row],[is_ups_overcharge]]="ups overcharged",Table1[[#This Row],[ups ship charge]]-Table1[[#This Row],[ada ship charge]],0)</f>
        <v>0</v>
      </c>
    </row>
    <row r="3309" spans="1:9" x14ac:dyDescent="0.2">
      <c r="A3309">
        <v>1044772</v>
      </c>
      <c r="B3309" t="s">
        <v>21</v>
      </c>
      <c r="C3309">
        <v>12.75</v>
      </c>
      <c r="D3309">
        <v>12.8</v>
      </c>
      <c r="E3309">
        <v>57.85</v>
      </c>
      <c r="F3309" t="s">
        <v>9</v>
      </c>
      <c r="G33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09">
        <f>IF(Table1[[#This Row],[is_ups_overcharge]]="ups overcharged",Table1[[#This Row],[ups ship charge]]-Table1[[#This Row],[ada ship charge]],0)</f>
        <v>0</v>
      </c>
    </row>
    <row r="3310" spans="1:9" x14ac:dyDescent="0.2">
      <c r="A3310">
        <v>1044780</v>
      </c>
      <c r="B3310" t="s">
        <v>21</v>
      </c>
      <c r="C3310">
        <v>21.7</v>
      </c>
      <c r="D3310">
        <v>21.75</v>
      </c>
      <c r="E3310">
        <v>21.95</v>
      </c>
      <c r="F3310" t="s">
        <v>15</v>
      </c>
      <c r="G33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10">
        <f>IF(Table1[[#This Row],[is_ups_overcharge]]="ups overcharged",Table1[[#This Row],[ups ship charge]]-Table1[[#This Row],[ada ship charge]],0)</f>
        <v>0</v>
      </c>
    </row>
    <row r="3311" spans="1:9" x14ac:dyDescent="0.2">
      <c r="A3311">
        <v>1044784</v>
      </c>
      <c r="B3311" t="s">
        <v>21</v>
      </c>
      <c r="C3311">
        <v>14.03</v>
      </c>
      <c r="D3311">
        <v>13.94</v>
      </c>
      <c r="E3311">
        <v>34.950000000000003</v>
      </c>
      <c r="F3311" t="s">
        <v>9</v>
      </c>
      <c r="G33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11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311">
        <f>IF(Table1[[#This Row],[is_ups_overcharge]]="ups overcharged",Table1[[#This Row],[ups ship charge]]-Table1[[#This Row],[ada ship charge]],0)</f>
        <v>8.9999999999999858E-2</v>
      </c>
    </row>
    <row r="3312" spans="1:9" x14ac:dyDescent="0.2">
      <c r="A3312">
        <v>1044788</v>
      </c>
      <c r="B3312" t="s">
        <v>21</v>
      </c>
      <c r="C3312">
        <v>13.63</v>
      </c>
      <c r="D3312">
        <v>14.09</v>
      </c>
      <c r="E3312">
        <v>89.95</v>
      </c>
      <c r="F3312" t="s">
        <v>9</v>
      </c>
      <c r="G33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12">
        <f>IF(Table1[[#This Row],[is_ups_overcharge]]="ups overcharged",Table1[[#This Row],[ups ship charge]]-Table1[[#This Row],[ada ship charge]],0)</f>
        <v>0</v>
      </c>
    </row>
    <row r="3313" spans="1:9" x14ac:dyDescent="0.2">
      <c r="A3313">
        <v>1044796</v>
      </c>
      <c r="B3313" t="s">
        <v>21</v>
      </c>
      <c r="C3313">
        <v>12.75</v>
      </c>
      <c r="D3313">
        <v>12.8</v>
      </c>
      <c r="E3313">
        <v>3.95</v>
      </c>
      <c r="F3313" t="s">
        <v>9</v>
      </c>
      <c r="G33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13">
        <f>IF(Table1[[#This Row],[is_ups_overcharge]]="ups overcharged",Table1[[#This Row],[ups ship charge]]-Table1[[#This Row],[ada ship charge]],0)</f>
        <v>0</v>
      </c>
    </row>
    <row r="3314" spans="1:9" x14ac:dyDescent="0.2">
      <c r="A3314">
        <v>1044825</v>
      </c>
      <c r="B3314" t="s">
        <v>21</v>
      </c>
      <c r="C3314">
        <v>16.34</v>
      </c>
      <c r="D3314">
        <v>16.39</v>
      </c>
      <c r="E3314">
        <v>22.5</v>
      </c>
      <c r="F3314" t="s">
        <v>10</v>
      </c>
      <c r="G33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14">
        <f>IF(Table1[[#This Row],[is_ups_overcharge]]="ups overcharged",Table1[[#This Row],[ups ship charge]]-Table1[[#This Row],[ada ship charge]],0)</f>
        <v>0</v>
      </c>
    </row>
    <row r="3315" spans="1:9" x14ac:dyDescent="0.2">
      <c r="A3315">
        <v>1044830</v>
      </c>
      <c r="B3315" t="s">
        <v>21</v>
      </c>
      <c r="C3315">
        <v>13.64</v>
      </c>
      <c r="D3315">
        <v>13.69</v>
      </c>
      <c r="E3315">
        <v>17.899999999999999</v>
      </c>
      <c r="F3315" t="s">
        <v>9</v>
      </c>
      <c r="G33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15">
        <f>IF(Table1[[#This Row],[is_ups_overcharge]]="ups overcharged",Table1[[#This Row],[ups ship charge]]-Table1[[#This Row],[ada ship charge]],0)</f>
        <v>0</v>
      </c>
    </row>
    <row r="3316" spans="1:9" x14ac:dyDescent="0.2">
      <c r="A3316">
        <v>1044831</v>
      </c>
      <c r="B3316" t="s">
        <v>21</v>
      </c>
      <c r="C3316">
        <v>13.64</v>
      </c>
      <c r="D3316">
        <v>13.68</v>
      </c>
      <c r="E3316">
        <v>32.85</v>
      </c>
      <c r="F3316" t="s">
        <v>9</v>
      </c>
      <c r="G33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16">
        <f>IF(Table1[[#This Row],[is_ups_overcharge]]="ups overcharged",Table1[[#This Row],[ups ship charge]]-Table1[[#This Row],[ada ship charge]],0)</f>
        <v>0</v>
      </c>
    </row>
    <row r="3317" spans="1:9" x14ac:dyDescent="0.2">
      <c r="A3317">
        <v>1044838</v>
      </c>
      <c r="B3317" t="s">
        <v>21</v>
      </c>
      <c r="C3317">
        <v>12.75</v>
      </c>
      <c r="D3317">
        <v>12.8</v>
      </c>
      <c r="E3317">
        <v>7.5</v>
      </c>
      <c r="F3317" t="s">
        <v>9</v>
      </c>
      <c r="G33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17">
        <f>IF(Table1[[#This Row],[is_ups_overcharge]]="ups overcharged",Table1[[#This Row],[ups ship charge]]-Table1[[#This Row],[ada ship charge]],0)</f>
        <v>0</v>
      </c>
    </row>
    <row r="3318" spans="1:9" x14ac:dyDescent="0.2">
      <c r="A3318">
        <v>1044848</v>
      </c>
      <c r="B3318" t="s">
        <v>21</v>
      </c>
      <c r="C3318">
        <v>12.75</v>
      </c>
      <c r="D3318">
        <v>12.8</v>
      </c>
      <c r="E3318">
        <v>36.200000000000003</v>
      </c>
      <c r="F3318" t="s">
        <v>9</v>
      </c>
      <c r="G33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18">
        <f>IF(Table1[[#This Row],[is_ups_overcharge]]="ups overcharged",Table1[[#This Row],[ups ship charge]]-Table1[[#This Row],[ada ship charge]],0)</f>
        <v>0</v>
      </c>
    </row>
    <row r="3319" spans="1:9" x14ac:dyDescent="0.2">
      <c r="A3319">
        <v>1044854</v>
      </c>
      <c r="B3319" t="s">
        <v>21</v>
      </c>
      <c r="C3319">
        <v>13.64</v>
      </c>
      <c r="D3319">
        <v>13.69</v>
      </c>
      <c r="E3319">
        <v>20.66</v>
      </c>
      <c r="F3319" t="s">
        <v>9</v>
      </c>
      <c r="G33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19">
        <f>IF(Table1[[#This Row],[is_ups_overcharge]]="ups overcharged",Table1[[#This Row],[ups ship charge]]-Table1[[#This Row],[ada ship charge]],0)</f>
        <v>0</v>
      </c>
    </row>
    <row r="3320" spans="1:9" x14ac:dyDescent="0.2">
      <c r="A3320">
        <v>1044860</v>
      </c>
      <c r="B3320" t="s">
        <v>21</v>
      </c>
      <c r="C3320">
        <v>13.64</v>
      </c>
      <c r="D3320">
        <v>13.69</v>
      </c>
      <c r="E3320">
        <v>86.3</v>
      </c>
      <c r="F3320" t="s">
        <v>9</v>
      </c>
      <c r="G33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20">
        <f>IF(Table1[[#This Row],[is_ups_overcharge]]="ups overcharged",Table1[[#This Row],[ups ship charge]]-Table1[[#This Row],[ada ship charge]],0)</f>
        <v>0</v>
      </c>
    </row>
    <row r="3321" spans="1:9" x14ac:dyDescent="0.2">
      <c r="A3321">
        <v>1044863</v>
      </c>
      <c r="B3321" t="s">
        <v>21</v>
      </c>
      <c r="C3321">
        <v>12.75</v>
      </c>
      <c r="D3321">
        <v>12.8</v>
      </c>
      <c r="E3321">
        <v>34.85</v>
      </c>
      <c r="F3321" t="s">
        <v>9</v>
      </c>
      <c r="G33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21">
        <f>IF(Table1[[#This Row],[is_ups_overcharge]]="ups overcharged",Table1[[#This Row],[ups ship charge]]-Table1[[#This Row],[ada ship charge]],0)</f>
        <v>0</v>
      </c>
    </row>
    <row r="3322" spans="1:9" x14ac:dyDescent="0.2">
      <c r="A3322">
        <v>1044874</v>
      </c>
      <c r="B3322" t="s">
        <v>21</v>
      </c>
      <c r="C3322">
        <v>13.64</v>
      </c>
      <c r="D3322">
        <v>13.69</v>
      </c>
      <c r="E3322">
        <v>4.95</v>
      </c>
      <c r="F3322" t="s">
        <v>9</v>
      </c>
      <c r="G33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22">
        <f>IF(Table1[[#This Row],[is_ups_overcharge]]="ups overcharged",Table1[[#This Row],[ups ship charge]]-Table1[[#This Row],[ada ship charge]],0)</f>
        <v>0</v>
      </c>
    </row>
    <row r="3323" spans="1:9" x14ac:dyDescent="0.2">
      <c r="A3323">
        <v>1044892</v>
      </c>
      <c r="B3323" t="s">
        <v>21</v>
      </c>
      <c r="C3323">
        <v>12.75</v>
      </c>
      <c r="D3323">
        <v>12.8</v>
      </c>
      <c r="E3323">
        <v>79.900000000000006</v>
      </c>
      <c r="F3323" t="s">
        <v>9</v>
      </c>
      <c r="G33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23">
        <f>IF(Table1[[#This Row],[is_ups_overcharge]]="ups overcharged",Table1[[#This Row],[ups ship charge]]-Table1[[#This Row],[ada ship charge]],0)</f>
        <v>0</v>
      </c>
    </row>
    <row r="3324" spans="1:9" x14ac:dyDescent="0.2">
      <c r="A3324">
        <v>1044906</v>
      </c>
      <c r="B3324" t="s">
        <v>21</v>
      </c>
      <c r="C3324">
        <v>10.94</v>
      </c>
      <c r="D3324">
        <v>10.99</v>
      </c>
      <c r="E3324">
        <v>41.35</v>
      </c>
      <c r="F3324" t="s">
        <v>14</v>
      </c>
      <c r="G33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24">
        <f>IF(Table1[[#This Row],[is_ups_overcharge]]="ups overcharged",Table1[[#This Row],[ups ship charge]]-Table1[[#This Row],[ada ship charge]],0)</f>
        <v>0</v>
      </c>
    </row>
    <row r="3325" spans="1:9" x14ac:dyDescent="0.2">
      <c r="A3325">
        <v>1044928</v>
      </c>
      <c r="B3325" t="s">
        <v>21</v>
      </c>
      <c r="C3325">
        <v>16.34</v>
      </c>
      <c r="D3325">
        <v>16.39</v>
      </c>
      <c r="E3325">
        <v>28.9</v>
      </c>
      <c r="F3325" t="s">
        <v>10</v>
      </c>
      <c r="G33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25">
        <f>IF(Table1[[#This Row],[is_ups_overcharge]]="ups overcharged",Table1[[#This Row],[ups ship charge]]-Table1[[#This Row],[ada ship charge]],0)</f>
        <v>0</v>
      </c>
    </row>
    <row r="3326" spans="1:9" x14ac:dyDescent="0.2">
      <c r="A3326">
        <v>1044936</v>
      </c>
      <c r="B3326" t="s">
        <v>21</v>
      </c>
      <c r="C3326">
        <v>13.64</v>
      </c>
      <c r="D3326">
        <v>13.69</v>
      </c>
      <c r="E3326">
        <v>57.85</v>
      </c>
      <c r="F3326" t="s">
        <v>9</v>
      </c>
      <c r="G33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26">
        <f>IF(Table1[[#This Row],[is_ups_overcharge]]="ups overcharged",Table1[[#This Row],[ups ship charge]]-Table1[[#This Row],[ada ship charge]],0)</f>
        <v>0</v>
      </c>
    </row>
    <row r="3327" spans="1:9" x14ac:dyDescent="0.2">
      <c r="A3327">
        <v>1044944</v>
      </c>
      <c r="B3327" t="s">
        <v>21</v>
      </c>
      <c r="C3327">
        <v>12.75</v>
      </c>
      <c r="D3327">
        <v>12.8</v>
      </c>
      <c r="E3327">
        <v>68.599999999999994</v>
      </c>
      <c r="F3327" t="s">
        <v>9</v>
      </c>
      <c r="G33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27">
        <f>IF(Table1[[#This Row],[is_ups_overcharge]]="ups overcharged",Table1[[#This Row],[ups ship charge]]-Table1[[#This Row],[ada ship charge]],0)</f>
        <v>0</v>
      </c>
    </row>
    <row r="3328" spans="1:9" x14ac:dyDescent="0.2">
      <c r="A3328">
        <v>1044957</v>
      </c>
      <c r="B3328" t="s">
        <v>21</v>
      </c>
      <c r="C3328">
        <v>12.75</v>
      </c>
      <c r="D3328">
        <v>12.8</v>
      </c>
      <c r="E3328">
        <v>59.4</v>
      </c>
      <c r="F3328" t="s">
        <v>9</v>
      </c>
      <c r="G33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28">
        <f>IF(Table1[[#This Row],[is_ups_overcharge]]="ups overcharged",Table1[[#This Row],[ups ship charge]]-Table1[[#This Row],[ada ship charge]],0)</f>
        <v>0</v>
      </c>
    </row>
    <row r="3329" spans="1:9" x14ac:dyDescent="0.2">
      <c r="A3329">
        <v>1044986</v>
      </c>
      <c r="B3329" t="s">
        <v>21</v>
      </c>
      <c r="C3329">
        <v>16.649999999999999</v>
      </c>
      <c r="D3329">
        <v>16.7</v>
      </c>
      <c r="E3329">
        <v>14.95</v>
      </c>
      <c r="F3329" t="s">
        <v>10</v>
      </c>
      <c r="G33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29">
        <f>IF(Table1[[#This Row],[is_ups_overcharge]]="ups overcharged",Table1[[#This Row],[ups ship charge]]-Table1[[#This Row],[ada ship charge]],0)</f>
        <v>0</v>
      </c>
    </row>
    <row r="3330" spans="1:9" x14ac:dyDescent="0.2">
      <c r="A3330">
        <v>1045010</v>
      </c>
      <c r="B3330" t="s">
        <v>21</v>
      </c>
      <c r="C3330">
        <v>55.79</v>
      </c>
      <c r="D3330">
        <v>58.64</v>
      </c>
      <c r="E3330">
        <v>314.10000000000002</v>
      </c>
      <c r="F3330" t="s">
        <v>8</v>
      </c>
      <c r="G33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30">
        <f>IF(Table1[[#This Row],[is_ups_overcharge]]="ups overcharged",Table1[[#This Row],[ups ship charge]]-Table1[[#This Row],[ada ship charge]],0)</f>
        <v>0</v>
      </c>
    </row>
    <row r="3331" spans="1:9" x14ac:dyDescent="0.2">
      <c r="A3331">
        <v>1045024</v>
      </c>
      <c r="B3331" t="s">
        <v>21</v>
      </c>
      <c r="C3331">
        <v>9.65</v>
      </c>
      <c r="D3331">
        <v>9.6999999999999993</v>
      </c>
      <c r="E3331">
        <v>49.95</v>
      </c>
      <c r="F3331" t="s">
        <v>6</v>
      </c>
      <c r="G33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31">
        <f>IF(Table1[[#This Row],[is_ups_overcharge]]="ups overcharged",Table1[[#This Row],[ups ship charge]]-Table1[[#This Row],[ada ship charge]],0)</f>
        <v>0</v>
      </c>
    </row>
    <row r="3332" spans="1:9" x14ac:dyDescent="0.2">
      <c r="A3332">
        <v>1045040</v>
      </c>
      <c r="B3332" t="s">
        <v>21</v>
      </c>
      <c r="C3332">
        <v>13.64</v>
      </c>
      <c r="D3332">
        <v>13.68</v>
      </c>
      <c r="E3332">
        <v>10.45</v>
      </c>
      <c r="F3332" t="s">
        <v>9</v>
      </c>
      <c r="G33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32">
        <f>IF(Table1[[#This Row],[is_ups_overcharge]]="ups overcharged",Table1[[#This Row],[ups ship charge]]-Table1[[#This Row],[ada ship charge]],0)</f>
        <v>0</v>
      </c>
    </row>
    <row r="3333" spans="1:9" x14ac:dyDescent="0.2">
      <c r="A3333">
        <v>1045051</v>
      </c>
      <c r="B3333" t="s">
        <v>21</v>
      </c>
      <c r="C3333">
        <v>13.64</v>
      </c>
      <c r="D3333">
        <v>13.69</v>
      </c>
      <c r="E3333">
        <v>39.9</v>
      </c>
      <c r="F3333" t="s">
        <v>9</v>
      </c>
      <c r="G33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33">
        <f>IF(Table1[[#This Row],[is_ups_overcharge]]="ups overcharged",Table1[[#This Row],[ups ship charge]]-Table1[[#This Row],[ada ship charge]],0)</f>
        <v>0</v>
      </c>
    </row>
    <row r="3334" spans="1:9" x14ac:dyDescent="0.2">
      <c r="A3334">
        <v>1045070</v>
      </c>
      <c r="B3334" t="s">
        <v>21</v>
      </c>
      <c r="C3334">
        <v>12.75</v>
      </c>
      <c r="D3334">
        <v>12.8</v>
      </c>
      <c r="E3334">
        <v>34.950000000000003</v>
      </c>
      <c r="F3334" t="s">
        <v>9</v>
      </c>
      <c r="G33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34">
        <f>IF(Table1[[#This Row],[is_ups_overcharge]]="ups overcharged",Table1[[#This Row],[ups ship charge]]-Table1[[#This Row],[ada ship charge]],0)</f>
        <v>0</v>
      </c>
    </row>
    <row r="3335" spans="1:9" x14ac:dyDescent="0.2">
      <c r="A3335">
        <v>1045072</v>
      </c>
      <c r="B3335" t="s">
        <v>21</v>
      </c>
      <c r="C3335">
        <v>12.75</v>
      </c>
      <c r="D3335">
        <v>12.8</v>
      </c>
      <c r="E3335">
        <v>14.95</v>
      </c>
      <c r="F3335" t="s">
        <v>9</v>
      </c>
      <c r="G33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35">
        <f>IF(Table1[[#This Row],[is_ups_overcharge]]="ups overcharged",Table1[[#This Row],[ups ship charge]]-Table1[[#This Row],[ada ship charge]],0)</f>
        <v>0</v>
      </c>
    </row>
    <row r="3336" spans="1:9" x14ac:dyDescent="0.2">
      <c r="A3336">
        <v>1045080</v>
      </c>
      <c r="B3336" t="s">
        <v>21</v>
      </c>
      <c r="C3336">
        <v>16.64</v>
      </c>
      <c r="D3336">
        <v>16.690000000000001</v>
      </c>
      <c r="E3336">
        <v>34.950000000000003</v>
      </c>
      <c r="F3336" t="s">
        <v>10</v>
      </c>
      <c r="G33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36">
        <f>IF(Table1[[#This Row],[is_ups_overcharge]]="ups overcharged",Table1[[#This Row],[ups ship charge]]-Table1[[#This Row],[ada ship charge]],0)</f>
        <v>0</v>
      </c>
    </row>
    <row r="3337" spans="1:9" x14ac:dyDescent="0.2">
      <c r="A3337">
        <v>1045084</v>
      </c>
      <c r="B3337" t="s">
        <v>21</v>
      </c>
      <c r="C3337">
        <v>12.75</v>
      </c>
      <c r="D3337">
        <v>12.8</v>
      </c>
      <c r="E3337">
        <v>49.8</v>
      </c>
      <c r="F3337" t="s">
        <v>9</v>
      </c>
      <c r="G33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37">
        <f>IF(Table1[[#This Row],[is_ups_overcharge]]="ups overcharged",Table1[[#This Row],[ups ship charge]]-Table1[[#This Row],[ada ship charge]],0)</f>
        <v>0</v>
      </c>
    </row>
    <row r="3338" spans="1:9" x14ac:dyDescent="0.2">
      <c r="A3338">
        <v>1045098</v>
      </c>
      <c r="B3338" t="s">
        <v>21</v>
      </c>
      <c r="C3338">
        <v>13.63</v>
      </c>
      <c r="D3338">
        <v>13.68</v>
      </c>
      <c r="E3338">
        <v>121.65</v>
      </c>
      <c r="F3338" t="s">
        <v>9</v>
      </c>
      <c r="G33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38">
        <f>IF(Table1[[#This Row],[is_ups_overcharge]]="ups overcharged",Table1[[#This Row],[ups ship charge]]-Table1[[#This Row],[ada ship charge]],0)</f>
        <v>0</v>
      </c>
    </row>
    <row r="3339" spans="1:9" x14ac:dyDescent="0.2">
      <c r="A3339">
        <v>1045106</v>
      </c>
      <c r="B3339" t="s">
        <v>21</v>
      </c>
      <c r="C3339">
        <v>9.65</v>
      </c>
      <c r="D3339">
        <v>9.6999999999999993</v>
      </c>
      <c r="E3339">
        <v>39.950000000000003</v>
      </c>
      <c r="F3339" t="s">
        <v>6</v>
      </c>
      <c r="G33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39">
        <f>IF(Table1[[#This Row],[is_ups_overcharge]]="ups overcharged",Table1[[#This Row],[ups ship charge]]-Table1[[#This Row],[ada ship charge]],0)</f>
        <v>0</v>
      </c>
    </row>
    <row r="3340" spans="1:9" x14ac:dyDescent="0.2">
      <c r="A3340">
        <v>1045118</v>
      </c>
      <c r="B3340" t="s">
        <v>21</v>
      </c>
      <c r="C3340">
        <v>13.64</v>
      </c>
      <c r="D3340">
        <v>13.69</v>
      </c>
      <c r="E3340">
        <v>2.95</v>
      </c>
      <c r="F3340" t="s">
        <v>9</v>
      </c>
      <c r="G33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40">
        <f>IF(Table1[[#This Row],[is_ups_overcharge]]="ups overcharged",Table1[[#This Row],[ups ship charge]]-Table1[[#This Row],[ada ship charge]],0)</f>
        <v>0</v>
      </c>
    </row>
    <row r="3341" spans="1:9" x14ac:dyDescent="0.2">
      <c r="A3341">
        <v>1045134</v>
      </c>
      <c r="B3341" t="s">
        <v>21</v>
      </c>
      <c r="C3341">
        <v>13.64</v>
      </c>
      <c r="D3341">
        <v>13.69</v>
      </c>
      <c r="E3341">
        <v>17.850000000000001</v>
      </c>
      <c r="F3341" t="s">
        <v>9</v>
      </c>
      <c r="G33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41">
        <f>IF(Table1[[#This Row],[is_ups_overcharge]]="ups overcharged",Table1[[#This Row],[ups ship charge]]-Table1[[#This Row],[ada ship charge]],0)</f>
        <v>0</v>
      </c>
    </row>
    <row r="3342" spans="1:9" x14ac:dyDescent="0.2">
      <c r="A3342">
        <v>1045146</v>
      </c>
      <c r="B3342" t="s">
        <v>21</v>
      </c>
      <c r="C3342">
        <v>13.64</v>
      </c>
      <c r="D3342">
        <v>13.69</v>
      </c>
      <c r="E3342">
        <v>47.8</v>
      </c>
      <c r="F3342" t="s">
        <v>9</v>
      </c>
      <c r="G33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42">
        <f>IF(Table1[[#This Row],[is_ups_overcharge]]="ups overcharged",Table1[[#This Row],[ups ship charge]]-Table1[[#This Row],[ada ship charge]],0)</f>
        <v>0</v>
      </c>
    </row>
    <row r="3343" spans="1:9" x14ac:dyDescent="0.2">
      <c r="A3343">
        <v>1045149</v>
      </c>
      <c r="B3343" t="s">
        <v>21</v>
      </c>
      <c r="C3343">
        <v>12.75</v>
      </c>
      <c r="D3343">
        <v>12.8</v>
      </c>
      <c r="E3343">
        <v>72.55</v>
      </c>
      <c r="F3343" t="s">
        <v>9</v>
      </c>
      <c r="G33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43">
        <f>IF(Table1[[#This Row],[is_ups_overcharge]]="ups overcharged",Table1[[#This Row],[ups ship charge]]-Table1[[#This Row],[ada ship charge]],0)</f>
        <v>0</v>
      </c>
    </row>
    <row r="3344" spans="1:9" x14ac:dyDescent="0.2">
      <c r="A3344">
        <v>1045162</v>
      </c>
      <c r="B3344" t="s">
        <v>21</v>
      </c>
      <c r="C3344">
        <v>12.75</v>
      </c>
      <c r="D3344">
        <v>12.8</v>
      </c>
      <c r="E3344">
        <v>6.95</v>
      </c>
      <c r="F3344" t="s">
        <v>9</v>
      </c>
      <c r="G33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44">
        <f>IF(Table1[[#This Row],[is_ups_overcharge]]="ups overcharged",Table1[[#This Row],[ups ship charge]]-Table1[[#This Row],[ada ship charge]],0)</f>
        <v>0</v>
      </c>
    </row>
    <row r="3345" spans="1:9" x14ac:dyDescent="0.2">
      <c r="A3345">
        <v>1045186</v>
      </c>
      <c r="B3345" t="s">
        <v>21</v>
      </c>
      <c r="C3345">
        <v>12.75</v>
      </c>
      <c r="D3345">
        <v>12.8</v>
      </c>
      <c r="E3345">
        <v>21.95</v>
      </c>
      <c r="F3345" t="s">
        <v>9</v>
      </c>
      <c r="G33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45">
        <f>IF(Table1[[#This Row],[is_ups_overcharge]]="ups overcharged",Table1[[#This Row],[ups ship charge]]-Table1[[#This Row],[ada ship charge]],0)</f>
        <v>0</v>
      </c>
    </row>
    <row r="3346" spans="1:9" x14ac:dyDescent="0.2">
      <c r="A3346">
        <v>1045200</v>
      </c>
      <c r="B3346" t="s">
        <v>21</v>
      </c>
      <c r="C3346">
        <v>13.64</v>
      </c>
      <c r="D3346">
        <v>13.69</v>
      </c>
      <c r="E3346">
        <v>4.95</v>
      </c>
      <c r="F3346" t="s">
        <v>9</v>
      </c>
      <c r="G33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46">
        <f>IF(Table1[[#This Row],[is_ups_overcharge]]="ups overcharged",Table1[[#This Row],[ups ship charge]]-Table1[[#This Row],[ada ship charge]],0)</f>
        <v>0</v>
      </c>
    </row>
    <row r="3347" spans="1:9" x14ac:dyDescent="0.2">
      <c r="A3347">
        <v>1045203</v>
      </c>
      <c r="B3347" t="s">
        <v>21</v>
      </c>
      <c r="C3347">
        <v>13.5</v>
      </c>
      <c r="D3347">
        <v>13.55</v>
      </c>
      <c r="E3347">
        <v>85.75</v>
      </c>
      <c r="F3347" t="s">
        <v>16</v>
      </c>
      <c r="G33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47">
        <f>IF(Table1[[#This Row],[is_ups_overcharge]]="ups overcharged",Table1[[#This Row],[ups ship charge]]-Table1[[#This Row],[ada ship charge]],0)</f>
        <v>0</v>
      </c>
    </row>
    <row r="3348" spans="1:9" x14ac:dyDescent="0.2">
      <c r="A3348">
        <v>1045206</v>
      </c>
      <c r="B3348" t="s">
        <v>21</v>
      </c>
      <c r="C3348">
        <v>16.34</v>
      </c>
      <c r="D3348">
        <v>16.39</v>
      </c>
      <c r="E3348">
        <v>34.950000000000003</v>
      </c>
      <c r="F3348" t="s">
        <v>10</v>
      </c>
      <c r="G33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48">
        <f>IF(Table1[[#This Row],[is_ups_overcharge]]="ups overcharged",Table1[[#This Row],[ups ship charge]]-Table1[[#This Row],[ada ship charge]],0)</f>
        <v>0</v>
      </c>
    </row>
    <row r="3349" spans="1:9" x14ac:dyDescent="0.2">
      <c r="A3349">
        <v>1045229</v>
      </c>
      <c r="B3349" t="s">
        <v>21</v>
      </c>
      <c r="C3349">
        <v>12.75</v>
      </c>
      <c r="D3349">
        <v>12.8</v>
      </c>
      <c r="E3349">
        <v>31.9</v>
      </c>
      <c r="F3349" t="s">
        <v>9</v>
      </c>
      <c r="G33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49">
        <f>IF(Table1[[#This Row],[is_ups_overcharge]]="ups overcharged",Table1[[#This Row],[ups ship charge]]-Table1[[#This Row],[ada ship charge]],0)</f>
        <v>0</v>
      </c>
    </row>
    <row r="3350" spans="1:9" x14ac:dyDescent="0.2">
      <c r="A3350">
        <v>1045267</v>
      </c>
      <c r="B3350" t="s">
        <v>21</v>
      </c>
      <c r="C3350">
        <v>12.26</v>
      </c>
      <c r="D3350">
        <v>12.31</v>
      </c>
      <c r="E3350">
        <v>12</v>
      </c>
      <c r="F3350" t="s">
        <v>13</v>
      </c>
      <c r="G33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50">
        <f>IF(Table1[[#This Row],[is_ups_overcharge]]="ups overcharged",Table1[[#This Row],[ups ship charge]]-Table1[[#This Row],[ada ship charge]],0)</f>
        <v>0</v>
      </c>
    </row>
    <row r="3351" spans="1:9" x14ac:dyDescent="0.2">
      <c r="A3351">
        <v>1045273</v>
      </c>
      <c r="B3351" t="s">
        <v>21</v>
      </c>
      <c r="C3351">
        <v>16.649999999999999</v>
      </c>
      <c r="D3351">
        <v>16.7</v>
      </c>
      <c r="E3351">
        <v>29.95</v>
      </c>
      <c r="F3351" t="s">
        <v>10</v>
      </c>
      <c r="G33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51">
        <f>IF(Table1[[#This Row],[is_ups_overcharge]]="ups overcharged",Table1[[#This Row],[ups ship charge]]-Table1[[#This Row],[ada ship charge]],0)</f>
        <v>0</v>
      </c>
    </row>
    <row r="3352" spans="1:9" x14ac:dyDescent="0.2">
      <c r="A3352">
        <v>1045289</v>
      </c>
      <c r="B3352" t="s">
        <v>21</v>
      </c>
      <c r="C3352">
        <v>9.66</v>
      </c>
      <c r="D3352">
        <v>9.7100000000000009</v>
      </c>
      <c r="E3352">
        <v>5</v>
      </c>
      <c r="F3352" t="s">
        <v>6</v>
      </c>
      <c r="G33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52">
        <f>IF(Table1[[#This Row],[is_ups_overcharge]]="ups overcharged",Table1[[#This Row],[ups ship charge]]-Table1[[#This Row],[ada ship charge]],0)</f>
        <v>0</v>
      </c>
    </row>
    <row r="3353" spans="1:9" x14ac:dyDescent="0.2">
      <c r="A3353">
        <v>1045324</v>
      </c>
      <c r="B3353" t="s">
        <v>21</v>
      </c>
      <c r="C3353">
        <v>12.75</v>
      </c>
      <c r="D3353">
        <v>12.8</v>
      </c>
      <c r="E3353">
        <v>49.95</v>
      </c>
      <c r="F3353" t="s">
        <v>9</v>
      </c>
      <c r="G33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53">
        <f>IF(Table1[[#This Row],[is_ups_overcharge]]="ups overcharged",Table1[[#This Row],[ups ship charge]]-Table1[[#This Row],[ada ship charge]],0)</f>
        <v>0</v>
      </c>
    </row>
    <row r="3354" spans="1:9" x14ac:dyDescent="0.2">
      <c r="A3354">
        <v>1045338</v>
      </c>
      <c r="B3354" t="s">
        <v>21</v>
      </c>
      <c r="C3354">
        <v>15.02</v>
      </c>
      <c r="D3354">
        <v>15.07</v>
      </c>
      <c r="E3354">
        <v>24</v>
      </c>
      <c r="F3354" t="s">
        <v>12</v>
      </c>
      <c r="G33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54">
        <f>IF(Table1[[#This Row],[is_ups_overcharge]]="ups overcharged",Table1[[#This Row],[ups ship charge]]-Table1[[#This Row],[ada ship charge]],0)</f>
        <v>0</v>
      </c>
    </row>
    <row r="3355" spans="1:9" x14ac:dyDescent="0.2">
      <c r="A3355">
        <v>1045342</v>
      </c>
      <c r="B3355" t="s">
        <v>21</v>
      </c>
      <c r="C3355">
        <v>28.68</v>
      </c>
      <c r="D3355">
        <v>28.73</v>
      </c>
      <c r="E3355">
        <v>165</v>
      </c>
      <c r="F3355" t="s">
        <v>15</v>
      </c>
      <c r="G33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55">
        <f>IF(Table1[[#This Row],[is_ups_overcharge]]="ups overcharged",Table1[[#This Row],[ups ship charge]]-Table1[[#This Row],[ada ship charge]],0)</f>
        <v>0</v>
      </c>
    </row>
    <row r="3356" spans="1:9" x14ac:dyDescent="0.2">
      <c r="A3356">
        <v>1045346</v>
      </c>
      <c r="B3356" t="s">
        <v>21</v>
      </c>
      <c r="C3356">
        <v>13.64</v>
      </c>
      <c r="D3356">
        <v>13.69</v>
      </c>
      <c r="E3356">
        <v>24.95</v>
      </c>
      <c r="F3356" t="s">
        <v>9</v>
      </c>
      <c r="G33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56">
        <f>IF(Table1[[#This Row],[is_ups_overcharge]]="ups overcharged",Table1[[#This Row],[ups ship charge]]-Table1[[#This Row],[ada ship charge]],0)</f>
        <v>0</v>
      </c>
    </row>
    <row r="3357" spans="1:9" x14ac:dyDescent="0.2">
      <c r="A3357">
        <v>1045353</v>
      </c>
      <c r="B3357" t="s">
        <v>21</v>
      </c>
      <c r="C3357">
        <v>12.26</v>
      </c>
      <c r="D3357">
        <v>12.31</v>
      </c>
      <c r="E3357">
        <v>89.85</v>
      </c>
      <c r="F3357" t="s">
        <v>13</v>
      </c>
      <c r="G33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57">
        <f>IF(Table1[[#This Row],[is_ups_overcharge]]="ups overcharged",Table1[[#This Row],[ups ship charge]]-Table1[[#This Row],[ada ship charge]],0)</f>
        <v>0</v>
      </c>
    </row>
    <row r="3358" spans="1:9" x14ac:dyDescent="0.2">
      <c r="A3358">
        <v>1045375</v>
      </c>
      <c r="B3358" t="s">
        <v>21</v>
      </c>
      <c r="C3358">
        <v>16.34</v>
      </c>
      <c r="D3358">
        <v>17.760000000000002</v>
      </c>
      <c r="E3358">
        <v>75.8</v>
      </c>
      <c r="F3358" t="s">
        <v>10</v>
      </c>
      <c r="G33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58">
        <f>IF(Table1[[#This Row],[is_ups_overcharge]]="ups overcharged",Table1[[#This Row],[ups ship charge]]-Table1[[#This Row],[ada ship charge]],0)</f>
        <v>0</v>
      </c>
    </row>
    <row r="3359" spans="1:9" x14ac:dyDescent="0.2">
      <c r="A3359">
        <v>1045388</v>
      </c>
      <c r="B3359" t="s">
        <v>21</v>
      </c>
      <c r="C3359">
        <v>12.75</v>
      </c>
      <c r="D3359">
        <v>12.8</v>
      </c>
      <c r="E3359">
        <v>39.35</v>
      </c>
      <c r="F3359" t="s">
        <v>9</v>
      </c>
      <c r="G33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59">
        <f>IF(Table1[[#This Row],[is_ups_overcharge]]="ups overcharged",Table1[[#This Row],[ups ship charge]]-Table1[[#This Row],[ada ship charge]],0)</f>
        <v>0</v>
      </c>
    </row>
    <row r="3360" spans="1:9" x14ac:dyDescent="0.2">
      <c r="A3360">
        <v>1045390</v>
      </c>
      <c r="B3360" t="s">
        <v>21</v>
      </c>
      <c r="C3360">
        <v>15.33</v>
      </c>
      <c r="D3360">
        <v>15.38</v>
      </c>
      <c r="E3360">
        <v>10.9</v>
      </c>
      <c r="F3360" t="s">
        <v>12</v>
      </c>
      <c r="G33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60">
        <f>IF(Table1[[#This Row],[is_ups_overcharge]]="ups overcharged",Table1[[#This Row],[ups ship charge]]-Table1[[#This Row],[ada ship charge]],0)</f>
        <v>0</v>
      </c>
    </row>
    <row r="3361" spans="1:9" x14ac:dyDescent="0.2">
      <c r="A3361">
        <v>1045407</v>
      </c>
      <c r="B3361" t="s">
        <v>21</v>
      </c>
      <c r="C3361">
        <v>15.02</v>
      </c>
      <c r="D3361">
        <v>15.07</v>
      </c>
      <c r="E3361">
        <v>112.25</v>
      </c>
      <c r="F3361" t="s">
        <v>12</v>
      </c>
      <c r="G33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61">
        <f>IF(Table1[[#This Row],[is_ups_overcharge]]="ups overcharged",Table1[[#This Row],[ups ship charge]]-Table1[[#This Row],[ada ship charge]],0)</f>
        <v>0</v>
      </c>
    </row>
    <row r="3362" spans="1:9" x14ac:dyDescent="0.2">
      <c r="A3362">
        <v>1045440</v>
      </c>
      <c r="B3362" t="s">
        <v>21</v>
      </c>
      <c r="C3362">
        <v>17.579999999999998</v>
      </c>
      <c r="D3362">
        <v>17.63</v>
      </c>
      <c r="E3362">
        <v>28.9</v>
      </c>
      <c r="F3362" t="s">
        <v>15</v>
      </c>
      <c r="G33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62">
        <f>IF(Table1[[#This Row],[is_ups_overcharge]]="ups overcharged",Table1[[#This Row],[ups ship charge]]-Table1[[#This Row],[ada ship charge]],0)</f>
        <v>0</v>
      </c>
    </row>
    <row r="3363" spans="1:9" x14ac:dyDescent="0.2">
      <c r="A3363">
        <v>1045447</v>
      </c>
      <c r="B3363" t="s">
        <v>21</v>
      </c>
      <c r="C3363">
        <v>13.64</v>
      </c>
      <c r="D3363">
        <v>13.69</v>
      </c>
      <c r="E3363">
        <v>44.65</v>
      </c>
      <c r="F3363" t="s">
        <v>9</v>
      </c>
      <c r="G33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63">
        <f>IF(Table1[[#This Row],[is_ups_overcharge]]="ups overcharged",Table1[[#This Row],[ups ship charge]]-Table1[[#This Row],[ada ship charge]],0)</f>
        <v>0</v>
      </c>
    </row>
    <row r="3364" spans="1:9" x14ac:dyDescent="0.2">
      <c r="A3364">
        <v>1045463</v>
      </c>
      <c r="B3364" t="s">
        <v>21</v>
      </c>
      <c r="C3364">
        <v>13.64</v>
      </c>
      <c r="D3364">
        <v>13.69</v>
      </c>
      <c r="E3364">
        <v>20.85</v>
      </c>
      <c r="F3364" t="s">
        <v>9</v>
      </c>
      <c r="G33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64">
        <f>IF(Table1[[#This Row],[is_ups_overcharge]]="ups overcharged",Table1[[#This Row],[ups ship charge]]-Table1[[#This Row],[ada ship charge]],0)</f>
        <v>0</v>
      </c>
    </row>
    <row r="3365" spans="1:9" x14ac:dyDescent="0.2">
      <c r="A3365">
        <v>1045553</v>
      </c>
      <c r="B3365" t="s">
        <v>21</v>
      </c>
      <c r="C3365">
        <v>15.02</v>
      </c>
      <c r="D3365">
        <v>15.07</v>
      </c>
      <c r="E3365">
        <v>49.1</v>
      </c>
      <c r="F3365" t="s">
        <v>12</v>
      </c>
      <c r="G33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65">
        <f>IF(Table1[[#This Row],[is_ups_overcharge]]="ups overcharged",Table1[[#This Row],[ups ship charge]]-Table1[[#This Row],[ada ship charge]],0)</f>
        <v>0</v>
      </c>
    </row>
    <row r="3366" spans="1:9" x14ac:dyDescent="0.2">
      <c r="A3366">
        <v>1045554</v>
      </c>
      <c r="B3366" t="s">
        <v>21</v>
      </c>
      <c r="C3366">
        <v>13.64</v>
      </c>
      <c r="D3366">
        <v>13.69</v>
      </c>
      <c r="E3366">
        <v>28.65</v>
      </c>
      <c r="F3366" t="s">
        <v>9</v>
      </c>
      <c r="G33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66">
        <f>IF(Table1[[#This Row],[is_ups_overcharge]]="ups overcharged",Table1[[#This Row],[ups ship charge]]-Table1[[#This Row],[ada ship charge]],0)</f>
        <v>0</v>
      </c>
    </row>
    <row r="3367" spans="1:9" x14ac:dyDescent="0.2">
      <c r="A3367">
        <v>1045572</v>
      </c>
      <c r="B3367" t="s">
        <v>21</v>
      </c>
      <c r="C3367">
        <v>9.66</v>
      </c>
      <c r="D3367">
        <v>12.8</v>
      </c>
      <c r="E3367">
        <v>63.85</v>
      </c>
      <c r="F3367" t="s">
        <v>6</v>
      </c>
      <c r="G33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67">
        <f>IF(Table1[[#This Row],[is_ups_overcharge]]="ups overcharged",Table1[[#This Row],[ups ship charge]]-Table1[[#This Row],[ada ship charge]],0)</f>
        <v>0</v>
      </c>
    </row>
    <row r="3368" spans="1:9" x14ac:dyDescent="0.2">
      <c r="A3368">
        <v>1045580</v>
      </c>
      <c r="B3368" t="s">
        <v>21</v>
      </c>
      <c r="C3368">
        <v>12.75</v>
      </c>
      <c r="D3368">
        <v>12.8</v>
      </c>
      <c r="E3368">
        <v>54.8</v>
      </c>
      <c r="F3368" t="s">
        <v>9</v>
      </c>
      <c r="G33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68">
        <f>IF(Table1[[#This Row],[is_ups_overcharge]]="ups overcharged",Table1[[#This Row],[ups ship charge]]-Table1[[#This Row],[ada ship charge]],0)</f>
        <v>0</v>
      </c>
    </row>
    <row r="3369" spans="1:9" x14ac:dyDescent="0.2">
      <c r="A3369">
        <v>1045602</v>
      </c>
      <c r="B3369" t="s">
        <v>21</v>
      </c>
      <c r="C3369">
        <v>9.65</v>
      </c>
      <c r="D3369">
        <v>9.6999999999999993</v>
      </c>
      <c r="E3369">
        <v>27.95</v>
      </c>
      <c r="F3369" t="s">
        <v>6</v>
      </c>
      <c r="G33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69">
        <f>IF(Table1[[#This Row],[is_ups_overcharge]]="ups overcharged",Table1[[#This Row],[ups ship charge]]-Table1[[#This Row],[ada ship charge]],0)</f>
        <v>0</v>
      </c>
    </row>
    <row r="3370" spans="1:9" x14ac:dyDescent="0.2">
      <c r="A3370">
        <v>1045636</v>
      </c>
      <c r="B3370" t="s">
        <v>21</v>
      </c>
      <c r="C3370">
        <v>9.65</v>
      </c>
      <c r="D3370">
        <v>9.7100000000000009</v>
      </c>
      <c r="E3370">
        <v>124.9</v>
      </c>
      <c r="F3370" t="s">
        <v>6</v>
      </c>
      <c r="G33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70">
        <f>IF(Table1[[#This Row],[is_ups_overcharge]]="ups overcharged",Table1[[#This Row],[ups ship charge]]-Table1[[#This Row],[ada ship charge]],0)</f>
        <v>0</v>
      </c>
    </row>
    <row r="3371" spans="1:9" x14ac:dyDescent="0.2">
      <c r="A3371">
        <v>1045658</v>
      </c>
      <c r="B3371" t="s">
        <v>21</v>
      </c>
      <c r="C3371">
        <v>9.65</v>
      </c>
      <c r="D3371">
        <v>9.6999999999999993</v>
      </c>
      <c r="E3371">
        <v>73.3</v>
      </c>
      <c r="F3371" t="s">
        <v>6</v>
      </c>
      <c r="G33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71">
        <f>IF(Table1[[#This Row],[is_ups_overcharge]]="ups overcharged",Table1[[#This Row],[ups ship charge]]-Table1[[#This Row],[ada ship charge]],0)</f>
        <v>0</v>
      </c>
    </row>
    <row r="3372" spans="1:9" x14ac:dyDescent="0.2">
      <c r="A3372">
        <v>1045664</v>
      </c>
      <c r="B3372" t="s">
        <v>21</v>
      </c>
      <c r="C3372">
        <v>15.33</v>
      </c>
      <c r="D3372">
        <v>15.38</v>
      </c>
      <c r="E3372">
        <v>22</v>
      </c>
      <c r="F3372" t="s">
        <v>12</v>
      </c>
      <c r="G33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72">
        <f>IF(Table1[[#This Row],[is_ups_overcharge]]="ups overcharged",Table1[[#This Row],[ups ship charge]]-Table1[[#This Row],[ada ship charge]],0)</f>
        <v>0</v>
      </c>
    </row>
    <row r="3373" spans="1:9" x14ac:dyDescent="0.2">
      <c r="A3373">
        <v>1045667</v>
      </c>
      <c r="B3373" t="s">
        <v>21</v>
      </c>
      <c r="C3373">
        <v>12.75</v>
      </c>
      <c r="D3373">
        <v>12.8</v>
      </c>
      <c r="E3373">
        <v>44.65</v>
      </c>
      <c r="F3373" t="s">
        <v>9</v>
      </c>
      <c r="G33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73">
        <f>IF(Table1[[#This Row],[is_ups_overcharge]]="ups overcharged",Table1[[#This Row],[ups ship charge]]-Table1[[#This Row],[ada ship charge]],0)</f>
        <v>0</v>
      </c>
    </row>
    <row r="3374" spans="1:9" x14ac:dyDescent="0.2">
      <c r="A3374">
        <v>1045673</v>
      </c>
      <c r="B3374" t="s">
        <v>21</v>
      </c>
      <c r="C3374">
        <v>16.649999999999999</v>
      </c>
      <c r="D3374">
        <v>16.7</v>
      </c>
      <c r="E3374">
        <v>75.849999999999994</v>
      </c>
      <c r="F3374" t="s">
        <v>10</v>
      </c>
      <c r="G33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74">
        <f>IF(Table1[[#This Row],[is_ups_overcharge]]="ups overcharged",Table1[[#This Row],[ups ship charge]]-Table1[[#This Row],[ada ship charge]],0)</f>
        <v>0</v>
      </c>
    </row>
    <row r="3375" spans="1:9" x14ac:dyDescent="0.2">
      <c r="A3375">
        <v>1045689</v>
      </c>
      <c r="B3375" t="s">
        <v>21</v>
      </c>
      <c r="C3375">
        <v>12.26</v>
      </c>
      <c r="D3375">
        <v>12.31</v>
      </c>
      <c r="E3375">
        <v>35.6</v>
      </c>
      <c r="F3375" t="s">
        <v>13</v>
      </c>
      <c r="G33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75">
        <f>IF(Table1[[#This Row],[is_ups_overcharge]]="ups overcharged",Table1[[#This Row],[ups ship charge]]-Table1[[#This Row],[ada ship charge]],0)</f>
        <v>0</v>
      </c>
    </row>
    <row r="3376" spans="1:9" x14ac:dyDescent="0.2">
      <c r="A3376">
        <v>1045691</v>
      </c>
      <c r="B3376" t="s">
        <v>21</v>
      </c>
      <c r="C3376">
        <v>16.649999999999999</v>
      </c>
      <c r="D3376">
        <v>16.7</v>
      </c>
      <c r="E3376">
        <v>180.35</v>
      </c>
      <c r="F3376" t="s">
        <v>10</v>
      </c>
      <c r="G33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76">
        <f>IF(Table1[[#This Row],[is_ups_overcharge]]="ups overcharged",Table1[[#This Row],[ups ship charge]]-Table1[[#This Row],[ada ship charge]],0)</f>
        <v>0</v>
      </c>
    </row>
    <row r="3377" spans="1:9" x14ac:dyDescent="0.2">
      <c r="A3377">
        <v>1045693</v>
      </c>
      <c r="B3377" t="s">
        <v>21</v>
      </c>
      <c r="C3377">
        <v>12.75</v>
      </c>
      <c r="D3377">
        <v>12.8</v>
      </c>
      <c r="E3377">
        <v>39.9</v>
      </c>
      <c r="F3377" t="s">
        <v>9</v>
      </c>
      <c r="G33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77">
        <f>IF(Table1[[#This Row],[is_ups_overcharge]]="ups overcharged",Table1[[#This Row],[ups ship charge]]-Table1[[#This Row],[ada ship charge]],0)</f>
        <v>0</v>
      </c>
    </row>
    <row r="3378" spans="1:9" x14ac:dyDescent="0.2">
      <c r="A3378">
        <v>1045698</v>
      </c>
      <c r="B3378" t="s">
        <v>21</v>
      </c>
      <c r="C3378">
        <v>13.64</v>
      </c>
      <c r="D3378">
        <v>13.69</v>
      </c>
      <c r="E3378">
        <v>111.1</v>
      </c>
      <c r="F3378" t="s">
        <v>9</v>
      </c>
      <c r="G33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78">
        <f>IF(Table1[[#This Row],[is_ups_overcharge]]="ups overcharged",Table1[[#This Row],[ups ship charge]]-Table1[[#This Row],[ada ship charge]],0)</f>
        <v>0</v>
      </c>
    </row>
    <row r="3379" spans="1:9" x14ac:dyDescent="0.2">
      <c r="A3379">
        <v>1045705</v>
      </c>
      <c r="B3379" t="s">
        <v>21</v>
      </c>
      <c r="C3379">
        <v>13.5</v>
      </c>
      <c r="D3379">
        <v>13.55</v>
      </c>
      <c r="E3379">
        <v>51.75</v>
      </c>
      <c r="F3379" t="s">
        <v>16</v>
      </c>
      <c r="G33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79">
        <f>IF(Table1[[#This Row],[is_ups_overcharge]]="ups overcharged",Table1[[#This Row],[ups ship charge]]-Table1[[#This Row],[ada ship charge]],0)</f>
        <v>0</v>
      </c>
    </row>
    <row r="3380" spans="1:9" x14ac:dyDescent="0.2">
      <c r="A3380">
        <v>1045707</v>
      </c>
      <c r="B3380" t="s">
        <v>21</v>
      </c>
      <c r="C3380">
        <v>13.64</v>
      </c>
      <c r="D3380">
        <v>13.69</v>
      </c>
      <c r="E3380">
        <v>84.8</v>
      </c>
      <c r="F3380" t="s">
        <v>9</v>
      </c>
      <c r="G33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80">
        <f>IF(Table1[[#This Row],[is_ups_overcharge]]="ups overcharged",Table1[[#This Row],[ups ship charge]]-Table1[[#This Row],[ada ship charge]],0)</f>
        <v>0</v>
      </c>
    </row>
    <row r="3381" spans="1:9" x14ac:dyDescent="0.2">
      <c r="A3381">
        <v>1045709</v>
      </c>
      <c r="B3381" t="s">
        <v>21</v>
      </c>
      <c r="C3381">
        <v>12.26</v>
      </c>
      <c r="D3381">
        <v>12.31</v>
      </c>
      <c r="E3381">
        <v>16.899999999999999</v>
      </c>
      <c r="F3381" t="s">
        <v>13</v>
      </c>
      <c r="G33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81">
        <f>IF(Table1[[#This Row],[is_ups_overcharge]]="ups overcharged",Table1[[#This Row],[ups ship charge]]-Table1[[#This Row],[ada ship charge]],0)</f>
        <v>0</v>
      </c>
    </row>
    <row r="3382" spans="1:9" x14ac:dyDescent="0.2">
      <c r="A3382">
        <v>1045714</v>
      </c>
      <c r="B3382" t="s">
        <v>21</v>
      </c>
      <c r="C3382">
        <v>12.75</v>
      </c>
      <c r="D3382">
        <v>12.8</v>
      </c>
      <c r="E3382">
        <v>5.95</v>
      </c>
      <c r="F3382" t="s">
        <v>9</v>
      </c>
      <c r="G33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82">
        <f>IF(Table1[[#This Row],[is_ups_overcharge]]="ups overcharged",Table1[[#This Row],[ups ship charge]]-Table1[[#This Row],[ada ship charge]],0)</f>
        <v>0</v>
      </c>
    </row>
    <row r="3383" spans="1:9" x14ac:dyDescent="0.2">
      <c r="A3383">
        <v>1045735</v>
      </c>
      <c r="B3383" t="s">
        <v>21</v>
      </c>
      <c r="C3383">
        <v>17.309999999999999</v>
      </c>
      <c r="D3383">
        <v>18.72</v>
      </c>
      <c r="E3383">
        <v>149.5</v>
      </c>
      <c r="F3383" t="s">
        <v>16</v>
      </c>
      <c r="G33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83">
        <f>IF(Table1[[#This Row],[is_ups_overcharge]]="ups overcharged",Table1[[#This Row],[ups ship charge]]-Table1[[#This Row],[ada ship charge]],0)</f>
        <v>0</v>
      </c>
    </row>
    <row r="3384" spans="1:9" x14ac:dyDescent="0.2">
      <c r="A3384">
        <v>1045808</v>
      </c>
      <c r="B3384" t="s">
        <v>21</v>
      </c>
      <c r="C3384">
        <v>9.65</v>
      </c>
      <c r="D3384">
        <v>9.6999999999999993</v>
      </c>
      <c r="E3384">
        <v>39.950000000000003</v>
      </c>
      <c r="F3384" t="s">
        <v>6</v>
      </c>
      <c r="G33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84">
        <f>IF(Table1[[#This Row],[is_ups_overcharge]]="ups overcharged",Table1[[#This Row],[ups ship charge]]-Table1[[#This Row],[ada ship charge]],0)</f>
        <v>0</v>
      </c>
    </row>
    <row r="3385" spans="1:9" x14ac:dyDescent="0.2">
      <c r="A3385">
        <v>1045812</v>
      </c>
      <c r="B3385" t="s">
        <v>21</v>
      </c>
      <c r="C3385">
        <v>15.33</v>
      </c>
      <c r="D3385">
        <v>15.38</v>
      </c>
      <c r="E3385">
        <v>166.15</v>
      </c>
      <c r="F3385" t="s">
        <v>12</v>
      </c>
      <c r="G33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85">
        <f>IF(Table1[[#This Row],[is_ups_overcharge]]="ups overcharged",Table1[[#This Row],[ups ship charge]]-Table1[[#This Row],[ada ship charge]],0)</f>
        <v>0</v>
      </c>
    </row>
    <row r="3386" spans="1:9" x14ac:dyDescent="0.2">
      <c r="A3386">
        <v>1045820</v>
      </c>
      <c r="B3386" t="s">
        <v>21</v>
      </c>
      <c r="C3386">
        <v>12.75</v>
      </c>
      <c r="D3386">
        <v>12.8</v>
      </c>
      <c r="E3386">
        <v>25</v>
      </c>
      <c r="F3386" t="s">
        <v>9</v>
      </c>
      <c r="G33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86">
        <f>IF(Table1[[#This Row],[is_ups_overcharge]]="ups overcharged",Table1[[#This Row],[ups ship charge]]-Table1[[#This Row],[ada ship charge]],0)</f>
        <v>0</v>
      </c>
    </row>
    <row r="3387" spans="1:9" x14ac:dyDescent="0.2">
      <c r="A3387">
        <v>1045832</v>
      </c>
      <c r="B3387" t="s">
        <v>21</v>
      </c>
      <c r="C3387">
        <v>12.75</v>
      </c>
      <c r="D3387">
        <v>12.8</v>
      </c>
      <c r="E3387">
        <v>69.900000000000006</v>
      </c>
      <c r="F3387" t="s">
        <v>9</v>
      </c>
      <c r="G33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87">
        <f>IF(Table1[[#This Row],[is_ups_overcharge]]="ups overcharged",Table1[[#This Row],[ups ship charge]]-Table1[[#This Row],[ada ship charge]],0)</f>
        <v>0</v>
      </c>
    </row>
    <row r="3388" spans="1:9" x14ac:dyDescent="0.2">
      <c r="A3388">
        <v>1045865</v>
      </c>
      <c r="B3388" t="s">
        <v>21</v>
      </c>
      <c r="C3388">
        <v>13.64</v>
      </c>
      <c r="D3388">
        <v>13.69</v>
      </c>
      <c r="E3388">
        <v>55.85</v>
      </c>
      <c r="F3388" t="s">
        <v>9</v>
      </c>
      <c r="G33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88">
        <f>IF(Table1[[#This Row],[is_ups_overcharge]]="ups overcharged",Table1[[#This Row],[ups ship charge]]-Table1[[#This Row],[ada ship charge]],0)</f>
        <v>0</v>
      </c>
    </row>
    <row r="3389" spans="1:9" x14ac:dyDescent="0.2">
      <c r="A3389">
        <v>1045888</v>
      </c>
      <c r="B3389" t="s">
        <v>21</v>
      </c>
      <c r="C3389">
        <v>13.64</v>
      </c>
      <c r="D3389">
        <v>13.69</v>
      </c>
      <c r="E3389">
        <v>11.9</v>
      </c>
      <c r="F3389" t="s">
        <v>9</v>
      </c>
      <c r="G33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89">
        <f>IF(Table1[[#This Row],[is_ups_overcharge]]="ups overcharged",Table1[[#This Row],[ups ship charge]]-Table1[[#This Row],[ada ship charge]],0)</f>
        <v>0</v>
      </c>
    </row>
    <row r="3390" spans="1:9" x14ac:dyDescent="0.2">
      <c r="A3390">
        <v>1045894</v>
      </c>
      <c r="B3390" t="s">
        <v>21</v>
      </c>
      <c r="C3390">
        <v>9.65</v>
      </c>
      <c r="D3390">
        <v>12.8</v>
      </c>
      <c r="E3390">
        <v>55.85</v>
      </c>
      <c r="F3390" t="s">
        <v>6</v>
      </c>
      <c r="G33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90">
        <f>IF(Table1[[#This Row],[is_ups_overcharge]]="ups overcharged",Table1[[#This Row],[ups ship charge]]-Table1[[#This Row],[ada ship charge]],0)</f>
        <v>0</v>
      </c>
    </row>
    <row r="3391" spans="1:9" x14ac:dyDescent="0.2">
      <c r="A3391">
        <v>1045911</v>
      </c>
      <c r="B3391" t="s">
        <v>21</v>
      </c>
      <c r="C3391">
        <v>12.75</v>
      </c>
      <c r="D3391">
        <v>12.8</v>
      </c>
      <c r="E3391">
        <v>39.950000000000003</v>
      </c>
      <c r="F3391" t="s">
        <v>9</v>
      </c>
      <c r="G33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91">
        <f>IF(Table1[[#This Row],[is_ups_overcharge]]="ups overcharged",Table1[[#This Row],[ups ship charge]]-Table1[[#This Row],[ada ship charge]],0)</f>
        <v>0</v>
      </c>
    </row>
    <row r="3392" spans="1:9" x14ac:dyDescent="0.2">
      <c r="A3392">
        <v>1045924</v>
      </c>
      <c r="B3392" t="s">
        <v>21</v>
      </c>
      <c r="C3392">
        <v>12.75</v>
      </c>
      <c r="D3392">
        <v>12.8</v>
      </c>
      <c r="E3392">
        <v>89.3</v>
      </c>
      <c r="F3392" t="s">
        <v>9</v>
      </c>
      <c r="G33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92">
        <f>IF(Table1[[#This Row],[is_ups_overcharge]]="ups overcharged",Table1[[#This Row],[ups ship charge]]-Table1[[#This Row],[ada ship charge]],0)</f>
        <v>0</v>
      </c>
    </row>
    <row r="3393" spans="1:9" x14ac:dyDescent="0.2">
      <c r="A3393">
        <v>1045925</v>
      </c>
      <c r="B3393" t="s">
        <v>21</v>
      </c>
      <c r="C3393">
        <v>12.75</v>
      </c>
      <c r="D3393">
        <v>12.8</v>
      </c>
      <c r="E3393">
        <v>29.95</v>
      </c>
      <c r="F3393" t="s">
        <v>9</v>
      </c>
      <c r="G33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93">
        <f>IF(Table1[[#This Row],[is_ups_overcharge]]="ups overcharged",Table1[[#This Row],[ups ship charge]]-Table1[[#This Row],[ada ship charge]],0)</f>
        <v>0</v>
      </c>
    </row>
    <row r="3394" spans="1:9" x14ac:dyDescent="0.2">
      <c r="A3394">
        <v>1045929</v>
      </c>
      <c r="B3394" t="s">
        <v>21</v>
      </c>
      <c r="C3394">
        <v>13.64</v>
      </c>
      <c r="D3394">
        <v>13.69</v>
      </c>
      <c r="E3394">
        <v>66.8</v>
      </c>
      <c r="F3394" t="s">
        <v>9</v>
      </c>
      <c r="G33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94">
        <f>IF(Table1[[#This Row],[is_ups_overcharge]]="ups overcharged",Table1[[#This Row],[ups ship charge]]-Table1[[#This Row],[ada ship charge]],0)</f>
        <v>0</v>
      </c>
    </row>
    <row r="3395" spans="1:9" x14ac:dyDescent="0.2">
      <c r="A3395">
        <v>1045931</v>
      </c>
      <c r="B3395" t="s">
        <v>21</v>
      </c>
      <c r="C3395">
        <v>15.33</v>
      </c>
      <c r="D3395">
        <v>15.38</v>
      </c>
      <c r="E3395">
        <v>14.95</v>
      </c>
      <c r="F3395" t="s">
        <v>12</v>
      </c>
      <c r="G33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95">
        <f>IF(Table1[[#This Row],[is_ups_overcharge]]="ups overcharged",Table1[[#This Row],[ups ship charge]]-Table1[[#This Row],[ada ship charge]],0)</f>
        <v>0</v>
      </c>
    </row>
    <row r="3396" spans="1:9" x14ac:dyDescent="0.2">
      <c r="A3396">
        <v>1045981</v>
      </c>
      <c r="B3396" t="s">
        <v>21</v>
      </c>
      <c r="C3396">
        <v>9.65</v>
      </c>
      <c r="D3396">
        <v>9.6999999999999993</v>
      </c>
      <c r="E3396">
        <v>47.9</v>
      </c>
      <c r="F3396" t="s">
        <v>6</v>
      </c>
      <c r="G33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96">
        <f>IF(Table1[[#This Row],[is_ups_overcharge]]="ups overcharged",Table1[[#This Row],[ups ship charge]]-Table1[[#This Row],[ada ship charge]],0)</f>
        <v>0</v>
      </c>
    </row>
    <row r="3397" spans="1:9" x14ac:dyDescent="0.2">
      <c r="A3397">
        <v>1046005</v>
      </c>
      <c r="B3397" t="s">
        <v>21</v>
      </c>
      <c r="C3397">
        <v>12.75</v>
      </c>
      <c r="D3397">
        <v>12.8</v>
      </c>
      <c r="E3397">
        <v>39.950000000000003</v>
      </c>
      <c r="F3397" t="s">
        <v>9</v>
      </c>
      <c r="G33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97">
        <f>IF(Table1[[#This Row],[is_ups_overcharge]]="ups overcharged",Table1[[#This Row],[ups ship charge]]-Table1[[#This Row],[ada ship charge]],0)</f>
        <v>0</v>
      </c>
    </row>
    <row r="3398" spans="1:9" x14ac:dyDescent="0.2">
      <c r="A3398">
        <v>1046028</v>
      </c>
      <c r="B3398" t="s">
        <v>21</v>
      </c>
      <c r="C3398">
        <v>16.64</v>
      </c>
      <c r="D3398">
        <v>16.690000000000001</v>
      </c>
      <c r="E3398">
        <v>47.9</v>
      </c>
      <c r="F3398" t="s">
        <v>10</v>
      </c>
      <c r="G33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98">
        <f>IF(Table1[[#This Row],[is_ups_overcharge]]="ups overcharged",Table1[[#This Row],[ups ship charge]]-Table1[[#This Row],[ada ship charge]],0)</f>
        <v>0</v>
      </c>
    </row>
    <row r="3399" spans="1:9" x14ac:dyDescent="0.2">
      <c r="A3399">
        <v>1046048</v>
      </c>
      <c r="B3399" t="s">
        <v>21</v>
      </c>
      <c r="C3399">
        <v>12.75</v>
      </c>
      <c r="D3399">
        <v>12.8</v>
      </c>
      <c r="E3399">
        <v>5</v>
      </c>
      <c r="F3399" t="s">
        <v>9</v>
      </c>
      <c r="G33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3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399">
        <f>IF(Table1[[#This Row],[is_ups_overcharge]]="ups overcharged",Table1[[#This Row],[ups ship charge]]-Table1[[#This Row],[ada ship charge]],0)</f>
        <v>0</v>
      </c>
    </row>
    <row r="3400" spans="1:9" x14ac:dyDescent="0.2">
      <c r="A3400">
        <v>1046072</v>
      </c>
      <c r="B3400" t="s">
        <v>21</v>
      </c>
      <c r="C3400">
        <v>13.64</v>
      </c>
      <c r="D3400">
        <v>13.69</v>
      </c>
      <c r="E3400">
        <v>39.950000000000003</v>
      </c>
      <c r="F3400" t="s">
        <v>9</v>
      </c>
      <c r="G34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00">
        <f>IF(Table1[[#This Row],[is_ups_overcharge]]="ups overcharged",Table1[[#This Row],[ups ship charge]]-Table1[[#This Row],[ada ship charge]],0)</f>
        <v>0</v>
      </c>
    </row>
    <row r="3401" spans="1:9" x14ac:dyDescent="0.2">
      <c r="A3401">
        <v>1046095</v>
      </c>
      <c r="B3401" t="s">
        <v>21</v>
      </c>
      <c r="C3401">
        <v>12.75</v>
      </c>
      <c r="D3401">
        <v>12.8</v>
      </c>
      <c r="E3401">
        <v>34.950000000000003</v>
      </c>
      <c r="F3401" t="s">
        <v>9</v>
      </c>
      <c r="G34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01">
        <f>IF(Table1[[#This Row],[is_ups_overcharge]]="ups overcharged",Table1[[#This Row],[ups ship charge]]-Table1[[#This Row],[ada ship charge]],0)</f>
        <v>0</v>
      </c>
    </row>
    <row r="3402" spans="1:9" x14ac:dyDescent="0.2">
      <c r="A3402">
        <v>1046109</v>
      </c>
      <c r="B3402" t="s">
        <v>21</v>
      </c>
      <c r="C3402">
        <v>13.64</v>
      </c>
      <c r="D3402">
        <v>13.69</v>
      </c>
      <c r="E3402">
        <v>20.8</v>
      </c>
      <c r="F3402" t="s">
        <v>9</v>
      </c>
      <c r="G34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02">
        <f>IF(Table1[[#This Row],[is_ups_overcharge]]="ups overcharged",Table1[[#This Row],[ups ship charge]]-Table1[[#This Row],[ada ship charge]],0)</f>
        <v>0</v>
      </c>
    </row>
    <row r="3403" spans="1:9" x14ac:dyDescent="0.2">
      <c r="A3403">
        <v>1046119</v>
      </c>
      <c r="B3403" t="s">
        <v>21</v>
      </c>
      <c r="C3403">
        <v>13.64</v>
      </c>
      <c r="D3403">
        <v>13.69</v>
      </c>
      <c r="E3403">
        <v>34.950000000000003</v>
      </c>
      <c r="F3403" t="s">
        <v>9</v>
      </c>
      <c r="G34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03">
        <f>IF(Table1[[#This Row],[is_ups_overcharge]]="ups overcharged",Table1[[#This Row],[ups ship charge]]-Table1[[#This Row],[ada ship charge]],0)</f>
        <v>0</v>
      </c>
    </row>
    <row r="3404" spans="1:9" x14ac:dyDescent="0.2">
      <c r="A3404">
        <v>1046159</v>
      </c>
      <c r="B3404" t="s">
        <v>21</v>
      </c>
      <c r="C3404">
        <v>88.25</v>
      </c>
      <c r="D3404">
        <v>81.790000000000006</v>
      </c>
      <c r="E3404">
        <v>188</v>
      </c>
      <c r="F3404" t="s">
        <v>11</v>
      </c>
      <c r="G34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0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404">
        <f>IF(Table1[[#This Row],[is_ups_overcharge]]="ups overcharged",Table1[[#This Row],[ups ship charge]]-Table1[[#This Row],[ada ship charge]],0)</f>
        <v>6.4599999999999937</v>
      </c>
    </row>
    <row r="3405" spans="1:9" x14ac:dyDescent="0.2">
      <c r="A3405">
        <v>1046161</v>
      </c>
      <c r="B3405" t="s">
        <v>21</v>
      </c>
      <c r="C3405">
        <v>9.66</v>
      </c>
      <c r="D3405">
        <v>13.69</v>
      </c>
      <c r="E3405">
        <v>49.9</v>
      </c>
      <c r="F3405" t="s">
        <v>6</v>
      </c>
      <c r="G34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05">
        <f>IF(Table1[[#This Row],[is_ups_overcharge]]="ups overcharged",Table1[[#This Row],[ups ship charge]]-Table1[[#This Row],[ada ship charge]],0)</f>
        <v>0</v>
      </c>
    </row>
    <row r="3406" spans="1:9" x14ac:dyDescent="0.2">
      <c r="A3406">
        <v>1046174</v>
      </c>
      <c r="B3406" t="s">
        <v>21</v>
      </c>
      <c r="C3406">
        <v>13.64</v>
      </c>
      <c r="D3406">
        <v>13.69</v>
      </c>
      <c r="E3406">
        <v>5</v>
      </c>
      <c r="F3406" t="s">
        <v>9</v>
      </c>
      <c r="G34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06">
        <f>IF(Table1[[#This Row],[is_ups_overcharge]]="ups overcharged",Table1[[#This Row],[ups ship charge]]-Table1[[#This Row],[ada ship charge]],0)</f>
        <v>0</v>
      </c>
    </row>
    <row r="3407" spans="1:9" x14ac:dyDescent="0.2">
      <c r="A3407">
        <v>1046181</v>
      </c>
      <c r="B3407" t="s">
        <v>21</v>
      </c>
      <c r="C3407">
        <v>9.65</v>
      </c>
      <c r="D3407">
        <v>9.6999999999999993</v>
      </c>
      <c r="E3407">
        <v>70.5</v>
      </c>
      <c r="F3407" t="s">
        <v>6</v>
      </c>
      <c r="G34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07">
        <f>IF(Table1[[#This Row],[is_ups_overcharge]]="ups overcharged",Table1[[#This Row],[ups ship charge]]-Table1[[#This Row],[ada ship charge]],0)</f>
        <v>0</v>
      </c>
    </row>
    <row r="3408" spans="1:9" x14ac:dyDescent="0.2">
      <c r="A3408">
        <v>1046214</v>
      </c>
      <c r="B3408" t="s">
        <v>21</v>
      </c>
      <c r="C3408">
        <v>12.75</v>
      </c>
      <c r="D3408">
        <v>12.8</v>
      </c>
      <c r="E3408">
        <v>44.95</v>
      </c>
      <c r="F3408" t="s">
        <v>9</v>
      </c>
      <c r="G34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08">
        <f>IF(Table1[[#This Row],[is_ups_overcharge]]="ups overcharged",Table1[[#This Row],[ups ship charge]]-Table1[[#This Row],[ada ship charge]],0)</f>
        <v>0</v>
      </c>
    </row>
    <row r="3409" spans="1:9" x14ac:dyDescent="0.2">
      <c r="A3409">
        <v>1046234</v>
      </c>
      <c r="B3409" t="s">
        <v>21</v>
      </c>
      <c r="C3409">
        <v>12.75</v>
      </c>
      <c r="D3409">
        <v>12.8</v>
      </c>
      <c r="E3409">
        <v>46.8</v>
      </c>
      <c r="F3409" t="s">
        <v>9</v>
      </c>
      <c r="G34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09">
        <f>IF(Table1[[#This Row],[is_ups_overcharge]]="ups overcharged",Table1[[#This Row],[ups ship charge]]-Table1[[#This Row],[ada ship charge]],0)</f>
        <v>0</v>
      </c>
    </row>
    <row r="3410" spans="1:9" x14ac:dyDescent="0.2">
      <c r="A3410">
        <v>1046252</v>
      </c>
      <c r="B3410" t="s">
        <v>21</v>
      </c>
      <c r="C3410">
        <v>12.75</v>
      </c>
      <c r="D3410">
        <v>12.8</v>
      </c>
      <c r="E3410">
        <v>34.9</v>
      </c>
      <c r="F3410" t="s">
        <v>9</v>
      </c>
      <c r="G34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10">
        <f>IF(Table1[[#This Row],[is_ups_overcharge]]="ups overcharged",Table1[[#This Row],[ups ship charge]]-Table1[[#This Row],[ada ship charge]],0)</f>
        <v>0</v>
      </c>
    </row>
    <row r="3411" spans="1:9" x14ac:dyDescent="0.2">
      <c r="A3411">
        <v>1046294</v>
      </c>
      <c r="B3411" t="s">
        <v>21</v>
      </c>
      <c r="C3411">
        <v>15.33</v>
      </c>
      <c r="D3411">
        <v>15.38</v>
      </c>
      <c r="E3411">
        <v>101.05</v>
      </c>
      <c r="F3411" t="s">
        <v>12</v>
      </c>
      <c r="G34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11">
        <f>IF(Table1[[#This Row],[is_ups_overcharge]]="ups overcharged",Table1[[#This Row],[ups ship charge]]-Table1[[#This Row],[ada ship charge]],0)</f>
        <v>0</v>
      </c>
    </row>
    <row r="3412" spans="1:9" x14ac:dyDescent="0.2">
      <c r="A3412">
        <v>1046301</v>
      </c>
      <c r="B3412" t="s">
        <v>21</v>
      </c>
      <c r="C3412">
        <v>13.64</v>
      </c>
      <c r="D3412">
        <v>13.69</v>
      </c>
      <c r="E3412">
        <v>51.85</v>
      </c>
      <c r="F3412" t="s">
        <v>9</v>
      </c>
      <c r="G34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12">
        <f>IF(Table1[[#This Row],[is_ups_overcharge]]="ups overcharged",Table1[[#This Row],[ups ship charge]]-Table1[[#This Row],[ada ship charge]],0)</f>
        <v>0</v>
      </c>
    </row>
    <row r="3413" spans="1:9" x14ac:dyDescent="0.2">
      <c r="A3413">
        <v>1046322</v>
      </c>
      <c r="B3413" t="s">
        <v>21</v>
      </c>
      <c r="C3413">
        <v>13.64</v>
      </c>
      <c r="D3413">
        <v>13.69</v>
      </c>
      <c r="E3413">
        <v>29.95</v>
      </c>
      <c r="F3413" t="s">
        <v>9</v>
      </c>
      <c r="G34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13">
        <f>IF(Table1[[#This Row],[is_ups_overcharge]]="ups overcharged",Table1[[#This Row],[ups ship charge]]-Table1[[#This Row],[ada ship charge]],0)</f>
        <v>0</v>
      </c>
    </row>
    <row r="3414" spans="1:9" x14ac:dyDescent="0.2">
      <c r="A3414">
        <v>1046323</v>
      </c>
      <c r="B3414" t="s">
        <v>21</v>
      </c>
      <c r="C3414">
        <v>13.64</v>
      </c>
      <c r="D3414">
        <v>15.91</v>
      </c>
      <c r="E3414">
        <v>59.9</v>
      </c>
      <c r="F3414" t="s">
        <v>9</v>
      </c>
      <c r="G34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14">
        <f>IF(Table1[[#This Row],[is_ups_overcharge]]="ups overcharged",Table1[[#This Row],[ups ship charge]]-Table1[[#This Row],[ada ship charge]],0)</f>
        <v>0</v>
      </c>
    </row>
    <row r="3415" spans="1:9" x14ac:dyDescent="0.2">
      <c r="A3415">
        <v>1046324</v>
      </c>
      <c r="B3415" t="s">
        <v>21</v>
      </c>
      <c r="C3415">
        <v>13.64</v>
      </c>
      <c r="D3415">
        <v>13.69</v>
      </c>
      <c r="E3415">
        <v>27.1</v>
      </c>
      <c r="F3415" t="s">
        <v>9</v>
      </c>
      <c r="G34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15">
        <f>IF(Table1[[#This Row],[is_ups_overcharge]]="ups overcharged",Table1[[#This Row],[ups ship charge]]-Table1[[#This Row],[ada ship charge]],0)</f>
        <v>0</v>
      </c>
    </row>
    <row r="3416" spans="1:9" x14ac:dyDescent="0.2">
      <c r="A3416">
        <v>1046342</v>
      </c>
      <c r="B3416" t="s">
        <v>21</v>
      </c>
      <c r="C3416">
        <v>12.75</v>
      </c>
      <c r="D3416">
        <v>12.8</v>
      </c>
      <c r="E3416">
        <v>59.7</v>
      </c>
      <c r="F3416" t="s">
        <v>9</v>
      </c>
      <c r="G34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16">
        <f>IF(Table1[[#This Row],[is_ups_overcharge]]="ups overcharged",Table1[[#This Row],[ups ship charge]]-Table1[[#This Row],[ada ship charge]],0)</f>
        <v>0</v>
      </c>
    </row>
    <row r="3417" spans="1:9" x14ac:dyDescent="0.2">
      <c r="A3417">
        <v>1046361</v>
      </c>
      <c r="B3417" t="s">
        <v>21</v>
      </c>
      <c r="C3417">
        <v>13.64</v>
      </c>
      <c r="D3417">
        <v>13.69</v>
      </c>
      <c r="E3417">
        <v>89.85</v>
      </c>
      <c r="F3417" t="s">
        <v>9</v>
      </c>
      <c r="G34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17">
        <f>IF(Table1[[#This Row],[is_ups_overcharge]]="ups overcharged",Table1[[#This Row],[ups ship charge]]-Table1[[#This Row],[ada ship charge]],0)</f>
        <v>0</v>
      </c>
    </row>
    <row r="3418" spans="1:9" x14ac:dyDescent="0.2">
      <c r="A3418">
        <v>1046370</v>
      </c>
      <c r="B3418" t="s">
        <v>21</v>
      </c>
      <c r="C3418">
        <v>26.67</v>
      </c>
      <c r="D3418">
        <v>28.84</v>
      </c>
      <c r="E3418">
        <v>424.5</v>
      </c>
      <c r="F3418" t="s">
        <v>16</v>
      </c>
      <c r="G34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18">
        <f>IF(Table1[[#This Row],[is_ups_overcharge]]="ups overcharged",Table1[[#This Row],[ups ship charge]]-Table1[[#This Row],[ada ship charge]],0)</f>
        <v>0</v>
      </c>
    </row>
    <row r="3419" spans="1:9" x14ac:dyDescent="0.2">
      <c r="A3419">
        <v>1046374</v>
      </c>
      <c r="B3419" t="s">
        <v>21</v>
      </c>
      <c r="C3419">
        <v>12.75</v>
      </c>
      <c r="D3419">
        <v>12.8</v>
      </c>
      <c r="E3419">
        <v>11.95</v>
      </c>
      <c r="F3419" t="s">
        <v>9</v>
      </c>
      <c r="G34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19">
        <f>IF(Table1[[#This Row],[is_ups_overcharge]]="ups overcharged",Table1[[#This Row],[ups ship charge]]-Table1[[#This Row],[ada ship charge]],0)</f>
        <v>0</v>
      </c>
    </row>
    <row r="3420" spans="1:9" x14ac:dyDescent="0.2">
      <c r="A3420">
        <v>1046396</v>
      </c>
      <c r="B3420" t="s">
        <v>21</v>
      </c>
      <c r="C3420">
        <v>9.66</v>
      </c>
      <c r="D3420">
        <v>9.7100000000000009</v>
      </c>
      <c r="E3420">
        <v>39.950000000000003</v>
      </c>
      <c r="F3420" t="s">
        <v>6</v>
      </c>
      <c r="G34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20">
        <f>IF(Table1[[#This Row],[is_ups_overcharge]]="ups overcharged",Table1[[#This Row],[ups ship charge]]-Table1[[#This Row],[ada ship charge]],0)</f>
        <v>0</v>
      </c>
    </row>
    <row r="3421" spans="1:9" x14ac:dyDescent="0.2">
      <c r="A3421">
        <v>1046403</v>
      </c>
      <c r="B3421" t="s">
        <v>21</v>
      </c>
      <c r="C3421">
        <v>13.64</v>
      </c>
      <c r="D3421">
        <v>13.69</v>
      </c>
      <c r="E3421">
        <v>12.9</v>
      </c>
      <c r="F3421" t="s">
        <v>9</v>
      </c>
      <c r="G34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21">
        <f>IF(Table1[[#This Row],[is_ups_overcharge]]="ups overcharged",Table1[[#This Row],[ups ship charge]]-Table1[[#This Row],[ada ship charge]],0)</f>
        <v>0</v>
      </c>
    </row>
    <row r="3422" spans="1:9" x14ac:dyDescent="0.2">
      <c r="A3422">
        <v>1046420</v>
      </c>
      <c r="B3422" t="s">
        <v>21</v>
      </c>
      <c r="C3422">
        <v>12.75</v>
      </c>
      <c r="D3422">
        <v>12.8</v>
      </c>
      <c r="E3422">
        <v>54.35</v>
      </c>
      <c r="F3422" t="s">
        <v>9</v>
      </c>
      <c r="G34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22">
        <f>IF(Table1[[#This Row],[is_ups_overcharge]]="ups overcharged",Table1[[#This Row],[ups ship charge]]-Table1[[#This Row],[ada ship charge]],0)</f>
        <v>0</v>
      </c>
    </row>
    <row r="3423" spans="1:9" x14ac:dyDescent="0.2">
      <c r="A3423">
        <v>1046429</v>
      </c>
      <c r="B3423" t="s">
        <v>21</v>
      </c>
      <c r="C3423">
        <v>10.94</v>
      </c>
      <c r="D3423">
        <v>10.99</v>
      </c>
      <c r="E3423">
        <v>69.5</v>
      </c>
      <c r="F3423" t="s">
        <v>14</v>
      </c>
      <c r="G34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23">
        <f>IF(Table1[[#This Row],[is_ups_overcharge]]="ups overcharged",Table1[[#This Row],[ups ship charge]]-Table1[[#This Row],[ada ship charge]],0)</f>
        <v>0</v>
      </c>
    </row>
    <row r="3424" spans="1:9" x14ac:dyDescent="0.2">
      <c r="A3424">
        <v>1046448</v>
      </c>
      <c r="B3424" t="s">
        <v>21</v>
      </c>
      <c r="C3424">
        <v>13.64</v>
      </c>
      <c r="D3424">
        <v>13.73</v>
      </c>
      <c r="E3424">
        <v>50.05</v>
      </c>
      <c r="F3424" t="s">
        <v>9</v>
      </c>
      <c r="G34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24">
        <f>IF(Table1[[#This Row],[is_ups_overcharge]]="ups overcharged",Table1[[#This Row],[ups ship charge]]-Table1[[#This Row],[ada ship charge]],0)</f>
        <v>0</v>
      </c>
    </row>
    <row r="3425" spans="1:9" x14ac:dyDescent="0.2">
      <c r="A3425">
        <v>1046454</v>
      </c>
      <c r="B3425" t="s">
        <v>21</v>
      </c>
      <c r="C3425">
        <v>12.75</v>
      </c>
      <c r="D3425">
        <v>12.8</v>
      </c>
      <c r="E3425">
        <v>77.349999999999994</v>
      </c>
      <c r="F3425" t="s">
        <v>9</v>
      </c>
      <c r="G34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25">
        <f>IF(Table1[[#This Row],[is_ups_overcharge]]="ups overcharged",Table1[[#This Row],[ups ship charge]]-Table1[[#This Row],[ada ship charge]],0)</f>
        <v>0</v>
      </c>
    </row>
    <row r="3426" spans="1:9" x14ac:dyDescent="0.2">
      <c r="A3426">
        <v>1046490</v>
      </c>
      <c r="B3426" t="s">
        <v>21</v>
      </c>
      <c r="C3426">
        <v>16.649999999999999</v>
      </c>
      <c r="D3426">
        <v>16.7</v>
      </c>
      <c r="E3426">
        <v>9.1</v>
      </c>
      <c r="F3426" t="s">
        <v>10</v>
      </c>
      <c r="G34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26">
        <f>IF(Table1[[#This Row],[is_ups_overcharge]]="ups overcharged",Table1[[#This Row],[ups ship charge]]-Table1[[#This Row],[ada ship charge]],0)</f>
        <v>0</v>
      </c>
    </row>
    <row r="3427" spans="1:9" x14ac:dyDescent="0.2">
      <c r="A3427">
        <v>1046525</v>
      </c>
      <c r="B3427" t="s">
        <v>21</v>
      </c>
      <c r="C3427">
        <v>16.440000000000001</v>
      </c>
      <c r="D3427">
        <v>18.329999999999998</v>
      </c>
      <c r="E3427">
        <v>34.9</v>
      </c>
      <c r="F3427" t="s">
        <v>10</v>
      </c>
      <c r="G34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27">
        <f>IF(Table1[[#This Row],[is_ups_overcharge]]="ups overcharged",Table1[[#This Row],[ups ship charge]]-Table1[[#This Row],[ada ship charge]],0)</f>
        <v>0</v>
      </c>
    </row>
    <row r="3428" spans="1:9" x14ac:dyDescent="0.2">
      <c r="A3428">
        <v>1046538</v>
      </c>
      <c r="B3428" t="s">
        <v>21</v>
      </c>
      <c r="C3428">
        <v>12.75</v>
      </c>
      <c r="D3428">
        <v>12.8</v>
      </c>
      <c r="E3428">
        <v>7.95</v>
      </c>
      <c r="F3428" t="s">
        <v>9</v>
      </c>
      <c r="G34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28">
        <f>IF(Table1[[#This Row],[is_ups_overcharge]]="ups overcharged",Table1[[#This Row],[ups ship charge]]-Table1[[#This Row],[ada ship charge]],0)</f>
        <v>0</v>
      </c>
    </row>
    <row r="3429" spans="1:9" x14ac:dyDescent="0.2">
      <c r="A3429">
        <v>1046547</v>
      </c>
      <c r="B3429" t="s">
        <v>21</v>
      </c>
      <c r="C3429">
        <v>13.64</v>
      </c>
      <c r="D3429">
        <v>13.69</v>
      </c>
      <c r="E3429">
        <v>52.9</v>
      </c>
      <c r="F3429" t="s">
        <v>9</v>
      </c>
      <c r="G34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29">
        <f>IF(Table1[[#This Row],[is_ups_overcharge]]="ups overcharged",Table1[[#This Row],[ups ship charge]]-Table1[[#This Row],[ada ship charge]],0)</f>
        <v>0</v>
      </c>
    </row>
    <row r="3430" spans="1:9" x14ac:dyDescent="0.2">
      <c r="A3430">
        <v>1046561</v>
      </c>
      <c r="B3430" t="s">
        <v>21</v>
      </c>
      <c r="C3430">
        <v>16.440000000000001</v>
      </c>
      <c r="D3430">
        <v>18.329999999999998</v>
      </c>
      <c r="E3430">
        <v>21.9</v>
      </c>
      <c r="F3430" t="s">
        <v>10</v>
      </c>
      <c r="G34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30">
        <f>IF(Table1[[#This Row],[is_ups_overcharge]]="ups overcharged",Table1[[#This Row],[ups ship charge]]-Table1[[#This Row],[ada ship charge]],0)</f>
        <v>0</v>
      </c>
    </row>
    <row r="3431" spans="1:9" x14ac:dyDescent="0.2">
      <c r="A3431">
        <v>1046570</v>
      </c>
      <c r="B3431" t="s">
        <v>21</v>
      </c>
      <c r="C3431">
        <v>9.66</v>
      </c>
      <c r="D3431">
        <v>9.7100000000000009</v>
      </c>
      <c r="E3431">
        <v>17.95</v>
      </c>
      <c r="F3431" t="s">
        <v>6</v>
      </c>
      <c r="G34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31">
        <f>IF(Table1[[#This Row],[is_ups_overcharge]]="ups overcharged",Table1[[#This Row],[ups ship charge]]-Table1[[#This Row],[ada ship charge]],0)</f>
        <v>0</v>
      </c>
    </row>
    <row r="3432" spans="1:9" x14ac:dyDescent="0.2">
      <c r="A3432">
        <v>1046576</v>
      </c>
      <c r="B3432" t="s">
        <v>21</v>
      </c>
      <c r="C3432">
        <v>13.64</v>
      </c>
      <c r="D3432">
        <v>13.69</v>
      </c>
      <c r="E3432">
        <v>14.95</v>
      </c>
      <c r="F3432" t="s">
        <v>9</v>
      </c>
      <c r="G34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32">
        <f>IF(Table1[[#This Row],[is_ups_overcharge]]="ups overcharged",Table1[[#This Row],[ups ship charge]]-Table1[[#This Row],[ada ship charge]],0)</f>
        <v>0</v>
      </c>
    </row>
    <row r="3433" spans="1:9" x14ac:dyDescent="0.2">
      <c r="A3433">
        <v>1046614</v>
      </c>
      <c r="B3433" t="s">
        <v>21</v>
      </c>
      <c r="C3433">
        <v>13.64</v>
      </c>
      <c r="D3433">
        <v>13.69</v>
      </c>
      <c r="E3433">
        <v>5</v>
      </c>
      <c r="F3433" t="s">
        <v>9</v>
      </c>
      <c r="G34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33">
        <f>IF(Table1[[#This Row],[is_ups_overcharge]]="ups overcharged",Table1[[#This Row],[ups ship charge]]-Table1[[#This Row],[ada ship charge]],0)</f>
        <v>0</v>
      </c>
    </row>
    <row r="3434" spans="1:9" x14ac:dyDescent="0.2">
      <c r="A3434">
        <v>1046617</v>
      </c>
      <c r="B3434" t="s">
        <v>21</v>
      </c>
      <c r="C3434">
        <v>12.75</v>
      </c>
      <c r="D3434">
        <v>12.8</v>
      </c>
      <c r="E3434">
        <v>19.3</v>
      </c>
      <c r="F3434" t="s">
        <v>9</v>
      </c>
      <c r="G34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34">
        <f>IF(Table1[[#This Row],[is_ups_overcharge]]="ups overcharged",Table1[[#This Row],[ups ship charge]]-Table1[[#This Row],[ada ship charge]],0)</f>
        <v>0</v>
      </c>
    </row>
    <row r="3435" spans="1:9" x14ac:dyDescent="0.2">
      <c r="A3435">
        <v>1046623</v>
      </c>
      <c r="B3435" t="s">
        <v>21</v>
      </c>
      <c r="C3435">
        <v>12.75</v>
      </c>
      <c r="D3435">
        <v>9.7100000000000009</v>
      </c>
      <c r="E3435">
        <v>9.9499999999999993</v>
      </c>
      <c r="F3435" t="s">
        <v>9</v>
      </c>
      <c r="G34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35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435">
        <f>IF(Table1[[#This Row],[is_ups_overcharge]]="ups overcharged",Table1[[#This Row],[ups ship charge]]-Table1[[#This Row],[ada ship charge]],0)</f>
        <v>3.0399999999999991</v>
      </c>
    </row>
    <row r="3436" spans="1:9" x14ac:dyDescent="0.2">
      <c r="A3436">
        <v>1046632</v>
      </c>
      <c r="B3436" t="s">
        <v>21</v>
      </c>
      <c r="C3436">
        <v>17.36</v>
      </c>
      <c r="D3436">
        <v>17.41</v>
      </c>
      <c r="E3436">
        <v>161.05000000000001</v>
      </c>
      <c r="F3436" t="s">
        <v>12</v>
      </c>
      <c r="G34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36">
        <f>IF(Table1[[#This Row],[is_ups_overcharge]]="ups overcharged",Table1[[#This Row],[ups ship charge]]-Table1[[#This Row],[ada ship charge]],0)</f>
        <v>0</v>
      </c>
    </row>
    <row r="3437" spans="1:9" x14ac:dyDescent="0.2">
      <c r="A3437">
        <v>1046645</v>
      </c>
      <c r="B3437" t="s">
        <v>21</v>
      </c>
      <c r="C3437">
        <v>12.75</v>
      </c>
      <c r="D3437">
        <v>13.25</v>
      </c>
      <c r="E3437">
        <v>125.55</v>
      </c>
      <c r="F3437" t="s">
        <v>9</v>
      </c>
      <c r="G34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37">
        <f>IF(Table1[[#This Row],[is_ups_overcharge]]="ups overcharged",Table1[[#This Row],[ups ship charge]]-Table1[[#This Row],[ada ship charge]],0)</f>
        <v>0</v>
      </c>
    </row>
    <row r="3438" spans="1:9" x14ac:dyDescent="0.2">
      <c r="A3438">
        <v>1046651</v>
      </c>
      <c r="B3438" t="s">
        <v>21</v>
      </c>
      <c r="C3438">
        <v>9.65</v>
      </c>
      <c r="D3438">
        <v>9.6999999999999993</v>
      </c>
      <c r="E3438">
        <v>12.9</v>
      </c>
      <c r="F3438" t="s">
        <v>6</v>
      </c>
      <c r="G34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38">
        <f>IF(Table1[[#This Row],[is_ups_overcharge]]="ups overcharged",Table1[[#This Row],[ups ship charge]]-Table1[[#This Row],[ada ship charge]],0)</f>
        <v>0</v>
      </c>
    </row>
    <row r="3439" spans="1:9" x14ac:dyDescent="0.2">
      <c r="A3439">
        <v>1046652</v>
      </c>
      <c r="B3439" t="s">
        <v>21</v>
      </c>
      <c r="C3439">
        <v>9.65</v>
      </c>
      <c r="D3439">
        <v>9.6999999999999993</v>
      </c>
      <c r="E3439">
        <v>5</v>
      </c>
      <c r="F3439" t="s">
        <v>6</v>
      </c>
      <c r="G34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39">
        <f>IF(Table1[[#This Row],[is_ups_overcharge]]="ups overcharged",Table1[[#This Row],[ups ship charge]]-Table1[[#This Row],[ada ship charge]],0)</f>
        <v>0</v>
      </c>
    </row>
    <row r="3440" spans="1:9" x14ac:dyDescent="0.2">
      <c r="A3440">
        <v>1046668</v>
      </c>
      <c r="B3440" t="s">
        <v>21</v>
      </c>
      <c r="C3440">
        <v>15.33</v>
      </c>
      <c r="D3440">
        <v>15.38</v>
      </c>
      <c r="E3440">
        <v>7.95</v>
      </c>
      <c r="F3440" t="s">
        <v>12</v>
      </c>
      <c r="G34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40">
        <f>IF(Table1[[#This Row],[is_ups_overcharge]]="ups overcharged",Table1[[#This Row],[ups ship charge]]-Table1[[#This Row],[ada ship charge]],0)</f>
        <v>0</v>
      </c>
    </row>
    <row r="3441" spans="1:9" x14ac:dyDescent="0.2">
      <c r="A3441">
        <v>1046674</v>
      </c>
      <c r="B3441" t="s">
        <v>21</v>
      </c>
      <c r="C3441">
        <v>12.75</v>
      </c>
      <c r="D3441">
        <v>12.8</v>
      </c>
      <c r="E3441">
        <v>5</v>
      </c>
      <c r="F3441" t="s">
        <v>9</v>
      </c>
      <c r="G34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41">
        <f>IF(Table1[[#This Row],[is_ups_overcharge]]="ups overcharged",Table1[[#This Row],[ups ship charge]]-Table1[[#This Row],[ada ship charge]],0)</f>
        <v>0</v>
      </c>
    </row>
    <row r="3442" spans="1:9" x14ac:dyDescent="0.2">
      <c r="A3442">
        <v>1046683</v>
      </c>
      <c r="B3442" t="s">
        <v>21</v>
      </c>
      <c r="C3442">
        <v>13.64</v>
      </c>
      <c r="D3442">
        <v>13.69</v>
      </c>
      <c r="E3442">
        <v>69.95</v>
      </c>
      <c r="F3442" t="s">
        <v>9</v>
      </c>
      <c r="G34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42">
        <f>IF(Table1[[#This Row],[is_ups_overcharge]]="ups overcharged",Table1[[#This Row],[ups ship charge]]-Table1[[#This Row],[ada ship charge]],0)</f>
        <v>0</v>
      </c>
    </row>
    <row r="3443" spans="1:9" x14ac:dyDescent="0.2">
      <c r="A3443">
        <v>1046693</v>
      </c>
      <c r="B3443" t="s">
        <v>21</v>
      </c>
      <c r="C3443">
        <v>13.64</v>
      </c>
      <c r="D3443">
        <v>13.69</v>
      </c>
      <c r="E3443">
        <v>21.85</v>
      </c>
      <c r="F3443" t="s">
        <v>9</v>
      </c>
      <c r="G34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43">
        <f>IF(Table1[[#This Row],[is_ups_overcharge]]="ups overcharged",Table1[[#This Row],[ups ship charge]]-Table1[[#This Row],[ada ship charge]],0)</f>
        <v>0</v>
      </c>
    </row>
    <row r="3444" spans="1:9" x14ac:dyDescent="0.2">
      <c r="A3444">
        <v>1046709</v>
      </c>
      <c r="B3444" t="s">
        <v>21</v>
      </c>
      <c r="C3444">
        <v>16.64</v>
      </c>
      <c r="D3444">
        <v>16.690000000000001</v>
      </c>
      <c r="E3444">
        <v>39.65</v>
      </c>
      <c r="F3444" t="s">
        <v>10</v>
      </c>
      <c r="G34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44">
        <f>IF(Table1[[#This Row],[is_ups_overcharge]]="ups overcharged",Table1[[#This Row],[ups ship charge]]-Table1[[#This Row],[ada ship charge]],0)</f>
        <v>0</v>
      </c>
    </row>
    <row r="3445" spans="1:9" x14ac:dyDescent="0.2">
      <c r="A3445">
        <v>1046722</v>
      </c>
      <c r="B3445" t="s">
        <v>21</v>
      </c>
      <c r="C3445">
        <v>15.33</v>
      </c>
      <c r="D3445">
        <v>15.39</v>
      </c>
      <c r="E3445">
        <v>54.85</v>
      </c>
      <c r="F3445" t="s">
        <v>12</v>
      </c>
      <c r="G34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45">
        <f>IF(Table1[[#This Row],[is_ups_overcharge]]="ups overcharged",Table1[[#This Row],[ups ship charge]]-Table1[[#This Row],[ada ship charge]],0)</f>
        <v>0</v>
      </c>
    </row>
    <row r="3446" spans="1:9" x14ac:dyDescent="0.2">
      <c r="A3446">
        <v>1046736</v>
      </c>
      <c r="B3446" t="s">
        <v>21</v>
      </c>
      <c r="C3446">
        <v>12.75</v>
      </c>
      <c r="D3446">
        <v>12.8</v>
      </c>
      <c r="E3446">
        <v>34.9</v>
      </c>
      <c r="F3446" t="s">
        <v>9</v>
      </c>
      <c r="G34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46">
        <f>IF(Table1[[#This Row],[is_ups_overcharge]]="ups overcharged",Table1[[#This Row],[ups ship charge]]-Table1[[#This Row],[ada ship charge]],0)</f>
        <v>0</v>
      </c>
    </row>
    <row r="3447" spans="1:9" x14ac:dyDescent="0.2">
      <c r="A3447">
        <v>1046742</v>
      </c>
      <c r="B3447" t="s">
        <v>21</v>
      </c>
      <c r="C3447">
        <v>12.75</v>
      </c>
      <c r="D3447">
        <v>12.8</v>
      </c>
      <c r="E3447">
        <v>108.65</v>
      </c>
      <c r="F3447" t="s">
        <v>9</v>
      </c>
      <c r="G34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47">
        <f>IF(Table1[[#This Row],[is_ups_overcharge]]="ups overcharged",Table1[[#This Row],[ups ship charge]]-Table1[[#This Row],[ada ship charge]],0)</f>
        <v>0</v>
      </c>
    </row>
    <row r="3448" spans="1:9" x14ac:dyDescent="0.2">
      <c r="A3448">
        <v>1046748</v>
      </c>
      <c r="B3448" t="s">
        <v>21</v>
      </c>
      <c r="C3448">
        <v>15.02</v>
      </c>
      <c r="D3448">
        <v>15.07</v>
      </c>
      <c r="E3448">
        <v>77.2</v>
      </c>
      <c r="F3448" t="s">
        <v>12</v>
      </c>
      <c r="G34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48">
        <f>IF(Table1[[#This Row],[is_ups_overcharge]]="ups overcharged",Table1[[#This Row],[ups ship charge]]-Table1[[#This Row],[ada ship charge]],0)</f>
        <v>0</v>
      </c>
    </row>
    <row r="3449" spans="1:9" x14ac:dyDescent="0.2">
      <c r="A3449">
        <v>1046750</v>
      </c>
      <c r="B3449" t="s">
        <v>21</v>
      </c>
      <c r="C3449">
        <v>13.64</v>
      </c>
      <c r="D3449">
        <v>13.69</v>
      </c>
      <c r="E3449">
        <v>48.75</v>
      </c>
      <c r="F3449" t="s">
        <v>9</v>
      </c>
      <c r="G34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49">
        <f>IF(Table1[[#This Row],[is_ups_overcharge]]="ups overcharged",Table1[[#This Row],[ups ship charge]]-Table1[[#This Row],[ada ship charge]],0)</f>
        <v>0</v>
      </c>
    </row>
    <row r="3450" spans="1:9" x14ac:dyDescent="0.2">
      <c r="A3450">
        <v>1046752</v>
      </c>
      <c r="B3450" t="s">
        <v>21</v>
      </c>
      <c r="C3450">
        <v>13.64</v>
      </c>
      <c r="D3450">
        <v>13.69</v>
      </c>
      <c r="E3450">
        <v>126.7</v>
      </c>
      <c r="F3450" t="s">
        <v>9</v>
      </c>
      <c r="G34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50">
        <f>IF(Table1[[#This Row],[is_ups_overcharge]]="ups overcharged",Table1[[#This Row],[ups ship charge]]-Table1[[#This Row],[ada ship charge]],0)</f>
        <v>0</v>
      </c>
    </row>
    <row r="3451" spans="1:9" x14ac:dyDescent="0.2">
      <c r="A3451">
        <v>1046785</v>
      </c>
      <c r="B3451" t="s">
        <v>21</v>
      </c>
      <c r="C3451">
        <v>26.93</v>
      </c>
      <c r="D3451">
        <v>29.7</v>
      </c>
      <c r="E3451">
        <v>150.65</v>
      </c>
      <c r="F3451" t="s">
        <v>15</v>
      </c>
      <c r="G34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51">
        <f>IF(Table1[[#This Row],[is_ups_overcharge]]="ups overcharged",Table1[[#This Row],[ups ship charge]]-Table1[[#This Row],[ada ship charge]],0)</f>
        <v>0</v>
      </c>
    </row>
    <row r="3452" spans="1:9" x14ac:dyDescent="0.2">
      <c r="A3452">
        <v>1046791</v>
      </c>
      <c r="B3452" t="s">
        <v>21</v>
      </c>
      <c r="C3452">
        <v>12.75</v>
      </c>
      <c r="D3452">
        <v>12.8</v>
      </c>
      <c r="E3452">
        <v>52</v>
      </c>
      <c r="F3452" t="s">
        <v>9</v>
      </c>
      <c r="G34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52">
        <f>IF(Table1[[#This Row],[is_ups_overcharge]]="ups overcharged",Table1[[#This Row],[ups ship charge]]-Table1[[#This Row],[ada ship charge]],0)</f>
        <v>0</v>
      </c>
    </row>
    <row r="3453" spans="1:9" x14ac:dyDescent="0.2">
      <c r="A3453">
        <v>1046797</v>
      </c>
      <c r="B3453" t="s">
        <v>21</v>
      </c>
      <c r="C3453">
        <v>13.64</v>
      </c>
      <c r="D3453">
        <v>13.69</v>
      </c>
      <c r="E3453">
        <v>24.9</v>
      </c>
      <c r="F3453" t="s">
        <v>9</v>
      </c>
      <c r="G34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53">
        <f>IF(Table1[[#This Row],[is_ups_overcharge]]="ups overcharged",Table1[[#This Row],[ups ship charge]]-Table1[[#This Row],[ada ship charge]],0)</f>
        <v>0</v>
      </c>
    </row>
    <row r="3454" spans="1:9" x14ac:dyDescent="0.2">
      <c r="A3454">
        <v>1046802</v>
      </c>
      <c r="B3454" t="s">
        <v>21</v>
      </c>
      <c r="C3454">
        <v>27.61</v>
      </c>
      <c r="D3454">
        <v>27.66</v>
      </c>
      <c r="E3454">
        <v>124.75</v>
      </c>
      <c r="F3454" t="s">
        <v>13</v>
      </c>
      <c r="G34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54">
        <f>IF(Table1[[#This Row],[is_ups_overcharge]]="ups overcharged",Table1[[#This Row],[ups ship charge]]-Table1[[#This Row],[ada ship charge]],0)</f>
        <v>0</v>
      </c>
    </row>
    <row r="3455" spans="1:9" x14ac:dyDescent="0.2">
      <c r="A3455">
        <v>1046806</v>
      </c>
      <c r="B3455" t="s">
        <v>21</v>
      </c>
      <c r="C3455">
        <v>18.23</v>
      </c>
      <c r="D3455">
        <v>20.079999999999998</v>
      </c>
      <c r="E3455">
        <v>119.8</v>
      </c>
      <c r="F3455" t="s">
        <v>10</v>
      </c>
      <c r="G34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55">
        <f>IF(Table1[[#This Row],[is_ups_overcharge]]="ups overcharged",Table1[[#This Row],[ups ship charge]]-Table1[[#This Row],[ada ship charge]],0)</f>
        <v>0</v>
      </c>
    </row>
    <row r="3456" spans="1:9" x14ac:dyDescent="0.2">
      <c r="A3456">
        <v>1046810</v>
      </c>
      <c r="B3456" t="s">
        <v>21</v>
      </c>
      <c r="C3456">
        <v>16.34</v>
      </c>
      <c r="D3456">
        <v>16.39</v>
      </c>
      <c r="E3456">
        <v>44.95</v>
      </c>
      <c r="F3456" t="s">
        <v>10</v>
      </c>
      <c r="G34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56">
        <f>IF(Table1[[#This Row],[is_ups_overcharge]]="ups overcharged",Table1[[#This Row],[ups ship charge]]-Table1[[#This Row],[ada ship charge]],0)</f>
        <v>0</v>
      </c>
    </row>
    <row r="3457" spans="1:9" x14ac:dyDescent="0.2">
      <c r="A3457">
        <v>1046815</v>
      </c>
      <c r="B3457" t="s">
        <v>21</v>
      </c>
      <c r="C3457">
        <v>15.03</v>
      </c>
      <c r="D3457">
        <v>15.08</v>
      </c>
      <c r="E3457">
        <v>44.75</v>
      </c>
      <c r="F3457" t="s">
        <v>12</v>
      </c>
      <c r="G34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57">
        <f>IF(Table1[[#This Row],[is_ups_overcharge]]="ups overcharged",Table1[[#This Row],[ups ship charge]]-Table1[[#This Row],[ada ship charge]],0)</f>
        <v>0</v>
      </c>
    </row>
    <row r="3458" spans="1:9" x14ac:dyDescent="0.2">
      <c r="A3458">
        <v>1046823</v>
      </c>
      <c r="B3458" t="s">
        <v>21</v>
      </c>
      <c r="C3458">
        <v>21.7</v>
      </c>
      <c r="D3458">
        <v>21.75</v>
      </c>
      <c r="E3458">
        <v>6.95</v>
      </c>
      <c r="F3458" t="s">
        <v>15</v>
      </c>
      <c r="G34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58">
        <f>IF(Table1[[#This Row],[is_ups_overcharge]]="ups overcharged",Table1[[#This Row],[ups ship charge]]-Table1[[#This Row],[ada ship charge]],0)</f>
        <v>0</v>
      </c>
    </row>
    <row r="3459" spans="1:9" x14ac:dyDescent="0.2">
      <c r="A3459">
        <v>1046847</v>
      </c>
      <c r="B3459" t="s">
        <v>21</v>
      </c>
      <c r="C3459">
        <v>16.75</v>
      </c>
      <c r="D3459">
        <v>18.64</v>
      </c>
      <c r="E3459">
        <v>14.95</v>
      </c>
      <c r="F3459" t="s">
        <v>10</v>
      </c>
      <c r="G34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59">
        <f>IF(Table1[[#This Row],[is_ups_overcharge]]="ups overcharged",Table1[[#This Row],[ups ship charge]]-Table1[[#This Row],[ada ship charge]],0)</f>
        <v>0</v>
      </c>
    </row>
    <row r="3460" spans="1:9" x14ac:dyDescent="0.2">
      <c r="A3460">
        <v>1046860</v>
      </c>
      <c r="B3460" t="s">
        <v>21</v>
      </c>
      <c r="C3460">
        <v>12.75</v>
      </c>
      <c r="D3460">
        <v>12.8</v>
      </c>
      <c r="E3460">
        <v>67.25</v>
      </c>
      <c r="F3460" t="s">
        <v>9</v>
      </c>
      <c r="G34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60">
        <f>IF(Table1[[#This Row],[is_ups_overcharge]]="ups overcharged",Table1[[#This Row],[ups ship charge]]-Table1[[#This Row],[ada ship charge]],0)</f>
        <v>0</v>
      </c>
    </row>
    <row r="3461" spans="1:9" x14ac:dyDescent="0.2">
      <c r="A3461">
        <v>1046868</v>
      </c>
      <c r="B3461" t="s">
        <v>21</v>
      </c>
      <c r="C3461">
        <v>13.64</v>
      </c>
      <c r="D3461">
        <v>13.68</v>
      </c>
      <c r="E3461">
        <v>179.6</v>
      </c>
      <c r="F3461" t="s">
        <v>9</v>
      </c>
      <c r="G34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61">
        <f>IF(Table1[[#This Row],[is_ups_overcharge]]="ups overcharged",Table1[[#This Row],[ups ship charge]]-Table1[[#This Row],[ada ship charge]],0)</f>
        <v>0</v>
      </c>
    </row>
    <row r="3462" spans="1:9" x14ac:dyDescent="0.2">
      <c r="A3462">
        <v>1046870</v>
      </c>
      <c r="B3462" t="s">
        <v>21</v>
      </c>
      <c r="C3462">
        <v>12.75</v>
      </c>
      <c r="D3462">
        <v>12.8</v>
      </c>
      <c r="E3462">
        <v>74.05</v>
      </c>
      <c r="F3462" t="s">
        <v>9</v>
      </c>
      <c r="G34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62">
        <f>IF(Table1[[#This Row],[is_ups_overcharge]]="ups overcharged",Table1[[#This Row],[ups ship charge]]-Table1[[#This Row],[ada ship charge]],0)</f>
        <v>0</v>
      </c>
    </row>
    <row r="3463" spans="1:9" x14ac:dyDescent="0.2">
      <c r="A3463">
        <v>1046903</v>
      </c>
      <c r="B3463" t="s">
        <v>21</v>
      </c>
      <c r="C3463">
        <v>13.64</v>
      </c>
      <c r="D3463">
        <v>13.69</v>
      </c>
      <c r="E3463">
        <v>87.35</v>
      </c>
      <c r="F3463" t="s">
        <v>9</v>
      </c>
      <c r="G34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63">
        <f>IF(Table1[[#This Row],[is_ups_overcharge]]="ups overcharged",Table1[[#This Row],[ups ship charge]]-Table1[[#This Row],[ada ship charge]],0)</f>
        <v>0</v>
      </c>
    </row>
    <row r="3464" spans="1:9" x14ac:dyDescent="0.2">
      <c r="A3464">
        <v>1046906</v>
      </c>
      <c r="B3464" t="s">
        <v>21</v>
      </c>
      <c r="C3464">
        <v>13.64</v>
      </c>
      <c r="D3464">
        <v>13.68</v>
      </c>
      <c r="E3464">
        <v>29.95</v>
      </c>
      <c r="F3464" t="s">
        <v>9</v>
      </c>
      <c r="G34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64">
        <f>IF(Table1[[#This Row],[is_ups_overcharge]]="ups overcharged",Table1[[#This Row],[ups ship charge]]-Table1[[#This Row],[ada ship charge]],0)</f>
        <v>0</v>
      </c>
    </row>
    <row r="3465" spans="1:9" x14ac:dyDescent="0.2">
      <c r="A3465">
        <v>1046917</v>
      </c>
      <c r="B3465" t="s">
        <v>21</v>
      </c>
      <c r="C3465">
        <v>12.75</v>
      </c>
      <c r="D3465">
        <v>12.8</v>
      </c>
      <c r="E3465">
        <v>26.9</v>
      </c>
      <c r="F3465" t="s">
        <v>9</v>
      </c>
      <c r="G34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65">
        <f>IF(Table1[[#This Row],[is_ups_overcharge]]="ups overcharged",Table1[[#This Row],[ups ship charge]]-Table1[[#This Row],[ada ship charge]],0)</f>
        <v>0</v>
      </c>
    </row>
    <row r="3466" spans="1:9" x14ac:dyDescent="0.2">
      <c r="A3466">
        <v>1046933</v>
      </c>
      <c r="B3466" t="s">
        <v>21</v>
      </c>
      <c r="C3466">
        <v>13.64</v>
      </c>
      <c r="D3466">
        <v>13.69</v>
      </c>
      <c r="E3466">
        <v>29.95</v>
      </c>
      <c r="F3466" t="s">
        <v>9</v>
      </c>
      <c r="G34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66">
        <f>IF(Table1[[#This Row],[is_ups_overcharge]]="ups overcharged",Table1[[#This Row],[ups ship charge]]-Table1[[#This Row],[ada ship charge]],0)</f>
        <v>0</v>
      </c>
    </row>
    <row r="3467" spans="1:9" x14ac:dyDescent="0.2">
      <c r="A3467">
        <v>1046937</v>
      </c>
      <c r="B3467" t="s">
        <v>21</v>
      </c>
      <c r="C3467">
        <v>12.75</v>
      </c>
      <c r="D3467">
        <v>12.8</v>
      </c>
      <c r="E3467">
        <v>6.95</v>
      </c>
      <c r="F3467" t="s">
        <v>9</v>
      </c>
      <c r="G34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67">
        <f>IF(Table1[[#This Row],[is_ups_overcharge]]="ups overcharged",Table1[[#This Row],[ups ship charge]]-Table1[[#This Row],[ada ship charge]],0)</f>
        <v>0</v>
      </c>
    </row>
    <row r="3468" spans="1:9" x14ac:dyDescent="0.2">
      <c r="A3468">
        <v>1046968</v>
      </c>
      <c r="B3468" t="s">
        <v>21</v>
      </c>
      <c r="C3468">
        <v>12.26</v>
      </c>
      <c r="D3468">
        <v>12.31</v>
      </c>
      <c r="E3468">
        <v>38</v>
      </c>
      <c r="F3468" t="s">
        <v>13</v>
      </c>
      <c r="G34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68">
        <f>IF(Table1[[#This Row],[is_ups_overcharge]]="ups overcharged",Table1[[#This Row],[ups ship charge]]-Table1[[#This Row],[ada ship charge]],0)</f>
        <v>0</v>
      </c>
    </row>
    <row r="3469" spans="1:9" x14ac:dyDescent="0.2">
      <c r="A3469">
        <v>1046975</v>
      </c>
      <c r="B3469" t="s">
        <v>21</v>
      </c>
      <c r="C3469">
        <v>13.64</v>
      </c>
      <c r="D3469">
        <v>13.69</v>
      </c>
      <c r="E3469">
        <v>86.15</v>
      </c>
      <c r="F3469" t="s">
        <v>9</v>
      </c>
      <c r="G34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69">
        <f>IF(Table1[[#This Row],[is_ups_overcharge]]="ups overcharged",Table1[[#This Row],[ups ship charge]]-Table1[[#This Row],[ada ship charge]],0)</f>
        <v>0</v>
      </c>
    </row>
    <row r="3470" spans="1:9" x14ac:dyDescent="0.2">
      <c r="A3470">
        <v>1046978</v>
      </c>
      <c r="B3470" t="s">
        <v>21</v>
      </c>
      <c r="C3470">
        <v>13.64</v>
      </c>
      <c r="D3470">
        <v>13.68</v>
      </c>
      <c r="E3470">
        <v>34.9</v>
      </c>
      <c r="F3470" t="s">
        <v>9</v>
      </c>
      <c r="G34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70">
        <f>IF(Table1[[#This Row],[is_ups_overcharge]]="ups overcharged",Table1[[#This Row],[ups ship charge]]-Table1[[#This Row],[ada ship charge]],0)</f>
        <v>0</v>
      </c>
    </row>
    <row r="3471" spans="1:9" x14ac:dyDescent="0.2">
      <c r="A3471">
        <v>1046980</v>
      </c>
      <c r="B3471" t="s">
        <v>21</v>
      </c>
      <c r="C3471">
        <v>16.64</v>
      </c>
      <c r="D3471">
        <v>16.690000000000001</v>
      </c>
      <c r="E3471">
        <v>15.9</v>
      </c>
      <c r="F3471" t="s">
        <v>10</v>
      </c>
      <c r="G34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71">
        <f>IF(Table1[[#This Row],[is_ups_overcharge]]="ups overcharged",Table1[[#This Row],[ups ship charge]]-Table1[[#This Row],[ada ship charge]],0)</f>
        <v>0</v>
      </c>
    </row>
    <row r="3472" spans="1:9" x14ac:dyDescent="0.2">
      <c r="A3472">
        <v>1047031</v>
      </c>
      <c r="B3472" t="s">
        <v>21</v>
      </c>
      <c r="C3472">
        <v>13.64</v>
      </c>
      <c r="D3472">
        <v>13.73</v>
      </c>
      <c r="E3472">
        <v>50.82</v>
      </c>
      <c r="F3472" t="s">
        <v>9</v>
      </c>
      <c r="G34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72">
        <f>IF(Table1[[#This Row],[is_ups_overcharge]]="ups overcharged",Table1[[#This Row],[ups ship charge]]-Table1[[#This Row],[ada ship charge]],0)</f>
        <v>0</v>
      </c>
    </row>
    <row r="3473" spans="1:9" x14ac:dyDescent="0.2">
      <c r="A3473">
        <v>1047042</v>
      </c>
      <c r="B3473" t="s">
        <v>21</v>
      </c>
      <c r="C3473">
        <v>12.75</v>
      </c>
      <c r="D3473">
        <v>12.8</v>
      </c>
      <c r="E3473">
        <v>29.9</v>
      </c>
      <c r="F3473" t="s">
        <v>9</v>
      </c>
      <c r="G34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73">
        <f>IF(Table1[[#This Row],[is_ups_overcharge]]="ups overcharged",Table1[[#This Row],[ups ship charge]]-Table1[[#This Row],[ada ship charge]],0)</f>
        <v>0</v>
      </c>
    </row>
    <row r="3474" spans="1:9" x14ac:dyDescent="0.2">
      <c r="A3474">
        <v>1047077</v>
      </c>
      <c r="B3474" t="s">
        <v>21</v>
      </c>
      <c r="C3474">
        <v>10.59</v>
      </c>
      <c r="D3474">
        <v>14.7</v>
      </c>
      <c r="E3474">
        <v>122.7</v>
      </c>
      <c r="F3474" t="s">
        <v>6</v>
      </c>
      <c r="G34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74">
        <f>IF(Table1[[#This Row],[is_ups_overcharge]]="ups overcharged",Table1[[#This Row],[ups ship charge]]-Table1[[#This Row],[ada ship charge]],0)</f>
        <v>0</v>
      </c>
    </row>
    <row r="3475" spans="1:9" x14ac:dyDescent="0.2">
      <c r="A3475">
        <v>1047121</v>
      </c>
      <c r="B3475" t="s">
        <v>21</v>
      </c>
      <c r="C3475">
        <v>13.64</v>
      </c>
      <c r="D3475">
        <v>13.69</v>
      </c>
      <c r="E3475">
        <v>29.95</v>
      </c>
      <c r="F3475" t="s">
        <v>9</v>
      </c>
      <c r="G34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75">
        <f>IF(Table1[[#This Row],[is_ups_overcharge]]="ups overcharged",Table1[[#This Row],[ups ship charge]]-Table1[[#This Row],[ada ship charge]],0)</f>
        <v>0</v>
      </c>
    </row>
    <row r="3476" spans="1:9" x14ac:dyDescent="0.2">
      <c r="A3476">
        <v>1047145</v>
      </c>
      <c r="B3476" t="s">
        <v>21</v>
      </c>
      <c r="C3476">
        <v>12.75</v>
      </c>
      <c r="D3476">
        <v>12.8</v>
      </c>
      <c r="E3476">
        <v>34.9</v>
      </c>
      <c r="F3476" t="s">
        <v>9</v>
      </c>
      <c r="G34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76">
        <f>IF(Table1[[#This Row],[is_ups_overcharge]]="ups overcharged",Table1[[#This Row],[ups ship charge]]-Table1[[#This Row],[ada ship charge]],0)</f>
        <v>0</v>
      </c>
    </row>
    <row r="3477" spans="1:9" x14ac:dyDescent="0.2">
      <c r="A3477">
        <v>1047159</v>
      </c>
      <c r="B3477" t="s">
        <v>21</v>
      </c>
      <c r="C3477">
        <v>13.64</v>
      </c>
      <c r="D3477">
        <v>13.69</v>
      </c>
      <c r="E3477">
        <v>29.95</v>
      </c>
      <c r="F3477" t="s">
        <v>9</v>
      </c>
      <c r="G34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77">
        <f>IF(Table1[[#This Row],[is_ups_overcharge]]="ups overcharged",Table1[[#This Row],[ups ship charge]]-Table1[[#This Row],[ada ship charge]],0)</f>
        <v>0</v>
      </c>
    </row>
    <row r="3478" spans="1:9" x14ac:dyDescent="0.2">
      <c r="A3478">
        <v>1047164</v>
      </c>
      <c r="B3478" t="s">
        <v>21</v>
      </c>
      <c r="C3478">
        <v>12.75</v>
      </c>
      <c r="D3478">
        <v>12.8</v>
      </c>
      <c r="E3478">
        <v>102.55</v>
      </c>
      <c r="F3478" t="s">
        <v>9</v>
      </c>
      <c r="G34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78">
        <f>IF(Table1[[#This Row],[is_ups_overcharge]]="ups overcharged",Table1[[#This Row],[ups ship charge]]-Table1[[#This Row],[ada ship charge]],0)</f>
        <v>0</v>
      </c>
    </row>
    <row r="3479" spans="1:9" x14ac:dyDescent="0.2">
      <c r="A3479">
        <v>1047167</v>
      </c>
      <c r="B3479" t="s">
        <v>21</v>
      </c>
      <c r="C3479">
        <v>17.7</v>
      </c>
      <c r="D3479">
        <v>14.57</v>
      </c>
      <c r="E3479">
        <v>195</v>
      </c>
      <c r="F3479" t="s">
        <v>16</v>
      </c>
      <c r="G34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79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479">
        <f>IF(Table1[[#This Row],[is_ups_overcharge]]="ups overcharged",Table1[[#This Row],[ups ship charge]]-Table1[[#This Row],[ada ship charge]],0)</f>
        <v>3.129999999999999</v>
      </c>
    </row>
    <row r="3480" spans="1:9" x14ac:dyDescent="0.2">
      <c r="A3480">
        <v>1047187</v>
      </c>
      <c r="B3480" t="s">
        <v>21</v>
      </c>
      <c r="C3480">
        <v>13.64</v>
      </c>
      <c r="D3480">
        <v>13.69</v>
      </c>
      <c r="E3480">
        <v>34.85</v>
      </c>
      <c r="F3480" t="s">
        <v>9</v>
      </c>
      <c r="G34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80">
        <f>IF(Table1[[#This Row],[is_ups_overcharge]]="ups overcharged",Table1[[#This Row],[ups ship charge]]-Table1[[#This Row],[ada ship charge]],0)</f>
        <v>0</v>
      </c>
    </row>
    <row r="3481" spans="1:9" x14ac:dyDescent="0.2">
      <c r="A3481">
        <v>1047228</v>
      </c>
      <c r="B3481" t="s">
        <v>21</v>
      </c>
      <c r="C3481">
        <v>9.65</v>
      </c>
      <c r="D3481">
        <v>9.6999999999999993</v>
      </c>
      <c r="E3481">
        <v>89.7</v>
      </c>
      <c r="F3481" t="s">
        <v>6</v>
      </c>
      <c r="G34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81">
        <f>IF(Table1[[#This Row],[is_ups_overcharge]]="ups overcharged",Table1[[#This Row],[ups ship charge]]-Table1[[#This Row],[ada ship charge]],0)</f>
        <v>0</v>
      </c>
    </row>
    <row r="3482" spans="1:9" x14ac:dyDescent="0.2">
      <c r="A3482">
        <v>1047250</v>
      </c>
      <c r="B3482" t="s">
        <v>21</v>
      </c>
      <c r="C3482">
        <v>15.02</v>
      </c>
      <c r="D3482">
        <v>15.07</v>
      </c>
      <c r="E3482">
        <v>19.95</v>
      </c>
      <c r="F3482" t="s">
        <v>12</v>
      </c>
      <c r="G34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82">
        <f>IF(Table1[[#This Row],[is_ups_overcharge]]="ups overcharged",Table1[[#This Row],[ups ship charge]]-Table1[[#This Row],[ada ship charge]],0)</f>
        <v>0</v>
      </c>
    </row>
    <row r="3483" spans="1:9" x14ac:dyDescent="0.2">
      <c r="A3483">
        <v>1047277</v>
      </c>
      <c r="B3483" t="s">
        <v>21</v>
      </c>
      <c r="C3483">
        <v>13.64</v>
      </c>
      <c r="D3483">
        <v>13.69</v>
      </c>
      <c r="E3483">
        <v>9.9499999999999993</v>
      </c>
      <c r="F3483" t="s">
        <v>9</v>
      </c>
      <c r="G34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83">
        <f>IF(Table1[[#This Row],[is_ups_overcharge]]="ups overcharged",Table1[[#This Row],[ups ship charge]]-Table1[[#This Row],[ada ship charge]],0)</f>
        <v>0</v>
      </c>
    </row>
    <row r="3484" spans="1:9" x14ac:dyDescent="0.2">
      <c r="A3484">
        <v>1047286</v>
      </c>
      <c r="B3484" t="s">
        <v>21</v>
      </c>
      <c r="C3484">
        <v>9.65</v>
      </c>
      <c r="D3484">
        <v>9.6999999999999993</v>
      </c>
      <c r="E3484">
        <v>12.9</v>
      </c>
      <c r="F3484" t="s">
        <v>6</v>
      </c>
      <c r="G34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84">
        <f>IF(Table1[[#This Row],[is_ups_overcharge]]="ups overcharged",Table1[[#This Row],[ups ship charge]]-Table1[[#This Row],[ada ship charge]],0)</f>
        <v>0</v>
      </c>
    </row>
    <row r="3485" spans="1:9" x14ac:dyDescent="0.2">
      <c r="A3485">
        <v>1047297</v>
      </c>
      <c r="B3485" t="s">
        <v>21</v>
      </c>
      <c r="C3485">
        <v>12.26</v>
      </c>
      <c r="D3485">
        <v>12.31</v>
      </c>
      <c r="E3485">
        <v>87.5</v>
      </c>
      <c r="F3485" t="s">
        <v>13</v>
      </c>
      <c r="G34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85">
        <f>IF(Table1[[#This Row],[is_ups_overcharge]]="ups overcharged",Table1[[#This Row],[ups ship charge]]-Table1[[#This Row],[ada ship charge]],0)</f>
        <v>0</v>
      </c>
    </row>
    <row r="3486" spans="1:9" x14ac:dyDescent="0.2">
      <c r="A3486">
        <v>1047319</v>
      </c>
      <c r="B3486" t="s">
        <v>21</v>
      </c>
      <c r="C3486">
        <v>12.75</v>
      </c>
      <c r="D3486">
        <v>12.8</v>
      </c>
      <c r="E3486">
        <v>36.4</v>
      </c>
      <c r="F3486" t="s">
        <v>9</v>
      </c>
      <c r="G34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86">
        <f>IF(Table1[[#This Row],[is_ups_overcharge]]="ups overcharged",Table1[[#This Row],[ups ship charge]]-Table1[[#This Row],[ada ship charge]],0)</f>
        <v>0</v>
      </c>
    </row>
    <row r="3487" spans="1:9" x14ac:dyDescent="0.2">
      <c r="A3487">
        <v>1047322</v>
      </c>
      <c r="B3487" t="s">
        <v>21</v>
      </c>
      <c r="C3487">
        <v>13.5</v>
      </c>
      <c r="D3487">
        <v>13.55</v>
      </c>
      <c r="E3487">
        <v>128.18</v>
      </c>
      <c r="F3487" t="s">
        <v>16</v>
      </c>
      <c r="G34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87">
        <f>IF(Table1[[#This Row],[is_ups_overcharge]]="ups overcharged",Table1[[#This Row],[ups ship charge]]-Table1[[#This Row],[ada ship charge]],0)</f>
        <v>0</v>
      </c>
    </row>
    <row r="3488" spans="1:9" x14ac:dyDescent="0.2">
      <c r="A3488">
        <v>1047346</v>
      </c>
      <c r="B3488" t="s">
        <v>21</v>
      </c>
      <c r="C3488">
        <v>12.75</v>
      </c>
      <c r="D3488">
        <v>12.8</v>
      </c>
      <c r="E3488">
        <v>29.75</v>
      </c>
      <c r="F3488" t="s">
        <v>9</v>
      </c>
      <c r="G34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88">
        <f>IF(Table1[[#This Row],[is_ups_overcharge]]="ups overcharged",Table1[[#This Row],[ups ship charge]]-Table1[[#This Row],[ada ship charge]],0)</f>
        <v>0</v>
      </c>
    </row>
    <row r="3489" spans="1:9" x14ac:dyDescent="0.2">
      <c r="A3489">
        <v>1047352</v>
      </c>
      <c r="B3489" t="s">
        <v>21</v>
      </c>
      <c r="C3489">
        <v>9.66</v>
      </c>
      <c r="D3489">
        <v>13.69</v>
      </c>
      <c r="E3489">
        <v>14.95</v>
      </c>
      <c r="F3489" t="s">
        <v>6</v>
      </c>
      <c r="G34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89">
        <f>IF(Table1[[#This Row],[is_ups_overcharge]]="ups overcharged",Table1[[#This Row],[ups ship charge]]-Table1[[#This Row],[ada ship charge]],0)</f>
        <v>0</v>
      </c>
    </row>
    <row r="3490" spans="1:9" x14ac:dyDescent="0.2">
      <c r="A3490">
        <v>1047353</v>
      </c>
      <c r="B3490" t="s">
        <v>21</v>
      </c>
      <c r="C3490">
        <v>9.65</v>
      </c>
      <c r="D3490">
        <v>9.6999999999999993</v>
      </c>
      <c r="E3490">
        <v>135.6</v>
      </c>
      <c r="F3490" t="s">
        <v>6</v>
      </c>
      <c r="G34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90">
        <f>IF(Table1[[#This Row],[is_ups_overcharge]]="ups overcharged",Table1[[#This Row],[ups ship charge]]-Table1[[#This Row],[ada ship charge]],0)</f>
        <v>0</v>
      </c>
    </row>
    <row r="3491" spans="1:9" x14ac:dyDescent="0.2">
      <c r="A3491">
        <v>1047364</v>
      </c>
      <c r="B3491" t="s">
        <v>21</v>
      </c>
      <c r="C3491">
        <v>12.75</v>
      </c>
      <c r="D3491">
        <v>12.8</v>
      </c>
      <c r="E3491">
        <v>140.65</v>
      </c>
      <c r="F3491" t="s">
        <v>9</v>
      </c>
      <c r="G34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91">
        <f>IF(Table1[[#This Row],[is_ups_overcharge]]="ups overcharged",Table1[[#This Row],[ups ship charge]]-Table1[[#This Row],[ada ship charge]],0)</f>
        <v>0</v>
      </c>
    </row>
    <row r="3492" spans="1:9" x14ac:dyDescent="0.2">
      <c r="A3492">
        <v>1047365</v>
      </c>
      <c r="B3492" t="s">
        <v>21</v>
      </c>
      <c r="C3492">
        <v>13.64</v>
      </c>
      <c r="D3492">
        <v>13.69</v>
      </c>
      <c r="E3492">
        <v>23.4</v>
      </c>
      <c r="F3492" t="s">
        <v>9</v>
      </c>
      <c r="G34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92">
        <f>IF(Table1[[#This Row],[is_ups_overcharge]]="ups overcharged",Table1[[#This Row],[ups ship charge]]-Table1[[#This Row],[ada ship charge]],0)</f>
        <v>0</v>
      </c>
    </row>
    <row r="3493" spans="1:9" x14ac:dyDescent="0.2">
      <c r="A3493">
        <v>1047389</v>
      </c>
      <c r="B3493" t="s">
        <v>21</v>
      </c>
      <c r="C3493">
        <v>9.66</v>
      </c>
      <c r="D3493">
        <v>12.8</v>
      </c>
      <c r="E3493">
        <v>59.75</v>
      </c>
      <c r="F3493" t="s">
        <v>6</v>
      </c>
      <c r="G34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93">
        <f>IF(Table1[[#This Row],[is_ups_overcharge]]="ups overcharged",Table1[[#This Row],[ups ship charge]]-Table1[[#This Row],[ada ship charge]],0)</f>
        <v>0</v>
      </c>
    </row>
    <row r="3494" spans="1:9" x14ac:dyDescent="0.2">
      <c r="A3494">
        <v>1047403</v>
      </c>
      <c r="B3494" t="s">
        <v>21</v>
      </c>
      <c r="C3494">
        <v>12.75</v>
      </c>
      <c r="D3494">
        <v>12.8</v>
      </c>
      <c r="E3494">
        <v>34.9</v>
      </c>
      <c r="F3494" t="s">
        <v>9</v>
      </c>
      <c r="G34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94">
        <f>IF(Table1[[#This Row],[is_ups_overcharge]]="ups overcharged",Table1[[#This Row],[ups ship charge]]-Table1[[#This Row],[ada ship charge]],0)</f>
        <v>0</v>
      </c>
    </row>
    <row r="3495" spans="1:9" x14ac:dyDescent="0.2">
      <c r="A3495">
        <v>1047410</v>
      </c>
      <c r="B3495" t="s">
        <v>21</v>
      </c>
      <c r="C3495">
        <v>12.75</v>
      </c>
      <c r="D3495">
        <v>12.8</v>
      </c>
      <c r="E3495">
        <v>21.9</v>
      </c>
      <c r="F3495" t="s">
        <v>9</v>
      </c>
      <c r="G34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95">
        <f>IF(Table1[[#This Row],[is_ups_overcharge]]="ups overcharged",Table1[[#This Row],[ups ship charge]]-Table1[[#This Row],[ada ship charge]],0)</f>
        <v>0</v>
      </c>
    </row>
    <row r="3496" spans="1:9" x14ac:dyDescent="0.2">
      <c r="A3496">
        <v>1047435</v>
      </c>
      <c r="B3496" t="s">
        <v>21</v>
      </c>
      <c r="C3496">
        <v>14.09</v>
      </c>
      <c r="D3496">
        <v>14.7</v>
      </c>
      <c r="E3496">
        <v>124.2</v>
      </c>
      <c r="F3496" t="s">
        <v>9</v>
      </c>
      <c r="G34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96">
        <f>IF(Table1[[#This Row],[is_ups_overcharge]]="ups overcharged",Table1[[#This Row],[ups ship charge]]-Table1[[#This Row],[ada ship charge]],0)</f>
        <v>0</v>
      </c>
    </row>
    <row r="3497" spans="1:9" x14ac:dyDescent="0.2">
      <c r="A3497">
        <v>1047451</v>
      </c>
      <c r="B3497" t="s">
        <v>21</v>
      </c>
      <c r="C3497">
        <v>13.5</v>
      </c>
      <c r="D3497">
        <v>13.55</v>
      </c>
      <c r="E3497">
        <v>86.9</v>
      </c>
      <c r="F3497" t="s">
        <v>16</v>
      </c>
      <c r="G34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97">
        <f>IF(Table1[[#This Row],[is_ups_overcharge]]="ups overcharged",Table1[[#This Row],[ups ship charge]]-Table1[[#This Row],[ada ship charge]],0)</f>
        <v>0</v>
      </c>
    </row>
    <row r="3498" spans="1:9" x14ac:dyDescent="0.2">
      <c r="A3498">
        <v>1047498</v>
      </c>
      <c r="B3498" t="s">
        <v>21</v>
      </c>
      <c r="C3498">
        <v>12.75</v>
      </c>
      <c r="D3498">
        <v>12.8</v>
      </c>
      <c r="E3498">
        <v>59.8</v>
      </c>
      <c r="F3498" t="s">
        <v>9</v>
      </c>
      <c r="G34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98">
        <f>IF(Table1[[#This Row],[is_ups_overcharge]]="ups overcharged",Table1[[#This Row],[ups ship charge]]-Table1[[#This Row],[ada ship charge]],0)</f>
        <v>0</v>
      </c>
    </row>
    <row r="3499" spans="1:9" x14ac:dyDescent="0.2">
      <c r="A3499">
        <v>1047512</v>
      </c>
      <c r="B3499" t="s">
        <v>21</v>
      </c>
      <c r="C3499">
        <v>16.649999999999999</v>
      </c>
      <c r="D3499">
        <v>16.7</v>
      </c>
      <c r="E3499">
        <v>86.65</v>
      </c>
      <c r="F3499" t="s">
        <v>10</v>
      </c>
      <c r="G34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4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499">
        <f>IF(Table1[[#This Row],[is_ups_overcharge]]="ups overcharged",Table1[[#This Row],[ups ship charge]]-Table1[[#This Row],[ada ship charge]],0)</f>
        <v>0</v>
      </c>
    </row>
    <row r="3500" spans="1:9" x14ac:dyDescent="0.2">
      <c r="A3500">
        <v>1047538</v>
      </c>
      <c r="B3500" t="s">
        <v>21</v>
      </c>
      <c r="C3500">
        <v>12.75</v>
      </c>
      <c r="D3500">
        <v>12.8</v>
      </c>
      <c r="E3500">
        <v>43.9</v>
      </c>
      <c r="F3500" t="s">
        <v>9</v>
      </c>
      <c r="G35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00">
        <f>IF(Table1[[#This Row],[is_ups_overcharge]]="ups overcharged",Table1[[#This Row],[ups ship charge]]-Table1[[#This Row],[ada ship charge]],0)</f>
        <v>0</v>
      </c>
    </row>
    <row r="3501" spans="1:9" x14ac:dyDescent="0.2">
      <c r="A3501">
        <v>1047554</v>
      </c>
      <c r="B3501" t="s">
        <v>21</v>
      </c>
      <c r="C3501">
        <v>12.75</v>
      </c>
      <c r="D3501">
        <v>12.8</v>
      </c>
      <c r="E3501">
        <v>34.950000000000003</v>
      </c>
      <c r="F3501" t="s">
        <v>9</v>
      </c>
      <c r="G35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01">
        <f>IF(Table1[[#This Row],[is_ups_overcharge]]="ups overcharged",Table1[[#This Row],[ups ship charge]]-Table1[[#This Row],[ada ship charge]],0)</f>
        <v>0</v>
      </c>
    </row>
    <row r="3502" spans="1:9" x14ac:dyDescent="0.2">
      <c r="A3502">
        <v>1047557</v>
      </c>
      <c r="B3502" t="s">
        <v>21</v>
      </c>
      <c r="C3502">
        <v>13.64</v>
      </c>
      <c r="D3502">
        <v>13.69</v>
      </c>
      <c r="E3502">
        <v>43.95</v>
      </c>
      <c r="F3502" t="s">
        <v>9</v>
      </c>
      <c r="G35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02">
        <f>IF(Table1[[#This Row],[is_ups_overcharge]]="ups overcharged",Table1[[#This Row],[ups ship charge]]-Table1[[#This Row],[ada ship charge]],0)</f>
        <v>0</v>
      </c>
    </row>
    <row r="3503" spans="1:9" x14ac:dyDescent="0.2">
      <c r="A3503">
        <v>1047574</v>
      </c>
      <c r="B3503" t="s">
        <v>21</v>
      </c>
      <c r="C3503">
        <v>15.02</v>
      </c>
      <c r="D3503">
        <v>15.07</v>
      </c>
      <c r="E3503">
        <v>18.899999999999999</v>
      </c>
      <c r="F3503" t="s">
        <v>12</v>
      </c>
      <c r="G35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03">
        <f>IF(Table1[[#This Row],[is_ups_overcharge]]="ups overcharged",Table1[[#This Row],[ups ship charge]]-Table1[[#This Row],[ada ship charge]],0)</f>
        <v>0</v>
      </c>
    </row>
    <row r="3504" spans="1:9" x14ac:dyDescent="0.2">
      <c r="A3504">
        <v>1047580</v>
      </c>
      <c r="B3504" t="s">
        <v>21</v>
      </c>
      <c r="C3504">
        <v>13.63</v>
      </c>
      <c r="D3504">
        <v>13.68</v>
      </c>
      <c r="E3504">
        <v>60</v>
      </c>
      <c r="F3504" t="s">
        <v>9</v>
      </c>
      <c r="G35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04">
        <f>IF(Table1[[#This Row],[is_ups_overcharge]]="ups overcharged",Table1[[#This Row],[ups ship charge]]-Table1[[#This Row],[ada ship charge]],0)</f>
        <v>0</v>
      </c>
    </row>
    <row r="3505" spans="1:9" x14ac:dyDescent="0.2">
      <c r="A3505">
        <v>1047588</v>
      </c>
      <c r="B3505" t="s">
        <v>21</v>
      </c>
      <c r="C3505">
        <v>9.65</v>
      </c>
      <c r="D3505">
        <v>9.6999999999999993</v>
      </c>
      <c r="E3505">
        <v>27.8</v>
      </c>
      <c r="F3505" t="s">
        <v>6</v>
      </c>
      <c r="G35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05">
        <f>IF(Table1[[#This Row],[is_ups_overcharge]]="ups overcharged",Table1[[#This Row],[ups ship charge]]-Table1[[#This Row],[ada ship charge]],0)</f>
        <v>0</v>
      </c>
    </row>
    <row r="3506" spans="1:9" x14ac:dyDescent="0.2">
      <c r="A3506">
        <v>1047589</v>
      </c>
      <c r="B3506" t="s">
        <v>21</v>
      </c>
      <c r="C3506">
        <v>16.34</v>
      </c>
      <c r="D3506">
        <v>16.39</v>
      </c>
      <c r="E3506">
        <v>36.75</v>
      </c>
      <c r="F3506" t="s">
        <v>10</v>
      </c>
      <c r="G35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06">
        <f>IF(Table1[[#This Row],[is_ups_overcharge]]="ups overcharged",Table1[[#This Row],[ups ship charge]]-Table1[[#This Row],[ada ship charge]],0)</f>
        <v>0</v>
      </c>
    </row>
    <row r="3507" spans="1:9" x14ac:dyDescent="0.2">
      <c r="A3507">
        <v>1047590</v>
      </c>
      <c r="B3507" t="s">
        <v>21</v>
      </c>
      <c r="C3507">
        <v>10.57</v>
      </c>
      <c r="D3507">
        <v>14.97</v>
      </c>
      <c r="E3507">
        <v>119.96</v>
      </c>
      <c r="F3507" t="s">
        <v>6</v>
      </c>
      <c r="G35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07">
        <f>IF(Table1[[#This Row],[is_ups_overcharge]]="ups overcharged",Table1[[#This Row],[ups ship charge]]-Table1[[#This Row],[ada ship charge]],0)</f>
        <v>0</v>
      </c>
    </row>
    <row r="3508" spans="1:9" x14ac:dyDescent="0.2">
      <c r="A3508">
        <v>1047642</v>
      </c>
      <c r="B3508" t="s">
        <v>21</v>
      </c>
      <c r="C3508">
        <v>13.64</v>
      </c>
      <c r="D3508">
        <v>13.69</v>
      </c>
      <c r="E3508">
        <v>49.6</v>
      </c>
      <c r="F3508" t="s">
        <v>9</v>
      </c>
      <c r="G35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08">
        <f>IF(Table1[[#This Row],[is_ups_overcharge]]="ups overcharged",Table1[[#This Row],[ups ship charge]]-Table1[[#This Row],[ada ship charge]],0)</f>
        <v>0</v>
      </c>
    </row>
    <row r="3509" spans="1:9" x14ac:dyDescent="0.2">
      <c r="A3509">
        <v>1047659</v>
      </c>
      <c r="B3509" t="s">
        <v>21</v>
      </c>
      <c r="C3509">
        <v>12.75</v>
      </c>
      <c r="D3509">
        <v>13.03</v>
      </c>
      <c r="E3509">
        <v>144.30000000000001</v>
      </c>
      <c r="F3509" t="s">
        <v>9</v>
      </c>
      <c r="G35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09">
        <f>IF(Table1[[#This Row],[is_ups_overcharge]]="ups overcharged",Table1[[#This Row],[ups ship charge]]-Table1[[#This Row],[ada ship charge]],0)</f>
        <v>0</v>
      </c>
    </row>
    <row r="3510" spans="1:9" x14ac:dyDescent="0.2">
      <c r="A3510">
        <v>1047660</v>
      </c>
      <c r="B3510" t="s">
        <v>21</v>
      </c>
      <c r="C3510">
        <v>13.64</v>
      </c>
      <c r="D3510">
        <v>13.84</v>
      </c>
      <c r="E3510">
        <v>64.849999999999994</v>
      </c>
      <c r="F3510" t="s">
        <v>9</v>
      </c>
      <c r="G35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10">
        <f>IF(Table1[[#This Row],[is_ups_overcharge]]="ups overcharged",Table1[[#This Row],[ups ship charge]]-Table1[[#This Row],[ada ship charge]],0)</f>
        <v>0</v>
      </c>
    </row>
    <row r="3511" spans="1:9" x14ac:dyDescent="0.2">
      <c r="A3511">
        <v>1047669</v>
      </c>
      <c r="B3511" t="s">
        <v>21</v>
      </c>
      <c r="C3511">
        <v>31.35</v>
      </c>
      <c r="D3511">
        <v>31.39</v>
      </c>
      <c r="E3511">
        <v>98.25</v>
      </c>
      <c r="F3511" t="s">
        <v>10</v>
      </c>
      <c r="G35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11">
        <f>IF(Table1[[#This Row],[is_ups_overcharge]]="ups overcharged",Table1[[#This Row],[ups ship charge]]-Table1[[#This Row],[ada ship charge]],0)</f>
        <v>0</v>
      </c>
    </row>
    <row r="3512" spans="1:9" x14ac:dyDescent="0.2">
      <c r="A3512">
        <v>1047688</v>
      </c>
      <c r="B3512" t="s">
        <v>21</v>
      </c>
      <c r="C3512">
        <v>12.75</v>
      </c>
      <c r="D3512">
        <v>12.8</v>
      </c>
      <c r="E3512">
        <v>11.8</v>
      </c>
      <c r="F3512" t="s">
        <v>9</v>
      </c>
      <c r="G35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12">
        <f>IF(Table1[[#This Row],[is_ups_overcharge]]="ups overcharged",Table1[[#This Row],[ups ship charge]]-Table1[[#This Row],[ada ship charge]],0)</f>
        <v>0</v>
      </c>
    </row>
    <row r="3513" spans="1:9" x14ac:dyDescent="0.2">
      <c r="A3513">
        <v>1047695</v>
      </c>
      <c r="B3513" t="s">
        <v>21</v>
      </c>
      <c r="C3513">
        <v>9.65</v>
      </c>
      <c r="D3513">
        <v>9.6999999999999993</v>
      </c>
      <c r="E3513">
        <v>8.9499999999999993</v>
      </c>
      <c r="F3513" t="s">
        <v>6</v>
      </c>
      <c r="G35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13">
        <f>IF(Table1[[#This Row],[is_ups_overcharge]]="ups overcharged",Table1[[#This Row],[ups ship charge]]-Table1[[#This Row],[ada ship charge]],0)</f>
        <v>0</v>
      </c>
    </row>
    <row r="3514" spans="1:9" x14ac:dyDescent="0.2">
      <c r="A3514">
        <v>1047700</v>
      </c>
      <c r="B3514" t="s">
        <v>21</v>
      </c>
      <c r="C3514">
        <v>12.75</v>
      </c>
      <c r="D3514">
        <v>12.8</v>
      </c>
      <c r="E3514">
        <v>19.5</v>
      </c>
      <c r="F3514" t="s">
        <v>9</v>
      </c>
      <c r="G35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14">
        <f>IF(Table1[[#This Row],[is_ups_overcharge]]="ups overcharged",Table1[[#This Row],[ups ship charge]]-Table1[[#This Row],[ada ship charge]],0)</f>
        <v>0</v>
      </c>
    </row>
    <row r="3515" spans="1:9" x14ac:dyDescent="0.2">
      <c r="A3515">
        <v>1047705</v>
      </c>
      <c r="B3515" t="s">
        <v>21</v>
      </c>
      <c r="C3515">
        <v>9.65</v>
      </c>
      <c r="D3515">
        <v>9.6999999999999993</v>
      </c>
      <c r="E3515">
        <v>14.95</v>
      </c>
      <c r="F3515" t="s">
        <v>6</v>
      </c>
      <c r="G35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15">
        <f>IF(Table1[[#This Row],[is_ups_overcharge]]="ups overcharged",Table1[[#This Row],[ups ship charge]]-Table1[[#This Row],[ada ship charge]],0)</f>
        <v>0</v>
      </c>
    </row>
    <row r="3516" spans="1:9" x14ac:dyDescent="0.2">
      <c r="A3516">
        <v>1047715</v>
      </c>
      <c r="B3516" t="s">
        <v>21</v>
      </c>
      <c r="C3516">
        <v>12.75</v>
      </c>
      <c r="D3516">
        <v>12.8</v>
      </c>
      <c r="E3516">
        <v>62.45</v>
      </c>
      <c r="F3516" t="s">
        <v>9</v>
      </c>
      <c r="G35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16">
        <f>IF(Table1[[#This Row],[is_ups_overcharge]]="ups overcharged",Table1[[#This Row],[ups ship charge]]-Table1[[#This Row],[ada ship charge]],0)</f>
        <v>0</v>
      </c>
    </row>
    <row r="3517" spans="1:9" x14ac:dyDescent="0.2">
      <c r="A3517">
        <v>1047717</v>
      </c>
      <c r="B3517" t="s">
        <v>21</v>
      </c>
      <c r="C3517">
        <v>13.64</v>
      </c>
      <c r="D3517">
        <v>14.2</v>
      </c>
      <c r="E3517">
        <v>64.849999999999994</v>
      </c>
      <c r="F3517" t="s">
        <v>9</v>
      </c>
      <c r="G35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17">
        <f>IF(Table1[[#This Row],[is_ups_overcharge]]="ups overcharged",Table1[[#This Row],[ups ship charge]]-Table1[[#This Row],[ada ship charge]],0)</f>
        <v>0</v>
      </c>
    </row>
    <row r="3518" spans="1:9" x14ac:dyDescent="0.2">
      <c r="A3518">
        <v>1047723</v>
      </c>
      <c r="B3518" t="s">
        <v>21</v>
      </c>
      <c r="C3518">
        <v>13.64</v>
      </c>
      <c r="D3518">
        <v>13.68</v>
      </c>
      <c r="E3518">
        <v>34.950000000000003</v>
      </c>
      <c r="F3518" t="s">
        <v>9</v>
      </c>
      <c r="G35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18">
        <f>IF(Table1[[#This Row],[is_ups_overcharge]]="ups overcharged",Table1[[#This Row],[ups ship charge]]-Table1[[#This Row],[ada ship charge]],0)</f>
        <v>0</v>
      </c>
    </row>
    <row r="3519" spans="1:9" x14ac:dyDescent="0.2">
      <c r="A3519">
        <v>1047742</v>
      </c>
      <c r="B3519" t="s">
        <v>21</v>
      </c>
      <c r="C3519">
        <v>16.75</v>
      </c>
      <c r="D3519">
        <v>16.8</v>
      </c>
      <c r="E3519">
        <v>19.95</v>
      </c>
      <c r="F3519" t="s">
        <v>10</v>
      </c>
      <c r="G35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19">
        <f>IF(Table1[[#This Row],[is_ups_overcharge]]="ups overcharged",Table1[[#This Row],[ups ship charge]]-Table1[[#This Row],[ada ship charge]],0)</f>
        <v>0</v>
      </c>
    </row>
    <row r="3520" spans="1:9" x14ac:dyDescent="0.2">
      <c r="A3520">
        <v>1047757</v>
      </c>
      <c r="B3520" t="s">
        <v>21</v>
      </c>
      <c r="C3520">
        <v>15.33</v>
      </c>
      <c r="D3520">
        <v>16.079999999999998</v>
      </c>
      <c r="E3520">
        <v>189.9</v>
      </c>
      <c r="F3520" t="s">
        <v>12</v>
      </c>
      <c r="G35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20">
        <f>IF(Table1[[#This Row],[is_ups_overcharge]]="ups overcharged",Table1[[#This Row],[ups ship charge]]-Table1[[#This Row],[ada ship charge]],0)</f>
        <v>0</v>
      </c>
    </row>
    <row r="3521" spans="1:9" x14ac:dyDescent="0.2">
      <c r="A3521">
        <v>1047769</v>
      </c>
      <c r="B3521" t="s">
        <v>21</v>
      </c>
      <c r="C3521">
        <v>16.440000000000001</v>
      </c>
      <c r="D3521">
        <v>18.329999999999998</v>
      </c>
      <c r="E3521">
        <v>20.65</v>
      </c>
      <c r="F3521" t="s">
        <v>10</v>
      </c>
      <c r="G35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21">
        <f>IF(Table1[[#This Row],[is_ups_overcharge]]="ups overcharged",Table1[[#This Row],[ups ship charge]]-Table1[[#This Row],[ada ship charge]],0)</f>
        <v>0</v>
      </c>
    </row>
    <row r="3522" spans="1:9" x14ac:dyDescent="0.2">
      <c r="A3522">
        <v>1047778</v>
      </c>
      <c r="B3522" t="s">
        <v>21</v>
      </c>
      <c r="C3522">
        <v>12.75</v>
      </c>
      <c r="D3522">
        <v>12.8</v>
      </c>
      <c r="E3522">
        <v>5</v>
      </c>
      <c r="F3522" t="s">
        <v>9</v>
      </c>
      <c r="G35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22">
        <f>IF(Table1[[#This Row],[is_ups_overcharge]]="ups overcharged",Table1[[#This Row],[ups ship charge]]-Table1[[#This Row],[ada ship charge]],0)</f>
        <v>0</v>
      </c>
    </row>
    <row r="3523" spans="1:9" x14ac:dyDescent="0.2">
      <c r="A3523">
        <v>1047788</v>
      </c>
      <c r="B3523" t="s">
        <v>21</v>
      </c>
      <c r="C3523">
        <v>12.75</v>
      </c>
      <c r="D3523">
        <v>12.8</v>
      </c>
      <c r="E3523">
        <v>10.9</v>
      </c>
      <c r="F3523" t="s">
        <v>9</v>
      </c>
      <c r="G35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23">
        <f>IF(Table1[[#This Row],[is_ups_overcharge]]="ups overcharged",Table1[[#This Row],[ups ship charge]]-Table1[[#This Row],[ada ship charge]],0)</f>
        <v>0</v>
      </c>
    </row>
    <row r="3524" spans="1:9" x14ac:dyDescent="0.2">
      <c r="A3524">
        <v>1047823</v>
      </c>
      <c r="B3524" t="s">
        <v>21</v>
      </c>
      <c r="C3524">
        <v>12.75</v>
      </c>
      <c r="D3524">
        <v>12.8</v>
      </c>
      <c r="E3524">
        <v>39.950000000000003</v>
      </c>
      <c r="F3524" t="s">
        <v>9</v>
      </c>
      <c r="G35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24">
        <f>IF(Table1[[#This Row],[is_ups_overcharge]]="ups overcharged",Table1[[#This Row],[ups ship charge]]-Table1[[#This Row],[ada ship charge]],0)</f>
        <v>0</v>
      </c>
    </row>
    <row r="3525" spans="1:9" x14ac:dyDescent="0.2">
      <c r="A3525">
        <v>1047827</v>
      </c>
      <c r="B3525" t="s">
        <v>21</v>
      </c>
      <c r="C3525">
        <v>9.65</v>
      </c>
      <c r="D3525">
        <v>9.6999999999999993</v>
      </c>
      <c r="E3525">
        <v>8.9499999999999993</v>
      </c>
      <c r="F3525" t="s">
        <v>6</v>
      </c>
      <c r="G35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25">
        <f>IF(Table1[[#This Row],[is_ups_overcharge]]="ups overcharged",Table1[[#This Row],[ups ship charge]]-Table1[[#This Row],[ada ship charge]],0)</f>
        <v>0</v>
      </c>
    </row>
    <row r="3526" spans="1:9" x14ac:dyDescent="0.2">
      <c r="A3526">
        <v>1047845</v>
      </c>
      <c r="B3526" t="s">
        <v>21</v>
      </c>
      <c r="C3526">
        <v>12.75</v>
      </c>
      <c r="D3526">
        <v>12.8</v>
      </c>
      <c r="E3526">
        <v>39.950000000000003</v>
      </c>
      <c r="F3526" t="s">
        <v>9</v>
      </c>
      <c r="G35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26">
        <f>IF(Table1[[#This Row],[is_ups_overcharge]]="ups overcharged",Table1[[#This Row],[ups ship charge]]-Table1[[#This Row],[ada ship charge]],0)</f>
        <v>0</v>
      </c>
    </row>
    <row r="3527" spans="1:9" x14ac:dyDescent="0.2">
      <c r="A3527">
        <v>1047851</v>
      </c>
      <c r="B3527" t="s">
        <v>21</v>
      </c>
      <c r="C3527">
        <v>12.75</v>
      </c>
      <c r="D3527">
        <v>12.8</v>
      </c>
      <c r="E3527">
        <v>5</v>
      </c>
      <c r="F3527" t="s">
        <v>9</v>
      </c>
      <c r="G35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27">
        <f>IF(Table1[[#This Row],[is_ups_overcharge]]="ups overcharged",Table1[[#This Row],[ups ship charge]]-Table1[[#This Row],[ada ship charge]],0)</f>
        <v>0</v>
      </c>
    </row>
    <row r="3528" spans="1:9" x14ac:dyDescent="0.2">
      <c r="A3528">
        <v>1047854</v>
      </c>
      <c r="B3528" t="s">
        <v>21</v>
      </c>
      <c r="C3528">
        <v>13.64</v>
      </c>
      <c r="D3528">
        <v>13.69</v>
      </c>
      <c r="E3528">
        <v>5</v>
      </c>
      <c r="F3528" t="s">
        <v>9</v>
      </c>
      <c r="G35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28">
        <f>IF(Table1[[#This Row],[is_ups_overcharge]]="ups overcharged",Table1[[#This Row],[ups ship charge]]-Table1[[#This Row],[ada ship charge]],0)</f>
        <v>0</v>
      </c>
    </row>
    <row r="3529" spans="1:9" x14ac:dyDescent="0.2">
      <c r="A3529">
        <v>1047863</v>
      </c>
      <c r="B3529" t="s">
        <v>21</v>
      </c>
      <c r="C3529">
        <v>13.64</v>
      </c>
      <c r="D3529">
        <v>14.14</v>
      </c>
      <c r="E3529">
        <v>27.8</v>
      </c>
      <c r="F3529" t="s">
        <v>9</v>
      </c>
      <c r="G35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29">
        <f>IF(Table1[[#This Row],[is_ups_overcharge]]="ups overcharged",Table1[[#This Row],[ups ship charge]]-Table1[[#This Row],[ada ship charge]],0)</f>
        <v>0</v>
      </c>
    </row>
    <row r="3530" spans="1:9" x14ac:dyDescent="0.2">
      <c r="A3530">
        <v>1047959</v>
      </c>
      <c r="B3530" t="s">
        <v>21</v>
      </c>
      <c r="C3530">
        <v>12.75</v>
      </c>
      <c r="D3530">
        <v>12.8</v>
      </c>
      <c r="E3530">
        <v>65.400000000000006</v>
      </c>
      <c r="F3530" t="s">
        <v>9</v>
      </c>
      <c r="G35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30">
        <f>IF(Table1[[#This Row],[is_ups_overcharge]]="ups overcharged",Table1[[#This Row],[ups ship charge]]-Table1[[#This Row],[ada ship charge]],0)</f>
        <v>0</v>
      </c>
    </row>
    <row r="3531" spans="1:9" x14ac:dyDescent="0.2">
      <c r="A3531">
        <v>1047980</v>
      </c>
      <c r="B3531" t="s">
        <v>21</v>
      </c>
      <c r="C3531">
        <v>15.02</v>
      </c>
      <c r="D3531">
        <v>15.07</v>
      </c>
      <c r="E3531">
        <v>104.85</v>
      </c>
      <c r="F3531" t="s">
        <v>12</v>
      </c>
      <c r="G35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31">
        <f>IF(Table1[[#This Row],[is_ups_overcharge]]="ups overcharged",Table1[[#This Row],[ups ship charge]]-Table1[[#This Row],[ada ship charge]],0)</f>
        <v>0</v>
      </c>
    </row>
    <row r="3532" spans="1:9" x14ac:dyDescent="0.2">
      <c r="A3532">
        <v>1047984</v>
      </c>
      <c r="B3532" t="s">
        <v>21</v>
      </c>
      <c r="C3532">
        <v>12.75</v>
      </c>
      <c r="D3532">
        <v>12.8</v>
      </c>
      <c r="E3532">
        <v>69.8</v>
      </c>
      <c r="F3532" t="s">
        <v>9</v>
      </c>
      <c r="G35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32">
        <f>IF(Table1[[#This Row],[is_ups_overcharge]]="ups overcharged",Table1[[#This Row],[ups ship charge]]-Table1[[#This Row],[ada ship charge]],0)</f>
        <v>0</v>
      </c>
    </row>
    <row r="3533" spans="1:9" x14ac:dyDescent="0.2">
      <c r="A3533">
        <v>1047989</v>
      </c>
      <c r="B3533" t="s">
        <v>21</v>
      </c>
      <c r="C3533">
        <v>9.65</v>
      </c>
      <c r="D3533">
        <v>9.6999999999999993</v>
      </c>
      <c r="E3533">
        <v>5</v>
      </c>
      <c r="F3533" t="s">
        <v>6</v>
      </c>
      <c r="G35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33">
        <f>IF(Table1[[#This Row],[is_ups_overcharge]]="ups overcharged",Table1[[#This Row],[ups ship charge]]-Table1[[#This Row],[ada ship charge]],0)</f>
        <v>0</v>
      </c>
    </row>
    <row r="3534" spans="1:9" x14ac:dyDescent="0.2">
      <c r="A3534">
        <v>1047994</v>
      </c>
      <c r="B3534" t="s">
        <v>21</v>
      </c>
      <c r="C3534">
        <v>16.34</v>
      </c>
      <c r="D3534">
        <v>16.39</v>
      </c>
      <c r="E3534">
        <v>39.950000000000003</v>
      </c>
      <c r="F3534" t="s">
        <v>10</v>
      </c>
      <c r="G35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34">
        <f>IF(Table1[[#This Row],[is_ups_overcharge]]="ups overcharged",Table1[[#This Row],[ups ship charge]]-Table1[[#This Row],[ada ship charge]],0)</f>
        <v>0</v>
      </c>
    </row>
    <row r="3535" spans="1:9" x14ac:dyDescent="0.2">
      <c r="A3535">
        <v>1048057</v>
      </c>
      <c r="B3535" t="s">
        <v>21</v>
      </c>
      <c r="C3535">
        <v>13.64</v>
      </c>
      <c r="D3535">
        <v>13.69</v>
      </c>
      <c r="E3535">
        <v>44.95</v>
      </c>
      <c r="F3535" t="s">
        <v>9</v>
      </c>
      <c r="G35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35">
        <f>IF(Table1[[#This Row],[is_ups_overcharge]]="ups overcharged",Table1[[#This Row],[ups ship charge]]-Table1[[#This Row],[ada ship charge]],0)</f>
        <v>0</v>
      </c>
    </row>
    <row r="3536" spans="1:9" x14ac:dyDescent="0.2">
      <c r="A3536">
        <v>1048064</v>
      </c>
      <c r="B3536" t="s">
        <v>21</v>
      </c>
      <c r="C3536">
        <v>12.75</v>
      </c>
      <c r="D3536">
        <v>12.8</v>
      </c>
      <c r="E3536">
        <v>111.2</v>
      </c>
      <c r="F3536" t="s">
        <v>9</v>
      </c>
      <c r="G35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36">
        <f>IF(Table1[[#This Row],[is_ups_overcharge]]="ups overcharged",Table1[[#This Row],[ups ship charge]]-Table1[[#This Row],[ada ship charge]],0)</f>
        <v>0</v>
      </c>
    </row>
    <row r="3537" spans="1:9" x14ac:dyDescent="0.2">
      <c r="A3537">
        <v>1048074</v>
      </c>
      <c r="B3537" t="s">
        <v>21</v>
      </c>
      <c r="C3537">
        <v>12.75</v>
      </c>
      <c r="D3537">
        <v>12.8</v>
      </c>
      <c r="E3537">
        <v>5</v>
      </c>
      <c r="F3537" t="s">
        <v>9</v>
      </c>
      <c r="G35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37">
        <f>IF(Table1[[#This Row],[is_ups_overcharge]]="ups overcharged",Table1[[#This Row],[ups ship charge]]-Table1[[#This Row],[ada ship charge]],0)</f>
        <v>0</v>
      </c>
    </row>
    <row r="3538" spans="1:9" x14ac:dyDescent="0.2">
      <c r="A3538">
        <v>1048110</v>
      </c>
      <c r="B3538" t="s">
        <v>21</v>
      </c>
      <c r="C3538">
        <v>12.75</v>
      </c>
      <c r="D3538">
        <v>12.8</v>
      </c>
      <c r="E3538">
        <v>47.9</v>
      </c>
      <c r="F3538" t="s">
        <v>9</v>
      </c>
      <c r="G35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38">
        <f>IF(Table1[[#This Row],[is_ups_overcharge]]="ups overcharged",Table1[[#This Row],[ups ship charge]]-Table1[[#This Row],[ada ship charge]],0)</f>
        <v>0</v>
      </c>
    </row>
    <row r="3539" spans="1:9" x14ac:dyDescent="0.2">
      <c r="A3539">
        <v>1048125</v>
      </c>
      <c r="B3539" t="s">
        <v>21</v>
      </c>
      <c r="C3539">
        <v>12.75</v>
      </c>
      <c r="D3539">
        <v>12.8</v>
      </c>
      <c r="E3539">
        <v>51.35</v>
      </c>
      <c r="F3539" t="s">
        <v>9</v>
      </c>
      <c r="G35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39">
        <f>IF(Table1[[#This Row],[is_ups_overcharge]]="ups overcharged",Table1[[#This Row],[ups ship charge]]-Table1[[#This Row],[ada ship charge]],0)</f>
        <v>0</v>
      </c>
    </row>
    <row r="3540" spans="1:9" x14ac:dyDescent="0.2">
      <c r="A3540">
        <v>1048145</v>
      </c>
      <c r="B3540" t="s">
        <v>21</v>
      </c>
      <c r="C3540">
        <v>12.75</v>
      </c>
      <c r="D3540">
        <v>12.8</v>
      </c>
      <c r="E3540">
        <v>57.9</v>
      </c>
      <c r="F3540" t="s">
        <v>9</v>
      </c>
      <c r="G35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40">
        <f>IF(Table1[[#This Row],[is_ups_overcharge]]="ups overcharged",Table1[[#This Row],[ups ship charge]]-Table1[[#This Row],[ada ship charge]],0)</f>
        <v>0</v>
      </c>
    </row>
    <row r="3541" spans="1:9" x14ac:dyDescent="0.2">
      <c r="A3541">
        <v>1048155</v>
      </c>
      <c r="B3541" t="s">
        <v>21</v>
      </c>
      <c r="C3541">
        <v>12.75</v>
      </c>
      <c r="D3541">
        <v>12.8</v>
      </c>
      <c r="E3541">
        <v>1.5</v>
      </c>
      <c r="F3541" t="s">
        <v>9</v>
      </c>
      <c r="G35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41">
        <f>IF(Table1[[#This Row],[is_ups_overcharge]]="ups overcharged",Table1[[#This Row],[ups ship charge]]-Table1[[#This Row],[ada ship charge]],0)</f>
        <v>0</v>
      </c>
    </row>
    <row r="3542" spans="1:9" x14ac:dyDescent="0.2">
      <c r="A3542">
        <v>1048156</v>
      </c>
      <c r="B3542" t="s">
        <v>21</v>
      </c>
      <c r="C3542">
        <v>13.64</v>
      </c>
      <c r="D3542">
        <v>13.69</v>
      </c>
      <c r="E3542">
        <v>55.85</v>
      </c>
      <c r="F3542" t="s">
        <v>9</v>
      </c>
      <c r="G35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42">
        <f>IF(Table1[[#This Row],[is_ups_overcharge]]="ups overcharged",Table1[[#This Row],[ups ship charge]]-Table1[[#This Row],[ada ship charge]],0)</f>
        <v>0</v>
      </c>
    </row>
    <row r="3543" spans="1:9" x14ac:dyDescent="0.2">
      <c r="A3543">
        <v>1048204</v>
      </c>
      <c r="B3543" t="s">
        <v>21</v>
      </c>
      <c r="C3543">
        <v>9.65</v>
      </c>
      <c r="D3543">
        <v>9.7100000000000009</v>
      </c>
      <c r="E3543">
        <v>66.05</v>
      </c>
      <c r="F3543" t="s">
        <v>6</v>
      </c>
      <c r="G35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43">
        <f>IF(Table1[[#This Row],[is_ups_overcharge]]="ups overcharged",Table1[[#This Row],[ups ship charge]]-Table1[[#This Row],[ada ship charge]],0)</f>
        <v>0</v>
      </c>
    </row>
    <row r="3544" spans="1:9" x14ac:dyDescent="0.2">
      <c r="A3544">
        <v>1048222</v>
      </c>
      <c r="B3544" t="s">
        <v>21</v>
      </c>
      <c r="C3544">
        <v>15.02</v>
      </c>
      <c r="D3544">
        <v>16.329999999999998</v>
      </c>
      <c r="E3544">
        <v>77.849999999999994</v>
      </c>
      <c r="F3544" t="s">
        <v>12</v>
      </c>
      <c r="G35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44">
        <f>IF(Table1[[#This Row],[is_ups_overcharge]]="ups overcharged",Table1[[#This Row],[ups ship charge]]-Table1[[#This Row],[ada ship charge]],0)</f>
        <v>0</v>
      </c>
    </row>
    <row r="3545" spans="1:9" x14ac:dyDescent="0.2">
      <c r="A3545">
        <v>1048252</v>
      </c>
      <c r="B3545" t="s">
        <v>21</v>
      </c>
      <c r="C3545">
        <v>16.75</v>
      </c>
      <c r="D3545">
        <v>16.8</v>
      </c>
      <c r="E3545">
        <v>217.9</v>
      </c>
      <c r="F3545" t="s">
        <v>10</v>
      </c>
      <c r="G35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45">
        <f>IF(Table1[[#This Row],[is_ups_overcharge]]="ups overcharged",Table1[[#This Row],[ups ship charge]]-Table1[[#This Row],[ada ship charge]],0)</f>
        <v>0</v>
      </c>
    </row>
    <row r="3546" spans="1:9" x14ac:dyDescent="0.2">
      <c r="A3546">
        <v>1048256</v>
      </c>
      <c r="B3546" t="s">
        <v>21</v>
      </c>
      <c r="C3546">
        <v>16.649999999999999</v>
      </c>
      <c r="D3546">
        <v>16.690000000000001</v>
      </c>
      <c r="E3546">
        <v>95.8</v>
      </c>
      <c r="F3546" t="s">
        <v>10</v>
      </c>
      <c r="G35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46">
        <f>IF(Table1[[#This Row],[is_ups_overcharge]]="ups overcharged",Table1[[#This Row],[ups ship charge]]-Table1[[#This Row],[ada ship charge]],0)</f>
        <v>0</v>
      </c>
    </row>
    <row r="3547" spans="1:9" x14ac:dyDescent="0.2">
      <c r="A3547">
        <v>1048262</v>
      </c>
      <c r="B3547" t="s">
        <v>21</v>
      </c>
      <c r="C3547">
        <v>15.33</v>
      </c>
      <c r="D3547">
        <v>15.38</v>
      </c>
      <c r="E3547">
        <v>22.5</v>
      </c>
      <c r="F3547" t="s">
        <v>12</v>
      </c>
      <c r="G35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47">
        <f>IF(Table1[[#This Row],[is_ups_overcharge]]="ups overcharged",Table1[[#This Row],[ups ship charge]]-Table1[[#This Row],[ada ship charge]],0)</f>
        <v>0</v>
      </c>
    </row>
    <row r="3548" spans="1:9" x14ac:dyDescent="0.2">
      <c r="A3548">
        <v>1048264</v>
      </c>
      <c r="B3548" t="s">
        <v>21</v>
      </c>
      <c r="C3548">
        <v>12.75</v>
      </c>
      <c r="D3548">
        <v>12.8</v>
      </c>
      <c r="E3548">
        <v>39.950000000000003</v>
      </c>
      <c r="F3548" t="s">
        <v>9</v>
      </c>
      <c r="G35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48">
        <f>IF(Table1[[#This Row],[is_ups_overcharge]]="ups overcharged",Table1[[#This Row],[ups ship charge]]-Table1[[#This Row],[ada ship charge]],0)</f>
        <v>0</v>
      </c>
    </row>
    <row r="3549" spans="1:9" x14ac:dyDescent="0.2">
      <c r="A3549">
        <v>1048289</v>
      </c>
      <c r="B3549" t="s">
        <v>21</v>
      </c>
      <c r="C3549">
        <v>13.64</v>
      </c>
      <c r="D3549">
        <v>13.69</v>
      </c>
      <c r="E3549">
        <v>6.95</v>
      </c>
      <c r="F3549" t="s">
        <v>9</v>
      </c>
      <c r="G35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49">
        <f>IF(Table1[[#This Row],[is_ups_overcharge]]="ups overcharged",Table1[[#This Row],[ups ship charge]]-Table1[[#This Row],[ada ship charge]],0)</f>
        <v>0</v>
      </c>
    </row>
    <row r="3550" spans="1:9" x14ac:dyDescent="0.2">
      <c r="A3550">
        <v>1048299</v>
      </c>
      <c r="B3550" t="s">
        <v>21</v>
      </c>
      <c r="C3550">
        <v>15.02</v>
      </c>
      <c r="D3550">
        <v>15.07</v>
      </c>
      <c r="E3550">
        <v>35.299999999999997</v>
      </c>
      <c r="F3550" t="s">
        <v>12</v>
      </c>
      <c r="G35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50">
        <f>IF(Table1[[#This Row],[is_ups_overcharge]]="ups overcharged",Table1[[#This Row],[ups ship charge]]-Table1[[#This Row],[ada ship charge]],0)</f>
        <v>0</v>
      </c>
    </row>
    <row r="3551" spans="1:9" x14ac:dyDescent="0.2">
      <c r="A3551">
        <v>1048308</v>
      </c>
      <c r="B3551" t="s">
        <v>21</v>
      </c>
      <c r="C3551">
        <v>9.66</v>
      </c>
      <c r="D3551">
        <v>12.8</v>
      </c>
      <c r="E3551">
        <v>34.950000000000003</v>
      </c>
      <c r="F3551" t="s">
        <v>6</v>
      </c>
      <c r="G35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51">
        <f>IF(Table1[[#This Row],[is_ups_overcharge]]="ups overcharged",Table1[[#This Row],[ups ship charge]]-Table1[[#This Row],[ada ship charge]],0)</f>
        <v>0</v>
      </c>
    </row>
    <row r="3552" spans="1:9" x14ac:dyDescent="0.2">
      <c r="A3552">
        <v>1048314</v>
      </c>
      <c r="B3552" t="s">
        <v>21</v>
      </c>
      <c r="C3552">
        <v>12.75</v>
      </c>
      <c r="D3552">
        <v>12.8</v>
      </c>
      <c r="E3552">
        <v>56.85</v>
      </c>
      <c r="F3552" t="s">
        <v>9</v>
      </c>
      <c r="G35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52">
        <f>IF(Table1[[#This Row],[is_ups_overcharge]]="ups overcharged",Table1[[#This Row],[ups ship charge]]-Table1[[#This Row],[ada ship charge]],0)</f>
        <v>0</v>
      </c>
    </row>
    <row r="3553" spans="1:9" x14ac:dyDescent="0.2">
      <c r="A3553">
        <v>1048333</v>
      </c>
      <c r="B3553" t="s">
        <v>21</v>
      </c>
      <c r="C3553">
        <v>16.34</v>
      </c>
      <c r="D3553">
        <v>16.850000000000001</v>
      </c>
      <c r="E3553">
        <v>135.55000000000001</v>
      </c>
      <c r="F3553" t="s">
        <v>10</v>
      </c>
      <c r="G35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53">
        <f>IF(Table1[[#This Row],[is_ups_overcharge]]="ups overcharged",Table1[[#This Row],[ups ship charge]]-Table1[[#This Row],[ada ship charge]],0)</f>
        <v>0</v>
      </c>
    </row>
    <row r="3554" spans="1:9" x14ac:dyDescent="0.2">
      <c r="A3554">
        <v>1048340</v>
      </c>
      <c r="B3554" t="s">
        <v>21</v>
      </c>
      <c r="C3554">
        <v>13.64</v>
      </c>
      <c r="D3554">
        <v>13.69</v>
      </c>
      <c r="E3554">
        <v>64.95</v>
      </c>
      <c r="F3554" t="s">
        <v>9</v>
      </c>
      <c r="G35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54">
        <f>IF(Table1[[#This Row],[is_ups_overcharge]]="ups overcharged",Table1[[#This Row],[ups ship charge]]-Table1[[#This Row],[ada ship charge]],0)</f>
        <v>0</v>
      </c>
    </row>
    <row r="3555" spans="1:9" x14ac:dyDescent="0.2">
      <c r="A3555">
        <v>1048362</v>
      </c>
      <c r="B3555" t="s">
        <v>21</v>
      </c>
      <c r="C3555">
        <v>12.75</v>
      </c>
      <c r="D3555">
        <v>12.8</v>
      </c>
      <c r="E3555">
        <v>90.8</v>
      </c>
      <c r="F3555" t="s">
        <v>9</v>
      </c>
      <c r="G35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55">
        <f>IF(Table1[[#This Row],[is_ups_overcharge]]="ups overcharged",Table1[[#This Row],[ups ship charge]]-Table1[[#This Row],[ada ship charge]],0)</f>
        <v>0</v>
      </c>
    </row>
    <row r="3556" spans="1:9" x14ac:dyDescent="0.2">
      <c r="A3556">
        <v>1048363</v>
      </c>
      <c r="B3556" t="s">
        <v>21</v>
      </c>
      <c r="C3556">
        <v>12.75</v>
      </c>
      <c r="D3556">
        <v>12.8</v>
      </c>
      <c r="E3556">
        <v>39.950000000000003</v>
      </c>
      <c r="F3556" t="s">
        <v>9</v>
      </c>
      <c r="G35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56">
        <f>IF(Table1[[#This Row],[is_ups_overcharge]]="ups overcharged",Table1[[#This Row],[ups ship charge]]-Table1[[#This Row],[ada ship charge]],0)</f>
        <v>0</v>
      </c>
    </row>
    <row r="3557" spans="1:9" x14ac:dyDescent="0.2">
      <c r="A3557">
        <v>1048370</v>
      </c>
      <c r="B3557" t="s">
        <v>21</v>
      </c>
      <c r="C3557">
        <v>12.75</v>
      </c>
      <c r="D3557">
        <v>12.8</v>
      </c>
      <c r="E3557">
        <v>10.95</v>
      </c>
      <c r="F3557" t="s">
        <v>9</v>
      </c>
      <c r="G35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57">
        <f>IF(Table1[[#This Row],[is_ups_overcharge]]="ups overcharged",Table1[[#This Row],[ups ship charge]]-Table1[[#This Row],[ada ship charge]],0)</f>
        <v>0</v>
      </c>
    </row>
    <row r="3558" spans="1:9" x14ac:dyDescent="0.2">
      <c r="A3558">
        <v>1048387</v>
      </c>
      <c r="B3558" t="s">
        <v>21</v>
      </c>
      <c r="C3558">
        <v>13.64</v>
      </c>
      <c r="D3558">
        <v>13.69</v>
      </c>
      <c r="E3558">
        <v>42.9</v>
      </c>
      <c r="F3558" t="s">
        <v>9</v>
      </c>
      <c r="G35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58">
        <f>IF(Table1[[#This Row],[is_ups_overcharge]]="ups overcharged",Table1[[#This Row],[ups ship charge]]-Table1[[#This Row],[ada ship charge]],0)</f>
        <v>0</v>
      </c>
    </row>
    <row r="3559" spans="1:9" x14ac:dyDescent="0.2">
      <c r="A3559">
        <v>1048413</v>
      </c>
      <c r="B3559" t="s">
        <v>21</v>
      </c>
      <c r="C3559">
        <v>12.75</v>
      </c>
      <c r="D3559">
        <v>12.8</v>
      </c>
      <c r="E3559">
        <v>45.3</v>
      </c>
      <c r="F3559" t="s">
        <v>9</v>
      </c>
      <c r="G35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59">
        <f>IF(Table1[[#This Row],[is_ups_overcharge]]="ups overcharged",Table1[[#This Row],[ups ship charge]]-Table1[[#This Row],[ada ship charge]],0)</f>
        <v>0</v>
      </c>
    </row>
    <row r="3560" spans="1:9" x14ac:dyDescent="0.2">
      <c r="A3560">
        <v>1048425</v>
      </c>
      <c r="B3560" t="s">
        <v>21</v>
      </c>
      <c r="C3560">
        <v>13.64</v>
      </c>
      <c r="D3560">
        <v>13.68</v>
      </c>
      <c r="E3560">
        <v>165</v>
      </c>
      <c r="F3560" t="s">
        <v>9</v>
      </c>
      <c r="G35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60">
        <f>IF(Table1[[#This Row],[is_ups_overcharge]]="ups overcharged",Table1[[#This Row],[ups ship charge]]-Table1[[#This Row],[ada ship charge]],0)</f>
        <v>0</v>
      </c>
    </row>
    <row r="3561" spans="1:9" x14ac:dyDescent="0.2">
      <c r="A3561">
        <v>1048429</v>
      </c>
      <c r="B3561" t="s">
        <v>21</v>
      </c>
      <c r="C3561">
        <v>13.64</v>
      </c>
      <c r="D3561">
        <v>13.69</v>
      </c>
      <c r="E3561">
        <v>9.9</v>
      </c>
      <c r="F3561" t="s">
        <v>9</v>
      </c>
      <c r="G35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61">
        <f>IF(Table1[[#This Row],[is_ups_overcharge]]="ups overcharged",Table1[[#This Row],[ups ship charge]]-Table1[[#This Row],[ada ship charge]],0)</f>
        <v>0</v>
      </c>
    </row>
    <row r="3562" spans="1:9" x14ac:dyDescent="0.2">
      <c r="A3562">
        <v>1048431</v>
      </c>
      <c r="B3562" t="s">
        <v>21</v>
      </c>
      <c r="C3562">
        <v>15.02</v>
      </c>
      <c r="D3562">
        <v>15.07</v>
      </c>
      <c r="E3562">
        <v>54.8</v>
      </c>
      <c r="F3562" t="s">
        <v>12</v>
      </c>
      <c r="G35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62">
        <f>IF(Table1[[#This Row],[is_ups_overcharge]]="ups overcharged",Table1[[#This Row],[ups ship charge]]-Table1[[#This Row],[ada ship charge]],0)</f>
        <v>0</v>
      </c>
    </row>
    <row r="3563" spans="1:9" x14ac:dyDescent="0.2">
      <c r="A3563">
        <v>1048517</v>
      </c>
      <c r="B3563" t="s">
        <v>21</v>
      </c>
      <c r="C3563">
        <v>104.69</v>
      </c>
      <c r="D3563">
        <v>85.86</v>
      </c>
      <c r="E3563">
        <v>1501.53</v>
      </c>
      <c r="F3563" t="s">
        <v>8</v>
      </c>
      <c r="G35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63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563">
        <f>IF(Table1[[#This Row],[is_ups_overcharge]]="ups overcharged",Table1[[#This Row],[ups ship charge]]-Table1[[#This Row],[ada ship charge]],0)</f>
        <v>18.829999999999998</v>
      </c>
    </row>
    <row r="3564" spans="1:9" x14ac:dyDescent="0.2">
      <c r="A3564">
        <v>1048539</v>
      </c>
      <c r="B3564" t="s">
        <v>21</v>
      </c>
      <c r="C3564">
        <v>16.649999999999999</v>
      </c>
      <c r="D3564">
        <v>16.7</v>
      </c>
      <c r="E3564">
        <v>30</v>
      </c>
      <c r="F3564" t="s">
        <v>10</v>
      </c>
      <c r="G35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64">
        <f>IF(Table1[[#This Row],[is_ups_overcharge]]="ups overcharged",Table1[[#This Row],[ups ship charge]]-Table1[[#This Row],[ada ship charge]],0)</f>
        <v>0</v>
      </c>
    </row>
    <row r="3565" spans="1:9" x14ac:dyDescent="0.2">
      <c r="A3565">
        <v>1048548</v>
      </c>
      <c r="B3565" t="s">
        <v>21</v>
      </c>
      <c r="C3565">
        <v>76.33</v>
      </c>
      <c r="D3565">
        <v>90.8</v>
      </c>
      <c r="E3565">
        <v>721.41</v>
      </c>
      <c r="F3565" t="s">
        <v>8</v>
      </c>
      <c r="G35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65">
        <f>IF(Table1[[#This Row],[is_ups_overcharge]]="ups overcharged",Table1[[#This Row],[ups ship charge]]-Table1[[#This Row],[ada ship charge]],0)</f>
        <v>0</v>
      </c>
    </row>
    <row r="3566" spans="1:9" x14ac:dyDescent="0.2">
      <c r="A3566">
        <v>1048551</v>
      </c>
      <c r="B3566" t="s">
        <v>21</v>
      </c>
      <c r="C3566">
        <v>77.900000000000006</v>
      </c>
      <c r="D3566">
        <v>71.56</v>
      </c>
      <c r="E3566">
        <v>809.4</v>
      </c>
      <c r="F3566" t="s">
        <v>8</v>
      </c>
      <c r="G35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66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566">
        <f>IF(Table1[[#This Row],[is_ups_overcharge]]="ups overcharged",Table1[[#This Row],[ups ship charge]]-Table1[[#This Row],[ada ship charge]],0)</f>
        <v>6.3400000000000034</v>
      </c>
    </row>
    <row r="3567" spans="1:9" x14ac:dyDescent="0.2">
      <c r="A3567">
        <v>1048558</v>
      </c>
      <c r="B3567" t="s">
        <v>21</v>
      </c>
      <c r="C3567">
        <v>12.75</v>
      </c>
      <c r="D3567">
        <v>12.8</v>
      </c>
      <c r="E3567">
        <v>63</v>
      </c>
      <c r="F3567" t="s">
        <v>9</v>
      </c>
      <c r="G35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67">
        <f>IF(Table1[[#This Row],[is_ups_overcharge]]="ups overcharged",Table1[[#This Row],[ups ship charge]]-Table1[[#This Row],[ada ship charge]],0)</f>
        <v>0</v>
      </c>
    </row>
    <row r="3568" spans="1:9" x14ac:dyDescent="0.2">
      <c r="A3568">
        <v>1048569</v>
      </c>
      <c r="B3568" t="s">
        <v>21</v>
      </c>
      <c r="C3568">
        <v>66.98</v>
      </c>
      <c r="D3568">
        <v>67.02</v>
      </c>
      <c r="E3568">
        <v>47.6</v>
      </c>
      <c r="F3568" t="s">
        <v>8</v>
      </c>
      <c r="G35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68">
        <f>IF(Table1[[#This Row],[is_ups_overcharge]]="ups overcharged",Table1[[#This Row],[ups ship charge]]-Table1[[#This Row],[ada ship charge]],0)</f>
        <v>0</v>
      </c>
    </row>
    <row r="3569" spans="1:9" x14ac:dyDescent="0.2">
      <c r="A3569">
        <v>1048593</v>
      </c>
      <c r="B3569" t="s">
        <v>21</v>
      </c>
      <c r="C3569">
        <v>12.75</v>
      </c>
      <c r="D3569">
        <v>12.8</v>
      </c>
      <c r="E3569">
        <v>34.9</v>
      </c>
      <c r="F3569" t="s">
        <v>9</v>
      </c>
      <c r="G35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69">
        <f>IF(Table1[[#This Row],[is_ups_overcharge]]="ups overcharged",Table1[[#This Row],[ups ship charge]]-Table1[[#This Row],[ada ship charge]],0)</f>
        <v>0</v>
      </c>
    </row>
    <row r="3570" spans="1:9" x14ac:dyDescent="0.2">
      <c r="A3570">
        <v>1048596</v>
      </c>
      <c r="B3570" t="s">
        <v>21</v>
      </c>
      <c r="C3570">
        <v>13.64</v>
      </c>
      <c r="D3570">
        <v>13.69</v>
      </c>
      <c r="E3570">
        <v>33.75</v>
      </c>
      <c r="F3570" t="s">
        <v>9</v>
      </c>
      <c r="G35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70">
        <f>IF(Table1[[#This Row],[is_ups_overcharge]]="ups overcharged",Table1[[#This Row],[ups ship charge]]-Table1[[#This Row],[ada ship charge]],0)</f>
        <v>0</v>
      </c>
    </row>
    <row r="3571" spans="1:9" x14ac:dyDescent="0.2">
      <c r="A3571">
        <v>1048601</v>
      </c>
      <c r="B3571" t="s">
        <v>21</v>
      </c>
      <c r="C3571">
        <v>13.64</v>
      </c>
      <c r="D3571">
        <v>13.69</v>
      </c>
      <c r="E3571">
        <v>29.95</v>
      </c>
      <c r="F3571" t="s">
        <v>9</v>
      </c>
      <c r="G35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71">
        <f>IF(Table1[[#This Row],[is_ups_overcharge]]="ups overcharged",Table1[[#This Row],[ups ship charge]]-Table1[[#This Row],[ada ship charge]],0)</f>
        <v>0</v>
      </c>
    </row>
    <row r="3572" spans="1:9" x14ac:dyDescent="0.2">
      <c r="A3572">
        <v>1048608</v>
      </c>
      <c r="B3572" t="s">
        <v>21</v>
      </c>
      <c r="C3572">
        <v>12.26</v>
      </c>
      <c r="D3572">
        <v>12.31</v>
      </c>
      <c r="E3572">
        <v>40.5</v>
      </c>
      <c r="F3572" t="s">
        <v>13</v>
      </c>
      <c r="G35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72">
        <f>IF(Table1[[#This Row],[is_ups_overcharge]]="ups overcharged",Table1[[#This Row],[ups ship charge]]-Table1[[#This Row],[ada ship charge]],0)</f>
        <v>0</v>
      </c>
    </row>
    <row r="3573" spans="1:9" x14ac:dyDescent="0.2">
      <c r="A3573">
        <v>1048620</v>
      </c>
      <c r="B3573" t="s">
        <v>21</v>
      </c>
      <c r="C3573">
        <v>12.75</v>
      </c>
      <c r="D3573">
        <v>12.8</v>
      </c>
      <c r="E3573">
        <v>88.75</v>
      </c>
      <c r="F3573" t="s">
        <v>9</v>
      </c>
      <c r="G35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73">
        <f>IF(Table1[[#This Row],[is_ups_overcharge]]="ups overcharged",Table1[[#This Row],[ups ship charge]]-Table1[[#This Row],[ada ship charge]],0)</f>
        <v>0</v>
      </c>
    </row>
    <row r="3574" spans="1:9" x14ac:dyDescent="0.2">
      <c r="A3574">
        <v>1048641</v>
      </c>
      <c r="B3574" t="s">
        <v>21</v>
      </c>
      <c r="C3574">
        <v>10.94</v>
      </c>
      <c r="D3574">
        <v>10.99</v>
      </c>
      <c r="E3574">
        <v>19.899999999999999</v>
      </c>
      <c r="F3574" t="s">
        <v>14</v>
      </c>
      <c r="G35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74">
        <f>IF(Table1[[#This Row],[is_ups_overcharge]]="ups overcharged",Table1[[#This Row],[ups ship charge]]-Table1[[#This Row],[ada ship charge]],0)</f>
        <v>0</v>
      </c>
    </row>
    <row r="3575" spans="1:9" x14ac:dyDescent="0.2">
      <c r="A3575">
        <v>1048647</v>
      </c>
      <c r="B3575" t="s">
        <v>21</v>
      </c>
      <c r="C3575">
        <v>18.02</v>
      </c>
      <c r="D3575">
        <v>19.850000000000001</v>
      </c>
      <c r="E3575">
        <v>68.55</v>
      </c>
      <c r="F3575" t="s">
        <v>15</v>
      </c>
      <c r="G35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75">
        <f>IF(Table1[[#This Row],[is_ups_overcharge]]="ups overcharged",Table1[[#This Row],[ups ship charge]]-Table1[[#This Row],[ada ship charge]],0)</f>
        <v>0</v>
      </c>
    </row>
    <row r="3576" spans="1:9" x14ac:dyDescent="0.2">
      <c r="A3576">
        <v>1048708</v>
      </c>
      <c r="B3576" t="s">
        <v>21</v>
      </c>
      <c r="C3576">
        <v>12.75</v>
      </c>
      <c r="D3576">
        <v>12.8</v>
      </c>
      <c r="E3576">
        <v>81.95</v>
      </c>
      <c r="F3576" t="s">
        <v>9</v>
      </c>
      <c r="G35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76">
        <f>IF(Table1[[#This Row],[is_ups_overcharge]]="ups overcharged",Table1[[#This Row],[ups ship charge]]-Table1[[#This Row],[ada ship charge]],0)</f>
        <v>0</v>
      </c>
    </row>
    <row r="3577" spans="1:9" x14ac:dyDescent="0.2">
      <c r="A3577">
        <v>1048737</v>
      </c>
      <c r="B3577" t="s">
        <v>21</v>
      </c>
      <c r="C3577">
        <v>12.75</v>
      </c>
      <c r="D3577">
        <v>12.8</v>
      </c>
      <c r="E3577">
        <v>34.9</v>
      </c>
      <c r="F3577" t="s">
        <v>9</v>
      </c>
      <c r="G35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77">
        <f>IF(Table1[[#This Row],[is_ups_overcharge]]="ups overcharged",Table1[[#This Row],[ups ship charge]]-Table1[[#This Row],[ada ship charge]],0)</f>
        <v>0</v>
      </c>
    </row>
    <row r="3578" spans="1:9" x14ac:dyDescent="0.2">
      <c r="A3578">
        <v>1048778</v>
      </c>
      <c r="B3578" t="s">
        <v>21</v>
      </c>
      <c r="C3578">
        <v>13.64</v>
      </c>
      <c r="D3578">
        <v>13.69</v>
      </c>
      <c r="E3578">
        <v>52.45</v>
      </c>
      <c r="F3578" t="s">
        <v>9</v>
      </c>
      <c r="G35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78">
        <f>IF(Table1[[#This Row],[is_ups_overcharge]]="ups overcharged",Table1[[#This Row],[ups ship charge]]-Table1[[#This Row],[ada ship charge]],0)</f>
        <v>0</v>
      </c>
    </row>
    <row r="3579" spans="1:9" x14ac:dyDescent="0.2">
      <c r="A3579">
        <v>1048790</v>
      </c>
      <c r="B3579" t="s">
        <v>21</v>
      </c>
      <c r="C3579">
        <v>12.75</v>
      </c>
      <c r="D3579">
        <v>12.8</v>
      </c>
      <c r="E3579">
        <v>9.9499999999999993</v>
      </c>
      <c r="F3579" t="s">
        <v>9</v>
      </c>
      <c r="G35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79">
        <f>IF(Table1[[#This Row],[is_ups_overcharge]]="ups overcharged",Table1[[#This Row],[ups ship charge]]-Table1[[#This Row],[ada ship charge]],0)</f>
        <v>0</v>
      </c>
    </row>
    <row r="3580" spans="1:9" x14ac:dyDescent="0.2">
      <c r="A3580">
        <v>1048806</v>
      </c>
      <c r="B3580" t="s">
        <v>21</v>
      </c>
      <c r="C3580">
        <v>15.02</v>
      </c>
      <c r="D3580">
        <v>15.12</v>
      </c>
      <c r="E3580">
        <v>127.15</v>
      </c>
      <c r="F3580" t="s">
        <v>12</v>
      </c>
      <c r="G35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80">
        <f>IF(Table1[[#This Row],[is_ups_overcharge]]="ups overcharged",Table1[[#This Row],[ups ship charge]]-Table1[[#This Row],[ada ship charge]],0)</f>
        <v>0</v>
      </c>
    </row>
    <row r="3581" spans="1:9" x14ac:dyDescent="0.2">
      <c r="A3581">
        <v>1048846</v>
      </c>
      <c r="B3581" t="s">
        <v>21</v>
      </c>
      <c r="C3581">
        <v>16.649999999999999</v>
      </c>
      <c r="D3581">
        <v>16.7</v>
      </c>
      <c r="E3581">
        <v>51.9</v>
      </c>
      <c r="F3581" t="s">
        <v>10</v>
      </c>
      <c r="G35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81">
        <f>IF(Table1[[#This Row],[is_ups_overcharge]]="ups overcharged",Table1[[#This Row],[ups ship charge]]-Table1[[#This Row],[ada ship charge]],0)</f>
        <v>0</v>
      </c>
    </row>
    <row r="3582" spans="1:9" x14ac:dyDescent="0.2">
      <c r="A3582">
        <v>1048853</v>
      </c>
      <c r="B3582" t="s">
        <v>21</v>
      </c>
      <c r="C3582">
        <v>12.75</v>
      </c>
      <c r="D3582">
        <v>12.8</v>
      </c>
      <c r="E3582">
        <v>39.950000000000003</v>
      </c>
      <c r="F3582" t="s">
        <v>9</v>
      </c>
      <c r="G35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82">
        <f>IF(Table1[[#This Row],[is_ups_overcharge]]="ups overcharged",Table1[[#This Row],[ups ship charge]]-Table1[[#This Row],[ada ship charge]],0)</f>
        <v>0</v>
      </c>
    </row>
    <row r="3583" spans="1:9" x14ac:dyDescent="0.2">
      <c r="A3583">
        <v>1048857</v>
      </c>
      <c r="B3583" t="s">
        <v>21</v>
      </c>
      <c r="C3583">
        <v>9.66</v>
      </c>
      <c r="D3583">
        <v>13.69</v>
      </c>
      <c r="E3583">
        <v>39.950000000000003</v>
      </c>
      <c r="F3583" t="s">
        <v>6</v>
      </c>
      <c r="G35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83">
        <f>IF(Table1[[#This Row],[is_ups_overcharge]]="ups overcharged",Table1[[#This Row],[ups ship charge]]-Table1[[#This Row],[ada ship charge]],0)</f>
        <v>0</v>
      </c>
    </row>
    <row r="3584" spans="1:9" x14ac:dyDescent="0.2">
      <c r="A3584">
        <v>1048879</v>
      </c>
      <c r="B3584" t="s">
        <v>21</v>
      </c>
      <c r="C3584">
        <v>13.64</v>
      </c>
      <c r="D3584">
        <v>13.69</v>
      </c>
      <c r="E3584">
        <v>39.950000000000003</v>
      </c>
      <c r="F3584" t="s">
        <v>9</v>
      </c>
      <c r="G35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84">
        <f>IF(Table1[[#This Row],[is_ups_overcharge]]="ups overcharged",Table1[[#This Row],[ups ship charge]]-Table1[[#This Row],[ada ship charge]],0)</f>
        <v>0</v>
      </c>
    </row>
    <row r="3585" spans="1:9" x14ac:dyDescent="0.2">
      <c r="A3585">
        <v>1048892</v>
      </c>
      <c r="B3585" t="s">
        <v>21</v>
      </c>
      <c r="C3585">
        <v>9.66</v>
      </c>
      <c r="D3585">
        <v>9.7100000000000009</v>
      </c>
      <c r="E3585">
        <v>15.2</v>
      </c>
      <c r="F3585" t="s">
        <v>6</v>
      </c>
      <c r="G35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85">
        <f>IF(Table1[[#This Row],[is_ups_overcharge]]="ups overcharged",Table1[[#This Row],[ups ship charge]]-Table1[[#This Row],[ada ship charge]],0)</f>
        <v>0</v>
      </c>
    </row>
    <row r="3586" spans="1:9" x14ac:dyDescent="0.2">
      <c r="A3586">
        <v>1048910</v>
      </c>
      <c r="B3586" t="s">
        <v>21</v>
      </c>
      <c r="C3586">
        <v>9.65</v>
      </c>
      <c r="D3586">
        <v>9.6999999999999993</v>
      </c>
      <c r="E3586">
        <v>22.95</v>
      </c>
      <c r="F3586" t="s">
        <v>6</v>
      </c>
      <c r="G35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86">
        <f>IF(Table1[[#This Row],[is_ups_overcharge]]="ups overcharged",Table1[[#This Row],[ups ship charge]]-Table1[[#This Row],[ada ship charge]],0)</f>
        <v>0</v>
      </c>
    </row>
    <row r="3587" spans="1:9" x14ac:dyDescent="0.2">
      <c r="A3587">
        <v>1048922</v>
      </c>
      <c r="B3587" t="s">
        <v>21</v>
      </c>
      <c r="C3587">
        <v>9.65</v>
      </c>
      <c r="D3587">
        <v>9.6999999999999993</v>
      </c>
      <c r="E3587">
        <v>99.95</v>
      </c>
      <c r="F3587" t="s">
        <v>6</v>
      </c>
      <c r="G35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87">
        <f>IF(Table1[[#This Row],[is_ups_overcharge]]="ups overcharged",Table1[[#This Row],[ups ship charge]]-Table1[[#This Row],[ada ship charge]],0)</f>
        <v>0</v>
      </c>
    </row>
    <row r="3588" spans="1:9" x14ac:dyDescent="0.2">
      <c r="A3588">
        <v>1048932</v>
      </c>
      <c r="B3588" t="s">
        <v>21</v>
      </c>
      <c r="C3588">
        <v>13.64</v>
      </c>
      <c r="D3588">
        <v>13.69</v>
      </c>
      <c r="E3588">
        <v>43.25</v>
      </c>
      <c r="F3588" t="s">
        <v>9</v>
      </c>
      <c r="G35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88">
        <f>IF(Table1[[#This Row],[is_ups_overcharge]]="ups overcharged",Table1[[#This Row],[ups ship charge]]-Table1[[#This Row],[ada ship charge]],0)</f>
        <v>0</v>
      </c>
    </row>
    <row r="3589" spans="1:9" x14ac:dyDescent="0.2">
      <c r="A3589">
        <v>1048941</v>
      </c>
      <c r="B3589" t="s">
        <v>21</v>
      </c>
      <c r="C3589">
        <v>12.75</v>
      </c>
      <c r="D3589">
        <v>12.8</v>
      </c>
      <c r="E3589">
        <v>62.9</v>
      </c>
      <c r="F3589" t="s">
        <v>9</v>
      </c>
      <c r="G35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89">
        <f>IF(Table1[[#This Row],[is_ups_overcharge]]="ups overcharged",Table1[[#This Row],[ups ship charge]]-Table1[[#This Row],[ada ship charge]],0)</f>
        <v>0</v>
      </c>
    </row>
    <row r="3590" spans="1:9" x14ac:dyDescent="0.2">
      <c r="A3590">
        <v>1048995</v>
      </c>
      <c r="B3590" t="s">
        <v>21</v>
      </c>
      <c r="C3590">
        <v>15.02</v>
      </c>
      <c r="D3590">
        <v>15.07</v>
      </c>
      <c r="E3590">
        <v>39.950000000000003</v>
      </c>
      <c r="F3590" t="s">
        <v>12</v>
      </c>
      <c r="G35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90">
        <f>IF(Table1[[#This Row],[is_ups_overcharge]]="ups overcharged",Table1[[#This Row],[ups ship charge]]-Table1[[#This Row],[ada ship charge]],0)</f>
        <v>0</v>
      </c>
    </row>
    <row r="3591" spans="1:9" x14ac:dyDescent="0.2">
      <c r="A3591">
        <v>1048999</v>
      </c>
      <c r="B3591" t="s">
        <v>21</v>
      </c>
      <c r="C3591">
        <v>12.75</v>
      </c>
      <c r="D3591">
        <v>13.25</v>
      </c>
      <c r="E3591">
        <v>67.05</v>
      </c>
      <c r="F3591" t="s">
        <v>9</v>
      </c>
      <c r="G35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91">
        <f>IF(Table1[[#This Row],[is_ups_overcharge]]="ups overcharged",Table1[[#This Row],[ups ship charge]]-Table1[[#This Row],[ada ship charge]],0)</f>
        <v>0</v>
      </c>
    </row>
    <row r="3592" spans="1:9" x14ac:dyDescent="0.2">
      <c r="A3592">
        <v>1049017</v>
      </c>
      <c r="B3592" t="s">
        <v>21</v>
      </c>
      <c r="C3592">
        <v>16.440000000000001</v>
      </c>
      <c r="D3592">
        <v>16.489999999999998</v>
      </c>
      <c r="E3592">
        <v>17.899999999999999</v>
      </c>
      <c r="F3592" t="s">
        <v>10</v>
      </c>
      <c r="G35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92">
        <f>IF(Table1[[#This Row],[is_ups_overcharge]]="ups overcharged",Table1[[#This Row],[ups ship charge]]-Table1[[#This Row],[ada ship charge]],0)</f>
        <v>0</v>
      </c>
    </row>
    <row r="3593" spans="1:9" x14ac:dyDescent="0.2">
      <c r="A3593">
        <v>1049030</v>
      </c>
      <c r="B3593" t="s">
        <v>21</v>
      </c>
      <c r="C3593">
        <v>9.65</v>
      </c>
      <c r="D3593">
        <v>13.69</v>
      </c>
      <c r="E3593">
        <v>128.69999999999999</v>
      </c>
      <c r="F3593" t="s">
        <v>6</v>
      </c>
      <c r="G35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93">
        <f>IF(Table1[[#This Row],[is_ups_overcharge]]="ups overcharged",Table1[[#This Row],[ups ship charge]]-Table1[[#This Row],[ada ship charge]],0)</f>
        <v>0</v>
      </c>
    </row>
    <row r="3594" spans="1:9" x14ac:dyDescent="0.2">
      <c r="A3594">
        <v>1049035</v>
      </c>
      <c r="B3594" t="s">
        <v>21</v>
      </c>
      <c r="C3594">
        <v>9.65</v>
      </c>
      <c r="D3594">
        <v>13.69</v>
      </c>
      <c r="E3594">
        <v>128.69999999999999</v>
      </c>
      <c r="F3594" t="s">
        <v>6</v>
      </c>
      <c r="G35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94">
        <f>IF(Table1[[#This Row],[is_ups_overcharge]]="ups overcharged",Table1[[#This Row],[ups ship charge]]-Table1[[#This Row],[ada ship charge]],0)</f>
        <v>0</v>
      </c>
    </row>
    <row r="3595" spans="1:9" x14ac:dyDescent="0.2">
      <c r="A3595">
        <v>1049042</v>
      </c>
      <c r="B3595" t="s">
        <v>21</v>
      </c>
      <c r="C3595">
        <v>12.75</v>
      </c>
      <c r="D3595">
        <v>12.8</v>
      </c>
      <c r="E3595">
        <v>56.85</v>
      </c>
      <c r="F3595" t="s">
        <v>9</v>
      </c>
      <c r="G35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95">
        <f>IF(Table1[[#This Row],[is_ups_overcharge]]="ups overcharged",Table1[[#This Row],[ups ship charge]]-Table1[[#This Row],[ada ship charge]],0)</f>
        <v>0</v>
      </c>
    </row>
    <row r="3596" spans="1:9" x14ac:dyDescent="0.2">
      <c r="A3596">
        <v>1049055</v>
      </c>
      <c r="B3596" t="s">
        <v>21</v>
      </c>
      <c r="C3596">
        <v>9.66</v>
      </c>
      <c r="D3596">
        <v>9.7100000000000009</v>
      </c>
      <c r="E3596">
        <v>76.7</v>
      </c>
      <c r="F3596" t="s">
        <v>6</v>
      </c>
      <c r="G35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96">
        <f>IF(Table1[[#This Row],[is_ups_overcharge]]="ups overcharged",Table1[[#This Row],[ups ship charge]]-Table1[[#This Row],[ada ship charge]],0)</f>
        <v>0</v>
      </c>
    </row>
    <row r="3597" spans="1:9" x14ac:dyDescent="0.2">
      <c r="A3597">
        <v>1049074</v>
      </c>
      <c r="B3597" t="s">
        <v>21</v>
      </c>
      <c r="C3597">
        <v>13.64</v>
      </c>
      <c r="D3597">
        <v>13.69</v>
      </c>
      <c r="E3597">
        <v>34.9</v>
      </c>
      <c r="F3597" t="s">
        <v>9</v>
      </c>
      <c r="G35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97">
        <f>IF(Table1[[#This Row],[is_ups_overcharge]]="ups overcharged",Table1[[#This Row],[ups ship charge]]-Table1[[#This Row],[ada ship charge]],0)</f>
        <v>0</v>
      </c>
    </row>
    <row r="3598" spans="1:9" x14ac:dyDescent="0.2">
      <c r="A3598">
        <v>1049098</v>
      </c>
      <c r="B3598" t="s">
        <v>21</v>
      </c>
      <c r="C3598">
        <v>12.75</v>
      </c>
      <c r="D3598">
        <v>12.8</v>
      </c>
      <c r="E3598">
        <v>31.4</v>
      </c>
      <c r="F3598" t="s">
        <v>9</v>
      </c>
      <c r="G35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98">
        <f>IF(Table1[[#This Row],[is_ups_overcharge]]="ups overcharged",Table1[[#This Row],[ups ship charge]]-Table1[[#This Row],[ada ship charge]],0)</f>
        <v>0</v>
      </c>
    </row>
    <row r="3599" spans="1:9" x14ac:dyDescent="0.2">
      <c r="A3599">
        <v>1049099</v>
      </c>
      <c r="B3599" t="s">
        <v>21</v>
      </c>
      <c r="C3599">
        <v>9.66</v>
      </c>
      <c r="D3599">
        <v>9.6999999999999993</v>
      </c>
      <c r="E3599">
        <v>123.6</v>
      </c>
      <c r="F3599" t="s">
        <v>6</v>
      </c>
      <c r="G35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5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599">
        <f>IF(Table1[[#This Row],[is_ups_overcharge]]="ups overcharged",Table1[[#This Row],[ups ship charge]]-Table1[[#This Row],[ada ship charge]],0)</f>
        <v>0</v>
      </c>
    </row>
    <row r="3600" spans="1:9" x14ac:dyDescent="0.2">
      <c r="A3600">
        <v>1049104</v>
      </c>
      <c r="B3600" t="s">
        <v>21</v>
      </c>
      <c r="C3600">
        <v>12.75</v>
      </c>
      <c r="D3600">
        <v>12.8</v>
      </c>
      <c r="E3600">
        <v>39.950000000000003</v>
      </c>
      <c r="F3600" t="s">
        <v>9</v>
      </c>
      <c r="G36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00">
        <f>IF(Table1[[#This Row],[is_ups_overcharge]]="ups overcharged",Table1[[#This Row],[ups ship charge]]-Table1[[#This Row],[ada ship charge]],0)</f>
        <v>0</v>
      </c>
    </row>
    <row r="3601" spans="1:9" x14ac:dyDescent="0.2">
      <c r="A3601">
        <v>1049107</v>
      </c>
      <c r="B3601" t="s">
        <v>21</v>
      </c>
      <c r="C3601">
        <v>12.75</v>
      </c>
      <c r="D3601">
        <v>12.8</v>
      </c>
      <c r="E3601">
        <v>25.85</v>
      </c>
      <c r="F3601" t="s">
        <v>9</v>
      </c>
      <c r="G36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01">
        <f>IF(Table1[[#This Row],[is_ups_overcharge]]="ups overcharged",Table1[[#This Row],[ups ship charge]]-Table1[[#This Row],[ada ship charge]],0)</f>
        <v>0</v>
      </c>
    </row>
    <row r="3602" spans="1:9" x14ac:dyDescent="0.2">
      <c r="A3602">
        <v>1049128</v>
      </c>
      <c r="B3602" t="s">
        <v>21</v>
      </c>
      <c r="C3602">
        <v>13.64</v>
      </c>
      <c r="D3602">
        <v>13.69</v>
      </c>
      <c r="E3602">
        <v>63.7</v>
      </c>
      <c r="F3602" t="s">
        <v>9</v>
      </c>
      <c r="G36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02">
        <f>IF(Table1[[#This Row],[is_ups_overcharge]]="ups overcharged",Table1[[#This Row],[ups ship charge]]-Table1[[#This Row],[ada ship charge]],0)</f>
        <v>0</v>
      </c>
    </row>
    <row r="3603" spans="1:9" x14ac:dyDescent="0.2">
      <c r="A3603">
        <v>1049142</v>
      </c>
      <c r="B3603" t="s">
        <v>21</v>
      </c>
      <c r="C3603">
        <v>16.34</v>
      </c>
      <c r="D3603">
        <v>16.39</v>
      </c>
      <c r="E3603">
        <v>143.75</v>
      </c>
      <c r="F3603" t="s">
        <v>10</v>
      </c>
      <c r="G36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03">
        <f>IF(Table1[[#This Row],[is_ups_overcharge]]="ups overcharged",Table1[[#This Row],[ups ship charge]]-Table1[[#This Row],[ada ship charge]],0)</f>
        <v>0</v>
      </c>
    </row>
    <row r="3604" spans="1:9" x14ac:dyDescent="0.2">
      <c r="A3604">
        <v>1049168</v>
      </c>
      <c r="B3604" t="s">
        <v>21</v>
      </c>
      <c r="C3604">
        <v>12.75</v>
      </c>
      <c r="D3604">
        <v>12.8</v>
      </c>
      <c r="E3604">
        <v>21</v>
      </c>
      <c r="F3604" t="s">
        <v>9</v>
      </c>
      <c r="G36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04">
        <f>IF(Table1[[#This Row],[is_ups_overcharge]]="ups overcharged",Table1[[#This Row],[ups ship charge]]-Table1[[#This Row],[ada ship charge]],0)</f>
        <v>0</v>
      </c>
    </row>
    <row r="3605" spans="1:9" x14ac:dyDescent="0.2">
      <c r="A3605">
        <v>1049174</v>
      </c>
      <c r="B3605" t="s">
        <v>21</v>
      </c>
      <c r="C3605">
        <v>16.649999999999999</v>
      </c>
      <c r="D3605">
        <v>16.7</v>
      </c>
      <c r="E3605">
        <v>142</v>
      </c>
      <c r="F3605" t="s">
        <v>10</v>
      </c>
      <c r="G36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05">
        <f>IF(Table1[[#This Row],[is_ups_overcharge]]="ups overcharged",Table1[[#This Row],[ups ship charge]]-Table1[[#This Row],[ada ship charge]],0)</f>
        <v>0</v>
      </c>
    </row>
    <row r="3606" spans="1:9" x14ac:dyDescent="0.2">
      <c r="A3606">
        <v>1049185</v>
      </c>
      <c r="B3606" t="s">
        <v>21</v>
      </c>
      <c r="C3606">
        <v>13.64</v>
      </c>
      <c r="D3606">
        <v>13.69</v>
      </c>
      <c r="E3606">
        <v>12</v>
      </c>
      <c r="F3606" t="s">
        <v>9</v>
      </c>
      <c r="G36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06">
        <f>IF(Table1[[#This Row],[is_ups_overcharge]]="ups overcharged",Table1[[#This Row],[ups ship charge]]-Table1[[#This Row],[ada ship charge]],0)</f>
        <v>0</v>
      </c>
    </row>
    <row r="3607" spans="1:9" x14ac:dyDescent="0.2">
      <c r="A3607">
        <v>1049230</v>
      </c>
      <c r="B3607" t="s">
        <v>21</v>
      </c>
      <c r="C3607">
        <v>12.75</v>
      </c>
      <c r="D3607">
        <v>12.8</v>
      </c>
      <c r="E3607">
        <v>73.8</v>
      </c>
      <c r="F3607" t="s">
        <v>9</v>
      </c>
      <c r="G36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07">
        <f>IF(Table1[[#This Row],[is_ups_overcharge]]="ups overcharged",Table1[[#This Row],[ups ship charge]]-Table1[[#This Row],[ada ship charge]],0)</f>
        <v>0</v>
      </c>
    </row>
    <row r="3608" spans="1:9" x14ac:dyDescent="0.2">
      <c r="A3608">
        <v>1049253</v>
      </c>
      <c r="B3608" t="s">
        <v>21</v>
      </c>
      <c r="C3608">
        <v>10.94</v>
      </c>
      <c r="D3608">
        <v>10.99</v>
      </c>
      <c r="E3608">
        <v>7.6</v>
      </c>
      <c r="F3608" t="s">
        <v>14</v>
      </c>
      <c r="G36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08">
        <f>IF(Table1[[#This Row],[is_ups_overcharge]]="ups overcharged",Table1[[#This Row],[ups ship charge]]-Table1[[#This Row],[ada ship charge]],0)</f>
        <v>0</v>
      </c>
    </row>
    <row r="3609" spans="1:9" x14ac:dyDescent="0.2">
      <c r="A3609">
        <v>1049254</v>
      </c>
      <c r="B3609" t="s">
        <v>21</v>
      </c>
      <c r="C3609">
        <v>25.84</v>
      </c>
      <c r="D3609">
        <v>25.89</v>
      </c>
      <c r="E3609">
        <v>27.8</v>
      </c>
      <c r="F3609" t="s">
        <v>15</v>
      </c>
      <c r="G36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09">
        <f>IF(Table1[[#This Row],[is_ups_overcharge]]="ups overcharged",Table1[[#This Row],[ups ship charge]]-Table1[[#This Row],[ada ship charge]],0)</f>
        <v>0</v>
      </c>
    </row>
    <row r="3610" spans="1:9" x14ac:dyDescent="0.2">
      <c r="A3610">
        <v>1049273</v>
      </c>
      <c r="B3610" t="s">
        <v>21</v>
      </c>
      <c r="C3610">
        <v>9.65</v>
      </c>
      <c r="D3610">
        <v>9.6999999999999993</v>
      </c>
      <c r="E3610">
        <v>99.95</v>
      </c>
      <c r="F3610" t="s">
        <v>6</v>
      </c>
      <c r="G36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10">
        <f>IF(Table1[[#This Row],[is_ups_overcharge]]="ups overcharged",Table1[[#This Row],[ups ship charge]]-Table1[[#This Row],[ada ship charge]],0)</f>
        <v>0</v>
      </c>
    </row>
    <row r="3611" spans="1:9" x14ac:dyDescent="0.2">
      <c r="A3611">
        <v>1049277</v>
      </c>
      <c r="B3611" t="s">
        <v>21</v>
      </c>
      <c r="C3611">
        <v>12.75</v>
      </c>
      <c r="D3611">
        <v>12.8</v>
      </c>
      <c r="E3611">
        <v>24.95</v>
      </c>
      <c r="F3611" t="s">
        <v>9</v>
      </c>
      <c r="G36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11">
        <f>IF(Table1[[#This Row],[is_ups_overcharge]]="ups overcharged",Table1[[#This Row],[ups ship charge]]-Table1[[#This Row],[ada ship charge]],0)</f>
        <v>0</v>
      </c>
    </row>
    <row r="3612" spans="1:9" x14ac:dyDescent="0.2">
      <c r="A3612">
        <v>1049279</v>
      </c>
      <c r="B3612" t="s">
        <v>21</v>
      </c>
      <c r="C3612">
        <v>13.64</v>
      </c>
      <c r="D3612">
        <v>13.69</v>
      </c>
      <c r="E3612">
        <v>39.950000000000003</v>
      </c>
      <c r="F3612" t="s">
        <v>9</v>
      </c>
      <c r="G36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12">
        <f>IF(Table1[[#This Row],[is_ups_overcharge]]="ups overcharged",Table1[[#This Row],[ups ship charge]]-Table1[[#This Row],[ada ship charge]],0)</f>
        <v>0</v>
      </c>
    </row>
    <row r="3613" spans="1:9" x14ac:dyDescent="0.2">
      <c r="A3613">
        <v>1049335</v>
      </c>
      <c r="B3613" t="s">
        <v>21</v>
      </c>
      <c r="C3613">
        <v>16.75</v>
      </c>
      <c r="D3613">
        <v>16.8</v>
      </c>
      <c r="E3613">
        <v>44.15</v>
      </c>
      <c r="F3613" t="s">
        <v>10</v>
      </c>
      <c r="G36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13">
        <f>IF(Table1[[#This Row],[is_ups_overcharge]]="ups overcharged",Table1[[#This Row],[ups ship charge]]-Table1[[#This Row],[ada ship charge]],0)</f>
        <v>0</v>
      </c>
    </row>
    <row r="3614" spans="1:9" x14ac:dyDescent="0.2">
      <c r="A3614">
        <v>1049371</v>
      </c>
      <c r="B3614" t="s">
        <v>21</v>
      </c>
      <c r="C3614">
        <v>12.75</v>
      </c>
      <c r="D3614">
        <v>13.2</v>
      </c>
      <c r="E3614">
        <v>162.94999999999999</v>
      </c>
      <c r="F3614" t="s">
        <v>9</v>
      </c>
      <c r="G36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14">
        <f>IF(Table1[[#This Row],[is_ups_overcharge]]="ups overcharged",Table1[[#This Row],[ups ship charge]]-Table1[[#This Row],[ada ship charge]],0)</f>
        <v>0</v>
      </c>
    </row>
    <row r="3615" spans="1:9" x14ac:dyDescent="0.2">
      <c r="A3615">
        <v>1049395</v>
      </c>
      <c r="B3615" t="s">
        <v>21</v>
      </c>
      <c r="C3615">
        <v>13.64</v>
      </c>
      <c r="D3615">
        <v>13.69</v>
      </c>
      <c r="E3615">
        <v>47.9</v>
      </c>
      <c r="F3615" t="s">
        <v>9</v>
      </c>
      <c r="G36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15">
        <f>IF(Table1[[#This Row],[is_ups_overcharge]]="ups overcharged",Table1[[#This Row],[ups ship charge]]-Table1[[#This Row],[ada ship charge]],0)</f>
        <v>0</v>
      </c>
    </row>
    <row r="3616" spans="1:9" x14ac:dyDescent="0.2">
      <c r="A3616">
        <v>1049397</v>
      </c>
      <c r="B3616" t="s">
        <v>21</v>
      </c>
      <c r="C3616">
        <v>13.64</v>
      </c>
      <c r="D3616">
        <v>13.69</v>
      </c>
      <c r="E3616">
        <v>97.25</v>
      </c>
      <c r="F3616" t="s">
        <v>9</v>
      </c>
      <c r="G36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16">
        <f>IF(Table1[[#This Row],[is_ups_overcharge]]="ups overcharged",Table1[[#This Row],[ups ship charge]]-Table1[[#This Row],[ada ship charge]],0)</f>
        <v>0</v>
      </c>
    </row>
    <row r="3617" spans="1:9" x14ac:dyDescent="0.2">
      <c r="A3617">
        <v>1049408</v>
      </c>
      <c r="B3617" t="s">
        <v>21</v>
      </c>
      <c r="C3617">
        <v>13.64</v>
      </c>
      <c r="D3617">
        <v>13.69</v>
      </c>
      <c r="E3617">
        <v>39.950000000000003</v>
      </c>
      <c r="F3617" t="s">
        <v>9</v>
      </c>
      <c r="G36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17">
        <f>IF(Table1[[#This Row],[is_ups_overcharge]]="ups overcharged",Table1[[#This Row],[ups ship charge]]-Table1[[#This Row],[ada ship charge]],0)</f>
        <v>0</v>
      </c>
    </row>
    <row r="3618" spans="1:9" x14ac:dyDescent="0.2">
      <c r="A3618">
        <v>1049420</v>
      </c>
      <c r="B3618" t="s">
        <v>21</v>
      </c>
      <c r="C3618">
        <v>9.66</v>
      </c>
      <c r="D3618">
        <v>9.6999999999999993</v>
      </c>
      <c r="E3618">
        <v>39.9</v>
      </c>
      <c r="F3618" t="s">
        <v>6</v>
      </c>
      <c r="G36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18">
        <f>IF(Table1[[#This Row],[is_ups_overcharge]]="ups overcharged",Table1[[#This Row],[ups ship charge]]-Table1[[#This Row],[ada ship charge]],0)</f>
        <v>0</v>
      </c>
    </row>
    <row r="3619" spans="1:9" x14ac:dyDescent="0.2">
      <c r="A3619">
        <v>1049424</v>
      </c>
      <c r="B3619" t="s">
        <v>21</v>
      </c>
      <c r="C3619">
        <v>12.75</v>
      </c>
      <c r="D3619">
        <v>12.8</v>
      </c>
      <c r="E3619">
        <v>27.8</v>
      </c>
      <c r="F3619" t="s">
        <v>9</v>
      </c>
      <c r="G36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19">
        <f>IF(Table1[[#This Row],[is_ups_overcharge]]="ups overcharged",Table1[[#This Row],[ups ship charge]]-Table1[[#This Row],[ada ship charge]],0)</f>
        <v>0</v>
      </c>
    </row>
    <row r="3620" spans="1:9" x14ac:dyDescent="0.2">
      <c r="A3620">
        <v>1049458</v>
      </c>
      <c r="B3620" t="s">
        <v>21</v>
      </c>
      <c r="C3620">
        <v>12.75</v>
      </c>
      <c r="D3620">
        <v>12.8</v>
      </c>
      <c r="E3620">
        <v>29.85</v>
      </c>
      <c r="F3620" t="s">
        <v>9</v>
      </c>
      <c r="G36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20">
        <f>IF(Table1[[#This Row],[is_ups_overcharge]]="ups overcharged",Table1[[#This Row],[ups ship charge]]-Table1[[#This Row],[ada ship charge]],0)</f>
        <v>0</v>
      </c>
    </row>
    <row r="3621" spans="1:9" x14ac:dyDescent="0.2">
      <c r="A3621">
        <v>1049464</v>
      </c>
      <c r="B3621" t="s">
        <v>21</v>
      </c>
      <c r="C3621">
        <v>13.64</v>
      </c>
      <c r="D3621">
        <v>14.14</v>
      </c>
      <c r="E3621">
        <v>85.15</v>
      </c>
      <c r="F3621" t="s">
        <v>9</v>
      </c>
      <c r="G36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21">
        <f>IF(Table1[[#This Row],[is_ups_overcharge]]="ups overcharged",Table1[[#This Row],[ups ship charge]]-Table1[[#This Row],[ada ship charge]],0)</f>
        <v>0</v>
      </c>
    </row>
    <row r="3622" spans="1:9" x14ac:dyDescent="0.2">
      <c r="A3622">
        <v>1049477</v>
      </c>
      <c r="B3622" t="s">
        <v>21</v>
      </c>
      <c r="C3622">
        <v>13.64</v>
      </c>
      <c r="D3622">
        <v>13.69</v>
      </c>
      <c r="E3622">
        <v>29.9</v>
      </c>
      <c r="F3622" t="s">
        <v>9</v>
      </c>
      <c r="G36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22">
        <f>IF(Table1[[#This Row],[is_ups_overcharge]]="ups overcharged",Table1[[#This Row],[ups ship charge]]-Table1[[#This Row],[ada ship charge]],0)</f>
        <v>0</v>
      </c>
    </row>
    <row r="3623" spans="1:9" x14ac:dyDescent="0.2">
      <c r="A3623">
        <v>1049492</v>
      </c>
      <c r="B3623" t="s">
        <v>21</v>
      </c>
      <c r="C3623">
        <v>13.64</v>
      </c>
      <c r="D3623">
        <v>13.69</v>
      </c>
      <c r="E3623">
        <v>5</v>
      </c>
      <c r="F3623" t="s">
        <v>9</v>
      </c>
      <c r="G36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23">
        <f>IF(Table1[[#This Row],[is_ups_overcharge]]="ups overcharged",Table1[[#This Row],[ups ship charge]]-Table1[[#This Row],[ada ship charge]],0)</f>
        <v>0</v>
      </c>
    </row>
    <row r="3624" spans="1:9" x14ac:dyDescent="0.2">
      <c r="A3624">
        <v>1049513</v>
      </c>
      <c r="B3624" t="s">
        <v>21</v>
      </c>
      <c r="C3624">
        <v>33.380000000000003</v>
      </c>
      <c r="D3624">
        <v>39.159999999999997</v>
      </c>
      <c r="E3624">
        <v>44.95</v>
      </c>
      <c r="F3624" t="s">
        <v>15</v>
      </c>
      <c r="G36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24">
        <f>IF(Table1[[#This Row],[is_ups_overcharge]]="ups overcharged",Table1[[#This Row],[ups ship charge]]-Table1[[#This Row],[ada ship charge]],0)</f>
        <v>0</v>
      </c>
    </row>
    <row r="3625" spans="1:9" x14ac:dyDescent="0.2">
      <c r="A3625">
        <v>1049514</v>
      </c>
      <c r="B3625" t="s">
        <v>21</v>
      </c>
      <c r="C3625">
        <v>13.64</v>
      </c>
      <c r="D3625">
        <v>13.69</v>
      </c>
      <c r="E3625">
        <v>10.45</v>
      </c>
      <c r="F3625" t="s">
        <v>9</v>
      </c>
      <c r="G36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25">
        <f>IF(Table1[[#This Row],[is_ups_overcharge]]="ups overcharged",Table1[[#This Row],[ups ship charge]]-Table1[[#This Row],[ada ship charge]],0)</f>
        <v>0</v>
      </c>
    </row>
    <row r="3626" spans="1:9" x14ac:dyDescent="0.2">
      <c r="A3626">
        <v>1049515</v>
      </c>
      <c r="B3626" t="s">
        <v>21</v>
      </c>
      <c r="C3626">
        <v>16.440000000000001</v>
      </c>
      <c r="D3626">
        <v>16.489999999999998</v>
      </c>
      <c r="E3626">
        <v>5</v>
      </c>
      <c r="F3626" t="s">
        <v>10</v>
      </c>
      <c r="G36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26">
        <f>IF(Table1[[#This Row],[is_ups_overcharge]]="ups overcharged",Table1[[#This Row],[ups ship charge]]-Table1[[#This Row],[ada ship charge]],0)</f>
        <v>0</v>
      </c>
    </row>
    <row r="3627" spans="1:9" x14ac:dyDescent="0.2">
      <c r="A3627">
        <v>1049537</v>
      </c>
      <c r="B3627" t="s">
        <v>21</v>
      </c>
      <c r="C3627">
        <v>12.75</v>
      </c>
      <c r="D3627">
        <v>12.8</v>
      </c>
      <c r="E3627">
        <v>5</v>
      </c>
      <c r="F3627" t="s">
        <v>9</v>
      </c>
      <c r="G36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27">
        <f>IF(Table1[[#This Row],[is_ups_overcharge]]="ups overcharged",Table1[[#This Row],[ups ship charge]]-Table1[[#This Row],[ada ship charge]],0)</f>
        <v>0</v>
      </c>
    </row>
    <row r="3628" spans="1:9" x14ac:dyDescent="0.2">
      <c r="A3628">
        <v>1049543</v>
      </c>
      <c r="B3628" t="s">
        <v>21</v>
      </c>
      <c r="C3628">
        <v>9.66</v>
      </c>
      <c r="D3628">
        <v>9.7100000000000009</v>
      </c>
      <c r="E3628">
        <v>81.55</v>
      </c>
      <c r="F3628" t="s">
        <v>6</v>
      </c>
      <c r="G36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28">
        <f>IF(Table1[[#This Row],[is_ups_overcharge]]="ups overcharged",Table1[[#This Row],[ups ship charge]]-Table1[[#This Row],[ada ship charge]],0)</f>
        <v>0</v>
      </c>
    </row>
    <row r="3629" spans="1:9" x14ac:dyDescent="0.2">
      <c r="A3629">
        <v>1049545</v>
      </c>
      <c r="B3629" t="s">
        <v>21</v>
      </c>
      <c r="C3629">
        <v>12.75</v>
      </c>
      <c r="D3629">
        <v>12.8</v>
      </c>
      <c r="E3629">
        <v>5</v>
      </c>
      <c r="F3629" t="s">
        <v>9</v>
      </c>
      <c r="G36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29">
        <f>IF(Table1[[#This Row],[is_ups_overcharge]]="ups overcharged",Table1[[#This Row],[ups ship charge]]-Table1[[#This Row],[ada ship charge]],0)</f>
        <v>0</v>
      </c>
    </row>
    <row r="3630" spans="1:9" x14ac:dyDescent="0.2">
      <c r="A3630">
        <v>1049572</v>
      </c>
      <c r="B3630" t="s">
        <v>21</v>
      </c>
      <c r="C3630">
        <v>12.75</v>
      </c>
      <c r="D3630">
        <v>13.25</v>
      </c>
      <c r="E3630">
        <v>97.7</v>
      </c>
      <c r="F3630" t="s">
        <v>9</v>
      </c>
      <c r="G36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30">
        <f>IF(Table1[[#This Row],[is_ups_overcharge]]="ups overcharged",Table1[[#This Row],[ups ship charge]]-Table1[[#This Row],[ada ship charge]],0)</f>
        <v>0</v>
      </c>
    </row>
    <row r="3631" spans="1:9" x14ac:dyDescent="0.2">
      <c r="A3631">
        <v>1049586</v>
      </c>
      <c r="B3631" t="s">
        <v>21</v>
      </c>
      <c r="C3631">
        <v>9.65</v>
      </c>
      <c r="D3631">
        <v>9.6999999999999993</v>
      </c>
      <c r="E3631">
        <v>5</v>
      </c>
      <c r="F3631" t="s">
        <v>6</v>
      </c>
      <c r="G36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31">
        <f>IF(Table1[[#This Row],[is_ups_overcharge]]="ups overcharged",Table1[[#This Row],[ups ship charge]]-Table1[[#This Row],[ada ship charge]],0)</f>
        <v>0</v>
      </c>
    </row>
    <row r="3632" spans="1:9" x14ac:dyDescent="0.2">
      <c r="A3632">
        <v>1049614</v>
      </c>
      <c r="B3632" t="s">
        <v>21</v>
      </c>
      <c r="C3632">
        <v>13.64</v>
      </c>
      <c r="D3632">
        <v>13.69</v>
      </c>
      <c r="E3632">
        <v>24.55</v>
      </c>
      <c r="F3632" t="s">
        <v>9</v>
      </c>
      <c r="G36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32">
        <f>IF(Table1[[#This Row],[is_ups_overcharge]]="ups overcharged",Table1[[#This Row],[ups ship charge]]-Table1[[#This Row],[ada ship charge]],0)</f>
        <v>0</v>
      </c>
    </row>
    <row r="3633" spans="1:9" x14ac:dyDescent="0.2">
      <c r="A3633">
        <v>1049627</v>
      </c>
      <c r="B3633" t="s">
        <v>21</v>
      </c>
      <c r="C3633">
        <v>13.64</v>
      </c>
      <c r="D3633">
        <v>13.69</v>
      </c>
      <c r="E3633">
        <v>17.850000000000001</v>
      </c>
      <c r="F3633" t="s">
        <v>9</v>
      </c>
      <c r="G36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33">
        <f>IF(Table1[[#This Row],[is_ups_overcharge]]="ups overcharged",Table1[[#This Row],[ups ship charge]]-Table1[[#This Row],[ada ship charge]],0)</f>
        <v>0</v>
      </c>
    </row>
    <row r="3634" spans="1:9" x14ac:dyDescent="0.2">
      <c r="A3634">
        <v>1049643</v>
      </c>
      <c r="B3634" t="s">
        <v>21</v>
      </c>
      <c r="C3634">
        <v>12.75</v>
      </c>
      <c r="D3634">
        <v>12.8</v>
      </c>
      <c r="E3634">
        <v>39.950000000000003</v>
      </c>
      <c r="F3634" t="s">
        <v>9</v>
      </c>
      <c r="G36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34">
        <f>IF(Table1[[#This Row],[is_ups_overcharge]]="ups overcharged",Table1[[#This Row],[ups ship charge]]-Table1[[#This Row],[ada ship charge]],0)</f>
        <v>0</v>
      </c>
    </row>
    <row r="3635" spans="1:9" x14ac:dyDescent="0.2">
      <c r="A3635">
        <v>1049649</v>
      </c>
      <c r="B3635" t="s">
        <v>21</v>
      </c>
      <c r="C3635">
        <v>13.63</v>
      </c>
      <c r="D3635">
        <v>13.69</v>
      </c>
      <c r="E3635">
        <v>64.400000000000006</v>
      </c>
      <c r="F3635" t="s">
        <v>9</v>
      </c>
      <c r="G36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35">
        <f>IF(Table1[[#This Row],[is_ups_overcharge]]="ups overcharged",Table1[[#This Row],[ups ship charge]]-Table1[[#This Row],[ada ship charge]],0)</f>
        <v>0</v>
      </c>
    </row>
    <row r="3636" spans="1:9" x14ac:dyDescent="0.2">
      <c r="A3636">
        <v>1049709</v>
      </c>
      <c r="B3636" t="s">
        <v>21</v>
      </c>
      <c r="C3636">
        <v>9.65</v>
      </c>
      <c r="D3636">
        <v>9.6999999999999993</v>
      </c>
      <c r="E3636">
        <v>5.9</v>
      </c>
      <c r="F3636" t="s">
        <v>6</v>
      </c>
      <c r="G36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36">
        <f>IF(Table1[[#This Row],[is_ups_overcharge]]="ups overcharged",Table1[[#This Row],[ups ship charge]]-Table1[[#This Row],[ada ship charge]],0)</f>
        <v>0</v>
      </c>
    </row>
    <row r="3637" spans="1:9" x14ac:dyDescent="0.2">
      <c r="A3637">
        <v>1049722</v>
      </c>
      <c r="B3637" t="s">
        <v>21</v>
      </c>
      <c r="C3637">
        <v>12.75</v>
      </c>
      <c r="D3637">
        <v>12.8</v>
      </c>
      <c r="E3637">
        <v>5</v>
      </c>
      <c r="F3637" t="s">
        <v>9</v>
      </c>
      <c r="G36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37">
        <f>IF(Table1[[#This Row],[is_ups_overcharge]]="ups overcharged",Table1[[#This Row],[ups ship charge]]-Table1[[#This Row],[ada ship charge]],0)</f>
        <v>0</v>
      </c>
    </row>
    <row r="3638" spans="1:9" x14ac:dyDescent="0.2">
      <c r="A3638">
        <v>1049724</v>
      </c>
      <c r="B3638" t="s">
        <v>21</v>
      </c>
      <c r="C3638">
        <v>13.64</v>
      </c>
      <c r="D3638">
        <v>13.69</v>
      </c>
      <c r="E3638">
        <v>5</v>
      </c>
      <c r="F3638" t="s">
        <v>9</v>
      </c>
      <c r="G36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38">
        <f>IF(Table1[[#This Row],[is_ups_overcharge]]="ups overcharged",Table1[[#This Row],[ups ship charge]]-Table1[[#This Row],[ada ship charge]],0)</f>
        <v>0</v>
      </c>
    </row>
    <row r="3639" spans="1:9" x14ac:dyDescent="0.2">
      <c r="A3639">
        <v>1049725</v>
      </c>
      <c r="B3639" t="s">
        <v>21</v>
      </c>
      <c r="C3639">
        <v>16.649999999999999</v>
      </c>
      <c r="D3639">
        <v>16.7</v>
      </c>
      <c r="E3639">
        <v>5</v>
      </c>
      <c r="F3639" t="s">
        <v>10</v>
      </c>
      <c r="G36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39">
        <f>IF(Table1[[#This Row],[is_ups_overcharge]]="ups overcharged",Table1[[#This Row],[ups ship charge]]-Table1[[#This Row],[ada ship charge]],0)</f>
        <v>0</v>
      </c>
    </row>
    <row r="3640" spans="1:9" x14ac:dyDescent="0.2">
      <c r="A3640">
        <v>1049733</v>
      </c>
      <c r="B3640" t="s">
        <v>21</v>
      </c>
      <c r="C3640">
        <v>13.64</v>
      </c>
      <c r="D3640">
        <v>13.69</v>
      </c>
      <c r="E3640">
        <v>13.4</v>
      </c>
      <c r="F3640" t="s">
        <v>9</v>
      </c>
      <c r="G36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40">
        <f>IF(Table1[[#This Row],[is_ups_overcharge]]="ups overcharged",Table1[[#This Row],[ups ship charge]]-Table1[[#This Row],[ada ship charge]],0)</f>
        <v>0</v>
      </c>
    </row>
    <row r="3641" spans="1:9" x14ac:dyDescent="0.2">
      <c r="A3641">
        <v>1049735</v>
      </c>
      <c r="B3641" t="s">
        <v>21</v>
      </c>
      <c r="C3641">
        <v>13.64</v>
      </c>
      <c r="D3641">
        <v>13.69</v>
      </c>
      <c r="E3641">
        <v>37.299999999999997</v>
      </c>
      <c r="F3641" t="s">
        <v>9</v>
      </c>
      <c r="G36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41">
        <f>IF(Table1[[#This Row],[is_ups_overcharge]]="ups overcharged",Table1[[#This Row],[ups ship charge]]-Table1[[#This Row],[ada ship charge]],0)</f>
        <v>0</v>
      </c>
    </row>
    <row r="3642" spans="1:9" x14ac:dyDescent="0.2">
      <c r="A3642">
        <v>1049746</v>
      </c>
      <c r="B3642" t="s">
        <v>21</v>
      </c>
      <c r="C3642">
        <v>13.64</v>
      </c>
      <c r="D3642">
        <v>13.69</v>
      </c>
      <c r="E3642">
        <v>11.95</v>
      </c>
      <c r="F3642" t="s">
        <v>9</v>
      </c>
      <c r="G36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42">
        <f>IF(Table1[[#This Row],[is_ups_overcharge]]="ups overcharged",Table1[[#This Row],[ups ship charge]]-Table1[[#This Row],[ada ship charge]],0)</f>
        <v>0</v>
      </c>
    </row>
    <row r="3643" spans="1:9" x14ac:dyDescent="0.2">
      <c r="A3643">
        <v>1049754</v>
      </c>
      <c r="B3643" t="s">
        <v>21</v>
      </c>
      <c r="C3643">
        <v>12.75</v>
      </c>
      <c r="D3643">
        <v>12.8</v>
      </c>
      <c r="E3643">
        <v>35.75</v>
      </c>
      <c r="F3643" t="s">
        <v>9</v>
      </c>
      <c r="G36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43">
        <f>IF(Table1[[#This Row],[is_ups_overcharge]]="ups overcharged",Table1[[#This Row],[ups ship charge]]-Table1[[#This Row],[ada ship charge]],0)</f>
        <v>0</v>
      </c>
    </row>
    <row r="3644" spans="1:9" x14ac:dyDescent="0.2">
      <c r="A3644">
        <v>1049773</v>
      </c>
      <c r="B3644" t="s">
        <v>21</v>
      </c>
      <c r="C3644">
        <v>12.75</v>
      </c>
      <c r="D3644">
        <v>12.8</v>
      </c>
      <c r="E3644">
        <v>69.900000000000006</v>
      </c>
      <c r="F3644" t="s">
        <v>9</v>
      </c>
      <c r="G36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44">
        <f>IF(Table1[[#This Row],[is_ups_overcharge]]="ups overcharged",Table1[[#This Row],[ups ship charge]]-Table1[[#This Row],[ada ship charge]],0)</f>
        <v>0</v>
      </c>
    </row>
    <row r="3645" spans="1:9" x14ac:dyDescent="0.2">
      <c r="A3645">
        <v>1049775</v>
      </c>
      <c r="B3645" t="s">
        <v>21</v>
      </c>
      <c r="C3645">
        <v>12.75</v>
      </c>
      <c r="D3645">
        <v>12.8</v>
      </c>
      <c r="E3645">
        <v>5</v>
      </c>
      <c r="F3645" t="s">
        <v>9</v>
      </c>
      <c r="G36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45">
        <f>IF(Table1[[#This Row],[is_ups_overcharge]]="ups overcharged",Table1[[#This Row],[ups ship charge]]-Table1[[#This Row],[ada ship charge]],0)</f>
        <v>0</v>
      </c>
    </row>
    <row r="3646" spans="1:9" x14ac:dyDescent="0.2">
      <c r="A3646">
        <v>1049794</v>
      </c>
      <c r="B3646" t="s">
        <v>21</v>
      </c>
      <c r="C3646">
        <v>13.64</v>
      </c>
      <c r="D3646">
        <v>13.69</v>
      </c>
      <c r="E3646">
        <v>13.9</v>
      </c>
      <c r="F3646" t="s">
        <v>9</v>
      </c>
      <c r="G36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46">
        <f>IF(Table1[[#This Row],[is_ups_overcharge]]="ups overcharged",Table1[[#This Row],[ups ship charge]]-Table1[[#This Row],[ada ship charge]],0)</f>
        <v>0</v>
      </c>
    </row>
    <row r="3647" spans="1:9" x14ac:dyDescent="0.2">
      <c r="A3647">
        <v>1049803</v>
      </c>
      <c r="B3647" t="s">
        <v>21</v>
      </c>
      <c r="C3647">
        <v>13.64</v>
      </c>
      <c r="D3647">
        <v>13.73</v>
      </c>
      <c r="E3647">
        <v>116.3</v>
      </c>
      <c r="F3647" t="s">
        <v>9</v>
      </c>
      <c r="G36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47">
        <f>IF(Table1[[#This Row],[is_ups_overcharge]]="ups overcharged",Table1[[#This Row],[ups ship charge]]-Table1[[#This Row],[ada ship charge]],0)</f>
        <v>0</v>
      </c>
    </row>
    <row r="3648" spans="1:9" x14ac:dyDescent="0.2">
      <c r="A3648">
        <v>1049843</v>
      </c>
      <c r="B3648" t="s">
        <v>21</v>
      </c>
      <c r="C3648">
        <v>13.64</v>
      </c>
      <c r="D3648">
        <v>13.69</v>
      </c>
      <c r="E3648">
        <v>49.45</v>
      </c>
      <c r="F3648" t="s">
        <v>9</v>
      </c>
      <c r="G36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48">
        <f>IF(Table1[[#This Row],[is_ups_overcharge]]="ups overcharged",Table1[[#This Row],[ups ship charge]]-Table1[[#This Row],[ada ship charge]],0)</f>
        <v>0</v>
      </c>
    </row>
    <row r="3649" spans="1:9" x14ac:dyDescent="0.2">
      <c r="A3649">
        <v>1049900</v>
      </c>
      <c r="B3649" t="s">
        <v>21</v>
      </c>
      <c r="C3649">
        <v>12.75</v>
      </c>
      <c r="D3649">
        <v>12.8</v>
      </c>
      <c r="E3649">
        <v>148.44999999999999</v>
      </c>
      <c r="F3649" t="s">
        <v>9</v>
      </c>
      <c r="G36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49">
        <f>IF(Table1[[#This Row],[is_ups_overcharge]]="ups overcharged",Table1[[#This Row],[ups ship charge]]-Table1[[#This Row],[ada ship charge]],0)</f>
        <v>0</v>
      </c>
    </row>
    <row r="3650" spans="1:9" x14ac:dyDescent="0.2">
      <c r="A3650">
        <v>1049909</v>
      </c>
      <c r="B3650" t="s">
        <v>21</v>
      </c>
      <c r="C3650">
        <v>16.440000000000001</v>
      </c>
      <c r="D3650">
        <v>16.489999999999998</v>
      </c>
      <c r="E3650">
        <v>19.5</v>
      </c>
      <c r="F3650" t="s">
        <v>10</v>
      </c>
      <c r="G36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50">
        <f>IF(Table1[[#This Row],[is_ups_overcharge]]="ups overcharged",Table1[[#This Row],[ups ship charge]]-Table1[[#This Row],[ada ship charge]],0)</f>
        <v>0</v>
      </c>
    </row>
    <row r="3651" spans="1:9" x14ac:dyDescent="0.2">
      <c r="A3651">
        <v>1049913</v>
      </c>
      <c r="B3651" t="s">
        <v>21</v>
      </c>
      <c r="C3651">
        <v>16.34</v>
      </c>
      <c r="D3651">
        <v>16.39</v>
      </c>
      <c r="E3651">
        <v>144.85</v>
      </c>
      <c r="F3651" t="s">
        <v>10</v>
      </c>
      <c r="G36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51">
        <f>IF(Table1[[#This Row],[is_ups_overcharge]]="ups overcharged",Table1[[#This Row],[ups ship charge]]-Table1[[#This Row],[ada ship charge]],0)</f>
        <v>0</v>
      </c>
    </row>
    <row r="3652" spans="1:9" x14ac:dyDescent="0.2">
      <c r="A3652">
        <v>1049995</v>
      </c>
      <c r="B3652" t="s">
        <v>21</v>
      </c>
      <c r="C3652">
        <v>12.75</v>
      </c>
      <c r="D3652">
        <v>12.8</v>
      </c>
      <c r="E3652">
        <v>117.75</v>
      </c>
      <c r="F3652" t="s">
        <v>9</v>
      </c>
      <c r="G36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52">
        <f>IF(Table1[[#This Row],[is_ups_overcharge]]="ups overcharged",Table1[[#This Row],[ups ship charge]]-Table1[[#This Row],[ada ship charge]],0)</f>
        <v>0</v>
      </c>
    </row>
    <row r="3653" spans="1:9" x14ac:dyDescent="0.2">
      <c r="A3653">
        <v>1050026</v>
      </c>
      <c r="B3653" t="s">
        <v>21</v>
      </c>
      <c r="C3653">
        <v>29.61</v>
      </c>
      <c r="D3653">
        <v>29.65</v>
      </c>
      <c r="E3653">
        <v>29.95</v>
      </c>
      <c r="F3653" t="s">
        <v>13</v>
      </c>
      <c r="G36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53">
        <f>IF(Table1[[#This Row],[is_ups_overcharge]]="ups overcharged",Table1[[#This Row],[ups ship charge]]-Table1[[#This Row],[ada ship charge]],0)</f>
        <v>0</v>
      </c>
    </row>
    <row r="3654" spans="1:9" x14ac:dyDescent="0.2">
      <c r="A3654">
        <v>1050044</v>
      </c>
      <c r="B3654" t="s">
        <v>21</v>
      </c>
      <c r="C3654">
        <v>16.34</v>
      </c>
      <c r="D3654">
        <v>16.39</v>
      </c>
      <c r="E3654">
        <v>69.900000000000006</v>
      </c>
      <c r="F3654" t="s">
        <v>10</v>
      </c>
      <c r="G36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54">
        <f>IF(Table1[[#This Row],[is_ups_overcharge]]="ups overcharged",Table1[[#This Row],[ups ship charge]]-Table1[[#This Row],[ada ship charge]],0)</f>
        <v>0</v>
      </c>
    </row>
    <row r="3655" spans="1:9" x14ac:dyDescent="0.2">
      <c r="A3655">
        <v>1050065</v>
      </c>
      <c r="B3655" t="s">
        <v>21</v>
      </c>
      <c r="C3655">
        <v>16.34</v>
      </c>
      <c r="D3655">
        <v>16.39</v>
      </c>
      <c r="E3655">
        <v>141.85</v>
      </c>
      <c r="F3655" t="s">
        <v>10</v>
      </c>
      <c r="G36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55">
        <f>IF(Table1[[#This Row],[is_ups_overcharge]]="ups overcharged",Table1[[#This Row],[ups ship charge]]-Table1[[#This Row],[ada ship charge]],0)</f>
        <v>0</v>
      </c>
    </row>
    <row r="3656" spans="1:9" x14ac:dyDescent="0.2">
      <c r="A3656">
        <v>1050080</v>
      </c>
      <c r="B3656" t="s">
        <v>21</v>
      </c>
      <c r="C3656">
        <v>12.75</v>
      </c>
      <c r="D3656">
        <v>12.8</v>
      </c>
      <c r="E3656">
        <v>19.850000000000001</v>
      </c>
      <c r="F3656" t="s">
        <v>9</v>
      </c>
      <c r="G36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56">
        <f>IF(Table1[[#This Row],[is_ups_overcharge]]="ups overcharged",Table1[[#This Row],[ups ship charge]]-Table1[[#This Row],[ada ship charge]],0)</f>
        <v>0</v>
      </c>
    </row>
    <row r="3657" spans="1:9" x14ac:dyDescent="0.2">
      <c r="A3657">
        <v>1050094</v>
      </c>
      <c r="B3657" t="s">
        <v>21</v>
      </c>
      <c r="C3657">
        <v>13.64</v>
      </c>
      <c r="D3657">
        <v>13.69</v>
      </c>
      <c r="E3657">
        <v>47.9</v>
      </c>
      <c r="F3657" t="s">
        <v>9</v>
      </c>
      <c r="G36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57">
        <f>IF(Table1[[#This Row],[is_ups_overcharge]]="ups overcharged",Table1[[#This Row],[ups ship charge]]-Table1[[#This Row],[ada ship charge]],0)</f>
        <v>0</v>
      </c>
    </row>
    <row r="3658" spans="1:9" x14ac:dyDescent="0.2">
      <c r="A3658">
        <v>1050095</v>
      </c>
      <c r="B3658" t="s">
        <v>21</v>
      </c>
      <c r="C3658">
        <v>11.94</v>
      </c>
      <c r="D3658">
        <v>11</v>
      </c>
      <c r="E3658">
        <v>98.7</v>
      </c>
      <c r="F3658" t="s">
        <v>14</v>
      </c>
      <c r="G36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5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658">
        <f>IF(Table1[[#This Row],[is_ups_overcharge]]="ups overcharged",Table1[[#This Row],[ups ship charge]]-Table1[[#This Row],[ada ship charge]],0)</f>
        <v>0.9399999999999995</v>
      </c>
    </row>
    <row r="3659" spans="1:9" x14ac:dyDescent="0.2">
      <c r="A3659">
        <v>1050115</v>
      </c>
      <c r="B3659" t="s">
        <v>21</v>
      </c>
      <c r="C3659">
        <v>9.66</v>
      </c>
      <c r="D3659">
        <v>9.7100000000000009</v>
      </c>
      <c r="E3659">
        <v>19.899999999999999</v>
      </c>
      <c r="F3659" t="s">
        <v>6</v>
      </c>
      <c r="G36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59">
        <f>IF(Table1[[#This Row],[is_ups_overcharge]]="ups overcharged",Table1[[#This Row],[ups ship charge]]-Table1[[#This Row],[ada ship charge]],0)</f>
        <v>0</v>
      </c>
    </row>
    <row r="3660" spans="1:9" x14ac:dyDescent="0.2">
      <c r="A3660">
        <v>1050123</v>
      </c>
      <c r="B3660" t="s">
        <v>21</v>
      </c>
      <c r="C3660">
        <v>13.64</v>
      </c>
      <c r="D3660">
        <v>13.69</v>
      </c>
      <c r="E3660">
        <v>20.85</v>
      </c>
      <c r="F3660" t="s">
        <v>9</v>
      </c>
      <c r="G36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60">
        <f>IF(Table1[[#This Row],[is_ups_overcharge]]="ups overcharged",Table1[[#This Row],[ups ship charge]]-Table1[[#This Row],[ada ship charge]],0)</f>
        <v>0</v>
      </c>
    </row>
    <row r="3661" spans="1:9" x14ac:dyDescent="0.2">
      <c r="A3661">
        <v>1050124</v>
      </c>
      <c r="B3661" t="s">
        <v>21</v>
      </c>
      <c r="C3661">
        <v>23.47</v>
      </c>
      <c r="D3661">
        <v>24.74</v>
      </c>
      <c r="E3661">
        <v>55.95</v>
      </c>
      <c r="F3661" t="s">
        <v>15</v>
      </c>
      <c r="G36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61">
        <f>IF(Table1[[#This Row],[is_ups_overcharge]]="ups overcharged",Table1[[#This Row],[ups ship charge]]-Table1[[#This Row],[ada ship charge]],0)</f>
        <v>0</v>
      </c>
    </row>
    <row r="3662" spans="1:9" x14ac:dyDescent="0.2">
      <c r="A3662">
        <v>1050130</v>
      </c>
      <c r="B3662" t="s">
        <v>21</v>
      </c>
      <c r="C3662">
        <v>9.66</v>
      </c>
      <c r="D3662">
        <v>9.7100000000000009</v>
      </c>
      <c r="E3662">
        <v>19.899999999999999</v>
      </c>
      <c r="F3662" t="s">
        <v>6</v>
      </c>
      <c r="G36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62">
        <f>IF(Table1[[#This Row],[is_ups_overcharge]]="ups overcharged",Table1[[#This Row],[ups ship charge]]-Table1[[#This Row],[ada ship charge]],0)</f>
        <v>0</v>
      </c>
    </row>
    <row r="3663" spans="1:9" x14ac:dyDescent="0.2">
      <c r="A3663">
        <v>1050138</v>
      </c>
      <c r="B3663" t="s">
        <v>21</v>
      </c>
      <c r="C3663">
        <v>16.649999999999999</v>
      </c>
      <c r="D3663">
        <v>16.7</v>
      </c>
      <c r="E3663">
        <v>35.6</v>
      </c>
      <c r="F3663" t="s">
        <v>10</v>
      </c>
      <c r="G36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63">
        <f>IF(Table1[[#This Row],[is_ups_overcharge]]="ups overcharged",Table1[[#This Row],[ups ship charge]]-Table1[[#This Row],[ada ship charge]],0)</f>
        <v>0</v>
      </c>
    </row>
    <row r="3664" spans="1:9" x14ac:dyDescent="0.2">
      <c r="A3664">
        <v>1050151</v>
      </c>
      <c r="B3664" t="s">
        <v>21</v>
      </c>
      <c r="C3664">
        <v>16.649999999999999</v>
      </c>
      <c r="D3664">
        <v>16.7</v>
      </c>
      <c r="E3664">
        <v>7.95</v>
      </c>
      <c r="F3664" t="s">
        <v>10</v>
      </c>
      <c r="G36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64">
        <f>IF(Table1[[#This Row],[is_ups_overcharge]]="ups overcharged",Table1[[#This Row],[ups ship charge]]-Table1[[#This Row],[ada ship charge]],0)</f>
        <v>0</v>
      </c>
    </row>
    <row r="3665" spans="1:9" x14ac:dyDescent="0.2">
      <c r="A3665">
        <v>1050172</v>
      </c>
      <c r="B3665" t="s">
        <v>21</v>
      </c>
      <c r="C3665">
        <v>9.65</v>
      </c>
      <c r="D3665">
        <v>9.6999999999999993</v>
      </c>
      <c r="E3665">
        <v>62.2</v>
      </c>
      <c r="F3665" t="s">
        <v>6</v>
      </c>
      <c r="G36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65">
        <f>IF(Table1[[#This Row],[is_ups_overcharge]]="ups overcharged",Table1[[#This Row],[ups ship charge]]-Table1[[#This Row],[ada ship charge]],0)</f>
        <v>0</v>
      </c>
    </row>
    <row r="3666" spans="1:9" x14ac:dyDescent="0.2">
      <c r="A3666">
        <v>1050174</v>
      </c>
      <c r="B3666" t="s">
        <v>21</v>
      </c>
      <c r="C3666">
        <v>9.65</v>
      </c>
      <c r="D3666">
        <v>9.6999999999999993</v>
      </c>
      <c r="E3666">
        <v>164.5</v>
      </c>
      <c r="F3666" t="s">
        <v>6</v>
      </c>
      <c r="G36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66">
        <f>IF(Table1[[#This Row],[is_ups_overcharge]]="ups overcharged",Table1[[#This Row],[ups ship charge]]-Table1[[#This Row],[ada ship charge]],0)</f>
        <v>0</v>
      </c>
    </row>
    <row r="3667" spans="1:9" x14ac:dyDescent="0.2">
      <c r="A3667">
        <v>1050175</v>
      </c>
      <c r="B3667" t="s">
        <v>21</v>
      </c>
      <c r="C3667">
        <v>23.16</v>
      </c>
      <c r="D3667">
        <v>23.21</v>
      </c>
      <c r="E3667">
        <v>22.5</v>
      </c>
      <c r="F3667" t="s">
        <v>15</v>
      </c>
      <c r="G36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67">
        <f>IF(Table1[[#This Row],[is_ups_overcharge]]="ups overcharged",Table1[[#This Row],[ups ship charge]]-Table1[[#This Row],[ada ship charge]],0)</f>
        <v>0</v>
      </c>
    </row>
    <row r="3668" spans="1:9" x14ac:dyDescent="0.2">
      <c r="A3668">
        <v>1050179</v>
      </c>
      <c r="B3668" t="s">
        <v>21</v>
      </c>
      <c r="C3668">
        <v>12.75</v>
      </c>
      <c r="D3668">
        <v>12.8</v>
      </c>
      <c r="E3668">
        <v>29.95</v>
      </c>
      <c r="F3668" t="s">
        <v>9</v>
      </c>
      <c r="G36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68">
        <f>IF(Table1[[#This Row],[is_ups_overcharge]]="ups overcharged",Table1[[#This Row],[ups ship charge]]-Table1[[#This Row],[ada ship charge]],0)</f>
        <v>0</v>
      </c>
    </row>
    <row r="3669" spans="1:9" x14ac:dyDescent="0.2">
      <c r="A3669">
        <v>1050195</v>
      </c>
      <c r="B3669" t="s">
        <v>21</v>
      </c>
      <c r="C3669">
        <v>12.75</v>
      </c>
      <c r="D3669">
        <v>12.8</v>
      </c>
      <c r="E3669">
        <v>80.849999999999994</v>
      </c>
      <c r="F3669" t="s">
        <v>9</v>
      </c>
      <c r="G36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69">
        <f>IF(Table1[[#This Row],[is_ups_overcharge]]="ups overcharged",Table1[[#This Row],[ups ship charge]]-Table1[[#This Row],[ada ship charge]],0)</f>
        <v>0</v>
      </c>
    </row>
    <row r="3670" spans="1:9" x14ac:dyDescent="0.2">
      <c r="A3670">
        <v>1050203</v>
      </c>
      <c r="B3670" t="s">
        <v>21</v>
      </c>
      <c r="C3670">
        <v>13.64</v>
      </c>
      <c r="D3670">
        <v>13.69</v>
      </c>
      <c r="E3670">
        <v>59.05</v>
      </c>
      <c r="F3670" t="s">
        <v>9</v>
      </c>
      <c r="G36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70">
        <f>IF(Table1[[#This Row],[is_ups_overcharge]]="ups overcharged",Table1[[#This Row],[ups ship charge]]-Table1[[#This Row],[ada ship charge]],0)</f>
        <v>0</v>
      </c>
    </row>
    <row r="3671" spans="1:9" x14ac:dyDescent="0.2">
      <c r="A3671">
        <v>1050225</v>
      </c>
      <c r="B3671" t="s">
        <v>21</v>
      </c>
      <c r="C3671">
        <v>9.65</v>
      </c>
      <c r="D3671">
        <v>10.26</v>
      </c>
      <c r="E3671">
        <v>99.9</v>
      </c>
      <c r="F3671" t="s">
        <v>6</v>
      </c>
      <c r="G36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71">
        <f>IF(Table1[[#This Row],[is_ups_overcharge]]="ups overcharged",Table1[[#This Row],[ups ship charge]]-Table1[[#This Row],[ada ship charge]],0)</f>
        <v>0</v>
      </c>
    </row>
    <row r="3672" spans="1:9" x14ac:dyDescent="0.2">
      <c r="A3672">
        <v>1050228</v>
      </c>
      <c r="B3672" t="s">
        <v>21</v>
      </c>
      <c r="C3672">
        <v>9.66</v>
      </c>
      <c r="D3672">
        <v>9.7100000000000009</v>
      </c>
      <c r="E3672">
        <v>52.5</v>
      </c>
      <c r="F3672" t="s">
        <v>6</v>
      </c>
      <c r="G36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72">
        <f>IF(Table1[[#This Row],[is_ups_overcharge]]="ups overcharged",Table1[[#This Row],[ups ship charge]]-Table1[[#This Row],[ada ship charge]],0)</f>
        <v>0</v>
      </c>
    </row>
    <row r="3673" spans="1:9" x14ac:dyDescent="0.2">
      <c r="A3673">
        <v>1050258</v>
      </c>
      <c r="B3673" t="s">
        <v>21</v>
      </c>
      <c r="C3673">
        <v>15.32</v>
      </c>
      <c r="D3673">
        <v>15.96</v>
      </c>
      <c r="E3673">
        <v>49.9</v>
      </c>
      <c r="F3673" t="s">
        <v>12</v>
      </c>
      <c r="G36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73">
        <f>IF(Table1[[#This Row],[is_ups_overcharge]]="ups overcharged",Table1[[#This Row],[ups ship charge]]-Table1[[#This Row],[ada ship charge]],0)</f>
        <v>0</v>
      </c>
    </row>
    <row r="3674" spans="1:9" x14ac:dyDescent="0.2">
      <c r="A3674">
        <v>1050265</v>
      </c>
      <c r="B3674" t="s">
        <v>21</v>
      </c>
      <c r="C3674">
        <v>12.75</v>
      </c>
      <c r="D3674">
        <v>12.8</v>
      </c>
      <c r="E3674">
        <v>41.7</v>
      </c>
      <c r="F3674" t="s">
        <v>9</v>
      </c>
      <c r="G36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74">
        <f>IF(Table1[[#This Row],[is_ups_overcharge]]="ups overcharged",Table1[[#This Row],[ups ship charge]]-Table1[[#This Row],[ada ship charge]],0)</f>
        <v>0</v>
      </c>
    </row>
    <row r="3675" spans="1:9" x14ac:dyDescent="0.2">
      <c r="A3675">
        <v>1050272</v>
      </c>
      <c r="B3675" t="s">
        <v>21</v>
      </c>
      <c r="C3675">
        <v>9.65</v>
      </c>
      <c r="D3675">
        <v>13.68</v>
      </c>
      <c r="E3675">
        <v>40.799999999999997</v>
      </c>
      <c r="F3675" t="s">
        <v>6</v>
      </c>
      <c r="G36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75">
        <f>IF(Table1[[#This Row],[is_ups_overcharge]]="ups overcharged",Table1[[#This Row],[ups ship charge]]-Table1[[#This Row],[ada ship charge]],0)</f>
        <v>0</v>
      </c>
    </row>
    <row r="3676" spans="1:9" x14ac:dyDescent="0.2">
      <c r="A3676">
        <v>1050294</v>
      </c>
      <c r="B3676" t="s">
        <v>21</v>
      </c>
      <c r="C3676">
        <v>13.64</v>
      </c>
      <c r="D3676">
        <v>13.69</v>
      </c>
      <c r="E3676">
        <v>42.85</v>
      </c>
      <c r="F3676" t="s">
        <v>9</v>
      </c>
      <c r="G36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76">
        <f>IF(Table1[[#This Row],[is_ups_overcharge]]="ups overcharged",Table1[[#This Row],[ups ship charge]]-Table1[[#This Row],[ada ship charge]],0)</f>
        <v>0</v>
      </c>
    </row>
    <row r="3677" spans="1:9" x14ac:dyDescent="0.2">
      <c r="A3677">
        <v>1050309</v>
      </c>
      <c r="B3677" t="s">
        <v>21</v>
      </c>
      <c r="C3677">
        <v>12.75</v>
      </c>
      <c r="D3677">
        <v>12.8</v>
      </c>
      <c r="E3677">
        <v>45.65</v>
      </c>
      <c r="F3677" t="s">
        <v>9</v>
      </c>
      <c r="G36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77">
        <f>IF(Table1[[#This Row],[is_ups_overcharge]]="ups overcharged",Table1[[#This Row],[ups ship charge]]-Table1[[#This Row],[ada ship charge]],0)</f>
        <v>0</v>
      </c>
    </row>
    <row r="3678" spans="1:9" x14ac:dyDescent="0.2">
      <c r="A3678">
        <v>1050326</v>
      </c>
      <c r="B3678" t="s">
        <v>21</v>
      </c>
      <c r="C3678">
        <v>12.75</v>
      </c>
      <c r="D3678">
        <v>12.8</v>
      </c>
      <c r="E3678">
        <v>46.65</v>
      </c>
      <c r="F3678" t="s">
        <v>9</v>
      </c>
      <c r="G36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78">
        <f>IF(Table1[[#This Row],[is_ups_overcharge]]="ups overcharged",Table1[[#This Row],[ups ship charge]]-Table1[[#This Row],[ada ship charge]],0)</f>
        <v>0</v>
      </c>
    </row>
    <row r="3679" spans="1:9" x14ac:dyDescent="0.2">
      <c r="A3679">
        <v>1050333</v>
      </c>
      <c r="B3679" t="s">
        <v>21</v>
      </c>
      <c r="C3679">
        <v>9.65</v>
      </c>
      <c r="D3679">
        <v>9.6999999999999993</v>
      </c>
      <c r="E3679">
        <v>5.95</v>
      </c>
      <c r="F3679" t="s">
        <v>6</v>
      </c>
      <c r="G36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79">
        <f>IF(Table1[[#This Row],[is_ups_overcharge]]="ups overcharged",Table1[[#This Row],[ups ship charge]]-Table1[[#This Row],[ada ship charge]],0)</f>
        <v>0</v>
      </c>
    </row>
    <row r="3680" spans="1:9" x14ac:dyDescent="0.2">
      <c r="A3680">
        <v>1050363</v>
      </c>
      <c r="B3680" t="s">
        <v>21</v>
      </c>
      <c r="C3680">
        <v>13.64</v>
      </c>
      <c r="D3680">
        <v>13.69</v>
      </c>
      <c r="E3680">
        <v>24.95</v>
      </c>
      <c r="F3680" t="s">
        <v>9</v>
      </c>
      <c r="G36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80">
        <f>IF(Table1[[#This Row],[is_ups_overcharge]]="ups overcharged",Table1[[#This Row],[ups ship charge]]-Table1[[#This Row],[ada ship charge]],0)</f>
        <v>0</v>
      </c>
    </row>
    <row r="3681" spans="1:9" x14ac:dyDescent="0.2">
      <c r="A3681">
        <v>1050367</v>
      </c>
      <c r="B3681" t="s">
        <v>21</v>
      </c>
      <c r="C3681">
        <v>12.75</v>
      </c>
      <c r="D3681">
        <v>12.8</v>
      </c>
      <c r="E3681">
        <v>3.95</v>
      </c>
      <c r="F3681" t="s">
        <v>9</v>
      </c>
      <c r="G36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81">
        <f>IF(Table1[[#This Row],[is_ups_overcharge]]="ups overcharged",Table1[[#This Row],[ups ship charge]]-Table1[[#This Row],[ada ship charge]],0)</f>
        <v>0</v>
      </c>
    </row>
    <row r="3682" spans="1:9" x14ac:dyDescent="0.2">
      <c r="A3682">
        <v>1050368</v>
      </c>
      <c r="B3682" t="s">
        <v>21</v>
      </c>
      <c r="C3682">
        <v>12.75</v>
      </c>
      <c r="D3682">
        <v>12.8</v>
      </c>
      <c r="E3682">
        <v>20.9</v>
      </c>
      <c r="F3682" t="s">
        <v>9</v>
      </c>
      <c r="G36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82">
        <f>IF(Table1[[#This Row],[is_ups_overcharge]]="ups overcharged",Table1[[#This Row],[ups ship charge]]-Table1[[#This Row],[ada ship charge]],0)</f>
        <v>0</v>
      </c>
    </row>
    <row r="3683" spans="1:9" x14ac:dyDescent="0.2">
      <c r="A3683">
        <v>1050379</v>
      </c>
      <c r="B3683" t="s">
        <v>21</v>
      </c>
      <c r="C3683">
        <v>9.66</v>
      </c>
      <c r="D3683">
        <v>9.7100000000000009</v>
      </c>
      <c r="E3683">
        <v>15.9</v>
      </c>
      <c r="F3683" t="s">
        <v>6</v>
      </c>
      <c r="G36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83">
        <f>IF(Table1[[#This Row],[is_ups_overcharge]]="ups overcharged",Table1[[#This Row],[ups ship charge]]-Table1[[#This Row],[ada ship charge]],0)</f>
        <v>0</v>
      </c>
    </row>
    <row r="3684" spans="1:9" x14ac:dyDescent="0.2">
      <c r="A3684">
        <v>1050398</v>
      </c>
      <c r="B3684" t="s">
        <v>21</v>
      </c>
      <c r="C3684">
        <v>24.69</v>
      </c>
      <c r="D3684">
        <v>27.29</v>
      </c>
      <c r="E3684">
        <v>49.45</v>
      </c>
      <c r="F3684" t="s">
        <v>15</v>
      </c>
      <c r="G36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84">
        <f>IF(Table1[[#This Row],[is_ups_overcharge]]="ups overcharged",Table1[[#This Row],[ups ship charge]]-Table1[[#This Row],[ada ship charge]],0)</f>
        <v>0</v>
      </c>
    </row>
    <row r="3685" spans="1:9" x14ac:dyDescent="0.2">
      <c r="A3685">
        <v>1050484</v>
      </c>
      <c r="B3685" t="s">
        <v>21</v>
      </c>
      <c r="C3685">
        <v>12.97</v>
      </c>
      <c r="D3685">
        <v>12.8</v>
      </c>
      <c r="E3685">
        <v>174.8</v>
      </c>
      <c r="F3685" t="s">
        <v>9</v>
      </c>
      <c r="G36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85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685">
        <f>IF(Table1[[#This Row],[is_ups_overcharge]]="ups overcharged",Table1[[#This Row],[ups ship charge]]-Table1[[#This Row],[ada ship charge]],0)</f>
        <v>0.16999999999999993</v>
      </c>
    </row>
    <row r="3686" spans="1:9" x14ac:dyDescent="0.2">
      <c r="A3686">
        <v>1050486</v>
      </c>
      <c r="B3686" t="s">
        <v>21</v>
      </c>
      <c r="C3686">
        <v>12.75</v>
      </c>
      <c r="D3686">
        <v>12.8</v>
      </c>
      <c r="E3686">
        <v>133</v>
      </c>
      <c r="F3686" t="s">
        <v>9</v>
      </c>
      <c r="G36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86">
        <f>IF(Table1[[#This Row],[is_ups_overcharge]]="ups overcharged",Table1[[#This Row],[ups ship charge]]-Table1[[#This Row],[ada ship charge]],0)</f>
        <v>0</v>
      </c>
    </row>
    <row r="3687" spans="1:9" x14ac:dyDescent="0.2">
      <c r="A3687">
        <v>1050502</v>
      </c>
      <c r="B3687" t="s">
        <v>21</v>
      </c>
      <c r="C3687">
        <v>13.64</v>
      </c>
      <c r="D3687">
        <v>13.69</v>
      </c>
      <c r="E3687">
        <v>45.9</v>
      </c>
      <c r="F3687" t="s">
        <v>9</v>
      </c>
      <c r="G36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87">
        <f>IF(Table1[[#This Row],[is_ups_overcharge]]="ups overcharged",Table1[[#This Row],[ups ship charge]]-Table1[[#This Row],[ada ship charge]],0)</f>
        <v>0</v>
      </c>
    </row>
    <row r="3688" spans="1:9" x14ac:dyDescent="0.2">
      <c r="A3688">
        <v>1050503</v>
      </c>
      <c r="B3688" t="s">
        <v>21</v>
      </c>
      <c r="C3688">
        <v>101.51</v>
      </c>
      <c r="D3688">
        <v>111.23</v>
      </c>
      <c r="E3688">
        <v>606.4</v>
      </c>
      <c r="F3688" t="s">
        <v>8</v>
      </c>
      <c r="G36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88">
        <f>IF(Table1[[#This Row],[is_ups_overcharge]]="ups overcharged",Table1[[#This Row],[ups ship charge]]-Table1[[#This Row],[ada ship charge]],0)</f>
        <v>0</v>
      </c>
    </row>
    <row r="3689" spans="1:9" x14ac:dyDescent="0.2">
      <c r="A3689">
        <v>1050522</v>
      </c>
      <c r="B3689" t="s">
        <v>21</v>
      </c>
      <c r="C3689">
        <v>12.75</v>
      </c>
      <c r="D3689">
        <v>12.8</v>
      </c>
      <c r="E3689">
        <v>41.8</v>
      </c>
      <c r="F3689" t="s">
        <v>9</v>
      </c>
      <c r="G36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89">
        <f>IF(Table1[[#This Row],[is_ups_overcharge]]="ups overcharged",Table1[[#This Row],[ups ship charge]]-Table1[[#This Row],[ada ship charge]],0)</f>
        <v>0</v>
      </c>
    </row>
    <row r="3690" spans="1:9" x14ac:dyDescent="0.2">
      <c r="A3690">
        <v>1050531</v>
      </c>
      <c r="B3690" t="s">
        <v>21</v>
      </c>
      <c r="C3690">
        <v>9.66</v>
      </c>
      <c r="D3690">
        <v>13.69</v>
      </c>
      <c r="E3690">
        <v>24.95</v>
      </c>
      <c r="F3690" t="s">
        <v>6</v>
      </c>
      <c r="G36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90">
        <f>IF(Table1[[#This Row],[is_ups_overcharge]]="ups overcharged",Table1[[#This Row],[ups ship charge]]-Table1[[#This Row],[ada ship charge]],0)</f>
        <v>0</v>
      </c>
    </row>
    <row r="3691" spans="1:9" x14ac:dyDescent="0.2">
      <c r="A3691">
        <v>1050540</v>
      </c>
      <c r="B3691" t="s">
        <v>21</v>
      </c>
      <c r="C3691">
        <v>9.65</v>
      </c>
      <c r="D3691">
        <v>9.6999999999999993</v>
      </c>
      <c r="E3691">
        <v>25.95</v>
      </c>
      <c r="F3691" t="s">
        <v>6</v>
      </c>
      <c r="G36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91">
        <f>IF(Table1[[#This Row],[is_ups_overcharge]]="ups overcharged",Table1[[#This Row],[ups ship charge]]-Table1[[#This Row],[ada ship charge]],0)</f>
        <v>0</v>
      </c>
    </row>
    <row r="3692" spans="1:9" x14ac:dyDescent="0.2">
      <c r="A3692">
        <v>1050557</v>
      </c>
      <c r="B3692" t="s">
        <v>21</v>
      </c>
      <c r="C3692">
        <v>9.65</v>
      </c>
      <c r="D3692">
        <v>9.6999999999999993</v>
      </c>
      <c r="E3692">
        <v>15.8</v>
      </c>
      <c r="F3692" t="s">
        <v>6</v>
      </c>
      <c r="G36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92">
        <f>IF(Table1[[#This Row],[is_ups_overcharge]]="ups overcharged",Table1[[#This Row],[ups ship charge]]-Table1[[#This Row],[ada ship charge]],0)</f>
        <v>0</v>
      </c>
    </row>
    <row r="3693" spans="1:9" x14ac:dyDescent="0.2">
      <c r="A3693">
        <v>1050565</v>
      </c>
      <c r="B3693" t="s">
        <v>21</v>
      </c>
      <c r="C3693">
        <v>12.75</v>
      </c>
      <c r="D3693">
        <v>12.8</v>
      </c>
      <c r="E3693">
        <v>15.9</v>
      </c>
      <c r="F3693" t="s">
        <v>9</v>
      </c>
      <c r="G36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93">
        <f>IF(Table1[[#This Row],[is_ups_overcharge]]="ups overcharged",Table1[[#This Row],[ups ship charge]]-Table1[[#This Row],[ada ship charge]],0)</f>
        <v>0</v>
      </c>
    </row>
    <row r="3694" spans="1:9" x14ac:dyDescent="0.2">
      <c r="A3694">
        <v>1050576</v>
      </c>
      <c r="B3694" t="s">
        <v>21</v>
      </c>
      <c r="C3694">
        <v>9.65</v>
      </c>
      <c r="D3694">
        <v>9.6999999999999993</v>
      </c>
      <c r="E3694">
        <v>99.95</v>
      </c>
      <c r="F3694" t="s">
        <v>6</v>
      </c>
      <c r="G36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94">
        <f>IF(Table1[[#This Row],[is_ups_overcharge]]="ups overcharged",Table1[[#This Row],[ups ship charge]]-Table1[[#This Row],[ada ship charge]],0)</f>
        <v>0</v>
      </c>
    </row>
    <row r="3695" spans="1:9" x14ac:dyDescent="0.2">
      <c r="A3695">
        <v>1050585</v>
      </c>
      <c r="B3695" t="s">
        <v>21</v>
      </c>
      <c r="C3695">
        <v>13.64</v>
      </c>
      <c r="D3695">
        <v>13.69</v>
      </c>
      <c r="E3695">
        <v>39.950000000000003</v>
      </c>
      <c r="F3695" t="s">
        <v>9</v>
      </c>
      <c r="G36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95">
        <f>IF(Table1[[#This Row],[is_ups_overcharge]]="ups overcharged",Table1[[#This Row],[ups ship charge]]-Table1[[#This Row],[ada ship charge]],0)</f>
        <v>0</v>
      </c>
    </row>
    <row r="3696" spans="1:9" x14ac:dyDescent="0.2">
      <c r="A3696">
        <v>1050589</v>
      </c>
      <c r="B3696" t="s">
        <v>21</v>
      </c>
      <c r="C3696">
        <v>9.65</v>
      </c>
      <c r="D3696">
        <v>9.6999999999999993</v>
      </c>
      <c r="E3696">
        <v>39.950000000000003</v>
      </c>
      <c r="F3696" t="s">
        <v>6</v>
      </c>
      <c r="G36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96">
        <f>IF(Table1[[#This Row],[is_ups_overcharge]]="ups overcharged",Table1[[#This Row],[ups ship charge]]-Table1[[#This Row],[ada ship charge]],0)</f>
        <v>0</v>
      </c>
    </row>
    <row r="3697" spans="1:9" x14ac:dyDescent="0.2">
      <c r="A3697">
        <v>1050596</v>
      </c>
      <c r="B3697" t="s">
        <v>21</v>
      </c>
      <c r="C3697">
        <v>13.63</v>
      </c>
      <c r="D3697">
        <v>13.68</v>
      </c>
      <c r="E3697">
        <v>87.65</v>
      </c>
      <c r="F3697" t="s">
        <v>9</v>
      </c>
      <c r="G36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97">
        <f>IF(Table1[[#This Row],[is_ups_overcharge]]="ups overcharged",Table1[[#This Row],[ups ship charge]]-Table1[[#This Row],[ada ship charge]],0)</f>
        <v>0</v>
      </c>
    </row>
    <row r="3698" spans="1:9" x14ac:dyDescent="0.2">
      <c r="A3698">
        <v>1050604</v>
      </c>
      <c r="B3698" t="s">
        <v>21</v>
      </c>
      <c r="C3698">
        <v>15.02</v>
      </c>
      <c r="D3698">
        <v>15.07</v>
      </c>
      <c r="E3698">
        <v>38.799999999999997</v>
      </c>
      <c r="F3698" t="s">
        <v>12</v>
      </c>
      <c r="G36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98">
        <f>IF(Table1[[#This Row],[is_ups_overcharge]]="ups overcharged",Table1[[#This Row],[ups ship charge]]-Table1[[#This Row],[ada ship charge]],0)</f>
        <v>0</v>
      </c>
    </row>
    <row r="3699" spans="1:9" x14ac:dyDescent="0.2">
      <c r="A3699">
        <v>1050629</v>
      </c>
      <c r="B3699" t="s">
        <v>21</v>
      </c>
      <c r="C3699">
        <v>9.65</v>
      </c>
      <c r="D3699">
        <v>12.8</v>
      </c>
      <c r="E3699">
        <v>69.8</v>
      </c>
      <c r="F3699" t="s">
        <v>6</v>
      </c>
      <c r="G36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6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699">
        <f>IF(Table1[[#This Row],[is_ups_overcharge]]="ups overcharged",Table1[[#This Row],[ups ship charge]]-Table1[[#This Row],[ada ship charge]],0)</f>
        <v>0</v>
      </c>
    </row>
    <row r="3700" spans="1:9" x14ac:dyDescent="0.2">
      <c r="A3700">
        <v>1050635</v>
      </c>
      <c r="B3700" t="s">
        <v>21</v>
      </c>
      <c r="C3700">
        <v>15.33</v>
      </c>
      <c r="D3700">
        <v>15.38</v>
      </c>
      <c r="E3700">
        <v>6</v>
      </c>
      <c r="F3700" t="s">
        <v>12</v>
      </c>
      <c r="G37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00">
        <f>IF(Table1[[#This Row],[is_ups_overcharge]]="ups overcharged",Table1[[#This Row],[ups ship charge]]-Table1[[#This Row],[ada ship charge]],0)</f>
        <v>0</v>
      </c>
    </row>
    <row r="3701" spans="1:9" x14ac:dyDescent="0.2">
      <c r="A3701">
        <v>1050637</v>
      </c>
      <c r="B3701" t="s">
        <v>21</v>
      </c>
      <c r="C3701">
        <v>9.65</v>
      </c>
      <c r="D3701">
        <v>9.6999999999999993</v>
      </c>
      <c r="E3701">
        <v>74.849999999999994</v>
      </c>
      <c r="F3701" t="s">
        <v>6</v>
      </c>
      <c r="G37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01">
        <f>IF(Table1[[#This Row],[is_ups_overcharge]]="ups overcharged",Table1[[#This Row],[ups ship charge]]-Table1[[#This Row],[ada ship charge]],0)</f>
        <v>0</v>
      </c>
    </row>
    <row r="3702" spans="1:9" x14ac:dyDescent="0.2">
      <c r="A3702">
        <v>1050645</v>
      </c>
      <c r="B3702" t="s">
        <v>21</v>
      </c>
      <c r="C3702">
        <v>12.75</v>
      </c>
      <c r="D3702">
        <v>12.8</v>
      </c>
      <c r="E3702">
        <v>34.950000000000003</v>
      </c>
      <c r="F3702" t="s">
        <v>9</v>
      </c>
      <c r="G37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02">
        <f>IF(Table1[[#This Row],[is_ups_overcharge]]="ups overcharged",Table1[[#This Row],[ups ship charge]]-Table1[[#This Row],[ada ship charge]],0)</f>
        <v>0</v>
      </c>
    </row>
    <row r="3703" spans="1:9" x14ac:dyDescent="0.2">
      <c r="A3703">
        <v>1050653</v>
      </c>
      <c r="B3703" t="s">
        <v>21</v>
      </c>
      <c r="C3703">
        <v>12.75</v>
      </c>
      <c r="D3703">
        <v>12.8</v>
      </c>
      <c r="E3703">
        <v>69.900000000000006</v>
      </c>
      <c r="F3703" t="s">
        <v>9</v>
      </c>
      <c r="G37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03">
        <f>IF(Table1[[#This Row],[is_ups_overcharge]]="ups overcharged",Table1[[#This Row],[ups ship charge]]-Table1[[#This Row],[ada ship charge]],0)</f>
        <v>0</v>
      </c>
    </row>
    <row r="3704" spans="1:9" x14ac:dyDescent="0.2">
      <c r="A3704">
        <v>1050661</v>
      </c>
      <c r="B3704" t="s">
        <v>21</v>
      </c>
      <c r="C3704">
        <v>12.75</v>
      </c>
      <c r="D3704">
        <v>12.8</v>
      </c>
      <c r="E3704">
        <v>47.9</v>
      </c>
      <c r="F3704" t="s">
        <v>9</v>
      </c>
      <c r="G37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04">
        <f>IF(Table1[[#This Row],[is_ups_overcharge]]="ups overcharged",Table1[[#This Row],[ups ship charge]]-Table1[[#This Row],[ada ship charge]],0)</f>
        <v>0</v>
      </c>
    </row>
    <row r="3705" spans="1:9" x14ac:dyDescent="0.2">
      <c r="A3705">
        <v>1050666</v>
      </c>
      <c r="B3705" t="s">
        <v>21</v>
      </c>
      <c r="C3705">
        <v>12.75</v>
      </c>
      <c r="D3705">
        <v>13.03</v>
      </c>
      <c r="E3705">
        <v>99.95</v>
      </c>
      <c r="F3705" t="s">
        <v>9</v>
      </c>
      <c r="G37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05">
        <f>IF(Table1[[#This Row],[is_ups_overcharge]]="ups overcharged",Table1[[#This Row],[ups ship charge]]-Table1[[#This Row],[ada ship charge]],0)</f>
        <v>0</v>
      </c>
    </row>
    <row r="3706" spans="1:9" x14ac:dyDescent="0.2">
      <c r="A3706">
        <v>1050696</v>
      </c>
      <c r="B3706" t="s">
        <v>21</v>
      </c>
      <c r="C3706">
        <v>12.75</v>
      </c>
      <c r="D3706">
        <v>12.8</v>
      </c>
      <c r="E3706">
        <v>32.4</v>
      </c>
      <c r="F3706" t="s">
        <v>9</v>
      </c>
      <c r="G37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06">
        <f>IF(Table1[[#This Row],[is_ups_overcharge]]="ups overcharged",Table1[[#This Row],[ups ship charge]]-Table1[[#This Row],[ada ship charge]],0)</f>
        <v>0</v>
      </c>
    </row>
    <row r="3707" spans="1:9" x14ac:dyDescent="0.2">
      <c r="A3707">
        <v>1050701</v>
      </c>
      <c r="B3707" t="s">
        <v>21</v>
      </c>
      <c r="C3707">
        <v>16.649999999999999</v>
      </c>
      <c r="D3707">
        <v>16.690000000000001</v>
      </c>
      <c r="E3707">
        <v>72.400000000000006</v>
      </c>
      <c r="F3707" t="s">
        <v>10</v>
      </c>
      <c r="G37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07">
        <f>IF(Table1[[#This Row],[is_ups_overcharge]]="ups overcharged",Table1[[#This Row],[ups ship charge]]-Table1[[#This Row],[ada ship charge]],0)</f>
        <v>0</v>
      </c>
    </row>
    <row r="3708" spans="1:9" x14ac:dyDescent="0.2">
      <c r="A3708">
        <v>1050711</v>
      </c>
      <c r="B3708" t="s">
        <v>21</v>
      </c>
      <c r="C3708">
        <v>13.64</v>
      </c>
      <c r="D3708">
        <v>13.69</v>
      </c>
      <c r="E3708">
        <v>109.85</v>
      </c>
      <c r="F3708" t="s">
        <v>9</v>
      </c>
      <c r="G37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08">
        <f>IF(Table1[[#This Row],[is_ups_overcharge]]="ups overcharged",Table1[[#This Row],[ups ship charge]]-Table1[[#This Row],[ada ship charge]],0)</f>
        <v>0</v>
      </c>
    </row>
    <row r="3709" spans="1:9" x14ac:dyDescent="0.2">
      <c r="A3709">
        <v>1050716</v>
      </c>
      <c r="B3709" t="s">
        <v>21</v>
      </c>
      <c r="C3709">
        <v>12.75</v>
      </c>
      <c r="D3709">
        <v>13.03</v>
      </c>
      <c r="E3709">
        <v>99.95</v>
      </c>
      <c r="F3709" t="s">
        <v>9</v>
      </c>
      <c r="G37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09">
        <f>IF(Table1[[#This Row],[is_ups_overcharge]]="ups overcharged",Table1[[#This Row],[ups ship charge]]-Table1[[#This Row],[ada ship charge]],0)</f>
        <v>0</v>
      </c>
    </row>
    <row r="3710" spans="1:9" x14ac:dyDescent="0.2">
      <c r="A3710">
        <v>1050743</v>
      </c>
      <c r="B3710" t="s">
        <v>21</v>
      </c>
      <c r="C3710">
        <v>16.27</v>
      </c>
      <c r="D3710">
        <v>17.690000000000001</v>
      </c>
      <c r="E3710">
        <v>42.1</v>
      </c>
      <c r="F3710" t="s">
        <v>12</v>
      </c>
      <c r="G37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10">
        <f>IF(Table1[[#This Row],[is_ups_overcharge]]="ups overcharged",Table1[[#This Row],[ups ship charge]]-Table1[[#This Row],[ada ship charge]],0)</f>
        <v>0</v>
      </c>
    </row>
    <row r="3711" spans="1:9" x14ac:dyDescent="0.2">
      <c r="A3711">
        <v>1050745</v>
      </c>
      <c r="B3711" t="s">
        <v>21</v>
      </c>
      <c r="C3711">
        <v>16.34</v>
      </c>
      <c r="D3711">
        <v>16.39</v>
      </c>
      <c r="E3711">
        <v>30.3</v>
      </c>
      <c r="F3711" t="s">
        <v>10</v>
      </c>
      <c r="G37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11">
        <f>IF(Table1[[#This Row],[is_ups_overcharge]]="ups overcharged",Table1[[#This Row],[ups ship charge]]-Table1[[#This Row],[ada ship charge]],0)</f>
        <v>0</v>
      </c>
    </row>
    <row r="3712" spans="1:9" x14ac:dyDescent="0.2">
      <c r="A3712">
        <v>1050746</v>
      </c>
      <c r="B3712" t="s">
        <v>21</v>
      </c>
      <c r="C3712">
        <v>13.64</v>
      </c>
      <c r="D3712">
        <v>13.69</v>
      </c>
      <c r="E3712">
        <v>99.95</v>
      </c>
      <c r="F3712" t="s">
        <v>9</v>
      </c>
      <c r="G37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12">
        <f>IF(Table1[[#This Row],[is_ups_overcharge]]="ups overcharged",Table1[[#This Row],[ups ship charge]]-Table1[[#This Row],[ada ship charge]],0)</f>
        <v>0</v>
      </c>
    </row>
    <row r="3713" spans="1:9" x14ac:dyDescent="0.2">
      <c r="A3713">
        <v>1050748</v>
      </c>
      <c r="B3713" t="s">
        <v>21</v>
      </c>
      <c r="C3713">
        <v>13.63</v>
      </c>
      <c r="D3713">
        <v>13.68</v>
      </c>
      <c r="E3713">
        <v>42.95</v>
      </c>
      <c r="F3713" t="s">
        <v>9</v>
      </c>
      <c r="G37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13">
        <f>IF(Table1[[#This Row],[is_ups_overcharge]]="ups overcharged",Table1[[#This Row],[ups ship charge]]-Table1[[#This Row],[ada ship charge]],0)</f>
        <v>0</v>
      </c>
    </row>
    <row r="3714" spans="1:9" x14ac:dyDescent="0.2">
      <c r="A3714">
        <v>1050762</v>
      </c>
      <c r="B3714" t="s">
        <v>21</v>
      </c>
      <c r="C3714">
        <v>12.75</v>
      </c>
      <c r="D3714">
        <v>12.8</v>
      </c>
      <c r="E3714">
        <v>47.9</v>
      </c>
      <c r="F3714" t="s">
        <v>9</v>
      </c>
      <c r="G37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14">
        <f>IF(Table1[[#This Row],[is_ups_overcharge]]="ups overcharged",Table1[[#This Row],[ups ship charge]]-Table1[[#This Row],[ada ship charge]],0)</f>
        <v>0</v>
      </c>
    </row>
    <row r="3715" spans="1:9" x14ac:dyDescent="0.2">
      <c r="A3715">
        <v>1050767</v>
      </c>
      <c r="B3715" t="s">
        <v>21</v>
      </c>
      <c r="C3715">
        <v>13.64</v>
      </c>
      <c r="D3715">
        <v>13.69</v>
      </c>
      <c r="E3715">
        <v>39.950000000000003</v>
      </c>
      <c r="F3715" t="s">
        <v>9</v>
      </c>
      <c r="G37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15">
        <f>IF(Table1[[#This Row],[is_ups_overcharge]]="ups overcharged",Table1[[#This Row],[ups ship charge]]-Table1[[#This Row],[ada ship charge]],0)</f>
        <v>0</v>
      </c>
    </row>
    <row r="3716" spans="1:9" x14ac:dyDescent="0.2">
      <c r="A3716">
        <v>1050784</v>
      </c>
      <c r="B3716" t="s">
        <v>21</v>
      </c>
      <c r="C3716">
        <v>12.75</v>
      </c>
      <c r="D3716">
        <v>12.8</v>
      </c>
      <c r="E3716">
        <v>36.9</v>
      </c>
      <c r="F3716" t="s">
        <v>9</v>
      </c>
      <c r="G37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16">
        <f>IF(Table1[[#This Row],[is_ups_overcharge]]="ups overcharged",Table1[[#This Row],[ups ship charge]]-Table1[[#This Row],[ada ship charge]],0)</f>
        <v>0</v>
      </c>
    </row>
    <row r="3717" spans="1:9" x14ac:dyDescent="0.2">
      <c r="A3717">
        <v>1050790</v>
      </c>
      <c r="B3717" t="s">
        <v>21</v>
      </c>
      <c r="C3717">
        <v>15.33</v>
      </c>
      <c r="D3717">
        <v>15.38</v>
      </c>
      <c r="E3717">
        <v>28.73</v>
      </c>
      <c r="F3717" t="s">
        <v>12</v>
      </c>
      <c r="G37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17">
        <f>IF(Table1[[#This Row],[is_ups_overcharge]]="ups overcharged",Table1[[#This Row],[ups ship charge]]-Table1[[#This Row],[ada ship charge]],0)</f>
        <v>0</v>
      </c>
    </row>
    <row r="3718" spans="1:9" x14ac:dyDescent="0.2">
      <c r="A3718">
        <v>1050813</v>
      </c>
      <c r="B3718" t="s">
        <v>21</v>
      </c>
      <c r="C3718">
        <v>15.35</v>
      </c>
      <c r="D3718">
        <v>15.39</v>
      </c>
      <c r="E3718">
        <v>34.75</v>
      </c>
      <c r="F3718" t="s">
        <v>12</v>
      </c>
      <c r="G37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18">
        <f>IF(Table1[[#This Row],[is_ups_overcharge]]="ups overcharged",Table1[[#This Row],[ups ship charge]]-Table1[[#This Row],[ada ship charge]],0)</f>
        <v>0</v>
      </c>
    </row>
    <row r="3719" spans="1:9" x14ac:dyDescent="0.2">
      <c r="A3719">
        <v>1050830</v>
      </c>
      <c r="B3719" t="s">
        <v>21</v>
      </c>
      <c r="C3719">
        <v>13.64</v>
      </c>
      <c r="D3719">
        <v>13.69</v>
      </c>
      <c r="E3719">
        <v>74.75</v>
      </c>
      <c r="F3719" t="s">
        <v>9</v>
      </c>
      <c r="G37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19">
        <f>IF(Table1[[#This Row],[is_ups_overcharge]]="ups overcharged",Table1[[#This Row],[ups ship charge]]-Table1[[#This Row],[ada ship charge]],0)</f>
        <v>0</v>
      </c>
    </row>
    <row r="3720" spans="1:9" x14ac:dyDescent="0.2">
      <c r="A3720">
        <v>1050858</v>
      </c>
      <c r="B3720" t="s">
        <v>21</v>
      </c>
      <c r="C3720">
        <v>9.66</v>
      </c>
      <c r="D3720">
        <v>9.7100000000000009</v>
      </c>
      <c r="E3720">
        <v>39.950000000000003</v>
      </c>
      <c r="F3720" t="s">
        <v>6</v>
      </c>
      <c r="G37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20">
        <f>IF(Table1[[#This Row],[is_ups_overcharge]]="ups overcharged",Table1[[#This Row],[ups ship charge]]-Table1[[#This Row],[ada ship charge]],0)</f>
        <v>0</v>
      </c>
    </row>
    <row r="3721" spans="1:9" x14ac:dyDescent="0.2">
      <c r="A3721">
        <v>1050867</v>
      </c>
      <c r="B3721" t="s">
        <v>21</v>
      </c>
      <c r="C3721">
        <v>13.64</v>
      </c>
      <c r="D3721">
        <v>13.69</v>
      </c>
      <c r="E3721">
        <v>99.95</v>
      </c>
      <c r="F3721" t="s">
        <v>9</v>
      </c>
      <c r="G37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21">
        <f>IF(Table1[[#This Row],[is_ups_overcharge]]="ups overcharged",Table1[[#This Row],[ups ship charge]]-Table1[[#This Row],[ada ship charge]],0)</f>
        <v>0</v>
      </c>
    </row>
    <row r="3722" spans="1:9" x14ac:dyDescent="0.2">
      <c r="A3722">
        <v>1050876</v>
      </c>
      <c r="B3722" t="s">
        <v>21</v>
      </c>
      <c r="C3722">
        <v>12.75</v>
      </c>
      <c r="D3722">
        <v>12.8</v>
      </c>
      <c r="E3722">
        <v>109.95</v>
      </c>
      <c r="F3722" t="s">
        <v>9</v>
      </c>
      <c r="G37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22">
        <f>IF(Table1[[#This Row],[is_ups_overcharge]]="ups overcharged",Table1[[#This Row],[ups ship charge]]-Table1[[#This Row],[ada ship charge]],0)</f>
        <v>0</v>
      </c>
    </row>
    <row r="3723" spans="1:9" x14ac:dyDescent="0.2">
      <c r="A3723">
        <v>1050879</v>
      </c>
      <c r="B3723" t="s">
        <v>21</v>
      </c>
      <c r="C3723">
        <v>12.75</v>
      </c>
      <c r="D3723">
        <v>12.8</v>
      </c>
      <c r="E3723">
        <v>47.9</v>
      </c>
      <c r="F3723" t="s">
        <v>9</v>
      </c>
      <c r="G37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23">
        <f>IF(Table1[[#This Row],[is_ups_overcharge]]="ups overcharged",Table1[[#This Row],[ups ship charge]]-Table1[[#This Row],[ada ship charge]],0)</f>
        <v>0</v>
      </c>
    </row>
    <row r="3724" spans="1:9" x14ac:dyDescent="0.2">
      <c r="A3724">
        <v>1050918</v>
      </c>
      <c r="B3724" t="s">
        <v>21</v>
      </c>
      <c r="C3724">
        <v>12.75</v>
      </c>
      <c r="D3724">
        <v>13.03</v>
      </c>
      <c r="E3724">
        <v>99.95</v>
      </c>
      <c r="F3724" t="s">
        <v>9</v>
      </c>
      <c r="G37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24">
        <f>IF(Table1[[#This Row],[is_ups_overcharge]]="ups overcharged",Table1[[#This Row],[ups ship charge]]-Table1[[#This Row],[ada ship charge]],0)</f>
        <v>0</v>
      </c>
    </row>
    <row r="3725" spans="1:9" x14ac:dyDescent="0.2">
      <c r="A3725">
        <v>1050925</v>
      </c>
      <c r="B3725" t="s">
        <v>21</v>
      </c>
      <c r="C3725">
        <v>15.02</v>
      </c>
      <c r="D3725">
        <v>15.07</v>
      </c>
      <c r="E3725">
        <v>47.35</v>
      </c>
      <c r="F3725" t="s">
        <v>12</v>
      </c>
      <c r="G37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25">
        <f>IF(Table1[[#This Row],[is_ups_overcharge]]="ups overcharged",Table1[[#This Row],[ups ship charge]]-Table1[[#This Row],[ada ship charge]],0)</f>
        <v>0</v>
      </c>
    </row>
    <row r="3726" spans="1:9" x14ac:dyDescent="0.2">
      <c r="A3726">
        <v>1050950</v>
      </c>
      <c r="B3726" t="s">
        <v>21</v>
      </c>
      <c r="C3726">
        <v>9.66</v>
      </c>
      <c r="D3726">
        <v>9.7100000000000009</v>
      </c>
      <c r="E3726">
        <v>73.8</v>
      </c>
      <c r="F3726" t="s">
        <v>6</v>
      </c>
      <c r="G37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26">
        <f>IF(Table1[[#This Row],[is_ups_overcharge]]="ups overcharged",Table1[[#This Row],[ups ship charge]]-Table1[[#This Row],[ada ship charge]],0)</f>
        <v>0</v>
      </c>
    </row>
    <row r="3727" spans="1:9" x14ac:dyDescent="0.2">
      <c r="A3727">
        <v>1050956</v>
      </c>
      <c r="B3727" t="s">
        <v>21</v>
      </c>
      <c r="C3727">
        <v>13.64</v>
      </c>
      <c r="D3727">
        <v>13.69</v>
      </c>
      <c r="E3727">
        <v>39.950000000000003</v>
      </c>
      <c r="F3727" t="s">
        <v>9</v>
      </c>
      <c r="G37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27">
        <f>IF(Table1[[#This Row],[is_ups_overcharge]]="ups overcharged",Table1[[#This Row],[ups ship charge]]-Table1[[#This Row],[ada ship charge]],0)</f>
        <v>0</v>
      </c>
    </row>
    <row r="3728" spans="1:9" x14ac:dyDescent="0.2">
      <c r="A3728">
        <v>1050957</v>
      </c>
      <c r="B3728" t="s">
        <v>21</v>
      </c>
      <c r="C3728">
        <v>13.64</v>
      </c>
      <c r="D3728">
        <v>13.69</v>
      </c>
      <c r="E3728">
        <v>75.8</v>
      </c>
      <c r="F3728" t="s">
        <v>9</v>
      </c>
      <c r="G37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28">
        <f>IF(Table1[[#This Row],[is_ups_overcharge]]="ups overcharged",Table1[[#This Row],[ups ship charge]]-Table1[[#This Row],[ada ship charge]],0)</f>
        <v>0</v>
      </c>
    </row>
    <row r="3729" spans="1:9" x14ac:dyDescent="0.2">
      <c r="A3729">
        <v>1050976</v>
      </c>
      <c r="B3729" t="s">
        <v>21</v>
      </c>
      <c r="C3729">
        <v>10.94</v>
      </c>
      <c r="D3729">
        <v>10.99</v>
      </c>
      <c r="E3729">
        <v>11.9</v>
      </c>
      <c r="F3729" t="s">
        <v>14</v>
      </c>
      <c r="G37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29">
        <f>IF(Table1[[#This Row],[is_ups_overcharge]]="ups overcharged",Table1[[#This Row],[ups ship charge]]-Table1[[#This Row],[ada ship charge]],0)</f>
        <v>0</v>
      </c>
    </row>
    <row r="3730" spans="1:9" x14ac:dyDescent="0.2">
      <c r="A3730">
        <v>1050986</v>
      </c>
      <c r="B3730" t="s">
        <v>21</v>
      </c>
      <c r="C3730">
        <v>15.22</v>
      </c>
      <c r="D3730">
        <v>19.27</v>
      </c>
      <c r="E3730">
        <v>89.9</v>
      </c>
      <c r="F3730" t="s">
        <v>9</v>
      </c>
      <c r="G37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30">
        <f>IF(Table1[[#This Row],[is_ups_overcharge]]="ups overcharged",Table1[[#This Row],[ups ship charge]]-Table1[[#This Row],[ada ship charge]],0)</f>
        <v>0</v>
      </c>
    </row>
    <row r="3731" spans="1:9" x14ac:dyDescent="0.2">
      <c r="A3731">
        <v>1050995</v>
      </c>
      <c r="B3731" t="s">
        <v>21</v>
      </c>
      <c r="C3731">
        <v>13.64</v>
      </c>
      <c r="D3731">
        <v>13.69</v>
      </c>
      <c r="E3731">
        <v>17.8</v>
      </c>
      <c r="F3731" t="s">
        <v>9</v>
      </c>
      <c r="G37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31">
        <f>IF(Table1[[#This Row],[is_ups_overcharge]]="ups overcharged",Table1[[#This Row],[ups ship charge]]-Table1[[#This Row],[ada ship charge]],0)</f>
        <v>0</v>
      </c>
    </row>
    <row r="3732" spans="1:9" x14ac:dyDescent="0.2">
      <c r="A3732">
        <v>1050997</v>
      </c>
      <c r="B3732" t="s">
        <v>21</v>
      </c>
      <c r="C3732">
        <v>12.75</v>
      </c>
      <c r="D3732">
        <v>12.8</v>
      </c>
      <c r="E3732">
        <v>39.950000000000003</v>
      </c>
      <c r="F3732" t="s">
        <v>9</v>
      </c>
      <c r="G37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32">
        <f>IF(Table1[[#This Row],[is_ups_overcharge]]="ups overcharged",Table1[[#This Row],[ups ship charge]]-Table1[[#This Row],[ada ship charge]],0)</f>
        <v>0</v>
      </c>
    </row>
    <row r="3733" spans="1:9" x14ac:dyDescent="0.2">
      <c r="A3733">
        <v>1051000</v>
      </c>
      <c r="B3733" t="s">
        <v>21</v>
      </c>
      <c r="C3733">
        <v>16.34</v>
      </c>
      <c r="D3733">
        <v>16.39</v>
      </c>
      <c r="E3733">
        <v>54.9</v>
      </c>
      <c r="F3733" t="s">
        <v>10</v>
      </c>
      <c r="G37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33">
        <f>IF(Table1[[#This Row],[is_ups_overcharge]]="ups overcharged",Table1[[#This Row],[ups ship charge]]-Table1[[#This Row],[ada ship charge]],0)</f>
        <v>0</v>
      </c>
    </row>
    <row r="3734" spans="1:9" x14ac:dyDescent="0.2">
      <c r="A3734">
        <v>1051001</v>
      </c>
      <c r="B3734" t="s">
        <v>21</v>
      </c>
      <c r="C3734">
        <v>9.65</v>
      </c>
      <c r="D3734">
        <v>9.6999999999999993</v>
      </c>
      <c r="E3734">
        <v>99.95</v>
      </c>
      <c r="F3734" t="s">
        <v>6</v>
      </c>
      <c r="G37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34">
        <f>IF(Table1[[#This Row],[is_ups_overcharge]]="ups overcharged",Table1[[#This Row],[ups ship charge]]-Table1[[#This Row],[ada ship charge]],0)</f>
        <v>0</v>
      </c>
    </row>
    <row r="3735" spans="1:9" x14ac:dyDescent="0.2">
      <c r="A3735">
        <v>1051015</v>
      </c>
      <c r="B3735" t="s">
        <v>21</v>
      </c>
      <c r="C3735">
        <v>12.75</v>
      </c>
      <c r="D3735">
        <v>12.8</v>
      </c>
      <c r="E3735">
        <v>73.3</v>
      </c>
      <c r="F3735" t="s">
        <v>9</v>
      </c>
      <c r="G37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35">
        <f>IF(Table1[[#This Row],[is_ups_overcharge]]="ups overcharged",Table1[[#This Row],[ups ship charge]]-Table1[[#This Row],[ada ship charge]],0)</f>
        <v>0</v>
      </c>
    </row>
    <row r="3736" spans="1:9" x14ac:dyDescent="0.2">
      <c r="A3736">
        <v>1051043</v>
      </c>
      <c r="B3736" t="s">
        <v>21</v>
      </c>
      <c r="C3736">
        <v>12.75</v>
      </c>
      <c r="D3736">
        <v>12.8</v>
      </c>
      <c r="E3736">
        <v>11.8</v>
      </c>
      <c r="F3736" t="s">
        <v>9</v>
      </c>
      <c r="G37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36">
        <f>IF(Table1[[#This Row],[is_ups_overcharge]]="ups overcharged",Table1[[#This Row],[ups ship charge]]-Table1[[#This Row],[ada ship charge]],0)</f>
        <v>0</v>
      </c>
    </row>
    <row r="3737" spans="1:9" x14ac:dyDescent="0.2">
      <c r="A3737">
        <v>1051048</v>
      </c>
      <c r="B3737" t="s">
        <v>21</v>
      </c>
      <c r="C3737">
        <v>13.2</v>
      </c>
      <c r="D3737">
        <v>13.25</v>
      </c>
      <c r="E3737">
        <v>44.94</v>
      </c>
      <c r="F3737" t="s">
        <v>9</v>
      </c>
      <c r="G37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37">
        <f>IF(Table1[[#This Row],[is_ups_overcharge]]="ups overcharged",Table1[[#This Row],[ups ship charge]]-Table1[[#This Row],[ada ship charge]],0)</f>
        <v>0</v>
      </c>
    </row>
    <row r="3738" spans="1:9" x14ac:dyDescent="0.2">
      <c r="A3738">
        <v>1051049</v>
      </c>
      <c r="B3738" t="s">
        <v>21</v>
      </c>
      <c r="C3738">
        <v>16.34</v>
      </c>
      <c r="D3738">
        <v>16.39</v>
      </c>
      <c r="E3738">
        <v>39.950000000000003</v>
      </c>
      <c r="F3738" t="s">
        <v>10</v>
      </c>
      <c r="G37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38">
        <f>IF(Table1[[#This Row],[is_ups_overcharge]]="ups overcharged",Table1[[#This Row],[ups ship charge]]-Table1[[#This Row],[ada ship charge]],0)</f>
        <v>0</v>
      </c>
    </row>
    <row r="3739" spans="1:9" x14ac:dyDescent="0.2">
      <c r="A3739">
        <v>1051050</v>
      </c>
      <c r="B3739" t="s">
        <v>21</v>
      </c>
      <c r="C3739">
        <v>9.66</v>
      </c>
      <c r="D3739">
        <v>9.7100000000000009</v>
      </c>
      <c r="E3739">
        <v>71.95</v>
      </c>
      <c r="F3739" t="s">
        <v>6</v>
      </c>
      <c r="G37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39">
        <f>IF(Table1[[#This Row],[is_ups_overcharge]]="ups overcharged",Table1[[#This Row],[ups ship charge]]-Table1[[#This Row],[ada ship charge]],0)</f>
        <v>0</v>
      </c>
    </row>
    <row r="3740" spans="1:9" x14ac:dyDescent="0.2">
      <c r="A3740">
        <v>1051067</v>
      </c>
      <c r="B3740" t="s">
        <v>21</v>
      </c>
      <c r="C3740">
        <v>16.64</v>
      </c>
      <c r="D3740">
        <v>18.07</v>
      </c>
      <c r="E3740">
        <v>33.549999999999997</v>
      </c>
      <c r="F3740" t="s">
        <v>10</v>
      </c>
      <c r="G37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40">
        <f>IF(Table1[[#This Row],[is_ups_overcharge]]="ups overcharged",Table1[[#This Row],[ups ship charge]]-Table1[[#This Row],[ada ship charge]],0)</f>
        <v>0</v>
      </c>
    </row>
    <row r="3741" spans="1:9" x14ac:dyDescent="0.2">
      <c r="A3741">
        <v>1051071</v>
      </c>
      <c r="B3741" t="s">
        <v>21</v>
      </c>
      <c r="C3741">
        <v>9.65</v>
      </c>
      <c r="D3741">
        <v>9.6999999999999993</v>
      </c>
      <c r="E3741">
        <v>13.9</v>
      </c>
      <c r="F3741" t="s">
        <v>6</v>
      </c>
      <c r="G37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41">
        <f>IF(Table1[[#This Row],[is_ups_overcharge]]="ups overcharged",Table1[[#This Row],[ups ship charge]]-Table1[[#This Row],[ada ship charge]],0)</f>
        <v>0</v>
      </c>
    </row>
    <row r="3742" spans="1:9" x14ac:dyDescent="0.2">
      <c r="A3742">
        <v>1051084</v>
      </c>
      <c r="B3742" t="s">
        <v>21</v>
      </c>
      <c r="C3742">
        <v>12.75</v>
      </c>
      <c r="D3742">
        <v>12.8</v>
      </c>
      <c r="E3742">
        <v>91.65</v>
      </c>
      <c r="F3742" t="s">
        <v>9</v>
      </c>
      <c r="G37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42">
        <f>IF(Table1[[#This Row],[is_ups_overcharge]]="ups overcharged",Table1[[#This Row],[ups ship charge]]-Table1[[#This Row],[ada ship charge]],0)</f>
        <v>0</v>
      </c>
    </row>
    <row r="3743" spans="1:9" x14ac:dyDescent="0.2">
      <c r="A3743">
        <v>1051097</v>
      </c>
      <c r="B3743" t="s">
        <v>21</v>
      </c>
      <c r="C3743">
        <v>13.64</v>
      </c>
      <c r="D3743">
        <v>13.69</v>
      </c>
      <c r="E3743">
        <v>42.8</v>
      </c>
      <c r="F3743" t="s">
        <v>9</v>
      </c>
      <c r="G37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43">
        <f>IF(Table1[[#This Row],[is_ups_overcharge]]="ups overcharged",Table1[[#This Row],[ups ship charge]]-Table1[[#This Row],[ada ship charge]],0)</f>
        <v>0</v>
      </c>
    </row>
    <row r="3744" spans="1:9" x14ac:dyDescent="0.2">
      <c r="A3744">
        <v>1051098</v>
      </c>
      <c r="B3744" t="s">
        <v>21</v>
      </c>
      <c r="C3744">
        <v>12.75</v>
      </c>
      <c r="D3744">
        <v>14.21</v>
      </c>
      <c r="E3744">
        <v>103.9</v>
      </c>
      <c r="F3744" t="s">
        <v>9</v>
      </c>
      <c r="G37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44">
        <f>IF(Table1[[#This Row],[is_ups_overcharge]]="ups overcharged",Table1[[#This Row],[ups ship charge]]-Table1[[#This Row],[ada ship charge]],0)</f>
        <v>0</v>
      </c>
    </row>
    <row r="3745" spans="1:9" x14ac:dyDescent="0.2">
      <c r="A3745">
        <v>1051125</v>
      </c>
      <c r="B3745" t="s">
        <v>21</v>
      </c>
      <c r="C3745">
        <v>13.64</v>
      </c>
      <c r="D3745">
        <v>13.69</v>
      </c>
      <c r="E3745">
        <v>47.9</v>
      </c>
      <c r="F3745" t="s">
        <v>9</v>
      </c>
      <c r="G37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45">
        <f>IF(Table1[[#This Row],[is_ups_overcharge]]="ups overcharged",Table1[[#This Row],[ups ship charge]]-Table1[[#This Row],[ada ship charge]],0)</f>
        <v>0</v>
      </c>
    </row>
    <row r="3746" spans="1:9" x14ac:dyDescent="0.2">
      <c r="A3746">
        <v>1051129</v>
      </c>
      <c r="B3746" t="s">
        <v>21</v>
      </c>
      <c r="C3746">
        <v>12.75</v>
      </c>
      <c r="D3746">
        <v>13.25</v>
      </c>
      <c r="E3746">
        <v>53.6</v>
      </c>
      <c r="F3746" t="s">
        <v>9</v>
      </c>
      <c r="G37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46">
        <f>IF(Table1[[#This Row],[is_ups_overcharge]]="ups overcharged",Table1[[#This Row],[ups ship charge]]-Table1[[#This Row],[ada ship charge]],0)</f>
        <v>0</v>
      </c>
    </row>
    <row r="3747" spans="1:9" x14ac:dyDescent="0.2">
      <c r="A3747">
        <v>1051139</v>
      </c>
      <c r="B3747" t="s">
        <v>21</v>
      </c>
      <c r="C3747">
        <v>16.34</v>
      </c>
      <c r="D3747">
        <v>16.39</v>
      </c>
      <c r="E3747">
        <v>26.85</v>
      </c>
      <c r="F3747" t="s">
        <v>10</v>
      </c>
      <c r="G37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47">
        <f>IF(Table1[[#This Row],[is_ups_overcharge]]="ups overcharged",Table1[[#This Row],[ups ship charge]]-Table1[[#This Row],[ada ship charge]],0)</f>
        <v>0</v>
      </c>
    </row>
    <row r="3748" spans="1:9" x14ac:dyDescent="0.2">
      <c r="A3748">
        <v>1051148</v>
      </c>
      <c r="B3748" t="s">
        <v>21</v>
      </c>
      <c r="C3748">
        <v>13.64</v>
      </c>
      <c r="D3748">
        <v>13.69</v>
      </c>
      <c r="E3748">
        <v>34.75</v>
      </c>
      <c r="F3748" t="s">
        <v>9</v>
      </c>
      <c r="G37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48">
        <f>IF(Table1[[#This Row],[is_ups_overcharge]]="ups overcharged",Table1[[#This Row],[ups ship charge]]-Table1[[#This Row],[ada ship charge]],0)</f>
        <v>0</v>
      </c>
    </row>
    <row r="3749" spans="1:9" x14ac:dyDescent="0.2">
      <c r="A3749">
        <v>1051149</v>
      </c>
      <c r="B3749" t="s">
        <v>21</v>
      </c>
      <c r="C3749">
        <v>13.64</v>
      </c>
      <c r="D3749">
        <v>13.69</v>
      </c>
      <c r="E3749">
        <v>135</v>
      </c>
      <c r="F3749" t="s">
        <v>9</v>
      </c>
      <c r="G37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49">
        <f>IF(Table1[[#This Row],[is_ups_overcharge]]="ups overcharged",Table1[[#This Row],[ups ship charge]]-Table1[[#This Row],[ada ship charge]],0)</f>
        <v>0</v>
      </c>
    </row>
    <row r="3750" spans="1:9" x14ac:dyDescent="0.2">
      <c r="A3750">
        <v>1051151</v>
      </c>
      <c r="B3750" t="s">
        <v>21</v>
      </c>
      <c r="C3750">
        <v>12.75</v>
      </c>
      <c r="D3750">
        <v>12.8</v>
      </c>
      <c r="E3750">
        <v>39.950000000000003</v>
      </c>
      <c r="F3750" t="s">
        <v>9</v>
      </c>
      <c r="G37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50">
        <f>IF(Table1[[#This Row],[is_ups_overcharge]]="ups overcharged",Table1[[#This Row],[ups ship charge]]-Table1[[#This Row],[ada ship charge]],0)</f>
        <v>0</v>
      </c>
    </row>
    <row r="3751" spans="1:9" x14ac:dyDescent="0.2">
      <c r="A3751">
        <v>1051185</v>
      </c>
      <c r="B3751" t="s">
        <v>21</v>
      </c>
      <c r="C3751">
        <v>16.649999999999999</v>
      </c>
      <c r="D3751">
        <v>16.7</v>
      </c>
      <c r="E3751">
        <v>142.6</v>
      </c>
      <c r="F3751" t="s">
        <v>10</v>
      </c>
      <c r="G37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51">
        <f>IF(Table1[[#This Row],[is_ups_overcharge]]="ups overcharged",Table1[[#This Row],[ups ship charge]]-Table1[[#This Row],[ada ship charge]],0)</f>
        <v>0</v>
      </c>
    </row>
    <row r="3752" spans="1:9" x14ac:dyDescent="0.2">
      <c r="A3752">
        <v>1051197</v>
      </c>
      <c r="B3752" t="s">
        <v>21</v>
      </c>
      <c r="C3752">
        <v>12.75</v>
      </c>
      <c r="D3752">
        <v>12.8</v>
      </c>
      <c r="E3752">
        <v>99.95</v>
      </c>
      <c r="F3752" t="s">
        <v>9</v>
      </c>
      <c r="G37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52">
        <f>IF(Table1[[#This Row],[is_ups_overcharge]]="ups overcharged",Table1[[#This Row],[ups ship charge]]-Table1[[#This Row],[ada ship charge]],0)</f>
        <v>0</v>
      </c>
    </row>
    <row r="3753" spans="1:9" x14ac:dyDescent="0.2">
      <c r="A3753">
        <v>1051227</v>
      </c>
      <c r="B3753" t="s">
        <v>21</v>
      </c>
      <c r="C3753">
        <v>12.75</v>
      </c>
      <c r="D3753">
        <v>12.8</v>
      </c>
      <c r="E3753">
        <v>44.8</v>
      </c>
      <c r="F3753" t="s">
        <v>9</v>
      </c>
      <c r="G37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53">
        <f>IF(Table1[[#This Row],[is_ups_overcharge]]="ups overcharged",Table1[[#This Row],[ups ship charge]]-Table1[[#This Row],[ada ship charge]],0)</f>
        <v>0</v>
      </c>
    </row>
    <row r="3754" spans="1:9" x14ac:dyDescent="0.2">
      <c r="A3754">
        <v>1051279</v>
      </c>
      <c r="B3754" t="s">
        <v>21</v>
      </c>
      <c r="C3754">
        <v>9.66</v>
      </c>
      <c r="D3754">
        <v>9.6999999999999993</v>
      </c>
      <c r="E3754">
        <v>89</v>
      </c>
      <c r="F3754" t="s">
        <v>6</v>
      </c>
      <c r="G37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54">
        <f>IF(Table1[[#This Row],[is_ups_overcharge]]="ups overcharged",Table1[[#This Row],[ups ship charge]]-Table1[[#This Row],[ada ship charge]],0)</f>
        <v>0</v>
      </c>
    </row>
    <row r="3755" spans="1:9" x14ac:dyDescent="0.2">
      <c r="A3755">
        <v>1051289</v>
      </c>
      <c r="B3755" t="s">
        <v>21</v>
      </c>
      <c r="C3755">
        <v>9.66</v>
      </c>
      <c r="D3755">
        <v>9.7100000000000009</v>
      </c>
      <c r="E3755">
        <v>31.9</v>
      </c>
      <c r="F3755" t="s">
        <v>6</v>
      </c>
      <c r="G37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55">
        <f>IF(Table1[[#This Row],[is_ups_overcharge]]="ups overcharged",Table1[[#This Row],[ups ship charge]]-Table1[[#This Row],[ada ship charge]],0)</f>
        <v>0</v>
      </c>
    </row>
    <row r="3756" spans="1:9" x14ac:dyDescent="0.2">
      <c r="A3756">
        <v>1051292</v>
      </c>
      <c r="B3756" t="s">
        <v>21</v>
      </c>
      <c r="C3756">
        <v>12.75</v>
      </c>
      <c r="D3756">
        <v>12.8</v>
      </c>
      <c r="E3756">
        <v>14.95</v>
      </c>
      <c r="F3756" t="s">
        <v>9</v>
      </c>
      <c r="G37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56">
        <f>IF(Table1[[#This Row],[is_ups_overcharge]]="ups overcharged",Table1[[#This Row],[ups ship charge]]-Table1[[#This Row],[ada ship charge]],0)</f>
        <v>0</v>
      </c>
    </row>
    <row r="3757" spans="1:9" x14ac:dyDescent="0.2">
      <c r="A3757">
        <v>1051307</v>
      </c>
      <c r="B3757" t="s">
        <v>21</v>
      </c>
      <c r="C3757">
        <v>13.5</v>
      </c>
      <c r="D3757">
        <v>13.55</v>
      </c>
      <c r="E3757">
        <v>23.85</v>
      </c>
      <c r="F3757" t="s">
        <v>16</v>
      </c>
      <c r="G37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57">
        <f>IF(Table1[[#This Row],[is_ups_overcharge]]="ups overcharged",Table1[[#This Row],[ups ship charge]]-Table1[[#This Row],[ada ship charge]],0)</f>
        <v>0</v>
      </c>
    </row>
    <row r="3758" spans="1:9" x14ac:dyDescent="0.2">
      <c r="A3758">
        <v>1051329</v>
      </c>
      <c r="B3758" t="s">
        <v>21</v>
      </c>
      <c r="C3758">
        <v>12.75</v>
      </c>
      <c r="D3758">
        <v>12.8</v>
      </c>
      <c r="E3758">
        <v>26.95</v>
      </c>
      <c r="F3758" t="s">
        <v>9</v>
      </c>
      <c r="G37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58">
        <f>IF(Table1[[#This Row],[is_ups_overcharge]]="ups overcharged",Table1[[#This Row],[ups ship charge]]-Table1[[#This Row],[ada ship charge]],0)</f>
        <v>0</v>
      </c>
    </row>
    <row r="3759" spans="1:9" x14ac:dyDescent="0.2">
      <c r="A3759">
        <v>1051330</v>
      </c>
      <c r="B3759" t="s">
        <v>21</v>
      </c>
      <c r="C3759">
        <v>9.66</v>
      </c>
      <c r="D3759">
        <v>9.7100000000000009</v>
      </c>
      <c r="E3759">
        <v>44.85</v>
      </c>
      <c r="F3759" t="s">
        <v>6</v>
      </c>
      <c r="G37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59">
        <f>IF(Table1[[#This Row],[is_ups_overcharge]]="ups overcharged",Table1[[#This Row],[ups ship charge]]-Table1[[#This Row],[ada ship charge]],0)</f>
        <v>0</v>
      </c>
    </row>
    <row r="3760" spans="1:9" x14ac:dyDescent="0.2">
      <c r="A3760">
        <v>1051357</v>
      </c>
      <c r="B3760" t="s">
        <v>21</v>
      </c>
      <c r="C3760">
        <v>12.75</v>
      </c>
      <c r="D3760">
        <v>12.8</v>
      </c>
      <c r="E3760">
        <v>157.9</v>
      </c>
      <c r="F3760" t="s">
        <v>9</v>
      </c>
      <c r="G37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60">
        <f>IF(Table1[[#This Row],[is_ups_overcharge]]="ups overcharged",Table1[[#This Row],[ups ship charge]]-Table1[[#This Row],[ada ship charge]],0)</f>
        <v>0</v>
      </c>
    </row>
    <row r="3761" spans="1:9" x14ac:dyDescent="0.2">
      <c r="A3761">
        <v>1051360</v>
      </c>
      <c r="B3761" t="s">
        <v>21</v>
      </c>
      <c r="C3761">
        <v>15.02</v>
      </c>
      <c r="D3761">
        <v>15.07</v>
      </c>
      <c r="E3761">
        <v>12.9</v>
      </c>
      <c r="F3761" t="s">
        <v>12</v>
      </c>
      <c r="G37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61">
        <f>IF(Table1[[#This Row],[is_ups_overcharge]]="ups overcharged",Table1[[#This Row],[ups ship charge]]-Table1[[#This Row],[ada ship charge]],0)</f>
        <v>0</v>
      </c>
    </row>
    <row r="3762" spans="1:9" x14ac:dyDescent="0.2">
      <c r="A3762">
        <v>1051383</v>
      </c>
      <c r="B3762" t="s">
        <v>21</v>
      </c>
      <c r="C3762">
        <v>13.64</v>
      </c>
      <c r="D3762">
        <v>13.69</v>
      </c>
      <c r="E3762">
        <v>84.9</v>
      </c>
      <c r="F3762" t="s">
        <v>9</v>
      </c>
      <c r="G37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62">
        <f>IF(Table1[[#This Row],[is_ups_overcharge]]="ups overcharged",Table1[[#This Row],[ups ship charge]]-Table1[[#This Row],[ada ship charge]],0)</f>
        <v>0</v>
      </c>
    </row>
    <row r="3763" spans="1:9" x14ac:dyDescent="0.2">
      <c r="A3763">
        <v>1051387</v>
      </c>
      <c r="B3763" t="s">
        <v>21</v>
      </c>
      <c r="C3763">
        <v>12.75</v>
      </c>
      <c r="D3763">
        <v>12.8</v>
      </c>
      <c r="E3763">
        <v>61.8</v>
      </c>
      <c r="F3763" t="s">
        <v>9</v>
      </c>
      <c r="G37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63">
        <f>IF(Table1[[#This Row],[is_ups_overcharge]]="ups overcharged",Table1[[#This Row],[ups ship charge]]-Table1[[#This Row],[ada ship charge]],0)</f>
        <v>0</v>
      </c>
    </row>
    <row r="3764" spans="1:9" x14ac:dyDescent="0.2">
      <c r="A3764">
        <v>1051406</v>
      </c>
      <c r="B3764" t="s">
        <v>21</v>
      </c>
      <c r="C3764">
        <v>13.64</v>
      </c>
      <c r="D3764">
        <v>13.69</v>
      </c>
      <c r="E3764">
        <v>14.8</v>
      </c>
      <c r="F3764" t="s">
        <v>9</v>
      </c>
      <c r="G37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64">
        <f>IF(Table1[[#This Row],[is_ups_overcharge]]="ups overcharged",Table1[[#This Row],[ups ship charge]]-Table1[[#This Row],[ada ship charge]],0)</f>
        <v>0</v>
      </c>
    </row>
    <row r="3765" spans="1:9" x14ac:dyDescent="0.2">
      <c r="A3765">
        <v>1051415</v>
      </c>
      <c r="B3765" t="s">
        <v>21</v>
      </c>
      <c r="C3765">
        <v>22.29</v>
      </c>
      <c r="D3765">
        <v>26.42</v>
      </c>
      <c r="E3765">
        <v>75.25</v>
      </c>
      <c r="F3765" t="s">
        <v>16</v>
      </c>
      <c r="G37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65">
        <f>IF(Table1[[#This Row],[is_ups_overcharge]]="ups overcharged",Table1[[#This Row],[ups ship charge]]-Table1[[#This Row],[ada ship charge]],0)</f>
        <v>0</v>
      </c>
    </row>
    <row r="3766" spans="1:9" x14ac:dyDescent="0.2">
      <c r="A3766">
        <v>1051429</v>
      </c>
      <c r="B3766" t="s">
        <v>21</v>
      </c>
      <c r="C3766">
        <v>9.66</v>
      </c>
      <c r="D3766">
        <v>12.8</v>
      </c>
      <c r="E3766">
        <v>109.95</v>
      </c>
      <c r="F3766" t="s">
        <v>6</v>
      </c>
      <c r="G37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66">
        <f>IF(Table1[[#This Row],[is_ups_overcharge]]="ups overcharged",Table1[[#This Row],[ups ship charge]]-Table1[[#This Row],[ada ship charge]],0)</f>
        <v>0</v>
      </c>
    </row>
    <row r="3767" spans="1:9" x14ac:dyDescent="0.2">
      <c r="A3767">
        <v>1051475</v>
      </c>
      <c r="B3767" t="s">
        <v>21</v>
      </c>
      <c r="C3767">
        <v>9.65</v>
      </c>
      <c r="D3767">
        <v>13.69</v>
      </c>
      <c r="E3767">
        <v>51.05</v>
      </c>
      <c r="F3767" t="s">
        <v>6</v>
      </c>
      <c r="G37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67">
        <f>IF(Table1[[#This Row],[is_ups_overcharge]]="ups overcharged",Table1[[#This Row],[ups ship charge]]-Table1[[#This Row],[ada ship charge]],0)</f>
        <v>0</v>
      </c>
    </row>
    <row r="3768" spans="1:9" x14ac:dyDescent="0.2">
      <c r="A3768">
        <v>1051488</v>
      </c>
      <c r="B3768" t="s">
        <v>21</v>
      </c>
      <c r="C3768">
        <v>13.64</v>
      </c>
      <c r="D3768">
        <v>13.69</v>
      </c>
      <c r="E3768">
        <v>15.9</v>
      </c>
      <c r="F3768" t="s">
        <v>9</v>
      </c>
      <c r="G37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68">
        <f>IF(Table1[[#This Row],[is_ups_overcharge]]="ups overcharged",Table1[[#This Row],[ups ship charge]]-Table1[[#This Row],[ada ship charge]],0)</f>
        <v>0</v>
      </c>
    </row>
    <row r="3769" spans="1:9" x14ac:dyDescent="0.2">
      <c r="A3769">
        <v>1051493</v>
      </c>
      <c r="B3769" t="s">
        <v>21</v>
      </c>
      <c r="C3769">
        <v>16.649999999999999</v>
      </c>
      <c r="D3769">
        <v>17</v>
      </c>
      <c r="E3769">
        <v>92.9</v>
      </c>
      <c r="F3769" t="s">
        <v>10</v>
      </c>
      <c r="G37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69">
        <f>IF(Table1[[#This Row],[is_ups_overcharge]]="ups overcharged",Table1[[#This Row],[ups ship charge]]-Table1[[#This Row],[ada ship charge]],0)</f>
        <v>0</v>
      </c>
    </row>
    <row r="3770" spans="1:9" x14ac:dyDescent="0.2">
      <c r="A3770">
        <v>1051494</v>
      </c>
      <c r="B3770" t="s">
        <v>21</v>
      </c>
      <c r="C3770">
        <v>16.649999999999999</v>
      </c>
      <c r="D3770">
        <v>16.7</v>
      </c>
      <c r="E3770">
        <v>51.55</v>
      </c>
      <c r="F3770" t="s">
        <v>10</v>
      </c>
      <c r="G37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70">
        <f>IF(Table1[[#This Row],[is_ups_overcharge]]="ups overcharged",Table1[[#This Row],[ups ship charge]]-Table1[[#This Row],[ada ship charge]],0)</f>
        <v>0</v>
      </c>
    </row>
    <row r="3771" spans="1:9" x14ac:dyDescent="0.2">
      <c r="A3771">
        <v>1051500</v>
      </c>
      <c r="B3771" t="s">
        <v>21</v>
      </c>
      <c r="C3771">
        <v>13.64</v>
      </c>
      <c r="D3771">
        <v>13.69</v>
      </c>
      <c r="E3771">
        <v>34.950000000000003</v>
      </c>
      <c r="F3771" t="s">
        <v>9</v>
      </c>
      <c r="G37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71">
        <f>IF(Table1[[#This Row],[is_ups_overcharge]]="ups overcharged",Table1[[#This Row],[ups ship charge]]-Table1[[#This Row],[ada ship charge]],0)</f>
        <v>0</v>
      </c>
    </row>
    <row r="3772" spans="1:9" x14ac:dyDescent="0.2">
      <c r="A3772">
        <v>1051510</v>
      </c>
      <c r="B3772" t="s">
        <v>21</v>
      </c>
      <c r="C3772">
        <v>12.75</v>
      </c>
      <c r="D3772">
        <v>12.8</v>
      </c>
      <c r="E3772">
        <v>9.9499999999999993</v>
      </c>
      <c r="F3772" t="s">
        <v>9</v>
      </c>
      <c r="G37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72">
        <f>IF(Table1[[#This Row],[is_ups_overcharge]]="ups overcharged",Table1[[#This Row],[ups ship charge]]-Table1[[#This Row],[ada ship charge]],0)</f>
        <v>0</v>
      </c>
    </row>
    <row r="3773" spans="1:9" x14ac:dyDescent="0.2">
      <c r="A3773">
        <v>1051511</v>
      </c>
      <c r="B3773" t="s">
        <v>21</v>
      </c>
      <c r="C3773">
        <v>12.75</v>
      </c>
      <c r="D3773">
        <v>12.8</v>
      </c>
      <c r="E3773">
        <v>45.35</v>
      </c>
      <c r="F3773" t="s">
        <v>9</v>
      </c>
      <c r="G37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73">
        <f>IF(Table1[[#This Row],[is_ups_overcharge]]="ups overcharged",Table1[[#This Row],[ups ship charge]]-Table1[[#This Row],[ada ship charge]],0)</f>
        <v>0</v>
      </c>
    </row>
    <row r="3774" spans="1:9" x14ac:dyDescent="0.2">
      <c r="A3774">
        <v>1051512</v>
      </c>
      <c r="B3774" t="s">
        <v>21</v>
      </c>
      <c r="C3774">
        <v>15.02</v>
      </c>
      <c r="D3774">
        <v>15.07</v>
      </c>
      <c r="E3774">
        <v>29.95</v>
      </c>
      <c r="F3774" t="s">
        <v>12</v>
      </c>
      <c r="G37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74">
        <f>IF(Table1[[#This Row],[is_ups_overcharge]]="ups overcharged",Table1[[#This Row],[ups ship charge]]-Table1[[#This Row],[ada ship charge]],0)</f>
        <v>0</v>
      </c>
    </row>
    <row r="3775" spans="1:9" x14ac:dyDescent="0.2">
      <c r="A3775">
        <v>1051541</v>
      </c>
      <c r="B3775" t="s">
        <v>21</v>
      </c>
      <c r="C3775">
        <v>12.75</v>
      </c>
      <c r="D3775">
        <v>12.8</v>
      </c>
      <c r="E3775">
        <v>74.2</v>
      </c>
      <c r="F3775" t="s">
        <v>9</v>
      </c>
      <c r="G37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75">
        <f>IF(Table1[[#This Row],[is_ups_overcharge]]="ups overcharged",Table1[[#This Row],[ups ship charge]]-Table1[[#This Row],[ada ship charge]],0)</f>
        <v>0</v>
      </c>
    </row>
    <row r="3776" spans="1:9" x14ac:dyDescent="0.2">
      <c r="A3776">
        <v>1051546</v>
      </c>
      <c r="B3776" t="s">
        <v>21</v>
      </c>
      <c r="C3776">
        <v>12.75</v>
      </c>
      <c r="D3776">
        <v>12.8</v>
      </c>
      <c r="E3776">
        <v>43.4</v>
      </c>
      <c r="F3776" t="s">
        <v>9</v>
      </c>
      <c r="G37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76">
        <f>IF(Table1[[#This Row],[is_ups_overcharge]]="ups overcharged",Table1[[#This Row],[ups ship charge]]-Table1[[#This Row],[ada ship charge]],0)</f>
        <v>0</v>
      </c>
    </row>
    <row r="3777" spans="1:9" x14ac:dyDescent="0.2">
      <c r="A3777">
        <v>1051572</v>
      </c>
      <c r="B3777" t="s">
        <v>21</v>
      </c>
      <c r="C3777">
        <v>12.75</v>
      </c>
      <c r="D3777">
        <v>12.8</v>
      </c>
      <c r="E3777">
        <v>23.45</v>
      </c>
      <c r="F3777" t="s">
        <v>9</v>
      </c>
      <c r="G37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77">
        <f>IF(Table1[[#This Row],[is_ups_overcharge]]="ups overcharged",Table1[[#This Row],[ups ship charge]]-Table1[[#This Row],[ada ship charge]],0)</f>
        <v>0</v>
      </c>
    </row>
    <row r="3778" spans="1:9" x14ac:dyDescent="0.2">
      <c r="A3778">
        <v>1051593</v>
      </c>
      <c r="B3778" t="s">
        <v>21</v>
      </c>
      <c r="C3778">
        <v>13.63</v>
      </c>
      <c r="D3778">
        <v>15.1</v>
      </c>
      <c r="E3778">
        <v>99.95</v>
      </c>
      <c r="F3778" t="s">
        <v>9</v>
      </c>
      <c r="G37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78">
        <f>IF(Table1[[#This Row],[is_ups_overcharge]]="ups overcharged",Table1[[#This Row],[ups ship charge]]-Table1[[#This Row],[ada ship charge]],0)</f>
        <v>0</v>
      </c>
    </row>
    <row r="3779" spans="1:9" x14ac:dyDescent="0.2">
      <c r="A3779">
        <v>1051646</v>
      </c>
      <c r="B3779" t="s">
        <v>21</v>
      </c>
      <c r="C3779">
        <v>12.75</v>
      </c>
      <c r="D3779">
        <v>12.8</v>
      </c>
      <c r="E3779">
        <v>15.95</v>
      </c>
      <c r="F3779" t="s">
        <v>9</v>
      </c>
      <c r="G37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79">
        <f>IF(Table1[[#This Row],[is_ups_overcharge]]="ups overcharged",Table1[[#This Row],[ups ship charge]]-Table1[[#This Row],[ada ship charge]],0)</f>
        <v>0</v>
      </c>
    </row>
    <row r="3780" spans="1:9" x14ac:dyDescent="0.2">
      <c r="A3780">
        <v>1051653</v>
      </c>
      <c r="B3780" t="s">
        <v>21</v>
      </c>
      <c r="C3780">
        <v>12.75</v>
      </c>
      <c r="D3780">
        <v>12.8</v>
      </c>
      <c r="E3780">
        <v>45.85</v>
      </c>
      <c r="F3780" t="s">
        <v>9</v>
      </c>
      <c r="G37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80">
        <f>IF(Table1[[#This Row],[is_ups_overcharge]]="ups overcharged",Table1[[#This Row],[ups ship charge]]-Table1[[#This Row],[ada ship charge]],0)</f>
        <v>0</v>
      </c>
    </row>
    <row r="3781" spans="1:9" x14ac:dyDescent="0.2">
      <c r="A3781">
        <v>1051661</v>
      </c>
      <c r="B3781" t="s">
        <v>21</v>
      </c>
      <c r="C3781">
        <v>18.02</v>
      </c>
      <c r="D3781">
        <v>18.07</v>
      </c>
      <c r="E3781">
        <v>12.4</v>
      </c>
      <c r="F3781" t="s">
        <v>15</v>
      </c>
      <c r="G37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81">
        <f>IF(Table1[[#This Row],[is_ups_overcharge]]="ups overcharged",Table1[[#This Row],[ups ship charge]]-Table1[[#This Row],[ada ship charge]],0)</f>
        <v>0</v>
      </c>
    </row>
    <row r="3782" spans="1:9" x14ac:dyDescent="0.2">
      <c r="A3782">
        <v>1051702</v>
      </c>
      <c r="B3782" t="s">
        <v>21</v>
      </c>
      <c r="C3782">
        <v>9.74</v>
      </c>
      <c r="D3782">
        <v>10.07</v>
      </c>
      <c r="E3782">
        <v>132.18</v>
      </c>
      <c r="F3782" t="s">
        <v>6</v>
      </c>
      <c r="G37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82">
        <f>IF(Table1[[#This Row],[is_ups_overcharge]]="ups overcharged",Table1[[#This Row],[ups ship charge]]-Table1[[#This Row],[ada ship charge]],0)</f>
        <v>0</v>
      </c>
    </row>
    <row r="3783" spans="1:9" x14ac:dyDescent="0.2">
      <c r="A3783">
        <v>1051704</v>
      </c>
      <c r="B3783" t="s">
        <v>21</v>
      </c>
      <c r="C3783">
        <v>10.95</v>
      </c>
      <c r="D3783">
        <v>14.46</v>
      </c>
      <c r="E3783">
        <v>99.95</v>
      </c>
      <c r="F3783" t="s">
        <v>14</v>
      </c>
      <c r="G37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83">
        <f>IF(Table1[[#This Row],[is_ups_overcharge]]="ups overcharged",Table1[[#This Row],[ups ship charge]]-Table1[[#This Row],[ada ship charge]],0)</f>
        <v>0</v>
      </c>
    </row>
    <row r="3784" spans="1:9" x14ac:dyDescent="0.2">
      <c r="A3784">
        <v>1051712</v>
      </c>
      <c r="B3784" t="s">
        <v>21</v>
      </c>
      <c r="C3784">
        <v>9.65</v>
      </c>
      <c r="D3784">
        <v>9.6999999999999993</v>
      </c>
      <c r="E3784">
        <v>39.950000000000003</v>
      </c>
      <c r="F3784" t="s">
        <v>6</v>
      </c>
      <c r="G37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84">
        <f>IF(Table1[[#This Row],[is_ups_overcharge]]="ups overcharged",Table1[[#This Row],[ups ship charge]]-Table1[[#This Row],[ada ship charge]],0)</f>
        <v>0</v>
      </c>
    </row>
    <row r="3785" spans="1:9" x14ac:dyDescent="0.2">
      <c r="A3785">
        <v>1051715</v>
      </c>
      <c r="B3785" t="s">
        <v>21</v>
      </c>
      <c r="C3785">
        <v>13.64</v>
      </c>
      <c r="D3785">
        <v>13.69</v>
      </c>
      <c r="E3785">
        <v>139.85</v>
      </c>
      <c r="F3785" t="s">
        <v>9</v>
      </c>
      <c r="G37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85">
        <f>IF(Table1[[#This Row],[is_ups_overcharge]]="ups overcharged",Table1[[#This Row],[ups ship charge]]-Table1[[#This Row],[ada ship charge]],0)</f>
        <v>0</v>
      </c>
    </row>
    <row r="3786" spans="1:9" x14ac:dyDescent="0.2">
      <c r="A3786">
        <v>1051733</v>
      </c>
      <c r="B3786" t="s">
        <v>21</v>
      </c>
      <c r="C3786">
        <v>12.75</v>
      </c>
      <c r="D3786">
        <v>12.8</v>
      </c>
      <c r="E3786">
        <v>47.9</v>
      </c>
      <c r="F3786" t="s">
        <v>9</v>
      </c>
      <c r="G37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86">
        <f>IF(Table1[[#This Row],[is_ups_overcharge]]="ups overcharged",Table1[[#This Row],[ups ship charge]]-Table1[[#This Row],[ada ship charge]],0)</f>
        <v>0</v>
      </c>
    </row>
    <row r="3787" spans="1:9" x14ac:dyDescent="0.2">
      <c r="A3787">
        <v>1051747</v>
      </c>
      <c r="B3787" t="s">
        <v>21</v>
      </c>
      <c r="C3787">
        <v>13.64</v>
      </c>
      <c r="D3787">
        <v>13.69</v>
      </c>
      <c r="E3787">
        <v>64.95</v>
      </c>
      <c r="F3787" t="s">
        <v>9</v>
      </c>
      <c r="G37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87">
        <f>IF(Table1[[#This Row],[is_ups_overcharge]]="ups overcharged",Table1[[#This Row],[ups ship charge]]-Table1[[#This Row],[ada ship charge]],0)</f>
        <v>0</v>
      </c>
    </row>
    <row r="3788" spans="1:9" x14ac:dyDescent="0.2">
      <c r="A3788">
        <v>1051775</v>
      </c>
      <c r="B3788" t="s">
        <v>21</v>
      </c>
      <c r="C3788">
        <v>13.56</v>
      </c>
      <c r="D3788">
        <v>14.79</v>
      </c>
      <c r="E3788">
        <v>276.5</v>
      </c>
      <c r="F3788" t="s">
        <v>14</v>
      </c>
      <c r="G37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88">
        <f>IF(Table1[[#This Row],[is_ups_overcharge]]="ups overcharged",Table1[[#This Row],[ups ship charge]]-Table1[[#This Row],[ada ship charge]],0)</f>
        <v>0</v>
      </c>
    </row>
    <row r="3789" spans="1:9" x14ac:dyDescent="0.2">
      <c r="A3789">
        <v>1051798</v>
      </c>
      <c r="B3789" t="s">
        <v>21</v>
      </c>
      <c r="C3789">
        <v>9.65</v>
      </c>
      <c r="D3789">
        <v>0</v>
      </c>
      <c r="E3789">
        <v>53.94</v>
      </c>
      <c r="F3789" t="s">
        <v>6</v>
      </c>
      <c r="G37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89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3789">
        <f>IF(Table1[[#This Row],[is_ups_overcharge]]="ups overcharged",Table1[[#This Row],[ups ship charge]]-Table1[[#This Row],[ada ship charge]],0)</f>
        <v>9.65</v>
      </c>
    </row>
    <row r="3790" spans="1:9" x14ac:dyDescent="0.2">
      <c r="A3790">
        <v>1051807</v>
      </c>
      <c r="B3790" t="s">
        <v>21</v>
      </c>
      <c r="C3790">
        <v>12.75</v>
      </c>
      <c r="D3790">
        <v>12.8</v>
      </c>
      <c r="E3790">
        <v>49.9</v>
      </c>
      <c r="F3790" t="s">
        <v>9</v>
      </c>
      <c r="G37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90">
        <f>IF(Table1[[#This Row],[is_ups_overcharge]]="ups overcharged",Table1[[#This Row],[ups ship charge]]-Table1[[#This Row],[ada ship charge]],0)</f>
        <v>0</v>
      </c>
    </row>
    <row r="3791" spans="1:9" x14ac:dyDescent="0.2">
      <c r="A3791">
        <v>1051820</v>
      </c>
      <c r="B3791" t="s">
        <v>21</v>
      </c>
      <c r="C3791">
        <v>15.02</v>
      </c>
      <c r="D3791">
        <v>15.12</v>
      </c>
      <c r="E3791">
        <v>99.95</v>
      </c>
      <c r="F3791" t="s">
        <v>12</v>
      </c>
      <c r="G37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91">
        <f>IF(Table1[[#This Row],[is_ups_overcharge]]="ups overcharged",Table1[[#This Row],[ups ship charge]]-Table1[[#This Row],[ada ship charge]],0)</f>
        <v>0</v>
      </c>
    </row>
    <row r="3792" spans="1:9" x14ac:dyDescent="0.2">
      <c r="A3792">
        <v>1051822</v>
      </c>
      <c r="B3792" t="s">
        <v>21</v>
      </c>
      <c r="C3792">
        <v>12.75</v>
      </c>
      <c r="D3792">
        <v>12.8</v>
      </c>
      <c r="E3792">
        <v>26.9</v>
      </c>
      <c r="F3792" t="s">
        <v>9</v>
      </c>
      <c r="G37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92">
        <f>IF(Table1[[#This Row],[is_ups_overcharge]]="ups overcharged",Table1[[#This Row],[ups ship charge]]-Table1[[#This Row],[ada ship charge]],0)</f>
        <v>0</v>
      </c>
    </row>
    <row r="3793" spans="1:9" x14ac:dyDescent="0.2">
      <c r="A3793">
        <v>1051862</v>
      </c>
      <c r="B3793" t="s">
        <v>21</v>
      </c>
      <c r="C3793">
        <v>12.75</v>
      </c>
      <c r="D3793">
        <v>12.8</v>
      </c>
      <c r="E3793">
        <v>110.95</v>
      </c>
      <c r="F3793" t="s">
        <v>9</v>
      </c>
      <c r="G37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93">
        <f>IF(Table1[[#This Row],[is_ups_overcharge]]="ups overcharged",Table1[[#This Row],[ups ship charge]]-Table1[[#This Row],[ada ship charge]],0)</f>
        <v>0</v>
      </c>
    </row>
    <row r="3794" spans="1:9" x14ac:dyDescent="0.2">
      <c r="A3794">
        <v>1051882</v>
      </c>
      <c r="B3794" t="s">
        <v>21</v>
      </c>
      <c r="C3794">
        <v>13.64</v>
      </c>
      <c r="D3794">
        <v>13.69</v>
      </c>
      <c r="E3794">
        <v>39.950000000000003</v>
      </c>
      <c r="F3794" t="s">
        <v>9</v>
      </c>
      <c r="G37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94">
        <f>IF(Table1[[#This Row],[is_ups_overcharge]]="ups overcharged",Table1[[#This Row],[ups ship charge]]-Table1[[#This Row],[ada ship charge]],0)</f>
        <v>0</v>
      </c>
    </row>
    <row r="3795" spans="1:9" x14ac:dyDescent="0.2">
      <c r="A3795">
        <v>1051903</v>
      </c>
      <c r="B3795" t="s">
        <v>21</v>
      </c>
      <c r="C3795">
        <v>13.64</v>
      </c>
      <c r="D3795">
        <v>13.92</v>
      </c>
      <c r="E3795">
        <v>99.95</v>
      </c>
      <c r="F3795" t="s">
        <v>9</v>
      </c>
      <c r="G37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95">
        <f>IF(Table1[[#This Row],[is_ups_overcharge]]="ups overcharged",Table1[[#This Row],[ups ship charge]]-Table1[[#This Row],[ada ship charge]],0)</f>
        <v>0</v>
      </c>
    </row>
    <row r="3796" spans="1:9" x14ac:dyDescent="0.2">
      <c r="A3796">
        <v>1051910</v>
      </c>
      <c r="B3796" t="s">
        <v>21</v>
      </c>
      <c r="C3796">
        <v>12.75</v>
      </c>
      <c r="D3796">
        <v>12.8</v>
      </c>
      <c r="E3796">
        <v>4.75</v>
      </c>
      <c r="F3796" t="s">
        <v>9</v>
      </c>
      <c r="G37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96">
        <f>IF(Table1[[#This Row],[is_ups_overcharge]]="ups overcharged",Table1[[#This Row],[ups ship charge]]-Table1[[#This Row],[ada ship charge]],0)</f>
        <v>0</v>
      </c>
    </row>
    <row r="3797" spans="1:9" x14ac:dyDescent="0.2">
      <c r="A3797">
        <v>1051928</v>
      </c>
      <c r="B3797" t="s">
        <v>21</v>
      </c>
      <c r="C3797">
        <v>15.02</v>
      </c>
      <c r="D3797">
        <v>15.07</v>
      </c>
      <c r="E3797">
        <v>1.5</v>
      </c>
      <c r="F3797" t="s">
        <v>12</v>
      </c>
      <c r="G37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97">
        <f>IF(Table1[[#This Row],[is_ups_overcharge]]="ups overcharged",Table1[[#This Row],[ups ship charge]]-Table1[[#This Row],[ada ship charge]],0)</f>
        <v>0</v>
      </c>
    </row>
    <row r="3798" spans="1:9" x14ac:dyDescent="0.2">
      <c r="A3798">
        <v>1051936</v>
      </c>
      <c r="B3798" t="s">
        <v>21</v>
      </c>
      <c r="C3798">
        <v>12.75</v>
      </c>
      <c r="D3798">
        <v>12.8</v>
      </c>
      <c r="E3798">
        <v>103</v>
      </c>
      <c r="F3798" t="s">
        <v>9</v>
      </c>
      <c r="G37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98">
        <f>IF(Table1[[#This Row],[is_ups_overcharge]]="ups overcharged",Table1[[#This Row],[ups ship charge]]-Table1[[#This Row],[ada ship charge]],0)</f>
        <v>0</v>
      </c>
    </row>
    <row r="3799" spans="1:9" x14ac:dyDescent="0.2">
      <c r="A3799">
        <v>1051941</v>
      </c>
      <c r="B3799" t="s">
        <v>21</v>
      </c>
      <c r="C3799">
        <v>13.63</v>
      </c>
      <c r="D3799">
        <v>14.09</v>
      </c>
      <c r="E3799">
        <v>99.95</v>
      </c>
      <c r="F3799" t="s">
        <v>9</v>
      </c>
      <c r="G37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7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799">
        <f>IF(Table1[[#This Row],[is_ups_overcharge]]="ups overcharged",Table1[[#This Row],[ups ship charge]]-Table1[[#This Row],[ada ship charge]],0)</f>
        <v>0</v>
      </c>
    </row>
    <row r="3800" spans="1:9" x14ac:dyDescent="0.2">
      <c r="A3800">
        <v>1051956</v>
      </c>
      <c r="B3800" t="s">
        <v>21</v>
      </c>
      <c r="C3800">
        <v>12.75</v>
      </c>
      <c r="D3800">
        <v>12.8</v>
      </c>
      <c r="E3800">
        <v>47.9</v>
      </c>
      <c r="F3800" t="s">
        <v>9</v>
      </c>
      <c r="G38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00">
        <f>IF(Table1[[#This Row],[is_ups_overcharge]]="ups overcharged",Table1[[#This Row],[ups ship charge]]-Table1[[#This Row],[ada ship charge]],0)</f>
        <v>0</v>
      </c>
    </row>
    <row r="3801" spans="1:9" x14ac:dyDescent="0.2">
      <c r="A3801">
        <v>1051979</v>
      </c>
      <c r="B3801" t="s">
        <v>21</v>
      </c>
      <c r="C3801">
        <v>12.75</v>
      </c>
      <c r="D3801">
        <v>12.8</v>
      </c>
      <c r="E3801">
        <v>99.95</v>
      </c>
      <c r="F3801" t="s">
        <v>9</v>
      </c>
      <c r="G38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01">
        <f>IF(Table1[[#This Row],[is_ups_overcharge]]="ups overcharged",Table1[[#This Row],[ups ship charge]]-Table1[[#This Row],[ada ship charge]],0)</f>
        <v>0</v>
      </c>
    </row>
    <row r="3802" spans="1:9" x14ac:dyDescent="0.2">
      <c r="A3802">
        <v>1051980</v>
      </c>
      <c r="B3802" t="s">
        <v>21</v>
      </c>
      <c r="C3802">
        <v>12.75</v>
      </c>
      <c r="D3802">
        <v>12.8</v>
      </c>
      <c r="E3802">
        <v>75.599999999999994</v>
      </c>
      <c r="F3802" t="s">
        <v>9</v>
      </c>
      <c r="G38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02">
        <f>IF(Table1[[#This Row],[is_ups_overcharge]]="ups overcharged",Table1[[#This Row],[ups ship charge]]-Table1[[#This Row],[ada ship charge]],0)</f>
        <v>0</v>
      </c>
    </row>
    <row r="3803" spans="1:9" x14ac:dyDescent="0.2">
      <c r="A3803">
        <v>1051993</v>
      </c>
      <c r="B3803" t="s">
        <v>21</v>
      </c>
      <c r="C3803">
        <v>12.75</v>
      </c>
      <c r="D3803">
        <v>13.03</v>
      </c>
      <c r="E3803">
        <v>89.2</v>
      </c>
      <c r="F3803" t="s">
        <v>9</v>
      </c>
      <c r="G38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03">
        <f>IF(Table1[[#This Row],[is_ups_overcharge]]="ups overcharged",Table1[[#This Row],[ups ship charge]]-Table1[[#This Row],[ada ship charge]],0)</f>
        <v>0</v>
      </c>
    </row>
    <row r="3804" spans="1:9" x14ac:dyDescent="0.2">
      <c r="A3804">
        <v>1051995</v>
      </c>
      <c r="B3804" t="s">
        <v>21</v>
      </c>
      <c r="C3804">
        <v>22.68</v>
      </c>
      <c r="D3804">
        <v>23.2</v>
      </c>
      <c r="E3804">
        <v>147</v>
      </c>
      <c r="F3804" t="s">
        <v>15</v>
      </c>
      <c r="G38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04">
        <f>IF(Table1[[#This Row],[is_ups_overcharge]]="ups overcharged",Table1[[#This Row],[ups ship charge]]-Table1[[#This Row],[ada ship charge]],0)</f>
        <v>0</v>
      </c>
    </row>
    <row r="3805" spans="1:9" x14ac:dyDescent="0.2">
      <c r="A3805">
        <v>1051996</v>
      </c>
      <c r="B3805" t="s">
        <v>21</v>
      </c>
      <c r="C3805">
        <v>12.75</v>
      </c>
      <c r="D3805">
        <v>12.8</v>
      </c>
      <c r="E3805">
        <v>47.9</v>
      </c>
      <c r="F3805" t="s">
        <v>9</v>
      </c>
      <c r="G38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05">
        <f>IF(Table1[[#This Row],[is_ups_overcharge]]="ups overcharged",Table1[[#This Row],[ups ship charge]]-Table1[[#This Row],[ada ship charge]],0)</f>
        <v>0</v>
      </c>
    </row>
    <row r="3806" spans="1:9" x14ac:dyDescent="0.2">
      <c r="A3806">
        <v>1051998</v>
      </c>
      <c r="B3806" t="s">
        <v>21</v>
      </c>
      <c r="C3806">
        <v>13.64</v>
      </c>
      <c r="D3806">
        <v>13.69</v>
      </c>
      <c r="E3806">
        <v>24.45</v>
      </c>
      <c r="F3806" t="s">
        <v>9</v>
      </c>
      <c r="G38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06">
        <f>IF(Table1[[#This Row],[is_ups_overcharge]]="ups overcharged",Table1[[#This Row],[ups ship charge]]-Table1[[#This Row],[ada ship charge]],0)</f>
        <v>0</v>
      </c>
    </row>
    <row r="3807" spans="1:9" x14ac:dyDescent="0.2">
      <c r="A3807">
        <v>1052021</v>
      </c>
      <c r="B3807" t="s">
        <v>21</v>
      </c>
      <c r="C3807">
        <v>13.64</v>
      </c>
      <c r="D3807">
        <v>13.69</v>
      </c>
      <c r="E3807">
        <v>48.9</v>
      </c>
      <c r="F3807" t="s">
        <v>9</v>
      </c>
      <c r="G38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07">
        <f>IF(Table1[[#This Row],[is_ups_overcharge]]="ups overcharged",Table1[[#This Row],[ups ship charge]]-Table1[[#This Row],[ada ship charge]],0)</f>
        <v>0</v>
      </c>
    </row>
    <row r="3808" spans="1:9" x14ac:dyDescent="0.2">
      <c r="A3808">
        <v>1052023</v>
      </c>
      <c r="B3808" t="s">
        <v>21</v>
      </c>
      <c r="C3808">
        <v>13.64</v>
      </c>
      <c r="D3808">
        <v>13.69</v>
      </c>
      <c r="E3808">
        <v>45.95</v>
      </c>
      <c r="F3808" t="s">
        <v>9</v>
      </c>
      <c r="G38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08">
        <f>IF(Table1[[#This Row],[is_ups_overcharge]]="ups overcharged",Table1[[#This Row],[ups ship charge]]-Table1[[#This Row],[ada ship charge]],0)</f>
        <v>0</v>
      </c>
    </row>
    <row r="3809" spans="1:9" x14ac:dyDescent="0.2">
      <c r="A3809">
        <v>1052027</v>
      </c>
      <c r="B3809" t="s">
        <v>21</v>
      </c>
      <c r="C3809">
        <v>14.15</v>
      </c>
      <c r="D3809">
        <v>16</v>
      </c>
      <c r="E3809">
        <v>285.5</v>
      </c>
      <c r="F3809" t="s">
        <v>13</v>
      </c>
      <c r="G38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09">
        <f>IF(Table1[[#This Row],[is_ups_overcharge]]="ups overcharged",Table1[[#This Row],[ups ship charge]]-Table1[[#This Row],[ada ship charge]],0)</f>
        <v>0</v>
      </c>
    </row>
    <row r="3810" spans="1:9" x14ac:dyDescent="0.2">
      <c r="A3810">
        <v>1052037</v>
      </c>
      <c r="B3810" t="s">
        <v>21</v>
      </c>
      <c r="C3810">
        <v>12.26</v>
      </c>
      <c r="D3810">
        <v>16.39</v>
      </c>
      <c r="E3810">
        <v>23.7</v>
      </c>
      <c r="F3810" t="s">
        <v>13</v>
      </c>
      <c r="G38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10">
        <f>IF(Table1[[#This Row],[is_ups_overcharge]]="ups overcharged",Table1[[#This Row],[ups ship charge]]-Table1[[#This Row],[ada ship charge]],0)</f>
        <v>0</v>
      </c>
    </row>
    <row r="3811" spans="1:9" x14ac:dyDescent="0.2">
      <c r="A3811">
        <v>1052040</v>
      </c>
      <c r="B3811" t="s">
        <v>21</v>
      </c>
      <c r="C3811">
        <v>9.65</v>
      </c>
      <c r="D3811">
        <v>9.74</v>
      </c>
      <c r="E3811">
        <v>129.75</v>
      </c>
      <c r="F3811" t="s">
        <v>6</v>
      </c>
      <c r="G38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11">
        <f>IF(Table1[[#This Row],[is_ups_overcharge]]="ups overcharged",Table1[[#This Row],[ups ship charge]]-Table1[[#This Row],[ada ship charge]],0)</f>
        <v>0</v>
      </c>
    </row>
    <row r="3812" spans="1:9" x14ac:dyDescent="0.2">
      <c r="A3812">
        <v>1052069</v>
      </c>
      <c r="B3812" t="s">
        <v>21</v>
      </c>
      <c r="C3812">
        <v>15.02</v>
      </c>
      <c r="D3812">
        <v>15.07</v>
      </c>
      <c r="E3812">
        <v>5.9</v>
      </c>
      <c r="F3812" t="s">
        <v>12</v>
      </c>
      <c r="G38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12">
        <f>IF(Table1[[#This Row],[is_ups_overcharge]]="ups overcharged",Table1[[#This Row],[ups ship charge]]-Table1[[#This Row],[ada ship charge]],0)</f>
        <v>0</v>
      </c>
    </row>
    <row r="3813" spans="1:9" x14ac:dyDescent="0.2">
      <c r="A3813">
        <v>1052076</v>
      </c>
      <c r="B3813" t="s">
        <v>21</v>
      </c>
      <c r="C3813">
        <v>12.26</v>
      </c>
      <c r="D3813">
        <v>12.31</v>
      </c>
      <c r="E3813">
        <v>60.7</v>
      </c>
      <c r="F3813" t="s">
        <v>13</v>
      </c>
      <c r="G38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13">
        <f>IF(Table1[[#This Row],[is_ups_overcharge]]="ups overcharged",Table1[[#This Row],[ups ship charge]]-Table1[[#This Row],[ada ship charge]],0)</f>
        <v>0</v>
      </c>
    </row>
    <row r="3814" spans="1:9" x14ac:dyDescent="0.2">
      <c r="A3814">
        <v>1052089</v>
      </c>
      <c r="B3814" t="s">
        <v>21</v>
      </c>
      <c r="C3814">
        <v>13.64</v>
      </c>
      <c r="D3814">
        <v>13.68</v>
      </c>
      <c r="E3814">
        <v>63.05</v>
      </c>
      <c r="F3814" t="s">
        <v>9</v>
      </c>
      <c r="G38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14">
        <f>IF(Table1[[#This Row],[is_ups_overcharge]]="ups overcharged",Table1[[#This Row],[ups ship charge]]-Table1[[#This Row],[ada ship charge]],0)</f>
        <v>0</v>
      </c>
    </row>
    <row r="3815" spans="1:9" x14ac:dyDescent="0.2">
      <c r="A3815">
        <v>1052108</v>
      </c>
      <c r="B3815" t="s">
        <v>21</v>
      </c>
      <c r="C3815">
        <v>13.64</v>
      </c>
      <c r="D3815">
        <v>13.69</v>
      </c>
      <c r="E3815">
        <v>42.45</v>
      </c>
      <c r="F3815" t="s">
        <v>9</v>
      </c>
      <c r="G38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15">
        <f>IF(Table1[[#This Row],[is_ups_overcharge]]="ups overcharged",Table1[[#This Row],[ups ship charge]]-Table1[[#This Row],[ada ship charge]],0)</f>
        <v>0</v>
      </c>
    </row>
    <row r="3816" spans="1:9" x14ac:dyDescent="0.2">
      <c r="A3816">
        <v>1052183</v>
      </c>
      <c r="B3816" t="s">
        <v>21</v>
      </c>
      <c r="C3816">
        <v>13.64</v>
      </c>
      <c r="D3816">
        <v>13.69</v>
      </c>
      <c r="E3816">
        <v>47.9</v>
      </c>
      <c r="F3816" t="s">
        <v>9</v>
      </c>
      <c r="G38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16">
        <f>IF(Table1[[#This Row],[is_ups_overcharge]]="ups overcharged",Table1[[#This Row],[ups ship charge]]-Table1[[#This Row],[ada ship charge]],0)</f>
        <v>0</v>
      </c>
    </row>
    <row r="3817" spans="1:9" x14ac:dyDescent="0.2">
      <c r="A3817">
        <v>1052184</v>
      </c>
      <c r="B3817" t="s">
        <v>21</v>
      </c>
      <c r="C3817">
        <v>15.33</v>
      </c>
      <c r="D3817">
        <v>15.38</v>
      </c>
      <c r="E3817">
        <v>47.9</v>
      </c>
      <c r="F3817" t="s">
        <v>12</v>
      </c>
      <c r="G38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17">
        <f>IF(Table1[[#This Row],[is_ups_overcharge]]="ups overcharged",Table1[[#This Row],[ups ship charge]]-Table1[[#This Row],[ada ship charge]],0)</f>
        <v>0</v>
      </c>
    </row>
    <row r="3818" spans="1:9" x14ac:dyDescent="0.2">
      <c r="A3818">
        <v>1052220</v>
      </c>
      <c r="B3818" t="s">
        <v>21</v>
      </c>
      <c r="C3818">
        <v>13.64</v>
      </c>
      <c r="D3818">
        <v>13.69</v>
      </c>
      <c r="E3818">
        <v>23.1</v>
      </c>
      <c r="F3818" t="s">
        <v>9</v>
      </c>
      <c r="G38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18">
        <f>IF(Table1[[#This Row],[is_ups_overcharge]]="ups overcharged",Table1[[#This Row],[ups ship charge]]-Table1[[#This Row],[ada ship charge]],0)</f>
        <v>0</v>
      </c>
    </row>
    <row r="3819" spans="1:9" x14ac:dyDescent="0.2">
      <c r="A3819">
        <v>1052239</v>
      </c>
      <c r="B3819" t="s">
        <v>21</v>
      </c>
      <c r="C3819">
        <v>12.26</v>
      </c>
      <c r="D3819">
        <v>12.31</v>
      </c>
      <c r="E3819">
        <v>59.6</v>
      </c>
      <c r="F3819" t="s">
        <v>13</v>
      </c>
      <c r="G38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19">
        <f>IF(Table1[[#This Row],[is_ups_overcharge]]="ups overcharged",Table1[[#This Row],[ups ship charge]]-Table1[[#This Row],[ada ship charge]],0)</f>
        <v>0</v>
      </c>
    </row>
    <row r="3820" spans="1:9" x14ac:dyDescent="0.2">
      <c r="A3820">
        <v>1052243</v>
      </c>
      <c r="B3820" t="s">
        <v>21</v>
      </c>
      <c r="C3820">
        <v>16.34</v>
      </c>
      <c r="D3820">
        <v>16.39</v>
      </c>
      <c r="E3820">
        <v>174.8</v>
      </c>
      <c r="F3820" t="s">
        <v>10</v>
      </c>
      <c r="G38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20">
        <f>IF(Table1[[#This Row],[is_ups_overcharge]]="ups overcharged",Table1[[#This Row],[ups ship charge]]-Table1[[#This Row],[ada ship charge]],0)</f>
        <v>0</v>
      </c>
    </row>
    <row r="3821" spans="1:9" x14ac:dyDescent="0.2">
      <c r="A3821">
        <v>1052244</v>
      </c>
      <c r="B3821" t="s">
        <v>21</v>
      </c>
      <c r="C3821">
        <v>15.02</v>
      </c>
      <c r="D3821">
        <v>15.07</v>
      </c>
      <c r="E3821">
        <v>39.72</v>
      </c>
      <c r="F3821" t="s">
        <v>12</v>
      </c>
      <c r="G38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21">
        <f>IF(Table1[[#This Row],[is_ups_overcharge]]="ups overcharged",Table1[[#This Row],[ups ship charge]]-Table1[[#This Row],[ada ship charge]],0)</f>
        <v>0</v>
      </c>
    </row>
    <row r="3822" spans="1:9" x14ac:dyDescent="0.2">
      <c r="A3822">
        <v>1052250</v>
      </c>
      <c r="B3822" t="s">
        <v>21</v>
      </c>
      <c r="C3822">
        <v>10.95</v>
      </c>
      <c r="D3822">
        <v>11</v>
      </c>
      <c r="E3822">
        <v>50.25</v>
      </c>
      <c r="F3822" t="s">
        <v>14</v>
      </c>
      <c r="G38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22">
        <f>IF(Table1[[#This Row],[is_ups_overcharge]]="ups overcharged",Table1[[#This Row],[ups ship charge]]-Table1[[#This Row],[ada ship charge]],0)</f>
        <v>0</v>
      </c>
    </row>
    <row r="3823" spans="1:9" x14ac:dyDescent="0.2">
      <c r="A3823">
        <v>1052254</v>
      </c>
      <c r="B3823" t="s">
        <v>21</v>
      </c>
      <c r="C3823">
        <v>12.75</v>
      </c>
      <c r="D3823">
        <v>12.8</v>
      </c>
      <c r="E3823">
        <v>47.9</v>
      </c>
      <c r="F3823" t="s">
        <v>9</v>
      </c>
      <c r="G38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23">
        <f>IF(Table1[[#This Row],[is_ups_overcharge]]="ups overcharged",Table1[[#This Row],[ups ship charge]]-Table1[[#This Row],[ada ship charge]],0)</f>
        <v>0</v>
      </c>
    </row>
    <row r="3824" spans="1:9" x14ac:dyDescent="0.2">
      <c r="A3824">
        <v>1052255</v>
      </c>
      <c r="B3824" t="s">
        <v>21</v>
      </c>
      <c r="C3824">
        <v>13.64</v>
      </c>
      <c r="D3824">
        <v>13.69</v>
      </c>
      <c r="E3824">
        <v>47.9</v>
      </c>
      <c r="F3824" t="s">
        <v>9</v>
      </c>
      <c r="G38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24">
        <f>IF(Table1[[#This Row],[is_ups_overcharge]]="ups overcharged",Table1[[#This Row],[ups ship charge]]-Table1[[#This Row],[ada ship charge]],0)</f>
        <v>0</v>
      </c>
    </row>
    <row r="3825" spans="1:9" x14ac:dyDescent="0.2">
      <c r="A3825">
        <v>1052258</v>
      </c>
      <c r="B3825" t="s">
        <v>21</v>
      </c>
      <c r="C3825">
        <v>13.64</v>
      </c>
      <c r="D3825">
        <v>13.69</v>
      </c>
      <c r="E3825">
        <v>9.5</v>
      </c>
      <c r="F3825" t="s">
        <v>9</v>
      </c>
      <c r="G38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25">
        <f>IF(Table1[[#This Row],[is_ups_overcharge]]="ups overcharged",Table1[[#This Row],[ups ship charge]]-Table1[[#This Row],[ada ship charge]],0)</f>
        <v>0</v>
      </c>
    </row>
    <row r="3826" spans="1:9" x14ac:dyDescent="0.2">
      <c r="A3826">
        <v>1052277</v>
      </c>
      <c r="B3826" t="s">
        <v>21</v>
      </c>
      <c r="C3826">
        <v>13.64</v>
      </c>
      <c r="D3826">
        <v>13.68</v>
      </c>
      <c r="E3826">
        <v>38.9</v>
      </c>
      <c r="F3826" t="s">
        <v>9</v>
      </c>
      <c r="G38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26">
        <f>IF(Table1[[#This Row],[is_ups_overcharge]]="ups overcharged",Table1[[#This Row],[ups ship charge]]-Table1[[#This Row],[ada ship charge]],0)</f>
        <v>0</v>
      </c>
    </row>
    <row r="3827" spans="1:9" x14ac:dyDescent="0.2">
      <c r="A3827">
        <v>1052291</v>
      </c>
      <c r="B3827" t="s">
        <v>21</v>
      </c>
      <c r="C3827">
        <v>12.75</v>
      </c>
      <c r="D3827">
        <v>12.8</v>
      </c>
      <c r="E3827">
        <v>7.15</v>
      </c>
      <c r="F3827" t="s">
        <v>9</v>
      </c>
      <c r="G38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27">
        <f>IF(Table1[[#This Row],[is_ups_overcharge]]="ups overcharged",Table1[[#This Row],[ups ship charge]]-Table1[[#This Row],[ada ship charge]],0)</f>
        <v>0</v>
      </c>
    </row>
    <row r="3828" spans="1:9" x14ac:dyDescent="0.2">
      <c r="A3828">
        <v>1052298</v>
      </c>
      <c r="B3828" t="s">
        <v>21</v>
      </c>
      <c r="C3828">
        <v>12.75</v>
      </c>
      <c r="D3828">
        <v>12.8</v>
      </c>
      <c r="E3828">
        <v>44.95</v>
      </c>
      <c r="F3828" t="s">
        <v>9</v>
      </c>
      <c r="G38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28">
        <f>IF(Table1[[#This Row],[is_ups_overcharge]]="ups overcharged",Table1[[#This Row],[ups ship charge]]-Table1[[#This Row],[ada ship charge]],0)</f>
        <v>0</v>
      </c>
    </row>
    <row r="3829" spans="1:9" x14ac:dyDescent="0.2">
      <c r="A3829">
        <v>1052302</v>
      </c>
      <c r="B3829" t="s">
        <v>21</v>
      </c>
      <c r="C3829">
        <v>13.64</v>
      </c>
      <c r="D3829">
        <v>13.69</v>
      </c>
      <c r="E3829">
        <v>7.9</v>
      </c>
      <c r="F3829" t="s">
        <v>9</v>
      </c>
      <c r="G38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29">
        <f>IF(Table1[[#This Row],[is_ups_overcharge]]="ups overcharged",Table1[[#This Row],[ups ship charge]]-Table1[[#This Row],[ada ship charge]],0)</f>
        <v>0</v>
      </c>
    </row>
    <row r="3830" spans="1:9" x14ac:dyDescent="0.2">
      <c r="A3830">
        <v>1052309</v>
      </c>
      <c r="B3830" t="s">
        <v>21</v>
      </c>
      <c r="C3830">
        <v>12.75</v>
      </c>
      <c r="D3830">
        <v>12.8</v>
      </c>
      <c r="E3830">
        <v>7.95</v>
      </c>
      <c r="F3830" t="s">
        <v>9</v>
      </c>
      <c r="G38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30">
        <f>IF(Table1[[#This Row],[is_ups_overcharge]]="ups overcharged",Table1[[#This Row],[ups ship charge]]-Table1[[#This Row],[ada ship charge]],0)</f>
        <v>0</v>
      </c>
    </row>
    <row r="3831" spans="1:9" x14ac:dyDescent="0.2">
      <c r="A3831">
        <v>1052330</v>
      </c>
      <c r="B3831" t="s">
        <v>21</v>
      </c>
      <c r="C3831">
        <v>12.26</v>
      </c>
      <c r="D3831">
        <v>12.31</v>
      </c>
      <c r="E3831">
        <v>32.9</v>
      </c>
      <c r="F3831" t="s">
        <v>13</v>
      </c>
      <c r="G38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31">
        <f>IF(Table1[[#This Row],[is_ups_overcharge]]="ups overcharged",Table1[[#This Row],[ups ship charge]]-Table1[[#This Row],[ada ship charge]],0)</f>
        <v>0</v>
      </c>
    </row>
    <row r="3832" spans="1:9" x14ac:dyDescent="0.2">
      <c r="A3832">
        <v>1052346</v>
      </c>
      <c r="B3832" t="s">
        <v>21</v>
      </c>
      <c r="C3832">
        <v>58.59</v>
      </c>
      <c r="D3832">
        <v>58.64</v>
      </c>
      <c r="E3832">
        <v>128.6</v>
      </c>
      <c r="F3832" t="s">
        <v>8</v>
      </c>
      <c r="G38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32">
        <f>IF(Table1[[#This Row],[is_ups_overcharge]]="ups overcharged",Table1[[#This Row],[ups ship charge]]-Table1[[#This Row],[ada ship charge]],0)</f>
        <v>0</v>
      </c>
    </row>
    <row r="3833" spans="1:9" x14ac:dyDescent="0.2">
      <c r="A3833">
        <v>1052359</v>
      </c>
      <c r="B3833" t="s">
        <v>21</v>
      </c>
      <c r="C3833">
        <v>15.02</v>
      </c>
      <c r="D3833">
        <v>15.07</v>
      </c>
      <c r="E3833">
        <v>7.5</v>
      </c>
      <c r="F3833" t="s">
        <v>12</v>
      </c>
      <c r="G38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33">
        <f>IF(Table1[[#This Row],[is_ups_overcharge]]="ups overcharged",Table1[[#This Row],[ups ship charge]]-Table1[[#This Row],[ada ship charge]],0)</f>
        <v>0</v>
      </c>
    </row>
    <row r="3834" spans="1:9" x14ac:dyDescent="0.2">
      <c r="A3834">
        <v>1052379</v>
      </c>
      <c r="B3834" t="s">
        <v>21</v>
      </c>
      <c r="C3834">
        <v>12.75</v>
      </c>
      <c r="D3834">
        <v>12.8</v>
      </c>
      <c r="E3834">
        <v>9.9499999999999993</v>
      </c>
      <c r="F3834" t="s">
        <v>9</v>
      </c>
      <c r="G38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34">
        <f>IF(Table1[[#This Row],[is_ups_overcharge]]="ups overcharged",Table1[[#This Row],[ups ship charge]]-Table1[[#This Row],[ada ship charge]],0)</f>
        <v>0</v>
      </c>
    </row>
    <row r="3835" spans="1:9" x14ac:dyDescent="0.2">
      <c r="A3835">
        <v>1052389</v>
      </c>
      <c r="B3835" t="s">
        <v>21</v>
      </c>
      <c r="C3835">
        <v>16.34</v>
      </c>
      <c r="D3835">
        <v>16.39</v>
      </c>
      <c r="E3835">
        <v>60.6</v>
      </c>
      <c r="F3835" t="s">
        <v>10</v>
      </c>
      <c r="G38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35">
        <f>IF(Table1[[#This Row],[is_ups_overcharge]]="ups overcharged",Table1[[#This Row],[ups ship charge]]-Table1[[#This Row],[ada ship charge]],0)</f>
        <v>0</v>
      </c>
    </row>
    <row r="3836" spans="1:9" x14ac:dyDescent="0.2">
      <c r="A3836">
        <v>1052407</v>
      </c>
      <c r="B3836" t="s">
        <v>21</v>
      </c>
      <c r="C3836">
        <v>12.75</v>
      </c>
      <c r="D3836">
        <v>12.8</v>
      </c>
      <c r="E3836">
        <v>76.650000000000006</v>
      </c>
      <c r="F3836" t="s">
        <v>9</v>
      </c>
      <c r="G38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36">
        <f>IF(Table1[[#This Row],[is_ups_overcharge]]="ups overcharged",Table1[[#This Row],[ups ship charge]]-Table1[[#This Row],[ada ship charge]],0)</f>
        <v>0</v>
      </c>
    </row>
    <row r="3837" spans="1:9" x14ac:dyDescent="0.2">
      <c r="A3837">
        <v>1052409</v>
      </c>
      <c r="B3837" t="s">
        <v>21</v>
      </c>
      <c r="C3837">
        <v>13.64</v>
      </c>
      <c r="D3837">
        <v>13.69</v>
      </c>
      <c r="E3837">
        <v>39.950000000000003</v>
      </c>
      <c r="F3837" t="s">
        <v>9</v>
      </c>
      <c r="G38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37">
        <f>IF(Table1[[#This Row],[is_ups_overcharge]]="ups overcharged",Table1[[#This Row],[ups ship charge]]-Table1[[#This Row],[ada ship charge]],0)</f>
        <v>0</v>
      </c>
    </row>
    <row r="3838" spans="1:9" x14ac:dyDescent="0.2">
      <c r="A3838">
        <v>1052410</v>
      </c>
      <c r="B3838" t="s">
        <v>21</v>
      </c>
      <c r="C3838">
        <v>16.34</v>
      </c>
      <c r="D3838">
        <v>16.39</v>
      </c>
      <c r="E3838">
        <v>31.65</v>
      </c>
      <c r="F3838" t="s">
        <v>10</v>
      </c>
      <c r="G38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38">
        <f>IF(Table1[[#This Row],[is_ups_overcharge]]="ups overcharged",Table1[[#This Row],[ups ship charge]]-Table1[[#This Row],[ada ship charge]],0)</f>
        <v>0</v>
      </c>
    </row>
    <row r="3839" spans="1:9" x14ac:dyDescent="0.2">
      <c r="A3839">
        <v>1052449</v>
      </c>
      <c r="B3839" t="s">
        <v>21</v>
      </c>
      <c r="C3839">
        <v>12.75</v>
      </c>
      <c r="D3839">
        <v>12.8</v>
      </c>
      <c r="E3839">
        <v>39.950000000000003</v>
      </c>
      <c r="F3839" t="s">
        <v>9</v>
      </c>
      <c r="G38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39">
        <f>IF(Table1[[#This Row],[is_ups_overcharge]]="ups overcharged",Table1[[#This Row],[ups ship charge]]-Table1[[#This Row],[ada ship charge]],0)</f>
        <v>0</v>
      </c>
    </row>
    <row r="3840" spans="1:9" x14ac:dyDescent="0.2">
      <c r="A3840">
        <v>1052482</v>
      </c>
      <c r="B3840" t="s">
        <v>21</v>
      </c>
      <c r="C3840">
        <v>15.02</v>
      </c>
      <c r="D3840">
        <v>15.07</v>
      </c>
      <c r="E3840">
        <v>47.9</v>
      </c>
      <c r="F3840" t="s">
        <v>12</v>
      </c>
      <c r="G38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40">
        <f>IF(Table1[[#This Row],[is_ups_overcharge]]="ups overcharged",Table1[[#This Row],[ups ship charge]]-Table1[[#This Row],[ada ship charge]],0)</f>
        <v>0</v>
      </c>
    </row>
    <row r="3841" spans="1:9" x14ac:dyDescent="0.2">
      <c r="A3841">
        <v>1052483</v>
      </c>
      <c r="B3841" t="s">
        <v>21</v>
      </c>
      <c r="C3841">
        <v>12.75</v>
      </c>
      <c r="D3841">
        <v>12.8</v>
      </c>
      <c r="E3841">
        <v>52.95</v>
      </c>
      <c r="F3841" t="s">
        <v>9</v>
      </c>
      <c r="G38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41">
        <f>IF(Table1[[#This Row],[is_ups_overcharge]]="ups overcharged",Table1[[#This Row],[ups ship charge]]-Table1[[#This Row],[ada ship charge]],0)</f>
        <v>0</v>
      </c>
    </row>
    <row r="3842" spans="1:9" x14ac:dyDescent="0.2">
      <c r="A3842">
        <v>1052486</v>
      </c>
      <c r="B3842" t="s">
        <v>21</v>
      </c>
      <c r="C3842">
        <v>13.64</v>
      </c>
      <c r="D3842">
        <v>13.69</v>
      </c>
      <c r="E3842">
        <v>139.85</v>
      </c>
      <c r="F3842" t="s">
        <v>9</v>
      </c>
      <c r="G38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42">
        <f>IF(Table1[[#This Row],[is_ups_overcharge]]="ups overcharged",Table1[[#This Row],[ups ship charge]]-Table1[[#This Row],[ada ship charge]],0)</f>
        <v>0</v>
      </c>
    </row>
    <row r="3843" spans="1:9" x14ac:dyDescent="0.2">
      <c r="A3843">
        <v>1052491</v>
      </c>
      <c r="B3843" t="s">
        <v>21</v>
      </c>
      <c r="C3843">
        <v>12.75</v>
      </c>
      <c r="D3843">
        <v>12.8</v>
      </c>
      <c r="E3843">
        <v>43.3</v>
      </c>
      <c r="F3843" t="s">
        <v>9</v>
      </c>
      <c r="G38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43">
        <f>IF(Table1[[#This Row],[is_ups_overcharge]]="ups overcharged",Table1[[#This Row],[ups ship charge]]-Table1[[#This Row],[ada ship charge]],0)</f>
        <v>0</v>
      </c>
    </row>
    <row r="3844" spans="1:9" x14ac:dyDescent="0.2">
      <c r="A3844">
        <v>1052506</v>
      </c>
      <c r="B3844" t="s">
        <v>21</v>
      </c>
      <c r="C3844">
        <v>12.75</v>
      </c>
      <c r="D3844">
        <v>13.76</v>
      </c>
      <c r="E3844">
        <v>77.849999999999994</v>
      </c>
      <c r="F3844" t="s">
        <v>9</v>
      </c>
      <c r="G38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44">
        <f>IF(Table1[[#This Row],[is_ups_overcharge]]="ups overcharged",Table1[[#This Row],[ups ship charge]]-Table1[[#This Row],[ada ship charge]],0)</f>
        <v>0</v>
      </c>
    </row>
    <row r="3845" spans="1:9" x14ac:dyDescent="0.2">
      <c r="A3845">
        <v>1052518</v>
      </c>
      <c r="B3845" t="s">
        <v>21</v>
      </c>
      <c r="C3845">
        <v>15.03</v>
      </c>
      <c r="D3845">
        <v>15.08</v>
      </c>
      <c r="E3845">
        <v>83.7</v>
      </c>
      <c r="F3845" t="s">
        <v>12</v>
      </c>
      <c r="G38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45">
        <f>IF(Table1[[#This Row],[is_ups_overcharge]]="ups overcharged",Table1[[#This Row],[ups ship charge]]-Table1[[#This Row],[ada ship charge]],0)</f>
        <v>0</v>
      </c>
    </row>
    <row r="3846" spans="1:9" x14ac:dyDescent="0.2">
      <c r="A3846">
        <v>1052519</v>
      </c>
      <c r="B3846" t="s">
        <v>21</v>
      </c>
      <c r="C3846">
        <v>12.75</v>
      </c>
      <c r="D3846">
        <v>12.8</v>
      </c>
      <c r="E3846">
        <v>5</v>
      </c>
      <c r="F3846" t="s">
        <v>9</v>
      </c>
      <c r="G38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46">
        <f>IF(Table1[[#This Row],[is_ups_overcharge]]="ups overcharged",Table1[[#This Row],[ups ship charge]]-Table1[[#This Row],[ada ship charge]],0)</f>
        <v>0</v>
      </c>
    </row>
    <row r="3847" spans="1:9" x14ac:dyDescent="0.2">
      <c r="A3847">
        <v>1052539</v>
      </c>
      <c r="B3847" t="s">
        <v>21</v>
      </c>
      <c r="C3847">
        <v>16.649999999999999</v>
      </c>
      <c r="D3847">
        <v>16.690000000000001</v>
      </c>
      <c r="E3847">
        <v>83.45</v>
      </c>
      <c r="F3847" t="s">
        <v>10</v>
      </c>
      <c r="G38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47">
        <f>IF(Table1[[#This Row],[is_ups_overcharge]]="ups overcharged",Table1[[#This Row],[ups ship charge]]-Table1[[#This Row],[ada ship charge]],0)</f>
        <v>0</v>
      </c>
    </row>
    <row r="3848" spans="1:9" x14ac:dyDescent="0.2">
      <c r="A3848">
        <v>1052544</v>
      </c>
      <c r="B3848" t="s">
        <v>21</v>
      </c>
      <c r="C3848">
        <v>10.94</v>
      </c>
      <c r="D3848">
        <v>15.07</v>
      </c>
      <c r="E3848">
        <v>57.55</v>
      </c>
      <c r="F3848" t="s">
        <v>14</v>
      </c>
      <c r="G38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48">
        <f>IF(Table1[[#This Row],[is_ups_overcharge]]="ups overcharged",Table1[[#This Row],[ups ship charge]]-Table1[[#This Row],[ada ship charge]],0)</f>
        <v>0</v>
      </c>
    </row>
    <row r="3849" spans="1:9" x14ac:dyDescent="0.2">
      <c r="A3849">
        <v>1052552</v>
      </c>
      <c r="B3849" t="s">
        <v>21</v>
      </c>
      <c r="C3849">
        <v>12.75</v>
      </c>
      <c r="D3849">
        <v>12.8</v>
      </c>
      <c r="E3849">
        <v>76.849999999999994</v>
      </c>
      <c r="F3849" t="s">
        <v>9</v>
      </c>
      <c r="G38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49">
        <f>IF(Table1[[#This Row],[is_ups_overcharge]]="ups overcharged",Table1[[#This Row],[ups ship charge]]-Table1[[#This Row],[ada ship charge]],0)</f>
        <v>0</v>
      </c>
    </row>
    <row r="3850" spans="1:9" x14ac:dyDescent="0.2">
      <c r="A3850">
        <v>1052559</v>
      </c>
      <c r="B3850" t="s">
        <v>21</v>
      </c>
      <c r="C3850">
        <v>14.75</v>
      </c>
      <c r="D3850">
        <v>14.79</v>
      </c>
      <c r="E3850">
        <v>175.8</v>
      </c>
      <c r="F3850" t="s">
        <v>14</v>
      </c>
      <c r="G38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50">
        <f>IF(Table1[[#This Row],[is_ups_overcharge]]="ups overcharged",Table1[[#This Row],[ups ship charge]]-Table1[[#This Row],[ada ship charge]],0)</f>
        <v>0</v>
      </c>
    </row>
    <row r="3851" spans="1:9" x14ac:dyDescent="0.2">
      <c r="A3851">
        <v>1052560</v>
      </c>
      <c r="B3851" t="s">
        <v>21</v>
      </c>
      <c r="C3851">
        <v>12.79</v>
      </c>
      <c r="D3851">
        <v>13.61</v>
      </c>
      <c r="E3851">
        <v>165.8</v>
      </c>
      <c r="F3851" t="s">
        <v>9</v>
      </c>
      <c r="G38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51">
        <f>IF(Table1[[#This Row],[is_ups_overcharge]]="ups overcharged",Table1[[#This Row],[ups ship charge]]-Table1[[#This Row],[ada ship charge]],0)</f>
        <v>0</v>
      </c>
    </row>
    <row r="3852" spans="1:9" x14ac:dyDescent="0.2">
      <c r="A3852">
        <v>1052561</v>
      </c>
      <c r="B3852" t="s">
        <v>21</v>
      </c>
      <c r="C3852">
        <v>16.34</v>
      </c>
      <c r="D3852">
        <v>16.39</v>
      </c>
      <c r="E3852">
        <v>39.950000000000003</v>
      </c>
      <c r="F3852" t="s">
        <v>10</v>
      </c>
      <c r="G38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52">
        <f>IF(Table1[[#This Row],[is_ups_overcharge]]="ups overcharged",Table1[[#This Row],[ups ship charge]]-Table1[[#This Row],[ada ship charge]],0)</f>
        <v>0</v>
      </c>
    </row>
    <row r="3853" spans="1:9" x14ac:dyDescent="0.2">
      <c r="A3853">
        <v>1052565</v>
      </c>
      <c r="B3853" t="s">
        <v>21</v>
      </c>
      <c r="C3853">
        <v>13.64</v>
      </c>
      <c r="D3853">
        <v>13.69</v>
      </c>
      <c r="E3853">
        <v>39.9</v>
      </c>
      <c r="F3853" t="s">
        <v>9</v>
      </c>
      <c r="G38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53">
        <f>IF(Table1[[#This Row],[is_ups_overcharge]]="ups overcharged",Table1[[#This Row],[ups ship charge]]-Table1[[#This Row],[ada ship charge]],0)</f>
        <v>0</v>
      </c>
    </row>
    <row r="3854" spans="1:9" x14ac:dyDescent="0.2">
      <c r="A3854">
        <v>1052574</v>
      </c>
      <c r="B3854" t="s">
        <v>21</v>
      </c>
      <c r="C3854">
        <v>13.64</v>
      </c>
      <c r="D3854">
        <v>13.69</v>
      </c>
      <c r="E3854">
        <v>114.25</v>
      </c>
      <c r="F3854" t="s">
        <v>9</v>
      </c>
      <c r="G38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54">
        <f>IF(Table1[[#This Row],[is_ups_overcharge]]="ups overcharged",Table1[[#This Row],[ups ship charge]]-Table1[[#This Row],[ada ship charge]],0)</f>
        <v>0</v>
      </c>
    </row>
    <row r="3855" spans="1:9" x14ac:dyDescent="0.2">
      <c r="A3855">
        <v>1052589</v>
      </c>
      <c r="B3855" t="s">
        <v>21</v>
      </c>
      <c r="C3855">
        <v>13.64</v>
      </c>
      <c r="D3855">
        <v>13.69</v>
      </c>
      <c r="E3855">
        <v>39.950000000000003</v>
      </c>
      <c r="F3855" t="s">
        <v>9</v>
      </c>
      <c r="G38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55">
        <f>IF(Table1[[#This Row],[is_ups_overcharge]]="ups overcharged",Table1[[#This Row],[ups ship charge]]-Table1[[#This Row],[ada ship charge]],0)</f>
        <v>0</v>
      </c>
    </row>
    <row r="3856" spans="1:9" x14ac:dyDescent="0.2">
      <c r="A3856">
        <v>1052590</v>
      </c>
      <c r="B3856" t="s">
        <v>21</v>
      </c>
      <c r="C3856">
        <v>13.64</v>
      </c>
      <c r="D3856">
        <v>13.69</v>
      </c>
      <c r="E3856">
        <v>3.95</v>
      </c>
      <c r="F3856" t="s">
        <v>9</v>
      </c>
      <c r="G38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56">
        <f>IF(Table1[[#This Row],[is_ups_overcharge]]="ups overcharged",Table1[[#This Row],[ups ship charge]]-Table1[[#This Row],[ada ship charge]],0)</f>
        <v>0</v>
      </c>
    </row>
    <row r="3857" spans="1:9" x14ac:dyDescent="0.2">
      <c r="A3857">
        <v>1052601</v>
      </c>
      <c r="B3857" t="s">
        <v>21</v>
      </c>
      <c r="C3857">
        <v>13.64</v>
      </c>
      <c r="D3857">
        <v>13.69</v>
      </c>
      <c r="E3857">
        <v>99.95</v>
      </c>
      <c r="F3857" t="s">
        <v>9</v>
      </c>
      <c r="G38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57">
        <f>IF(Table1[[#This Row],[is_ups_overcharge]]="ups overcharged",Table1[[#This Row],[ups ship charge]]-Table1[[#This Row],[ada ship charge]],0)</f>
        <v>0</v>
      </c>
    </row>
    <row r="3858" spans="1:9" x14ac:dyDescent="0.2">
      <c r="A3858">
        <v>1052633</v>
      </c>
      <c r="B3858" t="s">
        <v>21</v>
      </c>
      <c r="C3858">
        <v>13.64</v>
      </c>
      <c r="D3858">
        <v>13.69</v>
      </c>
      <c r="E3858">
        <v>10</v>
      </c>
      <c r="F3858" t="s">
        <v>9</v>
      </c>
      <c r="G38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58">
        <f>IF(Table1[[#This Row],[is_ups_overcharge]]="ups overcharged",Table1[[#This Row],[ups ship charge]]-Table1[[#This Row],[ada ship charge]],0)</f>
        <v>0</v>
      </c>
    </row>
    <row r="3859" spans="1:9" x14ac:dyDescent="0.2">
      <c r="A3859">
        <v>1052636</v>
      </c>
      <c r="B3859" t="s">
        <v>21</v>
      </c>
      <c r="C3859">
        <v>13.64</v>
      </c>
      <c r="D3859">
        <v>13.69</v>
      </c>
      <c r="E3859">
        <v>29.95</v>
      </c>
      <c r="F3859" t="s">
        <v>9</v>
      </c>
      <c r="G38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59">
        <f>IF(Table1[[#This Row],[is_ups_overcharge]]="ups overcharged",Table1[[#This Row],[ups ship charge]]-Table1[[#This Row],[ada ship charge]],0)</f>
        <v>0</v>
      </c>
    </row>
    <row r="3860" spans="1:9" x14ac:dyDescent="0.2">
      <c r="A3860">
        <v>1052646</v>
      </c>
      <c r="B3860" t="s">
        <v>21</v>
      </c>
      <c r="C3860">
        <v>13.64</v>
      </c>
      <c r="D3860">
        <v>13.69</v>
      </c>
      <c r="E3860">
        <v>37.5</v>
      </c>
      <c r="F3860" t="s">
        <v>9</v>
      </c>
      <c r="G38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60">
        <f>IF(Table1[[#This Row],[is_ups_overcharge]]="ups overcharged",Table1[[#This Row],[ups ship charge]]-Table1[[#This Row],[ada ship charge]],0)</f>
        <v>0</v>
      </c>
    </row>
    <row r="3861" spans="1:9" x14ac:dyDescent="0.2">
      <c r="A3861">
        <v>1052659</v>
      </c>
      <c r="B3861" t="s">
        <v>21</v>
      </c>
      <c r="C3861">
        <v>12.75</v>
      </c>
      <c r="D3861">
        <v>12.8</v>
      </c>
      <c r="E3861">
        <v>45.7</v>
      </c>
      <c r="F3861" t="s">
        <v>9</v>
      </c>
      <c r="G38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61">
        <f>IF(Table1[[#This Row],[is_ups_overcharge]]="ups overcharged",Table1[[#This Row],[ups ship charge]]-Table1[[#This Row],[ada ship charge]],0)</f>
        <v>0</v>
      </c>
    </row>
    <row r="3862" spans="1:9" x14ac:dyDescent="0.2">
      <c r="A3862">
        <v>1052697</v>
      </c>
      <c r="B3862" t="s">
        <v>21</v>
      </c>
      <c r="C3862">
        <v>12.75</v>
      </c>
      <c r="D3862">
        <v>12.8</v>
      </c>
      <c r="E3862">
        <v>19.95</v>
      </c>
      <c r="F3862" t="s">
        <v>9</v>
      </c>
      <c r="G38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62">
        <f>IF(Table1[[#This Row],[is_ups_overcharge]]="ups overcharged",Table1[[#This Row],[ups ship charge]]-Table1[[#This Row],[ada ship charge]],0)</f>
        <v>0</v>
      </c>
    </row>
    <row r="3863" spans="1:9" x14ac:dyDescent="0.2">
      <c r="A3863">
        <v>1052700</v>
      </c>
      <c r="B3863" t="s">
        <v>21</v>
      </c>
      <c r="C3863">
        <v>12.75</v>
      </c>
      <c r="D3863">
        <v>12.8</v>
      </c>
      <c r="E3863">
        <v>141.65</v>
      </c>
      <c r="F3863" t="s">
        <v>9</v>
      </c>
      <c r="G38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63">
        <f>IF(Table1[[#This Row],[is_ups_overcharge]]="ups overcharged",Table1[[#This Row],[ups ship charge]]-Table1[[#This Row],[ada ship charge]],0)</f>
        <v>0</v>
      </c>
    </row>
    <row r="3864" spans="1:9" x14ac:dyDescent="0.2">
      <c r="A3864">
        <v>1052705</v>
      </c>
      <c r="B3864" t="s">
        <v>21</v>
      </c>
      <c r="C3864">
        <v>9.65</v>
      </c>
      <c r="D3864">
        <v>9.6999999999999993</v>
      </c>
      <c r="E3864">
        <v>58.8</v>
      </c>
      <c r="F3864" t="s">
        <v>6</v>
      </c>
      <c r="G38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64">
        <f>IF(Table1[[#This Row],[is_ups_overcharge]]="ups overcharged",Table1[[#This Row],[ups ship charge]]-Table1[[#This Row],[ada ship charge]],0)</f>
        <v>0</v>
      </c>
    </row>
    <row r="3865" spans="1:9" x14ac:dyDescent="0.2">
      <c r="A3865">
        <v>1052707</v>
      </c>
      <c r="B3865" t="s">
        <v>21</v>
      </c>
      <c r="C3865">
        <v>13.63</v>
      </c>
      <c r="D3865">
        <v>13.69</v>
      </c>
      <c r="E3865">
        <v>141.6</v>
      </c>
      <c r="F3865" t="s">
        <v>9</v>
      </c>
      <c r="G38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65">
        <f>IF(Table1[[#This Row],[is_ups_overcharge]]="ups overcharged",Table1[[#This Row],[ups ship charge]]-Table1[[#This Row],[ada ship charge]],0)</f>
        <v>0</v>
      </c>
    </row>
    <row r="3866" spans="1:9" x14ac:dyDescent="0.2">
      <c r="A3866">
        <v>1052712</v>
      </c>
      <c r="B3866" t="s">
        <v>21</v>
      </c>
      <c r="C3866">
        <v>13.64</v>
      </c>
      <c r="D3866">
        <v>13.69</v>
      </c>
      <c r="E3866">
        <v>79.95</v>
      </c>
      <c r="F3866" t="s">
        <v>9</v>
      </c>
      <c r="G38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66">
        <f>IF(Table1[[#This Row],[is_ups_overcharge]]="ups overcharged",Table1[[#This Row],[ups ship charge]]-Table1[[#This Row],[ada ship charge]],0)</f>
        <v>0</v>
      </c>
    </row>
    <row r="3867" spans="1:9" x14ac:dyDescent="0.2">
      <c r="A3867">
        <v>1052717</v>
      </c>
      <c r="B3867" t="s">
        <v>21</v>
      </c>
      <c r="C3867">
        <v>12.75</v>
      </c>
      <c r="D3867">
        <v>12.8</v>
      </c>
      <c r="E3867">
        <v>116.8</v>
      </c>
      <c r="F3867" t="s">
        <v>9</v>
      </c>
      <c r="G38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67">
        <f>IF(Table1[[#This Row],[is_ups_overcharge]]="ups overcharged",Table1[[#This Row],[ups ship charge]]-Table1[[#This Row],[ada ship charge]],0)</f>
        <v>0</v>
      </c>
    </row>
    <row r="3868" spans="1:9" x14ac:dyDescent="0.2">
      <c r="A3868">
        <v>1052733</v>
      </c>
      <c r="B3868" t="s">
        <v>21</v>
      </c>
      <c r="C3868">
        <v>15.33</v>
      </c>
      <c r="D3868">
        <v>15.38</v>
      </c>
      <c r="E3868">
        <v>22.6</v>
      </c>
      <c r="F3868" t="s">
        <v>12</v>
      </c>
      <c r="G38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68">
        <f>IF(Table1[[#This Row],[is_ups_overcharge]]="ups overcharged",Table1[[#This Row],[ups ship charge]]-Table1[[#This Row],[ada ship charge]],0)</f>
        <v>0</v>
      </c>
    </row>
    <row r="3869" spans="1:9" x14ac:dyDescent="0.2">
      <c r="A3869">
        <v>1052762</v>
      </c>
      <c r="B3869" t="s">
        <v>21</v>
      </c>
      <c r="C3869">
        <v>16.440000000000001</v>
      </c>
      <c r="D3869">
        <v>21.9</v>
      </c>
      <c r="E3869">
        <v>131.94999999999999</v>
      </c>
      <c r="F3869" t="s">
        <v>10</v>
      </c>
      <c r="G38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69">
        <f>IF(Table1[[#This Row],[is_ups_overcharge]]="ups overcharged",Table1[[#This Row],[ups ship charge]]-Table1[[#This Row],[ada ship charge]],0)</f>
        <v>0</v>
      </c>
    </row>
    <row r="3870" spans="1:9" x14ac:dyDescent="0.2">
      <c r="A3870">
        <v>1052787</v>
      </c>
      <c r="B3870" t="s">
        <v>21</v>
      </c>
      <c r="C3870">
        <v>14.09</v>
      </c>
      <c r="D3870">
        <v>14.7</v>
      </c>
      <c r="E3870">
        <v>57.15</v>
      </c>
      <c r="F3870" t="s">
        <v>9</v>
      </c>
      <c r="G38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70">
        <f>IF(Table1[[#This Row],[is_ups_overcharge]]="ups overcharged",Table1[[#This Row],[ups ship charge]]-Table1[[#This Row],[ada ship charge]],0)</f>
        <v>0</v>
      </c>
    </row>
    <row r="3871" spans="1:9" x14ac:dyDescent="0.2">
      <c r="A3871">
        <v>1052795</v>
      </c>
      <c r="B3871" t="s">
        <v>21</v>
      </c>
      <c r="C3871">
        <v>66.760000000000005</v>
      </c>
      <c r="D3871">
        <v>66.81</v>
      </c>
      <c r="E3871">
        <v>49.95</v>
      </c>
      <c r="F3871" t="s">
        <v>8</v>
      </c>
      <c r="G38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71">
        <f>IF(Table1[[#This Row],[is_ups_overcharge]]="ups overcharged",Table1[[#This Row],[ups ship charge]]-Table1[[#This Row],[ada ship charge]],0)</f>
        <v>0</v>
      </c>
    </row>
    <row r="3872" spans="1:9" x14ac:dyDescent="0.2">
      <c r="A3872">
        <v>1052802</v>
      </c>
      <c r="B3872" t="s">
        <v>21</v>
      </c>
      <c r="C3872">
        <v>13.64</v>
      </c>
      <c r="D3872">
        <v>13.69</v>
      </c>
      <c r="E3872">
        <v>19.95</v>
      </c>
      <c r="F3872" t="s">
        <v>9</v>
      </c>
      <c r="G38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72">
        <f>IF(Table1[[#This Row],[is_ups_overcharge]]="ups overcharged",Table1[[#This Row],[ups ship charge]]-Table1[[#This Row],[ada ship charge]],0)</f>
        <v>0</v>
      </c>
    </row>
    <row r="3873" spans="1:9" x14ac:dyDescent="0.2">
      <c r="A3873">
        <v>1052816</v>
      </c>
      <c r="B3873" t="s">
        <v>21</v>
      </c>
      <c r="C3873">
        <v>12.75</v>
      </c>
      <c r="D3873">
        <v>12.8</v>
      </c>
      <c r="E3873">
        <v>9.9</v>
      </c>
      <c r="F3873" t="s">
        <v>9</v>
      </c>
      <c r="G38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73">
        <f>IF(Table1[[#This Row],[is_ups_overcharge]]="ups overcharged",Table1[[#This Row],[ups ship charge]]-Table1[[#This Row],[ada ship charge]],0)</f>
        <v>0</v>
      </c>
    </row>
    <row r="3874" spans="1:9" x14ac:dyDescent="0.2">
      <c r="A3874">
        <v>1052829</v>
      </c>
      <c r="B3874" t="s">
        <v>21</v>
      </c>
      <c r="C3874">
        <v>12.75</v>
      </c>
      <c r="D3874">
        <v>12.8</v>
      </c>
      <c r="E3874">
        <v>7.9</v>
      </c>
      <c r="F3874" t="s">
        <v>9</v>
      </c>
      <c r="G38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74">
        <f>IF(Table1[[#This Row],[is_ups_overcharge]]="ups overcharged",Table1[[#This Row],[ups ship charge]]-Table1[[#This Row],[ada ship charge]],0)</f>
        <v>0</v>
      </c>
    </row>
    <row r="3875" spans="1:9" x14ac:dyDescent="0.2">
      <c r="A3875">
        <v>1052831</v>
      </c>
      <c r="B3875" t="s">
        <v>21</v>
      </c>
      <c r="C3875">
        <v>12.75</v>
      </c>
      <c r="D3875">
        <v>12.8</v>
      </c>
      <c r="E3875">
        <v>76.650000000000006</v>
      </c>
      <c r="F3875" t="s">
        <v>9</v>
      </c>
      <c r="G38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75">
        <f>IF(Table1[[#This Row],[is_ups_overcharge]]="ups overcharged",Table1[[#This Row],[ups ship charge]]-Table1[[#This Row],[ada ship charge]],0)</f>
        <v>0</v>
      </c>
    </row>
    <row r="3876" spans="1:9" x14ac:dyDescent="0.2">
      <c r="A3876">
        <v>1052846</v>
      </c>
      <c r="B3876" t="s">
        <v>21</v>
      </c>
      <c r="C3876">
        <v>16.649999999999999</v>
      </c>
      <c r="D3876">
        <v>16.7</v>
      </c>
      <c r="E3876">
        <v>74.8</v>
      </c>
      <c r="F3876" t="s">
        <v>10</v>
      </c>
      <c r="G38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76">
        <f>IF(Table1[[#This Row],[is_ups_overcharge]]="ups overcharged",Table1[[#This Row],[ups ship charge]]-Table1[[#This Row],[ada ship charge]],0)</f>
        <v>0</v>
      </c>
    </row>
    <row r="3877" spans="1:9" x14ac:dyDescent="0.2">
      <c r="A3877">
        <v>1052869</v>
      </c>
      <c r="B3877" t="s">
        <v>21</v>
      </c>
      <c r="C3877">
        <v>15.02</v>
      </c>
      <c r="D3877">
        <v>16.329999999999998</v>
      </c>
      <c r="E3877">
        <v>137.9</v>
      </c>
      <c r="F3877" t="s">
        <v>12</v>
      </c>
      <c r="G38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77">
        <f>IF(Table1[[#This Row],[is_ups_overcharge]]="ups overcharged",Table1[[#This Row],[ups ship charge]]-Table1[[#This Row],[ada ship charge]],0)</f>
        <v>0</v>
      </c>
    </row>
    <row r="3878" spans="1:9" x14ac:dyDescent="0.2">
      <c r="A3878">
        <v>1052896</v>
      </c>
      <c r="B3878" t="s">
        <v>21</v>
      </c>
      <c r="C3878">
        <v>15.02</v>
      </c>
      <c r="D3878">
        <v>15.07</v>
      </c>
      <c r="E3878">
        <v>150.15</v>
      </c>
      <c r="F3878" t="s">
        <v>12</v>
      </c>
      <c r="G38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78">
        <f>IF(Table1[[#This Row],[is_ups_overcharge]]="ups overcharged",Table1[[#This Row],[ups ship charge]]-Table1[[#This Row],[ada ship charge]],0)</f>
        <v>0</v>
      </c>
    </row>
    <row r="3879" spans="1:9" x14ac:dyDescent="0.2">
      <c r="A3879">
        <v>1052898</v>
      </c>
      <c r="B3879" t="s">
        <v>21</v>
      </c>
      <c r="C3879">
        <v>12.75</v>
      </c>
      <c r="D3879">
        <v>12.8</v>
      </c>
      <c r="E3879">
        <v>25.8</v>
      </c>
      <c r="F3879" t="s">
        <v>9</v>
      </c>
      <c r="G38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79">
        <f>IF(Table1[[#This Row],[is_ups_overcharge]]="ups overcharged",Table1[[#This Row],[ups ship charge]]-Table1[[#This Row],[ada ship charge]],0)</f>
        <v>0</v>
      </c>
    </row>
    <row r="3880" spans="1:9" x14ac:dyDescent="0.2">
      <c r="A3880">
        <v>1052907</v>
      </c>
      <c r="B3880" t="s">
        <v>21</v>
      </c>
      <c r="C3880">
        <v>15.02</v>
      </c>
      <c r="D3880">
        <v>15.07</v>
      </c>
      <c r="E3880">
        <v>62.4</v>
      </c>
      <c r="F3880" t="s">
        <v>12</v>
      </c>
      <c r="G38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80">
        <f>IF(Table1[[#This Row],[is_ups_overcharge]]="ups overcharged",Table1[[#This Row],[ups ship charge]]-Table1[[#This Row],[ada ship charge]],0)</f>
        <v>0</v>
      </c>
    </row>
    <row r="3881" spans="1:9" x14ac:dyDescent="0.2">
      <c r="A3881">
        <v>1052916</v>
      </c>
      <c r="B3881" t="s">
        <v>21</v>
      </c>
      <c r="C3881">
        <v>13.64</v>
      </c>
      <c r="D3881">
        <v>13.69</v>
      </c>
      <c r="E3881">
        <v>29.9</v>
      </c>
      <c r="F3881" t="s">
        <v>9</v>
      </c>
      <c r="G38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81">
        <f>IF(Table1[[#This Row],[is_ups_overcharge]]="ups overcharged",Table1[[#This Row],[ups ship charge]]-Table1[[#This Row],[ada ship charge]],0)</f>
        <v>0</v>
      </c>
    </row>
    <row r="3882" spans="1:9" x14ac:dyDescent="0.2">
      <c r="A3882">
        <v>1052922</v>
      </c>
      <c r="B3882" t="s">
        <v>21</v>
      </c>
      <c r="C3882">
        <v>12.75</v>
      </c>
      <c r="D3882">
        <v>12.8</v>
      </c>
      <c r="E3882">
        <v>24</v>
      </c>
      <c r="F3882" t="s">
        <v>9</v>
      </c>
      <c r="G38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82">
        <f>IF(Table1[[#This Row],[is_ups_overcharge]]="ups overcharged",Table1[[#This Row],[ups ship charge]]-Table1[[#This Row],[ada ship charge]],0)</f>
        <v>0</v>
      </c>
    </row>
    <row r="3883" spans="1:9" x14ac:dyDescent="0.2">
      <c r="A3883">
        <v>1052932</v>
      </c>
      <c r="B3883" t="s">
        <v>21</v>
      </c>
      <c r="C3883">
        <v>13.64</v>
      </c>
      <c r="D3883">
        <v>13.69</v>
      </c>
      <c r="E3883">
        <v>29.65</v>
      </c>
      <c r="F3883" t="s">
        <v>9</v>
      </c>
      <c r="G38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83">
        <f>IF(Table1[[#This Row],[is_ups_overcharge]]="ups overcharged",Table1[[#This Row],[ups ship charge]]-Table1[[#This Row],[ada ship charge]],0)</f>
        <v>0</v>
      </c>
    </row>
    <row r="3884" spans="1:9" x14ac:dyDescent="0.2">
      <c r="A3884">
        <v>1052954</v>
      </c>
      <c r="B3884" t="s">
        <v>21</v>
      </c>
      <c r="C3884">
        <v>16.649999999999999</v>
      </c>
      <c r="D3884">
        <v>16.7</v>
      </c>
      <c r="E3884">
        <v>39.75</v>
      </c>
      <c r="F3884" t="s">
        <v>10</v>
      </c>
      <c r="G38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84">
        <f>IF(Table1[[#This Row],[is_ups_overcharge]]="ups overcharged",Table1[[#This Row],[ups ship charge]]-Table1[[#This Row],[ada ship charge]],0)</f>
        <v>0</v>
      </c>
    </row>
    <row r="3885" spans="1:9" x14ac:dyDescent="0.2">
      <c r="A3885">
        <v>1052957</v>
      </c>
      <c r="B3885" t="s">
        <v>21</v>
      </c>
      <c r="C3885">
        <v>12.75</v>
      </c>
      <c r="D3885">
        <v>13.81</v>
      </c>
      <c r="E3885">
        <v>18.899999999999999</v>
      </c>
      <c r="F3885" t="s">
        <v>9</v>
      </c>
      <c r="G38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85">
        <f>IF(Table1[[#This Row],[is_ups_overcharge]]="ups overcharged",Table1[[#This Row],[ups ship charge]]-Table1[[#This Row],[ada ship charge]],0)</f>
        <v>0</v>
      </c>
    </row>
    <row r="3886" spans="1:9" x14ac:dyDescent="0.2">
      <c r="A3886">
        <v>1052982</v>
      </c>
      <c r="B3886" t="s">
        <v>21</v>
      </c>
      <c r="C3886">
        <v>13.64</v>
      </c>
      <c r="D3886">
        <v>13.69</v>
      </c>
      <c r="E3886">
        <v>18</v>
      </c>
      <c r="F3886" t="s">
        <v>9</v>
      </c>
      <c r="G38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86">
        <f>IF(Table1[[#This Row],[is_ups_overcharge]]="ups overcharged",Table1[[#This Row],[ups ship charge]]-Table1[[#This Row],[ada ship charge]],0)</f>
        <v>0</v>
      </c>
    </row>
    <row r="3887" spans="1:9" x14ac:dyDescent="0.2">
      <c r="A3887">
        <v>1052992</v>
      </c>
      <c r="B3887" t="s">
        <v>21</v>
      </c>
      <c r="C3887">
        <v>12.75</v>
      </c>
      <c r="D3887">
        <v>12.84</v>
      </c>
      <c r="E3887">
        <v>58.9</v>
      </c>
      <c r="F3887" t="s">
        <v>9</v>
      </c>
      <c r="G38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87">
        <f>IF(Table1[[#This Row],[is_ups_overcharge]]="ups overcharged",Table1[[#This Row],[ups ship charge]]-Table1[[#This Row],[ada ship charge]],0)</f>
        <v>0</v>
      </c>
    </row>
    <row r="3888" spans="1:9" x14ac:dyDescent="0.2">
      <c r="A3888">
        <v>1053017</v>
      </c>
      <c r="B3888" t="s">
        <v>21</v>
      </c>
      <c r="C3888">
        <v>12.75</v>
      </c>
      <c r="D3888">
        <v>12.8</v>
      </c>
      <c r="E3888">
        <v>9.75</v>
      </c>
      <c r="F3888" t="s">
        <v>9</v>
      </c>
      <c r="G38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88">
        <f>IF(Table1[[#This Row],[is_ups_overcharge]]="ups overcharged",Table1[[#This Row],[ups ship charge]]-Table1[[#This Row],[ada ship charge]],0)</f>
        <v>0</v>
      </c>
    </row>
    <row r="3889" spans="1:9" x14ac:dyDescent="0.2">
      <c r="A3889">
        <v>1053028</v>
      </c>
      <c r="B3889" t="s">
        <v>21</v>
      </c>
      <c r="C3889">
        <v>13.64</v>
      </c>
      <c r="D3889">
        <v>13.69</v>
      </c>
      <c r="E3889">
        <v>10.95</v>
      </c>
      <c r="F3889" t="s">
        <v>9</v>
      </c>
      <c r="G38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89">
        <f>IF(Table1[[#This Row],[is_ups_overcharge]]="ups overcharged",Table1[[#This Row],[ups ship charge]]-Table1[[#This Row],[ada ship charge]],0)</f>
        <v>0</v>
      </c>
    </row>
    <row r="3890" spans="1:9" x14ac:dyDescent="0.2">
      <c r="A3890">
        <v>1053033</v>
      </c>
      <c r="B3890" t="s">
        <v>21</v>
      </c>
      <c r="C3890">
        <v>9.65</v>
      </c>
      <c r="D3890">
        <v>13.68</v>
      </c>
      <c r="E3890">
        <v>29.7</v>
      </c>
      <c r="F3890" t="s">
        <v>6</v>
      </c>
      <c r="G38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90">
        <f>IF(Table1[[#This Row],[is_ups_overcharge]]="ups overcharged",Table1[[#This Row],[ups ship charge]]-Table1[[#This Row],[ada ship charge]],0)</f>
        <v>0</v>
      </c>
    </row>
    <row r="3891" spans="1:9" x14ac:dyDescent="0.2">
      <c r="A3891">
        <v>1053036</v>
      </c>
      <c r="B3891" t="s">
        <v>21</v>
      </c>
      <c r="C3891">
        <v>16.34</v>
      </c>
      <c r="D3891">
        <v>16.39</v>
      </c>
      <c r="E3891">
        <v>24.95</v>
      </c>
      <c r="F3891" t="s">
        <v>10</v>
      </c>
      <c r="G38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91">
        <f>IF(Table1[[#This Row],[is_ups_overcharge]]="ups overcharged",Table1[[#This Row],[ups ship charge]]-Table1[[#This Row],[ada ship charge]],0)</f>
        <v>0</v>
      </c>
    </row>
    <row r="3892" spans="1:9" x14ac:dyDescent="0.2">
      <c r="A3892">
        <v>1053049</v>
      </c>
      <c r="B3892" t="s">
        <v>21</v>
      </c>
      <c r="C3892">
        <v>10.19</v>
      </c>
      <c r="D3892">
        <v>10.3</v>
      </c>
      <c r="E3892">
        <v>199.95</v>
      </c>
      <c r="F3892" t="s">
        <v>6</v>
      </c>
      <c r="G38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92">
        <f>IF(Table1[[#This Row],[is_ups_overcharge]]="ups overcharged",Table1[[#This Row],[ups ship charge]]-Table1[[#This Row],[ada ship charge]],0)</f>
        <v>0</v>
      </c>
    </row>
    <row r="3893" spans="1:9" x14ac:dyDescent="0.2">
      <c r="A3893">
        <v>1053056</v>
      </c>
      <c r="B3893" t="s">
        <v>21</v>
      </c>
      <c r="C3893">
        <v>9.65</v>
      </c>
      <c r="D3893">
        <v>9.6999999999999993</v>
      </c>
      <c r="E3893">
        <v>18.95</v>
      </c>
      <c r="F3893" t="s">
        <v>6</v>
      </c>
      <c r="G38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93">
        <f>IF(Table1[[#This Row],[is_ups_overcharge]]="ups overcharged",Table1[[#This Row],[ups ship charge]]-Table1[[#This Row],[ada ship charge]],0)</f>
        <v>0</v>
      </c>
    </row>
    <row r="3894" spans="1:9" x14ac:dyDescent="0.2">
      <c r="A3894">
        <v>1053067</v>
      </c>
      <c r="B3894" t="s">
        <v>21</v>
      </c>
      <c r="C3894">
        <v>15.33</v>
      </c>
      <c r="D3894">
        <v>15.38</v>
      </c>
      <c r="E3894">
        <v>31.9</v>
      </c>
      <c r="F3894" t="s">
        <v>12</v>
      </c>
      <c r="G38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94">
        <f>IF(Table1[[#This Row],[is_ups_overcharge]]="ups overcharged",Table1[[#This Row],[ups ship charge]]-Table1[[#This Row],[ada ship charge]],0)</f>
        <v>0</v>
      </c>
    </row>
    <row r="3895" spans="1:9" x14ac:dyDescent="0.2">
      <c r="A3895">
        <v>1053075</v>
      </c>
      <c r="B3895" t="s">
        <v>21</v>
      </c>
      <c r="C3895">
        <v>15.33</v>
      </c>
      <c r="D3895">
        <v>15.38</v>
      </c>
      <c r="E3895">
        <v>16.100000000000001</v>
      </c>
      <c r="F3895" t="s">
        <v>12</v>
      </c>
      <c r="G38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95">
        <f>IF(Table1[[#This Row],[is_ups_overcharge]]="ups overcharged",Table1[[#This Row],[ups ship charge]]-Table1[[#This Row],[ada ship charge]],0)</f>
        <v>0</v>
      </c>
    </row>
    <row r="3896" spans="1:9" x14ac:dyDescent="0.2">
      <c r="A3896">
        <v>1053085</v>
      </c>
      <c r="B3896" t="s">
        <v>21</v>
      </c>
      <c r="C3896">
        <v>12.75</v>
      </c>
      <c r="D3896">
        <v>12.8</v>
      </c>
      <c r="E3896">
        <v>9.9499999999999993</v>
      </c>
      <c r="F3896" t="s">
        <v>9</v>
      </c>
      <c r="G38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96">
        <f>IF(Table1[[#This Row],[is_ups_overcharge]]="ups overcharged",Table1[[#This Row],[ups ship charge]]-Table1[[#This Row],[ada ship charge]],0)</f>
        <v>0</v>
      </c>
    </row>
    <row r="3897" spans="1:9" x14ac:dyDescent="0.2">
      <c r="A3897">
        <v>1053089</v>
      </c>
      <c r="B3897" t="s">
        <v>21</v>
      </c>
      <c r="C3897">
        <v>13.64</v>
      </c>
      <c r="D3897">
        <v>13.68</v>
      </c>
      <c r="E3897">
        <v>15.9</v>
      </c>
      <c r="F3897" t="s">
        <v>9</v>
      </c>
      <c r="G38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97">
        <f>IF(Table1[[#This Row],[is_ups_overcharge]]="ups overcharged",Table1[[#This Row],[ups ship charge]]-Table1[[#This Row],[ada ship charge]],0)</f>
        <v>0</v>
      </c>
    </row>
    <row r="3898" spans="1:9" x14ac:dyDescent="0.2">
      <c r="A3898">
        <v>1053111</v>
      </c>
      <c r="B3898" t="s">
        <v>21</v>
      </c>
      <c r="C3898">
        <v>16.34</v>
      </c>
      <c r="D3898">
        <v>16.39</v>
      </c>
      <c r="E3898">
        <v>73.5</v>
      </c>
      <c r="F3898" t="s">
        <v>10</v>
      </c>
      <c r="G38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98">
        <f>IF(Table1[[#This Row],[is_ups_overcharge]]="ups overcharged",Table1[[#This Row],[ups ship charge]]-Table1[[#This Row],[ada ship charge]],0)</f>
        <v>0</v>
      </c>
    </row>
    <row r="3899" spans="1:9" x14ac:dyDescent="0.2">
      <c r="A3899">
        <v>1053128</v>
      </c>
      <c r="B3899" t="s">
        <v>21</v>
      </c>
      <c r="C3899">
        <v>12.75</v>
      </c>
      <c r="D3899">
        <v>12.8</v>
      </c>
      <c r="E3899">
        <v>35.85</v>
      </c>
      <c r="F3899" t="s">
        <v>9</v>
      </c>
      <c r="G38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8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899">
        <f>IF(Table1[[#This Row],[is_ups_overcharge]]="ups overcharged",Table1[[#This Row],[ups ship charge]]-Table1[[#This Row],[ada ship charge]],0)</f>
        <v>0</v>
      </c>
    </row>
    <row r="3900" spans="1:9" x14ac:dyDescent="0.2">
      <c r="A3900">
        <v>1053137</v>
      </c>
      <c r="B3900" t="s">
        <v>21</v>
      </c>
      <c r="C3900">
        <v>13.64</v>
      </c>
      <c r="D3900">
        <v>13.69</v>
      </c>
      <c r="E3900">
        <v>63</v>
      </c>
      <c r="F3900" t="s">
        <v>9</v>
      </c>
      <c r="G39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00">
        <f>IF(Table1[[#This Row],[is_ups_overcharge]]="ups overcharged",Table1[[#This Row],[ups ship charge]]-Table1[[#This Row],[ada ship charge]],0)</f>
        <v>0</v>
      </c>
    </row>
    <row r="3901" spans="1:9" x14ac:dyDescent="0.2">
      <c r="A3901">
        <v>1053140</v>
      </c>
      <c r="B3901" t="s">
        <v>21</v>
      </c>
      <c r="C3901">
        <v>13.64</v>
      </c>
      <c r="D3901">
        <v>13.69</v>
      </c>
      <c r="E3901">
        <v>49.85</v>
      </c>
      <c r="F3901" t="s">
        <v>9</v>
      </c>
      <c r="G39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01">
        <f>IF(Table1[[#This Row],[is_ups_overcharge]]="ups overcharged",Table1[[#This Row],[ups ship charge]]-Table1[[#This Row],[ada ship charge]],0)</f>
        <v>0</v>
      </c>
    </row>
    <row r="3902" spans="1:9" x14ac:dyDescent="0.2">
      <c r="A3902">
        <v>1053152</v>
      </c>
      <c r="B3902" t="s">
        <v>21</v>
      </c>
      <c r="C3902">
        <v>12.75</v>
      </c>
      <c r="D3902">
        <v>12.8</v>
      </c>
      <c r="E3902">
        <v>59.35</v>
      </c>
      <c r="F3902" t="s">
        <v>9</v>
      </c>
      <c r="G39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02">
        <f>IF(Table1[[#This Row],[is_ups_overcharge]]="ups overcharged",Table1[[#This Row],[ups ship charge]]-Table1[[#This Row],[ada ship charge]],0)</f>
        <v>0</v>
      </c>
    </row>
    <row r="3903" spans="1:9" x14ac:dyDescent="0.2">
      <c r="A3903">
        <v>1053159</v>
      </c>
      <c r="B3903" t="s">
        <v>21</v>
      </c>
      <c r="C3903">
        <v>12.75</v>
      </c>
      <c r="D3903">
        <v>12.8</v>
      </c>
      <c r="E3903">
        <v>155.85</v>
      </c>
      <c r="F3903" t="s">
        <v>9</v>
      </c>
      <c r="G39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03">
        <f>IF(Table1[[#This Row],[is_ups_overcharge]]="ups overcharged",Table1[[#This Row],[ups ship charge]]-Table1[[#This Row],[ada ship charge]],0)</f>
        <v>0</v>
      </c>
    </row>
    <row r="3904" spans="1:9" x14ac:dyDescent="0.2">
      <c r="A3904">
        <v>1053167</v>
      </c>
      <c r="B3904" t="s">
        <v>21</v>
      </c>
      <c r="C3904">
        <v>13.63</v>
      </c>
      <c r="D3904">
        <v>14.7</v>
      </c>
      <c r="E3904">
        <v>46.1</v>
      </c>
      <c r="F3904" t="s">
        <v>9</v>
      </c>
      <c r="G39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04">
        <f>IF(Table1[[#This Row],[is_ups_overcharge]]="ups overcharged",Table1[[#This Row],[ups ship charge]]-Table1[[#This Row],[ada ship charge]],0)</f>
        <v>0</v>
      </c>
    </row>
    <row r="3905" spans="1:9" x14ac:dyDescent="0.2">
      <c r="A3905">
        <v>1053172</v>
      </c>
      <c r="B3905" t="s">
        <v>21</v>
      </c>
      <c r="C3905">
        <v>9.65</v>
      </c>
      <c r="D3905">
        <v>9.7100000000000009</v>
      </c>
      <c r="E3905">
        <v>82.2</v>
      </c>
      <c r="F3905" t="s">
        <v>6</v>
      </c>
      <c r="G39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05">
        <f>IF(Table1[[#This Row],[is_ups_overcharge]]="ups overcharged",Table1[[#This Row],[ups ship charge]]-Table1[[#This Row],[ada ship charge]],0)</f>
        <v>0</v>
      </c>
    </row>
    <row r="3906" spans="1:9" x14ac:dyDescent="0.2">
      <c r="A3906">
        <v>1053182</v>
      </c>
      <c r="B3906" t="s">
        <v>21</v>
      </c>
      <c r="C3906">
        <v>13.64</v>
      </c>
      <c r="D3906">
        <v>13.69</v>
      </c>
      <c r="E3906">
        <v>22.2</v>
      </c>
      <c r="F3906" t="s">
        <v>9</v>
      </c>
      <c r="G39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06">
        <f>IF(Table1[[#This Row],[is_ups_overcharge]]="ups overcharged",Table1[[#This Row],[ups ship charge]]-Table1[[#This Row],[ada ship charge]],0)</f>
        <v>0</v>
      </c>
    </row>
    <row r="3907" spans="1:9" x14ac:dyDescent="0.2">
      <c r="A3907">
        <v>1053185</v>
      </c>
      <c r="B3907" t="s">
        <v>21</v>
      </c>
      <c r="C3907">
        <v>12.75</v>
      </c>
      <c r="D3907">
        <v>12.8</v>
      </c>
      <c r="E3907">
        <v>27.2</v>
      </c>
      <c r="F3907" t="s">
        <v>9</v>
      </c>
      <c r="G39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07">
        <f>IF(Table1[[#This Row],[is_ups_overcharge]]="ups overcharged",Table1[[#This Row],[ups ship charge]]-Table1[[#This Row],[ada ship charge]],0)</f>
        <v>0</v>
      </c>
    </row>
    <row r="3908" spans="1:9" x14ac:dyDescent="0.2">
      <c r="A3908">
        <v>1053211</v>
      </c>
      <c r="B3908" t="s">
        <v>21</v>
      </c>
      <c r="C3908">
        <v>12.75</v>
      </c>
      <c r="D3908">
        <v>12.8</v>
      </c>
      <c r="E3908">
        <v>29.95</v>
      </c>
      <c r="F3908" t="s">
        <v>9</v>
      </c>
      <c r="G39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08">
        <f>IF(Table1[[#This Row],[is_ups_overcharge]]="ups overcharged",Table1[[#This Row],[ups ship charge]]-Table1[[#This Row],[ada ship charge]],0)</f>
        <v>0</v>
      </c>
    </row>
    <row r="3909" spans="1:9" x14ac:dyDescent="0.2">
      <c r="A3909">
        <v>1053223</v>
      </c>
      <c r="B3909" t="s">
        <v>21</v>
      </c>
      <c r="C3909">
        <v>13.64</v>
      </c>
      <c r="D3909">
        <v>13.69</v>
      </c>
      <c r="E3909">
        <v>12.9</v>
      </c>
      <c r="F3909" t="s">
        <v>9</v>
      </c>
      <c r="G39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09">
        <f>IF(Table1[[#This Row],[is_ups_overcharge]]="ups overcharged",Table1[[#This Row],[ups ship charge]]-Table1[[#This Row],[ada ship charge]],0)</f>
        <v>0</v>
      </c>
    </row>
    <row r="3910" spans="1:9" x14ac:dyDescent="0.2">
      <c r="A3910">
        <v>1053240</v>
      </c>
      <c r="B3910" t="s">
        <v>21</v>
      </c>
      <c r="C3910">
        <v>14.04</v>
      </c>
      <c r="D3910">
        <v>14.09</v>
      </c>
      <c r="E3910">
        <v>183.85</v>
      </c>
      <c r="F3910" t="s">
        <v>9</v>
      </c>
      <c r="G39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10">
        <f>IF(Table1[[#This Row],[is_ups_overcharge]]="ups overcharged",Table1[[#This Row],[ups ship charge]]-Table1[[#This Row],[ada ship charge]],0)</f>
        <v>0</v>
      </c>
    </row>
    <row r="3911" spans="1:9" x14ac:dyDescent="0.2">
      <c r="A3911">
        <v>1053279</v>
      </c>
      <c r="B3911" t="s">
        <v>21</v>
      </c>
      <c r="C3911">
        <v>12.75</v>
      </c>
      <c r="D3911">
        <v>12.8</v>
      </c>
      <c r="E3911">
        <v>35.450000000000003</v>
      </c>
      <c r="F3911" t="s">
        <v>9</v>
      </c>
      <c r="G39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11">
        <f>IF(Table1[[#This Row],[is_ups_overcharge]]="ups overcharged",Table1[[#This Row],[ups ship charge]]-Table1[[#This Row],[ada ship charge]],0)</f>
        <v>0</v>
      </c>
    </row>
    <row r="3912" spans="1:9" x14ac:dyDescent="0.2">
      <c r="A3912">
        <v>1053298</v>
      </c>
      <c r="B3912" t="s">
        <v>21</v>
      </c>
      <c r="C3912">
        <v>16.649999999999999</v>
      </c>
      <c r="D3912">
        <v>16.7</v>
      </c>
      <c r="E3912">
        <v>24.9</v>
      </c>
      <c r="F3912" t="s">
        <v>10</v>
      </c>
      <c r="G39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12">
        <f>IF(Table1[[#This Row],[is_ups_overcharge]]="ups overcharged",Table1[[#This Row],[ups ship charge]]-Table1[[#This Row],[ada ship charge]],0)</f>
        <v>0</v>
      </c>
    </row>
    <row r="3913" spans="1:9" x14ac:dyDescent="0.2">
      <c r="A3913">
        <v>1053301</v>
      </c>
      <c r="B3913" t="s">
        <v>21</v>
      </c>
      <c r="C3913">
        <v>26.6</v>
      </c>
      <c r="D3913">
        <v>30.46</v>
      </c>
      <c r="E3913">
        <v>120.1</v>
      </c>
      <c r="F3913" t="s">
        <v>10</v>
      </c>
      <c r="G39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13">
        <f>IF(Table1[[#This Row],[is_ups_overcharge]]="ups overcharged",Table1[[#This Row],[ups ship charge]]-Table1[[#This Row],[ada ship charge]],0)</f>
        <v>0</v>
      </c>
    </row>
    <row r="3914" spans="1:9" x14ac:dyDescent="0.2">
      <c r="A3914">
        <v>1053319</v>
      </c>
      <c r="B3914" t="s">
        <v>21</v>
      </c>
      <c r="C3914">
        <v>12.75</v>
      </c>
      <c r="D3914">
        <v>12.8</v>
      </c>
      <c r="E3914">
        <v>71.5</v>
      </c>
      <c r="F3914" t="s">
        <v>9</v>
      </c>
      <c r="G39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14">
        <f>IF(Table1[[#This Row],[is_ups_overcharge]]="ups overcharged",Table1[[#This Row],[ups ship charge]]-Table1[[#This Row],[ada ship charge]],0)</f>
        <v>0</v>
      </c>
    </row>
    <row r="3915" spans="1:9" x14ac:dyDescent="0.2">
      <c r="A3915">
        <v>1053322</v>
      </c>
      <c r="B3915" t="s">
        <v>21</v>
      </c>
      <c r="C3915">
        <v>16.64</v>
      </c>
      <c r="D3915">
        <v>18.07</v>
      </c>
      <c r="E3915">
        <v>83.35</v>
      </c>
      <c r="F3915" t="s">
        <v>10</v>
      </c>
      <c r="G39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15">
        <f>IF(Table1[[#This Row],[is_ups_overcharge]]="ups overcharged",Table1[[#This Row],[ups ship charge]]-Table1[[#This Row],[ada ship charge]],0)</f>
        <v>0</v>
      </c>
    </row>
    <row r="3916" spans="1:9" x14ac:dyDescent="0.2">
      <c r="A3916">
        <v>1053354</v>
      </c>
      <c r="B3916" t="s">
        <v>21</v>
      </c>
      <c r="C3916">
        <v>13.64</v>
      </c>
      <c r="D3916">
        <v>13.68</v>
      </c>
      <c r="E3916">
        <v>54</v>
      </c>
      <c r="F3916" t="s">
        <v>9</v>
      </c>
      <c r="G39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16">
        <f>IF(Table1[[#This Row],[is_ups_overcharge]]="ups overcharged",Table1[[#This Row],[ups ship charge]]-Table1[[#This Row],[ada ship charge]],0)</f>
        <v>0</v>
      </c>
    </row>
    <row r="3917" spans="1:9" x14ac:dyDescent="0.2">
      <c r="A3917">
        <v>1053359</v>
      </c>
      <c r="B3917" t="s">
        <v>21</v>
      </c>
      <c r="C3917">
        <v>12.75</v>
      </c>
      <c r="D3917">
        <v>12.8</v>
      </c>
      <c r="E3917">
        <v>63.95</v>
      </c>
      <c r="F3917" t="s">
        <v>9</v>
      </c>
      <c r="G39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17">
        <f>IF(Table1[[#This Row],[is_ups_overcharge]]="ups overcharged",Table1[[#This Row],[ups ship charge]]-Table1[[#This Row],[ada ship charge]],0)</f>
        <v>0</v>
      </c>
    </row>
    <row r="3918" spans="1:9" x14ac:dyDescent="0.2">
      <c r="A3918">
        <v>1053365</v>
      </c>
      <c r="B3918" t="s">
        <v>21</v>
      </c>
      <c r="C3918">
        <v>66.760000000000005</v>
      </c>
      <c r="D3918">
        <v>66.81</v>
      </c>
      <c r="E3918">
        <v>148.69999999999999</v>
      </c>
      <c r="F3918" t="s">
        <v>8</v>
      </c>
      <c r="G39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18">
        <f>IF(Table1[[#This Row],[is_ups_overcharge]]="ups overcharged",Table1[[#This Row],[ups ship charge]]-Table1[[#This Row],[ada ship charge]],0)</f>
        <v>0</v>
      </c>
    </row>
    <row r="3919" spans="1:9" x14ac:dyDescent="0.2">
      <c r="A3919">
        <v>1053391</v>
      </c>
      <c r="B3919" t="s">
        <v>21</v>
      </c>
      <c r="C3919">
        <v>9.65</v>
      </c>
      <c r="D3919">
        <v>9.6999999999999993</v>
      </c>
      <c r="E3919">
        <v>33.25</v>
      </c>
      <c r="F3919" t="s">
        <v>6</v>
      </c>
      <c r="G39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19">
        <f>IF(Table1[[#This Row],[is_ups_overcharge]]="ups overcharged",Table1[[#This Row],[ups ship charge]]-Table1[[#This Row],[ada ship charge]],0)</f>
        <v>0</v>
      </c>
    </row>
    <row r="3920" spans="1:9" x14ac:dyDescent="0.2">
      <c r="A3920">
        <v>1053447</v>
      </c>
      <c r="B3920" t="s">
        <v>21</v>
      </c>
      <c r="C3920">
        <v>9.65</v>
      </c>
      <c r="D3920">
        <v>9.6999999999999993</v>
      </c>
      <c r="E3920">
        <v>6</v>
      </c>
      <c r="F3920" t="s">
        <v>6</v>
      </c>
      <c r="G39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20">
        <f>IF(Table1[[#This Row],[is_ups_overcharge]]="ups overcharged",Table1[[#This Row],[ups ship charge]]-Table1[[#This Row],[ada ship charge]],0)</f>
        <v>0</v>
      </c>
    </row>
    <row r="3921" spans="1:9" x14ac:dyDescent="0.2">
      <c r="A3921">
        <v>1053456</v>
      </c>
      <c r="B3921" t="s">
        <v>21</v>
      </c>
      <c r="C3921">
        <v>12.26</v>
      </c>
      <c r="D3921">
        <v>12.31</v>
      </c>
      <c r="E3921">
        <v>86.75</v>
      </c>
      <c r="F3921" t="s">
        <v>13</v>
      </c>
      <c r="G39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21">
        <f>IF(Table1[[#This Row],[is_ups_overcharge]]="ups overcharged",Table1[[#This Row],[ups ship charge]]-Table1[[#This Row],[ada ship charge]],0)</f>
        <v>0</v>
      </c>
    </row>
    <row r="3922" spans="1:9" x14ac:dyDescent="0.2">
      <c r="A3922">
        <v>1053478</v>
      </c>
      <c r="B3922" t="s">
        <v>21</v>
      </c>
      <c r="C3922">
        <v>12.75</v>
      </c>
      <c r="D3922">
        <v>12.8</v>
      </c>
      <c r="E3922">
        <v>110.7</v>
      </c>
      <c r="F3922" t="s">
        <v>9</v>
      </c>
      <c r="G39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22">
        <f>IF(Table1[[#This Row],[is_ups_overcharge]]="ups overcharged",Table1[[#This Row],[ups ship charge]]-Table1[[#This Row],[ada ship charge]],0)</f>
        <v>0</v>
      </c>
    </row>
    <row r="3923" spans="1:9" x14ac:dyDescent="0.2">
      <c r="A3923">
        <v>1053501</v>
      </c>
      <c r="B3923" t="s">
        <v>21</v>
      </c>
      <c r="C3923">
        <v>12.75</v>
      </c>
      <c r="D3923">
        <v>12.8</v>
      </c>
      <c r="E3923">
        <v>44.9</v>
      </c>
      <c r="F3923" t="s">
        <v>9</v>
      </c>
      <c r="G39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23">
        <f>IF(Table1[[#This Row],[is_ups_overcharge]]="ups overcharged",Table1[[#This Row],[ups ship charge]]-Table1[[#This Row],[ada ship charge]],0)</f>
        <v>0</v>
      </c>
    </row>
    <row r="3924" spans="1:9" x14ac:dyDescent="0.2">
      <c r="A3924">
        <v>1053521</v>
      </c>
      <c r="B3924" t="s">
        <v>21</v>
      </c>
      <c r="C3924">
        <v>15.33</v>
      </c>
      <c r="D3924">
        <v>15.38</v>
      </c>
      <c r="E3924">
        <v>56.95</v>
      </c>
      <c r="F3924" t="s">
        <v>12</v>
      </c>
      <c r="G39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24">
        <f>IF(Table1[[#This Row],[is_ups_overcharge]]="ups overcharged",Table1[[#This Row],[ups ship charge]]-Table1[[#This Row],[ada ship charge]],0)</f>
        <v>0</v>
      </c>
    </row>
    <row r="3925" spans="1:9" x14ac:dyDescent="0.2">
      <c r="A3925">
        <v>1053546</v>
      </c>
      <c r="B3925" t="s">
        <v>21</v>
      </c>
      <c r="C3925">
        <v>12.75</v>
      </c>
      <c r="D3925">
        <v>12.8</v>
      </c>
      <c r="E3925">
        <v>9.9499999999999993</v>
      </c>
      <c r="F3925" t="s">
        <v>9</v>
      </c>
      <c r="G39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25">
        <f>IF(Table1[[#This Row],[is_ups_overcharge]]="ups overcharged",Table1[[#This Row],[ups ship charge]]-Table1[[#This Row],[ada ship charge]],0)</f>
        <v>0</v>
      </c>
    </row>
    <row r="3926" spans="1:9" x14ac:dyDescent="0.2">
      <c r="A3926">
        <v>1053562</v>
      </c>
      <c r="B3926" t="s">
        <v>21</v>
      </c>
      <c r="C3926">
        <v>16.34</v>
      </c>
      <c r="D3926">
        <v>16.39</v>
      </c>
      <c r="E3926">
        <v>79.95</v>
      </c>
      <c r="F3926" t="s">
        <v>10</v>
      </c>
      <c r="G39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26">
        <f>IF(Table1[[#This Row],[is_ups_overcharge]]="ups overcharged",Table1[[#This Row],[ups ship charge]]-Table1[[#This Row],[ada ship charge]],0)</f>
        <v>0</v>
      </c>
    </row>
    <row r="3927" spans="1:9" x14ac:dyDescent="0.2">
      <c r="A3927">
        <v>1053565</v>
      </c>
      <c r="B3927" t="s">
        <v>21</v>
      </c>
      <c r="C3927">
        <v>15.33</v>
      </c>
      <c r="D3927">
        <v>15.38</v>
      </c>
      <c r="E3927">
        <v>74.849999999999994</v>
      </c>
      <c r="F3927" t="s">
        <v>12</v>
      </c>
      <c r="G39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27">
        <f>IF(Table1[[#This Row],[is_ups_overcharge]]="ups overcharged",Table1[[#This Row],[ups ship charge]]-Table1[[#This Row],[ada ship charge]],0)</f>
        <v>0</v>
      </c>
    </row>
    <row r="3928" spans="1:9" x14ac:dyDescent="0.2">
      <c r="A3928">
        <v>1053592</v>
      </c>
      <c r="B3928" t="s">
        <v>21</v>
      </c>
      <c r="C3928">
        <v>13.64</v>
      </c>
      <c r="D3928">
        <v>13.69</v>
      </c>
      <c r="E3928">
        <v>39.950000000000003</v>
      </c>
      <c r="F3928" t="s">
        <v>9</v>
      </c>
      <c r="G39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28">
        <f>IF(Table1[[#This Row],[is_ups_overcharge]]="ups overcharged",Table1[[#This Row],[ups ship charge]]-Table1[[#This Row],[ada ship charge]],0)</f>
        <v>0</v>
      </c>
    </row>
    <row r="3929" spans="1:9" x14ac:dyDescent="0.2">
      <c r="A3929">
        <v>1053597</v>
      </c>
      <c r="B3929" t="s">
        <v>21</v>
      </c>
      <c r="C3929">
        <v>28.99</v>
      </c>
      <c r="D3929">
        <v>29.04</v>
      </c>
      <c r="E3929">
        <v>307.60000000000002</v>
      </c>
      <c r="F3929" t="s">
        <v>15</v>
      </c>
      <c r="G39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29">
        <f>IF(Table1[[#This Row],[is_ups_overcharge]]="ups overcharged",Table1[[#This Row],[ups ship charge]]-Table1[[#This Row],[ada ship charge]],0)</f>
        <v>0</v>
      </c>
    </row>
    <row r="3930" spans="1:9" x14ac:dyDescent="0.2">
      <c r="A3930">
        <v>1053623</v>
      </c>
      <c r="B3930" t="s">
        <v>21</v>
      </c>
      <c r="C3930">
        <v>9.65</v>
      </c>
      <c r="D3930">
        <v>9.6999999999999993</v>
      </c>
      <c r="E3930">
        <v>39.950000000000003</v>
      </c>
      <c r="F3930" t="s">
        <v>6</v>
      </c>
      <c r="G39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30">
        <f>IF(Table1[[#This Row],[is_ups_overcharge]]="ups overcharged",Table1[[#This Row],[ups ship charge]]-Table1[[#This Row],[ada ship charge]],0)</f>
        <v>0</v>
      </c>
    </row>
    <row r="3931" spans="1:9" x14ac:dyDescent="0.2">
      <c r="A3931">
        <v>1053639</v>
      </c>
      <c r="B3931" t="s">
        <v>21</v>
      </c>
      <c r="C3931">
        <v>16.440000000000001</v>
      </c>
      <c r="D3931">
        <v>18.329999999999998</v>
      </c>
      <c r="E3931">
        <v>118.05</v>
      </c>
      <c r="F3931" t="s">
        <v>10</v>
      </c>
      <c r="G39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31">
        <f>IF(Table1[[#This Row],[is_ups_overcharge]]="ups overcharged",Table1[[#This Row],[ups ship charge]]-Table1[[#This Row],[ada ship charge]],0)</f>
        <v>0</v>
      </c>
    </row>
    <row r="3932" spans="1:9" x14ac:dyDescent="0.2">
      <c r="A3932">
        <v>1053640</v>
      </c>
      <c r="B3932" t="s">
        <v>21</v>
      </c>
      <c r="C3932">
        <v>9.66</v>
      </c>
      <c r="D3932">
        <v>9.7100000000000009</v>
      </c>
      <c r="E3932">
        <v>9.9</v>
      </c>
      <c r="F3932" t="s">
        <v>6</v>
      </c>
      <c r="G39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32">
        <f>IF(Table1[[#This Row],[is_ups_overcharge]]="ups overcharged",Table1[[#This Row],[ups ship charge]]-Table1[[#This Row],[ada ship charge]],0)</f>
        <v>0</v>
      </c>
    </row>
    <row r="3933" spans="1:9" x14ac:dyDescent="0.2">
      <c r="A3933">
        <v>1053653</v>
      </c>
      <c r="B3933" t="s">
        <v>21</v>
      </c>
      <c r="C3933">
        <v>12.75</v>
      </c>
      <c r="D3933">
        <v>12.8</v>
      </c>
      <c r="E3933">
        <v>22.9</v>
      </c>
      <c r="F3933" t="s">
        <v>9</v>
      </c>
      <c r="G39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33">
        <f>IF(Table1[[#This Row],[is_ups_overcharge]]="ups overcharged",Table1[[#This Row],[ups ship charge]]-Table1[[#This Row],[ada ship charge]],0)</f>
        <v>0</v>
      </c>
    </row>
    <row r="3934" spans="1:9" x14ac:dyDescent="0.2">
      <c r="A3934">
        <v>1053690</v>
      </c>
      <c r="B3934" t="s">
        <v>21</v>
      </c>
      <c r="C3934">
        <v>9.66</v>
      </c>
      <c r="D3934">
        <v>9.7100000000000009</v>
      </c>
      <c r="E3934">
        <v>99.8</v>
      </c>
      <c r="F3934" t="s">
        <v>6</v>
      </c>
      <c r="G39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34">
        <f>IF(Table1[[#This Row],[is_ups_overcharge]]="ups overcharged",Table1[[#This Row],[ups ship charge]]-Table1[[#This Row],[ada ship charge]],0)</f>
        <v>0</v>
      </c>
    </row>
    <row r="3935" spans="1:9" x14ac:dyDescent="0.2">
      <c r="A3935">
        <v>1053707</v>
      </c>
      <c r="B3935" t="s">
        <v>21</v>
      </c>
      <c r="C3935">
        <v>13.64</v>
      </c>
      <c r="D3935">
        <v>13.69</v>
      </c>
      <c r="E3935">
        <v>73.75</v>
      </c>
      <c r="F3935" t="s">
        <v>9</v>
      </c>
      <c r="G39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35">
        <f>IF(Table1[[#This Row],[is_ups_overcharge]]="ups overcharged",Table1[[#This Row],[ups ship charge]]-Table1[[#This Row],[ada ship charge]],0)</f>
        <v>0</v>
      </c>
    </row>
    <row r="3936" spans="1:9" x14ac:dyDescent="0.2">
      <c r="A3936">
        <v>1053718</v>
      </c>
      <c r="B3936" t="s">
        <v>21</v>
      </c>
      <c r="C3936">
        <v>12.75</v>
      </c>
      <c r="D3936">
        <v>12.8</v>
      </c>
      <c r="E3936">
        <v>47.9</v>
      </c>
      <c r="F3936" t="s">
        <v>9</v>
      </c>
      <c r="G39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36">
        <f>IF(Table1[[#This Row],[is_ups_overcharge]]="ups overcharged",Table1[[#This Row],[ups ship charge]]-Table1[[#This Row],[ada ship charge]],0)</f>
        <v>0</v>
      </c>
    </row>
    <row r="3937" spans="1:9" x14ac:dyDescent="0.2">
      <c r="A3937">
        <v>1053730</v>
      </c>
      <c r="B3937" t="s">
        <v>21</v>
      </c>
      <c r="C3937">
        <v>12.75</v>
      </c>
      <c r="D3937">
        <v>12.8</v>
      </c>
      <c r="E3937">
        <v>69.900000000000006</v>
      </c>
      <c r="F3937" t="s">
        <v>9</v>
      </c>
      <c r="G39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37">
        <f>IF(Table1[[#This Row],[is_ups_overcharge]]="ups overcharged",Table1[[#This Row],[ups ship charge]]-Table1[[#This Row],[ada ship charge]],0)</f>
        <v>0</v>
      </c>
    </row>
    <row r="3938" spans="1:9" x14ac:dyDescent="0.2">
      <c r="A3938">
        <v>1053743</v>
      </c>
      <c r="B3938" t="s">
        <v>21</v>
      </c>
      <c r="C3938">
        <v>12.75</v>
      </c>
      <c r="D3938">
        <v>12.8</v>
      </c>
      <c r="E3938">
        <v>39.299999999999997</v>
      </c>
      <c r="F3938" t="s">
        <v>9</v>
      </c>
      <c r="G39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38">
        <f>IF(Table1[[#This Row],[is_ups_overcharge]]="ups overcharged",Table1[[#This Row],[ups ship charge]]-Table1[[#This Row],[ada ship charge]],0)</f>
        <v>0</v>
      </c>
    </row>
    <row r="3939" spans="1:9" x14ac:dyDescent="0.2">
      <c r="A3939">
        <v>1053745</v>
      </c>
      <c r="B3939" t="s">
        <v>21</v>
      </c>
      <c r="C3939">
        <v>16.649999999999999</v>
      </c>
      <c r="D3939">
        <v>16.7</v>
      </c>
      <c r="E3939">
        <v>3.2</v>
      </c>
      <c r="F3939" t="s">
        <v>10</v>
      </c>
      <c r="G39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39">
        <f>IF(Table1[[#This Row],[is_ups_overcharge]]="ups overcharged",Table1[[#This Row],[ups ship charge]]-Table1[[#This Row],[ada ship charge]],0)</f>
        <v>0</v>
      </c>
    </row>
    <row r="3940" spans="1:9" x14ac:dyDescent="0.2">
      <c r="A3940">
        <v>1053746</v>
      </c>
      <c r="B3940" t="s">
        <v>21</v>
      </c>
      <c r="C3940">
        <v>16.579999999999998</v>
      </c>
      <c r="D3940">
        <v>18</v>
      </c>
      <c r="E3940">
        <v>56.7</v>
      </c>
      <c r="F3940" t="s">
        <v>12</v>
      </c>
      <c r="G39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40">
        <f>IF(Table1[[#This Row],[is_ups_overcharge]]="ups overcharged",Table1[[#This Row],[ups ship charge]]-Table1[[#This Row],[ada ship charge]],0)</f>
        <v>0</v>
      </c>
    </row>
    <row r="3941" spans="1:9" x14ac:dyDescent="0.2">
      <c r="A3941">
        <v>1053759</v>
      </c>
      <c r="B3941" t="s">
        <v>21</v>
      </c>
      <c r="C3941">
        <v>19.96</v>
      </c>
      <c r="D3941">
        <v>24.09</v>
      </c>
      <c r="E3941">
        <v>39.950000000000003</v>
      </c>
      <c r="F3941" t="s">
        <v>16</v>
      </c>
      <c r="G39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41">
        <f>IF(Table1[[#This Row],[is_ups_overcharge]]="ups overcharged",Table1[[#This Row],[ups ship charge]]-Table1[[#This Row],[ada ship charge]],0)</f>
        <v>0</v>
      </c>
    </row>
    <row r="3942" spans="1:9" x14ac:dyDescent="0.2">
      <c r="A3942">
        <v>1053813</v>
      </c>
      <c r="B3942" t="s">
        <v>21</v>
      </c>
      <c r="C3942">
        <v>15.33</v>
      </c>
      <c r="D3942">
        <v>15.38</v>
      </c>
      <c r="E3942">
        <v>39.950000000000003</v>
      </c>
      <c r="F3942" t="s">
        <v>12</v>
      </c>
      <c r="G39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42">
        <f>IF(Table1[[#This Row],[is_ups_overcharge]]="ups overcharged",Table1[[#This Row],[ups ship charge]]-Table1[[#This Row],[ada ship charge]],0)</f>
        <v>0</v>
      </c>
    </row>
    <row r="3943" spans="1:9" x14ac:dyDescent="0.2">
      <c r="A3943">
        <v>1053818</v>
      </c>
      <c r="B3943" t="s">
        <v>21</v>
      </c>
      <c r="C3943">
        <v>15.02</v>
      </c>
      <c r="D3943">
        <v>15.07</v>
      </c>
      <c r="E3943">
        <v>3.9</v>
      </c>
      <c r="F3943" t="s">
        <v>12</v>
      </c>
      <c r="G39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43">
        <f>IF(Table1[[#This Row],[is_ups_overcharge]]="ups overcharged",Table1[[#This Row],[ups ship charge]]-Table1[[#This Row],[ada ship charge]],0)</f>
        <v>0</v>
      </c>
    </row>
    <row r="3944" spans="1:9" x14ac:dyDescent="0.2">
      <c r="A3944">
        <v>1053823</v>
      </c>
      <c r="B3944" t="s">
        <v>21</v>
      </c>
      <c r="C3944">
        <v>12.75</v>
      </c>
      <c r="D3944">
        <v>12.8</v>
      </c>
      <c r="E3944">
        <v>15.9</v>
      </c>
      <c r="F3944" t="s">
        <v>9</v>
      </c>
      <c r="G39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44">
        <f>IF(Table1[[#This Row],[is_ups_overcharge]]="ups overcharged",Table1[[#This Row],[ups ship charge]]-Table1[[#This Row],[ada ship charge]],0)</f>
        <v>0</v>
      </c>
    </row>
    <row r="3945" spans="1:9" x14ac:dyDescent="0.2">
      <c r="A3945">
        <v>1053853</v>
      </c>
      <c r="B3945" t="s">
        <v>21</v>
      </c>
      <c r="C3945">
        <v>13.64</v>
      </c>
      <c r="D3945">
        <v>13.69</v>
      </c>
      <c r="E3945">
        <v>39.700000000000003</v>
      </c>
      <c r="F3945" t="s">
        <v>9</v>
      </c>
      <c r="G39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45">
        <f>IF(Table1[[#This Row],[is_ups_overcharge]]="ups overcharged",Table1[[#This Row],[ups ship charge]]-Table1[[#This Row],[ada ship charge]],0)</f>
        <v>0</v>
      </c>
    </row>
    <row r="3946" spans="1:9" x14ac:dyDescent="0.2">
      <c r="A3946">
        <v>1053858</v>
      </c>
      <c r="B3946" t="s">
        <v>21</v>
      </c>
      <c r="C3946">
        <v>12.75</v>
      </c>
      <c r="D3946">
        <v>12.8</v>
      </c>
      <c r="E3946">
        <v>63.85</v>
      </c>
      <c r="F3946" t="s">
        <v>9</v>
      </c>
      <c r="G39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46">
        <f>IF(Table1[[#This Row],[is_ups_overcharge]]="ups overcharged",Table1[[#This Row],[ups ship charge]]-Table1[[#This Row],[ada ship charge]],0)</f>
        <v>0</v>
      </c>
    </row>
    <row r="3947" spans="1:9" x14ac:dyDescent="0.2">
      <c r="A3947">
        <v>1053872</v>
      </c>
      <c r="B3947" t="s">
        <v>21</v>
      </c>
      <c r="C3947">
        <v>9.65</v>
      </c>
      <c r="D3947">
        <v>9.6999999999999993</v>
      </c>
      <c r="E3947">
        <v>39.950000000000003</v>
      </c>
      <c r="F3947" t="s">
        <v>6</v>
      </c>
      <c r="G39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47">
        <f>IF(Table1[[#This Row],[is_ups_overcharge]]="ups overcharged",Table1[[#This Row],[ups ship charge]]-Table1[[#This Row],[ada ship charge]],0)</f>
        <v>0</v>
      </c>
    </row>
    <row r="3948" spans="1:9" x14ac:dyDescent="0.2">
      <c r="A3948">
        <v>1053894</v>
      </c>
      <c r="B3948" t="s">
        <v>21</v>
      </c>
      <c r="C3948">
        <v>12.75</v>
      </c>
      <c r="D3948">
        <v>13.81</v>
      </c>
      <c r="E3948">
        <v>23.45</v>
      </c>
      <c r="F3948" t="s">
        <v>9</v>
      </c>
      <c r="G39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48">
        <f>IF(Table1[[#This Row],[is_ups_overcharge]]="ups overcharged",Table1[[#This Row],[ups ship charge]]-Table1[[#This Row],[ada ship charge]],0)</f>
        <v>0</v>
      </c>
    </row>
    <row r="3949" spans="1:9" x14ac:dyDescent="0.2">
      <c r="A3949">
        <v>1053898</v>
      </c>
      <c r="B3949" t="s">
        <v>21</v>
      </c>
      <c r="C3949">
        <v>13.64</v>
      </c>
      <c r="D3949">
        <v>13.69</v>
      </c>
      <c r="E3949">
        <v>49.3</v>
      </c>
      <c r="F3949" t="s">
        <v>9</v>
      </c>
      <c r="G39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49">
        <f>IF(Table1[[#This Row],[is_ups_overcharge]]="ups overcharged",Table1[[#This Row],[ups ship charge]]-Table1[[#This Row],[ada ship charge]],0)</f>
        <v>0</v>
      </c>
    </row>
    <row r="3950" spans="1:9" x14ac:dyDescent="0.2">
      <c r="A3950">
        <v>1053906</v>
      </c>
      <c r="B3950" t="s">
        <v>21</v>
      </c>
      <c r="C3950">
        <v>16.649999999999999</v>
      </c>
      <c r="D3950">
        <v>16.7</v>
      </c>
      <c r="E3950">
        <v>49.9</v>
      </c>
      <c r="F3950" t="s">
        <v>10</v>
      </c>
      <c r="G39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50">
        <f>IF(Table1[[#This Row],[is_ups_overcharge]]="ups overcharged",Table1[[#This Row],[ups ship charge]]-Table1[[#This Row],[ada ship charge]],0)</f>
        <v>0</v>
      </c>
    </row>
    <row r="3951" spans="1:9" x14ac:dyDescent="0.2">
      <c r="A3951">
        <v>1053940</v>
      </c>
      <c r="B3951" t="s">
        <v>21</v>
      </c>
      <c r="C3951">
        <v>24.38</v>
      </c>
      <c r="D3951">
        <v>24.44</v>
      </c>
      <c r="E3951">
        <v>106.75</v>
      </c>
      <c r="F3951" t="s">
        <v>15</v>
      </c>
      <c r="G39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51">
        <f>IF(Table1[[#This Row],[is_ups_overcharge]]="ups overcharged",Table1[[#This Row],[ups ship charge]]-Table1[[#This Row],[ada ship charge]],0)</f>
        <v>0</v>
      </c>
    </row>
    <row r="3952" spans="1:9" x14ac:dyDescent="0.2">
      <c r="A3952">
        <v>1053954</v>
      </c>
      <c r="B3952" t="s">
        <v>21</v>
      </c>
      <c r="C3952">
        <v>9.66</v>
      </c>
      <c r="D3952">
        <v>9.7100000000000009</v>
      </c>
      <c r="E3952">
        <v>39.9</v>
      </c>
      <c r="F3952" t="s">
        <v>6</v>
      </c>
      <c r="G39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52">
        <f>IF(Table1[[#This Row],[is_ups_overcharge]]="ups overcharged",Table1[[#This Row],[ups ship charge]]-Table1[[#This Row],[ada ship charge]],0)</f>
        <v>0</v>
      </c>
    </row>
    <row r="3953" spans="1:9" x14ac:dyDescent="0.2">
      <c r="A3953">
        <v>1053964</v>
      </c>
      <c r="B3953" t="s">
        <v>21</v>
      </c>
      <c r="C3953">
        <v>13.94</v>
      </c>
      <c r="D3953">
        <v>13.99</v>
      </c>
      <c r="E3953">
        <v>44.6</v>
      </c>
      <c r="F3953" t="s">
        <v>16</v>
      </c>
      <c r="G39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53">
        <f>IF(Table1[[#This Row],[is_ups_overcharge]]="ups overcharged",Table1[[#This Row],[ups ship charge]]-Table1[[#This Row],[ada ship charge]],0)</f>
        <v>0</v>
      </c>
    </row>
    <row r="3954" spans="1:9" x14ac:dyDescent="0.2">
      <c r="A3954">
        <v>1053972</v>
      </c>
      <c r="B3954" t="s">
        <v>21</v>
      </c>
      <c r="C3954">
        <v>10.94</v>
      </c>
      <c r="D3954">
        <v>10.99</v>
      </c>
      <c r="E3954">
        <v>8.9499999999999993</v>
      </c>
      <c r="F3954" t="s">
        <v>14</v>
      </c>
      <c r="G39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54">
        <f>IF(Table1[[#This Row],[is_ups_overcharge]]="ups overcharged",Table1[[#This Row],[ups ship charge]]-Table1[[#This Row],[ada ship charge]],0)</f>
        <v>0</v>
      </c>
    </row>
    <row r="3955" spans="1:9" x14ac:dyDescent="0.2">
      <c r="A3955">
        <v>1054004</v>
      </c>
      <c r="B3955" t="s">
        <v>21</v>
      </c>
      <c r="C3955">
        <v>16.34</v>
      </c>
      <c r="D3955">
        <v>16.39</v>
      </c>
      <c r="E3955">
        <v>14.95</v>
      </c>
      <c r="F3955" t="s">
        <v>10</v>
      </c>
      <c r="G39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55">
        <f>IF(Table1[[#This Row],[is_ups_overcharge]]="ups overcharged",Table1[[#This Row],[ups ship charge]]-Table1[[#This Row],[ada ship charge]],0)</f>
        <v>0</v>
      </c>
    </row>
    <row r="3956" spans="1:9" x14ac:dyDescent="0.2">
      <c r="A3956">
        <v>1054024</v>
      </c>
      <c r="B3956" t="s">
        <v>21</v>
      </c>
      <c r="C3956">
        <v>13.64</v>
      </c>
      <c r="D3956">
        <v>13.69</v>
      </c>
      <c r="E3956">
        <v>52.45</v>
      </c>
      <c r="F3956" t="s">
        <v>9</v>
      </c>
      <c r="G39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56">
        <f>IF(Table1[[#This Row],[is_ups_overcharge]]="ups overcharged",Table1[[#This Row],[ups ship charge]]-Table1[[#This Row],[ada ship charge]],0)</f>
        <v>0</v>
      </c>
    </row>
    <row r="3957" spans="1:9" x14ac:dyDescent="0.2">
      <c r="A3957">
        <v>1054036</v>
      </c>
      <c r="B3957" t="s">
        <v>21</v>
      </c>
      <c r="C3957">
        <v>13.64</v>
      </c>
      <c r="D3957">
        <v>13.69</v>
      </c>
      <c r="E3957">
        <v>51.85</v>
      </c>
      <c r="F3957" t="s">
        <v>9</v>
      </c>
      <c r="G39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57">
        <f>IF(Table1[[#This Row],[is_ups_overcharge]]="ups overcharged",Table1[[#This Row],[ups ship charge]]-Table1[[#This Row],[ada ship charge]],0)</f>
        <v>0</v>
      </c>
    </row>
    <row r="3958" spans="1:9" x14ac:dyDescent="0.2">
      <c r="A3958">
        <v>1054055</v>
      </c>
      <c r="B3958" t="s">
        <v>21</v>
      </c>
      <c r="C3958">
        <v>9.66</v>
      </c>
      <c r="D3958">
        <v>9.7100000000000009</v>
      </c>
      <c r="E3958">
        <v>60.85</v>
      </c>
      <c r="F3958" t="s">
        <v>6</v>
      </c>
      <c r="G39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58">
        <f>IF(Table1[[#This Row],[is_ups_overcharge]]="ups overcharged",Table1[[#This Row],[ups ship charge]]-Table1[[#This Row],[ada ship charge]],0)</f>
        <v>0</v>
      </c>
    </row>
    <row r="3959" spans="1:9" x14ac:dyDescent="0.2">
      <c r="A3959">
        <v>1054072</v>
      </c>
      <c r="B3959" t="s">
        <v>21</v>
      </c>
      <c r="C3959">
        <v>12.75</v>
      </c>
      <c r="D3959">
        <v>12.8</v>
      </c>
      <c r="E3959">
        <v>6.8</v>
      </c>
      <c r="F3959" t="s">
        <v>9</v>
      </c>
      <c r="G39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59">
        <f>IF(Table1[[#This Row],[is_ups_overcharge]]="ups overcharged",Table1[[#This Row],[ups ship charge]]-Table1[[#This Row],[ada ship charge]],0)</f>
        <v>0</v>
      </c>
    </row>
    <row r="3960" spans="1:9" x14ac:dyDescent="0.2">
      <c r="A3960">
        <v>1054087</v>
      </c>
      <c r="B3960" t="s">
        <v>21</v>
      </c>
      <c r="C3960">
        <v>12.75</v>
      </c>
      <c r="D3960">
        <v>13.25</v>
      </c>
      <c r="E3960">
        <v>85</v>
      </c>
      <c r="F3960" t="s">
        <v>9</v>
      </c>
      <c r="G39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60">
        <f>IF(Table1[[#This Row],[is_ups_overcharge]]="ups overcharged",Table1[[#This Row],[ups ship charge]]-Table1[[#This Row],[ada ship charge]],0)</f>
        <v>0</v>
      </c>
    </row>
    <row r="3961" spans="1:9" x14ac:dyDescent="0.2">
      <c r="A3961">
        <v>1054095</v>
      </c>
      <c r="B3961" t="s">
        <v>21</v>
      </c>
      <c r="C3961">
        <v>10.94</v>
      </c>
      <c r="D3961">
        <v>10.99</v>
      </c>
      <c r="E3961">
        <v>68.75</v>
      </c>
      <c r="F3961" t="s">
        <v>14</v>
      </c>
      <c r="G39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61">
        <f>IF(Table1[[#This Row],[is_ups_overcharge]]="ups overcharged",Table1[[#This Row],[ups ship charge]]-Table1[[#This Row],[ada ship charge]],0)</f>
        <v>0</v>
      </c>
    </row>
    <row r="3962" spans="1:9" x14ac:dyDescent="0.2">
      <c r="A3962">
        <v>1054096</v>
      </c>
      <c r="B3962" t="s">
        <v>21</v>
      </c>
      <c r="C3962">
        <v>13.64</v>
      </c>
      <c r="D3962">
        <v>13.69</v>
      </c>
      <c r="E3962">
        <v>47.9</v>
      </c>
      <c r="F3962" t="s">
        <v>9</v>
      </c>
      <c r="G39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62">
        <f>IF(Table1[[#This Row],[is_ups_overcharge]]="ups overcharged",Table1[[#This Row],[ups ship charge]]-Table1[[#This Row],[ada ship charge]],0)</f>
        <v>0</v>
      </c>
    </row>
    <row r="3963" spans="1:9" x14ac:dyDescent="0.2">
      <c r="A3963">
        <v>1054100</v>
      </c>
      <c r="B3963" t="s">
        <v>21</v>
      </c>
      <c r="C3963">
        <v>9.66</v>
      </c>
      <c r="D3963">
        <v>12.8</v>
      </c>
      <c r="E3963">
        <v>14.95</v>
      </c>
      <c r="F3963" t="s">
        <v>6</v>
      </c>
      <c r="G39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63">
        <f>IF(Table1[[#This Row],[is_ups_overcharge]]="ups overcharged",Table1[[#This Row],[ups ship charge]]-Table1[[#This Row],[ada ship charge]],0)</f>
        <v>0</v>
      </c>
    </row>
    <row r="3964" spans="1:9" x14ac:dyDescent="0.2">
      <c r="A3964">
        <v>1054107</v>
      </c>
      <c r="B3964" t="s">
        <v>21</v>
      </c>
      <c r="C3964">
        <v>15.02</v>
      </c>
      <c r="D3964">
        <v>16.329999999999998</v>
      </c>
      <c r="E3964">
        <v>48.9</v>
      </c>
      <c r="F3964" t="s">
        <v>12</v>
      </c>
      <c r="G39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64">
        <f>IF(Table1[[#This Row],[is_ups_overcharge]]="ups overcharged",Table1[[#This Row],[ups ship charge]]-Table1[[#This Row],[ada ship charge]],0)</f>
        <v>0</v>
      </c>
    </row>
    <row r="3965" spans="1:9" x14ac:dyDescent="0.2">
      <c r="A3965">
        <v>1054116</v>
      </c>
      <c r="B3965" t="s">
        <v>21</v>
      </c>
      <c r="C3965">
        <v>12.75</v>
      </c>
      <c r="D3965">
        <v>12.8</v>
      </c>
      <c r="E3965">
        <v>39.5</v>
      </c>
      <c r="F3965" t="s">
        <v>9</v>
      </c>
      <c r="G39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65">
        <f>IF(Table1[[#This Row],[is_ups_overcharge]]="ups overcharged",Table1[[#This Row],[ups ship charge]]-Table1[[#This Row],[ada ship charge]],0)</f>
        <v>0</v>
      </c>
    </row>
    <row r="3966" spans="1:9" x14ac:dyDescent="0.2">
      <c r="A3966">
        <v>1054122</v>
      </c>
      <c r="B3966" t="s">
        <v>21</v>
      </c>
      <c r="C3966">
        <v>13.64</v>
      </c>
      <c r="D3966">
        <v>13.69</v>
      </c>
      <c r="E3966">
        <v>174.85</v>
      </c>
      <c r="F3966" t="s">
        <v>9</v>
      </c>
      <c r="G39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66">
        <f>IF(Table1[[#This Row],[is_ups_overcharge]]="ups overcharged",Table1[[#This Row],[ups ship charge]]-Table1[[#This Row],[ada ship charge]],0)</f>
        <v>0</v>
      </c>
    </row>
    <row r="3967" spans="1:9" x14ac:dyDescent="0.2">
      <c r="A3967">
        <v>1054139</v>
      </c>
      <c r="B3967" t="s">
        <v>21</v>
      </c>
      <c r="C3967">
        <v>13.64</v>
      </c>
      <c r="D3967">
        <v>13.69</v>
      </c>
      <c r="E3967">
        <v>34.950000000000003</v>
      </c>
      <c r="F3967" t="s">
        <v>9</v>
      </c>
      <c r="G39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67">
        <f>IF(Table1[[#This Row],[is_ups_overcharge]]="ups overcharged",Table1[[#This Row],[ups ship charge]]-Table1[[#This Row],[ada ship charge]],0)</f>
        <v>0</v>
      </c>
    </row>
    <row r="3968" spans="1:9" x14ac:dyDescent="0.2">
      <c r="A3968">
        <v>1054152</v>
      </c>
      <c r="B3968" t="s">
        <v>21</v>
      </c>
      <c r="C3968">
        <v>9.65</v>
      </c>
      <c r="D3968">
        <v>9.6999999999999993</v>
      </c>
      <c r="E3968">
        <v>108.7</v>
      </c>
      <c r="F3968" t="s">
        <v>6</v>
      </c>
      <c r="G39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68">
        <f>IF(Table1[[#This Row],[is_ups_overcharge]]="ups overcharged",Table1[[#This Row],[ups ship charge]]-Table1[[#This Row],[ada ship charge]],0)</f>
        <v>0</v>
      </c>
    </row>
    <row r="3969" spans="1:9" x14ac:dyDescent="0.2">
      <c r="A3969">
        <v>1054170</v>
      </c>
      <c r="B3969" t="s">
        <v>21</v>
      </c>
      <c r="C3969">
        <v>19.96</v>
      </c>
      <c r="D3969">
        <v>20.010000000000002</v>
      </c>
      <c r="E3969">
        <v>79.849999999999994</v>
      </c>
      <c r="F3969" t="s">
        <v>16</v>
      </c>
      <c r="G39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69">
        <f>IF(Table1[[#This Row],[is_ups_overcharge]]="ups overcharged",Table1[[#This Row],[ups ship charge]]-Table1[[#This Row],[ada ship charge]],0)</f>
        <v>0</v>
      </c>
    </row>
    <row r="3970" spans="1:9" x14ac:dyDescent="0.2">
      <c r="A3970">
        <v>1054187</v>
      </c>
      <c r="B3970" t="s">
        <v>21</v>
      </c>
      <c r="C3970">
        <v>16.649999999999999</v>
      </c>
      <c r="D3970">
        <v>16.7</v>
      </c>
      <c r="E3970">
        <v>19.95</v>
      </c>
      <c r="F3970" t="s">
        <v>10</v>
      </c>
      <c r="G39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70">
        <f>IF(Table1[[#This Row],[is_ups_overcharge]]="ups overcharged",Table1[[#This Row],[ups ship charge]]-Table1[[#This Row],[ada ship charge]],0)</f>
        <v>0</v>
      </c>
    </row>
    <row r="3971" spans="1:9" x14ac:dyDescent="0.2">
      <c r="A3971">
        <v>1054257</v>
      </c>
      <c r="B3971" t="s">
        <v>21</v>
      </c>
      <c r="C3971">
        <v>78.11</v>
      </c>
      <c r="D3971">
        <v>85.65</v>
      </c>
      <c r="E3971">
        <v>584.35</v>
      </c>
      <c r="F3971" t="s">
        <v>11</v>
      </c>
      <c r="G39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71">
        <f>IF(Table1[[#This Row],[is_ups_overcharge]]="ups overcharged",Table1[[#This Row],[ups ship charge]]-Table1[[#This Row],[ada ship charge]],0)</f>
        <v>0</v>
      </c>
    </row>
    <row r="3972" spans="1:9" x14ac:dyDescent="0.2">
      <c r="A3972">
        <v>1054298</v>
      </c>
      <c r="B3972" t="s">
        <v>21</v>
      </c>
      <c r="C3972">
        <v>66.98</v>
      </c>
      <c r="D3972">
        <v>67.02</v>
      </c>
      <c r="E3972">
        <v>298.64999999999998</v>
      </c>
      <c r="F3972" t="s">
        <v>8</v>
      </c>
      <c r="G39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72">
        <f>IF(Table1[[#This Row],[is_ups_overcharge]]="ups overcharged",Table1[[#This Row],[ups ship charge]]-Table1[[#This Row],[ada ship charge]],0)</f>
        <v>0</v>
      </c>
    </row>
    <row r="3973" spans="1:9" x14ac:dyDescent="0.2">
      <c r="A3973">
        <v>1054308</v>
      </c>
      <c r="B3973" t="s">
        <v>21</v>
      </c>
      <c r="C3973">
        <v>15.02</v>
      </c>
      <c r="D3973">
        <v>15.07</v>
      </c>
      <c r="E3973">
        <v>157.94999999999999</v>
      </c>
      <c r="F3973" t="s">
        <v>12</v>
      </c>
      <c r="G39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73">
        <f>IF(Table1[[#This Row],[is_ups_overcharge]]="ups overcharged",Table1[[#This Row],[ups ship charge]]-Table1[[#This Row],[ada ship charge]],0)</f>
        <v>0</v>
      </c>
    </row>
    <row r="3974" spans="1:9" x14ac:dyDescent="0.2">
      <c r="A3974">
        <v>1054320</v>
      </c>
      <c r="B3974" t="s">
        <v>21</v>
      </c>
      <c r="C3974">
        <v>12.75</v>
      </c>
      <c r="D3974">
        <v>12.8</v>
      </c>
      <c r="E3974">
        <v>99.95</v>
      </c>
      <c r="F3974" t="s">
        <v>9</v>
      </c>
      <c r="G39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74">
        <f>IF(Table1[[#This Row],[is_ups_overcharge]]="ups overcharged",Table1[[#This Row],[ups ship charge]]-Table1[[#This Row],[ada ship charge]],0)</f>
        <v>0</v>
      </c>
    </row>
    <row r="3975" spans="1:9" x14ac:dyDescent="0.2">
      <c r="A3975">
        <v>1054331</v>
      </c>
      <c r="B3975" t="s">
        <v>21</v>
      </c>
      <c r="C3975">
        <v>16.649999999999999</v>
      </c>
      <c r="D3975">
        <v>16.7</v>
      </c>
      <c r="E3975">
        <v>4.75</v>
      </c>
      <c r="F3975" t="s">
        <v>10</v>
      </c>
      <c r="G39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75">
        <f>IF(Table1[[#This Row],[is_ups_overcharge]]="ups overcharged",Table1[[#This Row],[ups ship charge]]-Table1[[#This Row],[ada ship charge]],0)</f>
        <v>0</v>
      </c>
    </row>
    <row r="3976" spans="1:9" x14ac:dyDescent="0.2">
      <c r="A3976">
        <v>1054347</v>
      </c>
      <c r="B3976" t="s">
        <v>21</v>
      </c>
      <c r="C3976">
        <v>12.75</v>
      </c>
      <c r="D3976">
        <v>12.8</v>
      </c>
      <c r="E3976">
        <v>16.95</v>
      </c>
      <c r="F3976" t="s">
        <v>9</v>
      </c>
      <c r="G39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76">
        <f>IF(Table1[[#This Row],[is_ups_overcharge]]="ups overcharged",Table1[[#This Row],[ups ship charge]]-Table1[[#This Row],[ada ship charge]],0)</f>
        <v>0</v>
      </c>
    </row>
    <row r="3977" spans="1:9" x14ac:dyDescent="0.2">
      <c r="A3977">
        <v>1054386</v>
      </c>
      <c r="B3977" t="s">
        <v>21</v>
      </c>
      <c r="C3977">
        <v>13.64</v>
      </c>
      <c r="D3977">
        <v>13.69</v>
      </c>
      <c r="E3977">
        <v>11.95</v>
      </c>
      <c r="F3977" t="s">
        <v>9</v>
      </c>
      <c r="G39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77">
        <f>IF(Table1[[#This Row],[is_ups_overcharge]]="ups overcharged",Table1[[#This Row],[ups ship charge]]-Table1[[#This Row],[ada ship charge]],0)</f>
        <v>0</v>
      </c>
    </row>
    <row r="3978" spans="1:9" x14ac:dyDescent="0.2">
      <c r="A3978">
        <v>1054395</v>
      </c>
      <c r="B3978" t="s">
        <v>21</v>
      </c>
      <c r="C3978">
        <v>12.75</v>
      </c>
      <c r="D3978">
        <v>12.8</v>
      </c>
      <c r="E3978">
        <v>89.95</v>
      </c>
      <c r="F3978" t="s">
        <v>9</v>
      </c>
      <c r="G39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78">
        <f>IF(Table1[[#This Row],[is_ups_overcharge]]="ups overcharged",Table1[[#This Row],[ups ship charge]]-Table1[[#This Row],[ada ship charge]],0)</f>
        <v>0</v>
      </c>
    </row>
    <row r="3979" spans="1:9" x14ac:dyDescent="0.2">
      <c r="A3979">
        <v>1054400</v>
      </c>
      <c r="B3979" t="s">
        <v>21</v>
      </c>
      <c r="C3979">
        <v>12.75</v>
      </c>
      <c r="D3979">
        <v>12.8</v>
      </c>
      <c r="E3979">
        <v>99.95</v>
      </c>
      <c r="F3979" t="s">
        <v>9</v>
      </c>
      <c r="G39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79">
        <f>IF(Table1[[#This Row],[is_ups_overcharge]]="ups overcharged",Table1[[#This Row],[ups ship charge]]-Table1[[#This Row],[ada ship charge]],0)</f>
        <v>0</v>
      </c>
    </row>
    <row r="3980" spans="1:9" x14ac:dyDescent="0.2">
      <c r="A3980">
        <v>1054417</v>
      </c>
      <c r="B3980" t="s">
        <v>21</v>
      </c>
      <c r="C3980">
        <v>13.63</v>
      </c>
      <c r="D3980">
        <v>13.84</v>
      </c>
      <c r="E3980">
        <v>148</v>
      </c>
      <c r="F3980" t="s">
        <v>9</v>
      </c>
      <c r="G39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80">
        <f>IF(Table1[[#This Row],[is_ups_overcharge]]="ups overcharged",Table1[[#This Row],[ups ship charge]]-Table1[[#This Row],[ada ship charge]],0)</f>
        <v>0</v>
      </c>
    </row>
    <row r="3981" spans="1:9" x14ac:dyDescent="0.2">
      <c r="A3981">
        <v>1054421</v>
      </c>
      <c r="B3981" t="s">
        <v>21</v>
      </c>
      <c r="C3981">
        <v>9.65</v>
      </c>
      <c r="D3981">
        <v>9.6999999999999993</v>
      </c>
      <c r="E3981">
        <v>74.95</v>
      </c>
      <c r="F3981" t="s">
        <v>6</v>
      </c>
      <c r="G39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81">
        <f>IF(Table1[[#This Row],[is_ups_overcharge]]="ups overcharged",Table1[[#This Row],[ups ship charge]]-Table1[[#This Row],[ada ship charge]],0)</f>
        <v>0</v>
      </c>
    </row>
    <row r="3982" spans="1:9" x14ac:dyDescent="0.2">
      <c r="A3982">
        <v>1054423</v>
      </c>
      <c r="B3982" t="s">
        <v>21</v>
      </c>
      <c r="C3982">
        <v>16.440000000000001</v>
      </c>
      <c r="D3982">
        <v>16.489999999999998</v>
      </c>
      <c r="E3982">
        <v>55.1</v>
      </c>
      <c r="F3982" t="s">
        <v>10</v>
      </c>
      <c r="G39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82">
        <f>IF(Table1[[#This Row],[is_ups_overcharge]]="ups overcharged",Table1[[#This Row],[ups ship charge]]-Table1[[#This Row],[ada ship charge]],0)</f>
        <v>0</v>
      </c>
    </row>
    <row r="3983" spans="1:9" x14ac:dyDescent="0.2">
      <c r="A3983">
        <v>1054432</v>
      </c>
      <c r="B3983" t="s">
        <v>21</v>
      </c>
      <c r="C3983">
        <v>9.65</v>
      </c>
      <c r="D3983">
        <v>9.6999999999999993</v>
      </c>
      <c r="E3983">
        <v>66.849999999999994</v>
      </c>
      <c r="F3983" t="s">
        <v>6</v>
      </c>
      <c r="G39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83">
        <f>IF(Table1[[#This Row],[is_ups_overcharge]]="ups overcharged",Table1[[#This Row],[ups ship charge]]-Table1[[#This Row],[ada ship charge]],0)</f>
        <v>0</v>
      </c>
    </row>
    <row r="3984" spans="1:9" x14ac:dyDescent="0.2">
      <c r="A3984">
        <v>1054433</v>
      </c>
      <c r="B3984" t="s">
        <v>21</v>
      </c>
      <c r="C3984">
        <v>12.75</v>
      </c>
      <c r="D3984">
        <v>12.8</v>
      </c>
      <c r="E3984">
        <v>53.95</v>
      </c>
      <c r="F3984" t="s">
        <v>9</v>
      </c>
      <c r="G39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84">
        <f>IF(Table1[[#This Row],[is_ups_overcharge]]="ups overcharged",Table1[[#This Row],[ups ship charge]]-Table1[[#This Row],[ada ship charge]],0)</f>
        <v>0</v>
      </c>
    </row>
    <row r="3985" spans="1:9" x14ac:dyDescent="0.2">
      <c r="A3985">
        <v>1054453</v>
      </c>
      <c r="B3985" t="s">
        <v>21</v>
      </c>
      <c r="C3985">
        <v>13.64</v>
      </c>
      <c r="D3985">
        <v>13.69</v>
      </c>
      <c r="E3985">
        <v>15.9</v>
      </c>
      <c r="F3985" t="s">
        <v>9</v>
      </c>
      <c r="G39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85">
        <f>IF(Table1[[#This Row],[is_ups_overcharge]]="ups overcharged",Table1[[#This Row],[ups ship charge]]-Table1[[#This Row],[ada ship charge]],0)</f>
        <v>0</v>
      </c>
    </row>
    <row r="3986" spans="1:9" x14ac:dyDescent="0.2">
      <c r="A3986">
        <v>1054456</v>
      </c>
      <c r="B3986" t="s">
        <v>21</v>
      </c>
      <c r="C3986">
        <v>13.63</v>
      </c>
      <c r="D3986">
        <v>14.7</v>
      </c>
      <c r="E3986">
        <v>82.85</v>
      </c>
      <c r="F3986" t="s">
        <v>9</v>
      </c>
      <c r="G39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86">
        <f>IF(Table1[[#This Row],[is_ups_overcharge]]="ups overcharged",Table1[[#This Row],[ups ship charge]]-Table1[[#This Row],[ada ship charge]],0)</f>
        <v>0</v>
      </c>
    </row>
    <row r="3987" spans="1:9" x14ac:dyDescent="0.2">
      <c r="A3987">
        <v>1054478</v>
      </c>
      <c r="B3987" t="s">
        <v>21</v>
      </c>
      <c r="C3987">
        <v>15.02</v>
      </c>
      <c r="D3987">
        <v>15.07</v>
      </c>
      <c r="E3987">
        <v>17.95</v>
      </c>
      <c r="F3987" t="s">
        <v>12</v>
      </c>
      <c r="G39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87">
        <f>IF(Table1[[#This Row],[is_ups_overcharge]]="ups overcharged",Table1[[#This Row],[ups ship charge]]-Table1[[#This Row],[ada ship charge]],0)</f>
        <v>0</v>
      </c>
    </row>
    <row r="3988" spans="1:9" x14ac:dyDescent="0.2">
      <c r="A3988">
        <v>1054517</v>
      </c>
      <c r="B3988" t="s">
        <v>21</v>
      </c>
      <c r="C3988">
        <v>12.75</v>
      </c>
      <c r="D3988">
        <v>12.8</v>
      </c>
      <c r="E3988">
        <v>89.9</v>
      </c>
      <c r="F3988" t="s">
        <v>9</v>
      </c>
      <c r="G39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88">
        <f>IF(Table1[[#This Row],[is_ups_overcharge]]="ups overcharged",Table1[[#This Row],[ups ship charge]]-Table1[[#This Row],[ada ship charge]],0)</f>
        <v>0</v>
      </c>
    </row>
    <row r="3989" spans="1:9" x14ac:dyDescent="0.2">
      <c r="A3989">
        <v>1054565</v>
      </c>
      <c r="B3989" t="s">
        <v>21</v>
      </c>
      <c r="C3989">
        <v>12.75</v>
      </c>
      <c r="D3989">
        <v>12.8</v>
      </c>
      <c r="E3989">
        <v>16.95</v>
      </c>
      <c r="F3989" t="s">
        <v>9</v>
      </c>
      <c r="G39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89">
        <f>IF(Table1[[#This Row],[is_ups_overcharge]]="ups overcharged",Table1[[#This Row],[ups ship charge]]-Table1[[#This Row],[ada ship charge]],0)</f>
        <v>0</v>
      </c>
    </row>
    <row r="3990" spans="1:9" x14ac:dyDescent="0.2">
      <c r="A3990">
        <v>1054578</v>
      </c>
      <c r="B3990" t="s">
        <v>21</v>
      </c>
      <c r="C3990">
        <v>15.33</v>
      </c>
      <c r="D3990">
        <v>18.27</v>
      </c>
      <c r="E3990">
        <v>146.80000000000001</v>
      </c>
      <c r="F3990" t="s">
        <v>12</v>
      </c>
      <c r="G39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90">
        <f>IF(Table1[[#This Row],[is_ups_overcharge]]="ups overcharged",Table1[[#This Row],[ups ship charge]]-Table1[[#This Row],[ada ship charge]],0)</f>
        <v>0</v>
      </c>
    </row>
    <row r="3991" spans="1:9" x14ac:dyDescent="0.2">
      <c r="A3991">
        <v>1054582</v>
      </c>
      <c r="B3991" t="s">
        <v>21</v>
      </c>
      <c r="C3991">
        <v>12.75</v>
      </c>
      <c r="D3991">
        <v>12.8</v>
      </c>
      <c r="E3991">
        <v>54.8</v>
      </c>
      <c r="F3991" t="s">
        <v>9</v>
      </c>
      <c r="G39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91">
        <f>IF(Table1[[#This Row],[is_ups_overcharge]]="ups overcharged",Table1[[#This Row],[ups ship charge]]-Table1[[#This Row],[ada ship charge]],0)</f>
        <v>0</v>
      </c>
    </row>
    <row r="3992" spans="1:9" x14ac:dyDescent="0.2">
      <c r="A3992">
        <v>1054590</v>
      </c>
      <c r="B3992" t="s">
        <v>21</v>
      </c>
      <c r="C3992">
        <v>12.75</v>
      </c>
      <c r="D3992">
        <v>12.8</v>
      </c>
      <c r="E3992">
        <v>47.4</v>
      </c>
      <c r="F3992" t="s">
        <v>9</v>
      </c>
      <c r="G39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92">
        <f>IF(Table1[[#This Row],[is_ups_overcharge]]="ups overcharged",Table1[[#This Row],[ups ship charge]]-Table1[[#This Row],[ada ship charge]],0)</f>
        <v>0</v>
      </c>
    </row>
    <row r="3993" spans="1:9" x14ac:dyDescent="0.2">
      <c r="A3993">
        <v>1054644</v>
      </c>
      <c r="B3993" t="s">
        <v>21</v>
      </c>
      <c r="C3993">
        <v>12.75</v>
      </c>
      <c r="D3993">
        <v>12.8</v>
      </c>
      <c r="E3993">
        <v>103.7</v>
      </c>
      <c r="F3993" t="s">
        <v>9</v>
      </c>
      <c r="G39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93">
        <f>IF(Table1[[#This Row],[is_ups_overcharge]]="ups overcharged",Table1[[#This Row],[ups ship charge]]-Table1[[#This Row],[ada ship charge]],0)</f>
        <v>0</v>
      </c>
    </row>
    <row r="3994" spans="1:9" x14ac:dyDescent="0.2">
      <c r="A3994">
        <v>1054659</v>
      </c>
      <c r="B3994" t="s">
        <v>21</v>
      </c>
      <c r="C3994">
        <v>16.34</v>
      </c>
      <c r="D3994">
        <v>16.39</v>
      </c>
      <c r="E3994">
        <v>17.5</v>
      </c>
      <c r="F3994" t="s">
        <v>10</v>
      </c>
      <c r="G39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94">
        <f>IF(Table1[[#This Row],[is_ups_overcharge]]="ups overcharged",Table1[[#This Row],[ups ship charge]]-Table1[[#This Row],[ada ship charge]],0)</f>
        <v>0</v>
      </c>
    </row>
    <row r="3995" spans="1:9" x14ac:dyDescent="0.2">
      <c r="A3995">
        <v>1054675</v>
      </c>
      <c r="B3995" t="s">
        <v>21</v>
      </c>
      <c r="C3995">
        <v>12.75</v>
      </c>
      <c r="D3995">
        <v>12.8</v>
      </c>
      <c r="E3995">
        <v>54.4</v>
      </c>
      <c r="F3995" t="s">
        <v>9</v>
      </c>
      <c r="G39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95">
        <f>IF(Table1[[#This Row],[is_ups_overcharge]]="ups overcharged",Table1[[#This Row],[ups ship charge]]-Table1[[#This Row],[ada ship charge]],0)</f>
        <v>0</v>
      </c>
    </row>
    <row r="3996" spans="1:9" x14ac:dyDescent="0.2">
      <c r="A3996">
        <v>1054680</v>
      </c>
      <c r="B3996" t="s">
        <v>21</v>
      </c>
      <c r="C3996">
        <v>9.66</v>
      </c>
      <c r="D3996">
        <v>12.8</v>
      </c>
      <c r="E3996">
        <v>23.7</v>
      </c>
      <c r="F3996" t="s">
        <v>6</v>
      </c>
      <c r="G39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96">
        <f>IF(Table1[[#This Row],[is_ups_overcharge]]="ups overcharged",Table1[[#This Row],[ups ship charge]]-Table1[[#This Row],[ada ship charge]],0)</f>
        <v>0</v>
      </c>
    </row>
    <row r="3997" spans="1:9" x14ac:dyDescent="0.2">
      <c r="A3997">
        <v>1054694</v>
      </c>
      <c r="B3997" t="s">
        <v>21</v>
      </c>
      <c r="C3997">
        <v>15.02</v>
      </c>
      <c r="D3997">
        <v>15.07</v>
      </c>
      <c r="E3997">
        <v>98.85</v>
      </c>
      <c r="F3997" t="s">
        <v>12</v>
      </c>
      <c r="G39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97">
        <f>IF(Table1[[#This Row],[is_ups_overcharge]]="ups overcharged",Table1[[#This Row],[ups ship charge]]-Table1[[#This Row],[ada ship charge]],0)</f>
        <v>0</v>
      </c>
    </row>
    <row r="3998" spans="1:9" x14ac:dyDescent="0.2">
      <c r="A3998">
        <v>1054701</v>
      </c>
      <c r="B3998" t="s">
        <v>21</v>
      </c>
      <c r="C3998">
        <v>16.34</v>
      </c>
      <c r="D3998">
        <v>16.77</v>
      </c>
      <c r="E3998">
        <v>30.75</v>
      </c>
      <c r="F3998" t="s">
        <v>10</v>
      </c>
      <c r="G39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98">
        <f>IF(Table1[[#This Row],[is_ups_overcharge]]="ups overcharged",Table1[[#This Row],[ups ship charge]]-Table1[[#This Row],[ada ship charge]],0)</f>
        <v>0</v>
      </c>
    </row>
    <row r="3999" spans="1:9" x14ac:dyDescent="0.2">
      <c r="A3999">
        <v>1054703</v>
      </c>
      <c r="B3999" t="s">
        <v>21</v>
      </c>
      <c r="C3999">
        <v>12.75</v>
      </c>
      <c r="D3999">
        <v>12.8</v>
      </c>
      <c r="E3999">
        <v>20.9</v>
      </c>
      <c r="F3999" t="s">
        <v>9</v>
      </c>
      <c r="G39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39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3999">
        <f>IF(Table1[[#This Row],[is_ups_overcharge]]="ups overcharged",Table1[[#This Row],[ups ship charge]]-Table1[[#This Row],[ada ship charge]],0)</f>
        <v>0</v>
      </c>
    </row>
    <row r="4000" spans="1:9" x14ac:dyDescent="0.2">
      <c r="A4000">
        <v>1054713</v>
      </c>
      <c r="B4000" t="s">
        <v>21</v>
      </c>
      <c r="C4000">
        <v>12.75</v>
      </c>
      <c r="D4000">
        <v>12.8</v>
      </c>
      <c r="E4000">
        <v>54.85</v>
      </c>
      <c r="F4000" t="s">
        <v>9</v>
      </c>
      <c r="G40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00">
        <f>IF(Table1[[#This Row],[is_ups_overcharge]]="ups overcharged",Table1[[#This Row],[ups ship charge]]-Table1[[#This Row],[ada ship charge]],0)</f>
        <v>0</v>
      </c>
    </row>
    <row r="4001" spans="1:9" x14ac:dyDescent="0.2">
      <c r="A4001">
        <v>1054722</v>
      </c>
      <c r="B4001" t="s">
        <v>21</v>
      </c>
      <c r="C4001">
        <v>13.64</v>
      </c>
      <c r="D4001">
        <v>13.69</v>
      </c>
      <c r="E4001">
        <v>21.7</v>
      </c>
      <c r="F4001" t="s">
        <v>9</v>
      </c>
      <c r="G40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01">
        <f>IF(Table1[[#This Row],[is_ups_overcharge]]="ups overcharged",Table1[[#This Row],[ups ship charge]]-Table1[[#This Row],[ada ship charge]],0)</f>
        <v>0</v>
      </c>
    </row>
    <row r="4002" spans="1:9" x14ac:dyDescent="0.2">
      <c r="A4002">
        <v>1054731</v>
      </c>
      <c r="B4002" t="s">
        <v>21</v>
      </c>
      <c r="C4002">
        <v>13.64</v>
      </c>
      <c r="D4002">
        <v>13.69</v>
      </c>
      <c r="E4002">
        <v>62.8</v>
      </c>
      <c r="F4002" t="s">
        <v>9</v>
      </c>
      <c r="G40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02">
        <f>IF(Table1[[#This Row],[is_ups_overcharge]]="ups overcharged",Table1[[#This Row],[ups ship charge]]-Table1[[#This Row],[ada ship charge]],0)</f>
        <v>0</v>
      </c>
    </row>
    <row r="4003" spans="1:9" x14ac:dyDescent="0.2">
      <c r="A4003">
        <v>1054742</v>
      </c>
      <c r="B4003" t="s">
        <v>21</v>
      </c>
      <c r="C4003">
        <v>12.75</v>
      </c>
      <c r="D4003">
        <v>12.8</v>
      </c>
      <c r="E4003">
        <v>99.7</v>
      </c>
      <c r="F4003" t="s">
        <v>9</v>
      </c>
      <c r="G40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03">
        <f>IF(Table1[[#This Row],[is_ups_overcharge]]="ups overcharged",Table1[[#This Row],[ups ship charge]]-Table1[[#This Row],[ada ship charge]],0)</f>
        <v>0</v>
      </c>
    </row>
    <row r="4004" spans="1:9" x14ac:dyDescent="0.2">
      <c r="A4004">
        <v>1054743</v>
      </c>
      <c r="B4004" t="s">
        <v>21</v>
      </c>
      <c r="C4004">
        <v>9.65</v>
      </c>
      <c r="D4004">
        <v>9.6999999999999993</v>
      </c>
      <c r="E4004">
        <v>21.95</v>
      </c>
      <c r="F4004" t="s">
        <v>6</v>
      </c>
      <c r="G40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04">
        <f>IF(Table1[[#This Row],[is_ups_overcharge]]="ups overcharged",Table1[[#This Row],[ups ship charge]]-Table1[[#This Row],[ada ship charge]],0)</f>
        <v>0</v>
      </c>
    </row>
    <row r="4005" spans="1:9" x14ac:dyDescent="0.2">
      <c r="A4005">
        <v>1054748</v>
      </c>
      <c r="B4005" t="s">
        <v>21</v>
      </c>
      <c r="C4005">
        <v>16.34</v>
      </c>
      <c r="D4005">
        <v>16.39</v>
      </c>
      <c r="E4005">
        <v>86.8</v>
      </c>
      <c r="F4005" t="s">
        <v>10</v>
      </c>
      <c r="G40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05">
        <f>IF(Table1[[#This Row],[is_ups_overcharge]]="ups overcharged",Table1[[#This Row],[ups ship charge]]-Table1[[#This Row],[ada ship charge]],0)</f>
        <v>0</v>
      </c>
    </row>
    <row r="4006" spans="1:9" x14ac:dyDescent="0.2">
      <c r="A4006">
        <v>1054757</v>
      </c>
      <c r="B4006" t="s">
        <v>21</v>
      </c>
      <c r="C4006">
        <v>13.63</v>
      </c>
      <c r="D4006">
        <v>15.1</v>
      </c>
      <c r="E4006">
        <v>134.9</v>
      </c>
      <c r="F4006" t="s">
        <v>9</v>
      </c>
      <c r="G40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06">
        <f>IF(Table1[[#This Row],[is_ups_overcharge]]="ups overcharged",Table1[[#This Row],[ups ship charge]]-Table1[[#This Row],[ada ship charge]],0)</f>
        <v>0</v>
      </c>
    </row>
    <row r="4007" spans="1:9" x14ac:dyDescent="0.2">
      <c r="A4007">
        <v>1054763</v>
      </c>
      <c r="B4007" t="s">
        <v>21</v>
      </c>
      <c r="C4007">
        <v>12.75</v>
      </c>
      <c r="D4007">
        <v>12.8</v>
      </c>
      <c r="E4007">
        <v>184.8</v>
      </c>
      <c r="F4007" t="s">
        <v>9</v>
      </c>
      <c r="G40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07">
        <f>IF(Table1[[#This Row],[is_ups_overcharge]]="ups overcharged",Table1[[#This Row],[ups ship charge]]-Table1[[#This Row],[ada ship charge]],0)</f>
        <v>0</v>
      </c>
    </row>
    <row r="4008" spans="1:9" x14ac:dyDescent="0.2">
      <c r="A4008">
        <v>1054781</v>
      </c>
      <c r="B4008" t="s">
        <v>21</v>
      </c>
      <c r="C4008">
        <v>12.75</v>
      </c>
      <c r="D4008">
        <v>12.8</v>
      </c>
      <c r="E4008">
        <v>67.849999999999994</v>
      </c>
      <c r="F4008" t="s">
        <v>9</v>
      </c>
      <c r="G40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08">
        <f>IF(Table1[[#This Row],[is_ups_overcharge]]="ups overcharged",Table1[[#This Row],[ups ship charge]]-Table1[[#This Row],[ada ship charge]],0)</f>
        <v>0</v>
      </c>
    </row>
    <row r="4009" spans="1:9" x14ac:dyDescent="0.2">
      <c r="A4009">
        <v>1054782</v>
      </c>
      <c r="B4009" t="s">
        <v>21</v>
      </c>
      <c r="C4009">
        <v>12.75</v>
      </c>
      <c r="D4009">
        <v>12.8</v>
      </c>
      <c r="E4009">
        <v>10.85</v>
      </c>
      <c r="F4009" t="s">
        <v>9</v>
      </c>
      <c r="G40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09">
        <f>IF(Table1[[#This Row],[is_ups_overcharge]]="ups overcharged",Table1[[#This Row],[ups ship charge]]-Table1[[#This Row],[ada ship charge]],0)</f>
        <v>0</v>
      </c>
    </row>
    <row r="4010" spans="1:9" x14ac:dyDescent="0.2">
      <c r="A4010">
        <v>1054798</v>
      </c>
      <c r="B4010" t="s">
        <v>21</v>
      </c>
      <c r="C4010">
        <v>12.75</v>
      </c>
      <c r="D4010">
        <v>12.8</v>
      </c>
      <c r="E4010">
        <v>60.8</v>
      </c>
      <c r="F4010" t="s">
        <v>9</v>
      </c>
      <c r="G40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10">
        <f>IF(Table1[[#This Row],[is_ups_overcharge]]="ups overcharged",Table1[[#This Row],[ups ship charge]]-Table1[[#This Row],[ada ship charge]],0)</f>
        <v>0</v>
      </c>
    </row>
    <row r="4011" spans="1:9" x14ac:dyDescent="0.2">
      <c r="A4011">
        <v>1054799</v>
      </c>
      <c r="B4011" t="s">
        <v>21</v>
      </c>
      <c r="C4011">
        <v>12.26</v>
      </c>
      <c r="D4011">
        <v>12.31</v>
      </c>
      <c r="E4011">
        <v>9.9</v>
      </c>
      <c r="F4011" t="s">
        <v>13</v>
      </c>
      <c r="G40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11">
        <f>IF(Table1[[#This Row],[is_ups_overcharge]]="ups overcharged",Table1[[#This Row],[ups ship charge]]-Table1[[#This Row],[ada ship charge]],0)</f>
        <v>0</v>
      </c>
    </row>
    <row r="4012" spans="1:9" x14ac:dyDescent="0.2">
      <c r="A4012">
        <v>1054801</v>
      </c>
      <c r="B4012" t="s">
        <v>21</v>
      </c>
      <c r="C4012">
        <v>16.34</v>
      </c>
      <c r="D4012">
        <v>16.39</v>
      </c>
      <c r="E4012">
        <v>9.9499999999999993</v>
      </c>
      <c r="F4012" t="s">
        <v>10</v>
      </c>
      <c r="G40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12">
        <f>IF(Table1[[#This Row],[is_ups_overcharge]]="ups overcharged",Table1[[#This Row],[ups ship charge]]-Table1[[#This Row],[ada ship charge]],0)</f>
        <v>0</v>
      </c>
    </row>
    <row r="4013" spans="1:9" x14ac:dyDescent="0.2">
      <c r="A4013">
        <v>1054817</v>
      </c>
      <c r="B4013" t="s">
        <v>21</v>
      </c>
      <c r="C4013">
        <v>16.64</v>
      </c>
      <c r="D4013">
        <v>16.690000000000001</v>
      </c>
      <c r="E4013">
        <v>94.65</v>
      </c>
      <c r="F4013" t="s">
        <v>10</v>
      </c>
      <c r="G40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13">
        <f>IF(Table1[[#This Row],[is_ups_overcharge]]="ups overcharged",Table1[[#This Row],[ups ship charge]]-Table1[[#This Row],[ada ship charge]],0)</f>
        <v>0</v>
      </c>
    </row>
    <row r="4014" spans="1:9" x14ac:dyDescent="0.2">
      <c r="A4014">
        <v>1054820</v>
      </c>
      <c r="B4014" t="s">
        <v>21</v>
      </c>
      <c r="C4014">
        <v>9.66</v>
      </c>
      <c r="D4014">
        <v>12.8</v>
      </c>
      <c r="E4014">
        <v>48.9</v>
      </c>
      <c r="F4014" t="s">
        <v>6</v>
      </c>
      <c r="G40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14">
        <f>IF(Table1[[#This Row],[is_ups_overcharge]]="ups overcharged",Table1[[#This Row],[ups ship charge]]-Table1[[#This Row],[ada ship charge]],0)</f>
        <v>0</v>
      </c>
    </row>
    <row r="4015" spans="1:9" x14ac:dyDescent="0.2">
      <c r="A4015">
        <v>1054823</v>
      </c>
      <c r="B4015" t="s">
        <v>21</v>
      </c>
      <c r="C4015">
        <v>16.649999999999999</v>
      </c>
      <c r="D4015">
        <v>16.7</v>
      </c>
      <c r="E4015">
        <v>19.45</v>
      </c>
      <c r="F4015" t="s">
        <v>10</v>
      </c>
      <c r="G40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15">
        <f>IF(Table1[[#This Row],[is_ups_overcharge]]="ups overcharged",Table1[[#This Row],[ups ship charge]]-Table1[[#This Row],[ada ship charge]],0)</f>
        <v>0</v>
      </c>
    </row>
    <row r="4016" spans="1:9" x14ac:dyDescent="0.2">
      <c r="A4016">
        <v>1054832</v>
      </c>
      <c r="B4016" t="s">
        <v>21</v>
      </c>
      <c r="C4016">
        <v>15.11</v>
      </c>
      <c r="D4016">
        <v>15.16</v>
      </c>
      <c r="E4016">
        <v>111.89</v>
      </c>
      <c r="F4016" t="s">
        <v>12</v>
      </c>
      <c r="G40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16">
        <f>IF(Table1[[#This Row],[is_ups_overcharge]]="ups overcharged",Table1[[#This Row],[ups ship charge]]-Table1[[#This Row],[ada ship charge]],0)</f>
        <v>0</v>
      </c>
    </row>
    <row r="4017" spans="1:9" x14ac:dyDescent="0.2">
      <c r="A4017">
        <v>1054838</v>
      </c>
      <c r="B4017" t="s">
        <v>21</v>
      </c>
      <c r="C4017">
        <v>12.75</v>
      </c>
      <c r="D4017">
        <v>12.8</v>
      </c>
      <c r="E4017">
        <v>5.9</v>
      </c>
      <c r="F4017" t="s">
        <v>9</v>
      </c>
      <c r="G40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17">
        <f>IF(Table1[[#This Row],[is_ups_overcharge]]="ups overcharged",Table1[[#This Row],[ups ship charge]]-Table1[[#This Row],[ada ship charge]],0)</f>
        <v>0</v>
      </c>
    </row>
    <row r="4018" spans="1:9" x14ac:dyDescent="0.2">
      <c r="A4018">
        <v>1054839</v>
      </c>
      <c r="B4018" t="s">
        <v>21</v>
      </c>
      <c r="C4018">
        <v>9.65</v>
      </c>
      <c r="D4018">
        <v>10.07</v>
      </c>
      <c r="E4018">
        <v>110.95</v>
      </c>
      <c r="F4018" t="s">
        <v>6</v>
      </c>
      <c r="G40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18">
        <f>IF(Table1[[#This Row],[is_ups_overcharge]]="ups overcharged",Table1[[#This Row],[ups ship charge]]-Table1[[#This Row],[ada ship charge]],0)</f>
        <v>0</v>
      </c>
    </row>
    <row r="4019" spans="1:9" x14ac:dyDescent="0.2">
      <c r="A4019">
        <v>1054869</v>
      </c>
      <c r="B4019" t="s">
        <v>21</v>
      </c>
      <c r="C4019">
        <v>9.65</v>
      </c>
      <c r="D4019">
        <v>9.7100000000000009</v>
      </c>
      <c r="E4019">
        <v>53.6</v>
      </c>
      <c r="F4019" t="s">
        <v>6</v>
      </c>
      <c r="G40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19">
        <f>IF(Table1[[#This Row],[is_ups_overcharge]]="ups overcharged",Table1[[#This Row],[ups ship charge]]-Table1[[#This Row],[ada ship charge]],0)</f>
        <v>0</v>
      </c>
    </row>
    <row r="4020" spans="1:9" x14ac:dyDescent="0.2">
      <c r="A4020">
        <v>1054887</v>
      </c>
      <c r="B4020" t="s">
        <v>21</v>
      </c>
      <c r="C4020">
        <v>13.64</v>
      </c>
      <c r="D4020">
        <v>13.69</v>
      </c>
      <c r="E4020">
        <v>9.9499999999999993</v>
      </c>
      <c r="F4020" t="s">
        <v>9</v>
      </c>
      <c r="G40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20">
        <f>IF(Table1[[#This Row],[is_ups_overcharge]]="ups overcharged",Table1[[#This Row],[ups ship charge]]-Table1[[#This Row],[ada ship charge]],0)</f>
        <v>0</v>
      </c>
    </row>
    <row r="4021" spans="1:9" x14ac:dyDescent="0.2">
      <c r="A4021">
        <v>1054905</v>
      </c>
      <c r="B4021" t="s">
        <v>21</v>
      </c>
      <c r="C4021">
        <v>9.66</v>
      </c>
      <c r="D4021">
        <v>9.7100000000000009</v>
      </c>
      <c r="E4021">
        <v>11.95</v>
      </c>
      <c r="F4021" t="s">
        <v>6</v>
      </c>
      <c r="G40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21">
        <f>IF(Table1[[#This Row],[is_ups_overcharge]]="ups overcharged",Table1[[#This Row],[ups ship charge]]-Table1[[#This Row],[ada ship charge]],0)</f>
        <v>0</v>
      </c>
    </row>
    <row r="4022" spans="1:9" x14ac:dyDescent="0.2">
      <c r="A4022">
        <v>1054911</v>
      </c>
      <c r="B4022" t="s">
        <v>21</v>
      </c>
      <c r="C4022">
        <v>17.579999999999998</v>
      </c>
      <c r="D4022">
        <v>17.63</v>
      </c>
      <c r="E4022">
        <v>49.45</v>
      </c>
      <c r="F4022" t="s">
        <v>15</v>
      </c>
      <c r="G40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22">
        <f>IF(Table1[[#This Row],[is_ups_overcharge]]="ups overcharged",Table1[[#This Row],[ups ship charge]]-Table1[[#This Row],[ada ship charge]],0)</f>
        <v>0</v>
      </c>
    </row>
    <row r="4023" spans="1:9" x14ac:dyDescent="0.2">
      <c r="A4023">
        <v>1054931</v>
      </c>
      <c r="B4023" t="s">
        <v>21</v>
      </c>
      <c r="C4023">
        <v>9.66</v>
      </c>
      <c r="D4023">
        <v>9.7100000000000009</v>
      </c>
      <c r="E4023">
        <v>74.95</v>
      </c>
      <c r="F4023" t="s">
        <v>6</v>
      </c>
      <c r="G40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23">
        <f>IF(Table1[[#This Row],[is_ups_overcharge]]="ups overcharged",Table1[[#This Row],[ups ship charge]]-Table1[[#This Row],[ada ship charge]],0)</f>
        <v>0</v>
      </c>
    </row>
    <row r="4024" spans="1:9" x14ac:dyDescent="0.2">
      <c r="A4024">
        <v>1054932</v>
      </c>
      <c r="B4024" t="s">
        <v>21</v>
      </c>
      <c r="C4024">
        <v>19.079999999999998</v>
      </c>
      <c r="D4024">
        <v>19.13</v>
      </c>
      <c r="E4024">
        <v>11.25</v>
      </c>
      <c r="F4024" t="s">
        <v>16</v>
      </c>
      <c r="G40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24">
        <f>IF(Table1[[#This Row],[is_ups_overcharge]]="ups overcharged",Table1[[#This Row],[ups ship charge]]-Table1[[#This Row],[ada ship charge]],0)</f>
        <v>0</v>
      </c>
    </row>
    <row r="4025" spans="1:9" x14ac:dyDescent="0.2">
      <c r="A4025">
        <v>1054964</v>
      </c>
      <c r="B4025" t="s">
        <v>21</v>
      </c>
      <c r="C4025">
        <v>15.32</v>
      </c>
      <c r="D4025">
        <v>15.37</v>
      </c>
      <c r="E4025">
        <v>39.950000000000003</v>
      </c>
      <c r="F4025" t="s">
        <v>12</v>
      </c>
      <c r="G40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25">
        <f>IF(Table1[[#This Row],[is_ups_overcharge]]="ups overcharged",Table1[[#This Row],[ups ship charge]]-Table1[[#This Row],[ada ship charge]],0)</f>
        <v>0</v>
      </c>
    </row>
    <row r="4026" spans="1:9" x14ac:dyDescent="0.2">
      <c r="A4026">
        <v>1054979</v>
      </c>
      <c r="B4026" t="s">
        <v>21</v>
      </c>
      <c r="C4026">
        <v>13.63</v>
      </c>
      <c r="D4026">
        <v>13.68</v>
      </c>
      <c r="E4026">
        <v>91.9</v>
      </c>
      <c r="F4026" t="s">
        <v>9</v>
      </c>
      <c r="G40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26">
        <f>IF(Table1[[#This Row],[is_ups_overcharge]]="ups overcharged",Table1[[#This Row],[ups ship charge]]-Table1[[#This Row],[ada ship charge]],0)</f>
        <v>0</v>
      </c>
    </row>
    <row r="4027" spans="1:9" x14ac:dyDescent="0.2">
      <c r="A4027">
        <v>1054980</v>
      </c>
      <c r="B4027" t="s">
        <v>21</v>
      </c>
      <c r="C4027">
        <v>9.65</v>
      </c>
      <c r="D4027">
        <v>9.74</v>
      </c>
      <c r="E4027">
        <v>126.7</v>
      </c>
      <c r="F4027" t="s">
        <v>6</v>
      </c>
      <c r="G40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27">
        <f>IF(Table1[[#This Row],[is_ups_overcharge]]="ups overcharged",Table1[[#This Row],[ups ship charge]]-Table1[[#This Row],[ada ship charge]],0)</f>
        <v>0</v>
      </c>
    </row>
    <row r="4028" spans="1:9" x14ac:dyDescent="0.2">
      <c r="A4028">
        <v>1054987</v>
      </c>
      <c r="B4028" t="s">
        <v>21</v>
      </c>
      <c r="C4028">
        <v>17.579999999999998</v>
      </c>
      <c r="D4028">
        <v>17.63</v>
      </c>
      <c r="E4028">
        <v>44.95</v>
      </c>
      <c r="F4028" t="s">
        <v>15</v>
      </c>
      <c r="G40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28">
        <f>IF(Table1[[#This Row],[is_ups_overcharge]]="ups overcharged",Table1[[#This Row],[ups ship charge]]-Table1[[#This Row],[ada ship charge]],0)</f>
        <v>0</v>
      </c>
    </row>
    <row r="4029" spans="1:9" x14ac:dyDescent="0.2">
      <c r="A4029">
        <v>1055002</v>
      </c>
      <c r="B4029" t="s">
        <v>21</v>
      </c>
      <c r="C4029">
        <v>10.94</v>
      </c>
      <c r="D4029">
        <v>10.99</v>
      </c>
      <c r="E4029">
        <v>22.5</v>
      </c>
      <c r="F4029" t="s">
        <v>14</v>
      </c>
      <c r="G40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29">
        <f>IF(Table1[[#This Row],[is_ups_overcharge]]="ups overcharged",Table1[[#This Row],[ups ship charge]]-Table1[[#This Row],[ada ship charge]],0)</f>
        <v>0</v>
      </c>
    </row>
    <row r="4030" spans="1:9" x14ac:dyDescent="0.2">
      <c r="A4030">
        <v>1055007</v>
      </c>
      <c r="B4030" t="s">
        <v>21</v>
      </c>
      <c r="C4030">
        <v>12.75</v>
      </c>
      <c r="D4030">
        <v>12.8</v>
      </c>
      <c r="E4030">
        <v>139.55000000000001</v>
      </c>
      <c r="F4030" t="s">
        <v>9</v>
      </c>
      <c r="G40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30">
        <f>IF(Table1[[#This Row],[is_ups_overcharge]]="ups overcharged",Table1[[#This Row],[ups ship charge]]-Table1[[#This Row],[ada ship charge]],0)</f>
        <v>0</v>
      </c>
    </row>
    <row r="4031" spans="1:9" x14ac:dyDescent="0.2">
      <c r="A4031">
        <v>1055018</v>
      </c>
      <c r="B4031" t="s">
        <v>21</v>
      </c>
      <c r="C4031">
        <v>16.440000000000001</v>
      </c>
      <c r="D4031">
        <v>16.489999999999998</v>
      </c>
      <c r="E4031">
        <v>34.950000000000003</v>
      </c>
      <c r="F4031" t="s">
        <v>10</v>
      </c>
      <c r="G40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31">
        <f>IF(Table1[[#This Row],[is_ups_overcharge]]="ups overcharged",Table1[[#This Row],[ups ship charge]]-Table1[[#This Row],[ada ship charge]],0)</f>
        <v>0</v>
      </c>
    </row>
    <row r="4032" spans="1:9" x14ac:dyDescent="0.2">
      <c r="A4032">
        <v>1055024</v>
      </c>
      <c r="B4032" t="s">
        <v>21</v>
      </c>
      <c r="C4032">
        <v>15.02</v>
      </c>
      <c r="D4032">
        <v>15.07</v>
      </c>
      <c r="E4032">
        <v>24.7</v>
      </c>
      <c r="F4032" t="s">
        <v>12</v>
      </c>
      <c r="G40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32">
        <f>IF(Table1[[#This Row],[is_ups_overcharge]]="ups overcharged",Table1[[#This Row],[ups ship charge]]-Table1[[#This Row],[ada ship charge]],0)</f>
        <v>0</v>
      </c>
    </row>
    <row r="4033" spans="1:9" x14ac:dyDescent="0.2">
      <c r="A4033">
        <v>1055033</v>
      </c>
      <c r="B4033" t="s">
        <v>21</v>
      </c>
      <c r="C4033">
        <v>16.649999999999999</v>
      </c>
      <c r="D4033">
        <v>16.7</v>
      </c>
      <c r="E4033">
        <v>14.95</v>
      </c>
      <c r="F4033" t="s">
        <v>10</v>
      </c>
      <c r="G40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33">
        <f>IF(Table1[[#This Row],[is_ups_overcharge]]="ups overcharged",Table1[[#This Row],[ups ship charge]]-Table1[[#This Row],[ada ship charge]],0)</f>
        <v>0</v>
      </c>
    </row>
    <row r="4034" spans="1:9" x14ac:dyDescent="0.2">
      <c r="A4034">
        <v>1055059</v>
      </c>
      <c r="B4034" t="s">
        <v>21</v>
      </c>
      <c r="C4034">
        <v>12.75</v>
      </c>
      <c r="D4034">
        <v>12.8</v>
      </c>
      <c r="E4034">
        <v>4.95</v>
      </c>
      <c r="F4034" t="s">
        <v>9</v>
      </c>
      <c r="G40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34">
        <f>IF(Table1[[#This Row],[is_ups_overcharge]]="ups overcharged",Table1[[#This Row],[ups ship charge]]-Table1[[#This Row],[ada ship charge]],0)</f>
        <v>0</v>
      </c>
    </row>
    <row r="4035" spans="1:9" x14ac:dyDescent="0.2">
      <c r="A4035">
        <v>1055075</v>
      </c>
      <c r="B4035" t="s">
        <v>21</v>
      </c>
      <c r="C4035">
        <v>12.75</v>
      </c>
      <c r="D4035">
        <v>12.8</v>
      </c>
      <c r="E4035">
        <v>11.9</v>
      </c>
      <c r="F4035" t="s">
        <v>9</v>
      </c>
      <c r="G40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35">
        <f>IF(Table1[[#This Row],[is_ups_overcharge]]="ups overcharged",Table1[[#This Row],[ups ship charge]]-Table1[[#This Row],[ada ship charge]],0)</f>
        <v>0</v>
      </c>
    </row>
    <row r="4036" spans="1:9" x14ac:dyDescent="0.2">
      <c r="A4036">
        <v>1055101</v>
      </c>
      <c r="B4036" t="s">
        <v>21</v>
      </c>
      <c r="C4036">
        <v>12.75</v>
      </c>
      <c r="D4036">
        <v>12.8</v>
      </c>
      <c r="E4036">
        <v>55.85</v>
      </c>
      <c r="F4036" t="s">
        <v>9</v>
      </c>
      <c r="G40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36">
        <f>IF(Table1[[#This Row],[is_ups_overcharge]]="ups overcharged",Table1[[#This Row],[ups ship charge]]-Table1[[#This Row],[ada ship charge]],0)</f>
        <v>0</v>
      </c>
    </row>
    <row r="4037" spans="1:9" x14ac:dyDescent="0.2">
      <c r="A4037">
        <v>1055107</v>
      </c>
      <c r="B4037" t="s">
        <v>21</v>
      </c>
      <c r="C4037">
        <v>16.440000000000001</v>
      </c>
      <c r="D4037">
        <v>16.489999999999998</v>
      </c>
      <c r="E4037">
        <v>34.950000000000003</v>
      </c>
      <c r="F4037" t="s">
        <v>10</v>
      </c>
      <c r="G40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37">
        <f>IF(Table1[[#This Row],[is_ups_overcharge]]="ups overcharged",Table1[[#This Row],[ups ship charge]]-Table1[[#This Row],[ada ship charge]],0)</f>
        <v>0</v>
      </c>
    </row>
    <row r="4038" spans="1:9" x14ac:dyDescent="0.2">
      <c r="A4038">
        <v>1055125</v>
      </c>
      <c r="B4038" t="s">
        <v>21</v>
      </c>
      <c r="C4038">
        <v>16.649999999999999</v>
      </c>
      <c r="D4038">
        <v>16.7</v>
      </c>
      <c r="E4038">
        <v>17.8</v>
      </c>
      <c r="F4038" t="s">
        <v>10</v>
      </c>
      <c r="G40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38">
        <f>IF(Table1[[#This Row],[is_ups_overcharge]]="ups overcharged",Table1[[#This Row],[ups ship charge]]-Table1[[#This Row],[ada ship charge]],0)</f>
        <v>0</v>
      </c>
    </row>
    <row r="4039" spans="1:9" x14ac:dyDescent="0.2">
      <c r="A4039">
        <v>1055134</v>
      </c>
      <c r="B4039" t="s">
        <v>21</v>
      </c>
      <c r="C4039">
        <v>9.65</v>
      </c>
      <c r="D4039">
        <v>0</v>
      </c>
      <c r="E4039">
        <v>46.93</v>
      </c>
      <c r="F4039" t="s">
        <v>6</v>
      </c>
      <c r="G40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39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4039">
        <f>IF(Table1[[#This Row],[is_ups_overcharge]]="ups overcharged",Table1[[#This Row],[ups ship charge]]-Table1[[#This Row],[ada ship charge]],0)</f>
        <v>9.65</v>
      </c>
    </row>
    <row r="4040" spans="1:9" x14ac:dyDescent="0.2">
      <c r="A4040">
        <v>1055137</v>
      </c>
      <c r="B4040" t="s">
        <v>21</v>
      </c>
      <c r="C4040">
        <v>13.64</v>
      </c>
      <c r="D4040">
        <v>13.68</v>
      </c>
      <c r="E4040">
        <v>72.900000000000006</v>
      </c>
      <c r="F4040" t="s">
        <v>9</v>
      </c>
      <c r="G40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40">
        <f>IF(Table1[[#This Row],[is_ups_overcharge]]="ups overcharged",Table1[[#This Row],[ups ship charge]]-Table1[[#This Row],[ada ship charge]],0)</f>
        <v>0</v>
      </c>
    </row>
    <row r="4041" spans="1:9" x14ac:dyDescent="0.2">
      <c r="A4041">
        <v>1055152</v>
      </c>
      <c r="B4041" t="s">
        <v>21</v>
      </c>
      <c r="C4041">
        <v>16.34</v>
      </c>
      <c r="D4041">
        <v>16.39</v>
      </c>
      <c r="E4041">
        <v>36.799999999999997</v>
      </c>
      <c r="F4041" t="s">
        <v>10</v>
      </c>
      <c r="G40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41">
        <f>IF(Table1[[#This Row],[is_ups_overcharge]]="ups overcharged",Table1[[#This Row],[ups ship charge]]-Table1[[#This Row],[ada ship charge]],0)</f>
        <v>0</v>
      </c>
    </row>
    <row r="4042" spans="1:9" x14ac:dyDescent="0.2">
      <c r="A4042">
        <v>1055168</v>
      </c>
      <c r="B4042" t="s">
        <v>21</v>
      </c>
      <c r="C4042">
        <v>12.26</v>
      </c>
      <c r="D4042">
        <v>12.31</v>
      </c>
      <c r="E4042">
        <v>29.9</v>
      </c>
      <c r="F4042" t="s">
        <v>13</v>
      </c>
      <c r="G40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42">
        <f>IF(Table1[[#This Row],[is_ups_overcharge]]="ups overcharged",Table1[[#This Row],[ups ship charge]]-Table1[[#This Row],[ada ship charge]],0)</f>
        <v>0</v>
      </c>
    </row>
    <row r="4043" spans="1:9" x14ac:dyDescent="0.2">
      <c r="A4043">
        <v>1055208</v>
      </c>
      <c r="B4043" t="s">
        <v>21</v>
      </c>
      <c r="C4043">
        <v>12.75</v>
      </c>
      <c r="D4043">
        <v>12.8</v>
      </c>
      <c r="E4043">
        <v>89.6</v>
      </c>
      <c r="F4043" t="s">
        <v>9</v>
      </c>
      <c r="G40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43">
        <f>IF(Table1[[#This Row],[is_ups_overcharge]]="ups overcharged",Table1[[#This Row],[ups ship charge]]-Table1[[#This Row],[ada ship charge]],0)</f>
        <v>0</v>
      </c>
    </row>
    <row r="4044" spans="1:9" x14ac:dyDescent="0.2">
      <c r="A4044">
        <v>1055217</v>
      </c>
      <c r="B4044" t="s">
        <v>21</v>
      </c>
      <c r="C4044">
        <v>12.75</v>
      </c>
      <c r="D4044">
        <v>12.8</v>
      </c>
      <c r="E4044">
        <v>67.349999999999994</v>
      </c>
      <c r="F4044" t="s">
        <v>9</v>
      </c>
      <c r="G40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44">
        <f>IF(Table1[[#This Row],[is_ups_overcharge]]="ups overcharged",Table1[[#This Row],[ups ship charge]]-Table1[[#This Row],[ada ship charge]],0)</f>
        <v>0</v>
      </c>
    </row>
    <row r="4045" spans="1:9" x14ac:dyDescent="0.2">
      <c r="A4045">
        <v>1055228</v>
      </c>
      <c r="B4045" t="s">
        <v>21</v>
      </c>
      <c r="C4045">
        <v>9.65</v>
      </c>
      <c r="D4045">
        <v>9.6999999999999993</v>
      </c>
      <c r="E4045">
        <v>73.75</v>
      </c>
      <c r="F4045" t="s">
        <v>6</v>
      </c>
      <c r="G40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45">
        <f>IF(Table1[[#This Row],[is_ups_overcharge]]="ups overcharged",Table1[[#This Row],[ups ship charge]]-Table1[[#This Row],[ada ship charge]],0)</f>
        <v>0</v>
      </c>
    </row>
    <row r="4046" spans="1:9" x14ac:dyDescent="0.2">
      <c r="A4046">
        <v>1055258</v>
      </c>
      <c r="B4046" t="s">
        <v>21</v>
      </c>
      <c r="C4046">
        <v>19.079999999999998</v>
      </c>
      <c r="D4046">
        <v>19.13</v>
      </c>
      <c r="E4046">
        <v>43</v>
      </c>
      <c r="F4046" t="s">
        <v>16</v>
      </c>
      <c r="G40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46">
        <f>IF(Table1[[#This Row],[is_ups_overcharge]]="ups overcharged",Table1[[#This Row],[ups ship charge]]-Table1[[#This Row],[ada ship charge]],0)</f>
        <v>0</v>
      </c>
    </row>
    <row r="4047" spans="1:9" x14ac:dyDescent="0.2">
      <c r="A4047">
        <v>1055259</v>
      </c>
      <c r="B4047" t="s">
        <v>21</v>
      </c>
      <c r="C4047">
        <v>16.59</v>
      </c>
      <c r="D4047">
        <v>16.64</v>
      </c>
      <c r="E4047">
        <v>153.6</v>
      </c>
      <c r="F4047" t="s">
        <v>12</v>
      </c>
      <c r="G40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47">
        <f>IF(Table1[[#This Row],[is_ups_overcharge]]="ups overcharged",Table1[[#This Row],[ups ship charge]]-Table1[[#This Row],[ada ship charge]],0)</f>
        <v>0</v>
      </c>
    </row>
    <row r="4048" spans="1:9" x14ac:dyDescent="0.2">
      <c r="A4048">
        <v>1055264</v>
      </c>
      <c r="B4048" t="s">
        <v>21</v>
      </c>
      <c r="C4048">
        <v>9.65</v>
      </c>
      <c r="D4048">
        <v>9.6999999999999993</v>
      </c>
      <c r="E4048">
        <v>66.3</v>
      </c>
      <c r="F4048" t="s">
        <v>6</v>
      </c>
      <c r="G40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48">
        <f>IF(Table1[[#This Row],[is_ups_overcharge]]="ups overcharged",Table1[[#This Row],[ups ship charge]]-Table1[[#This Row],[ada ship charge]],0)</f>
        <v>0</v>
      </c>
    </row>
    <row r="4049" spans="1:9" x14ac:dyDescent="0.2">
      <c r="A4049">
        <v>1055266</v>
      </c>
      <c r="B4049" t="s">
        <v>21</v>
      </c>
      <c r="C4049">
        <v>12.75</v>
      </c>
      <c r="D4049">
        <v>12.8</v>
      </c>
      <c r="E4049">
        <v>4.2</v>
      </c>
      <c r="F4049" t="s">
        <v>9</v>
      </c>
      <c r="G40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49">
        <f>IF(Table1[[#This Row],[is_ups_overcharge]]="ups overcharged",Table1[[#This Row],[ups ship charge]]-Table1[[#This Row],[ada ship charge]],0)</f>
        <v>0</v>
      </c>
    </row>
    <row r="4050" spans="1:9" x14ac:dyDescent="0.2">
      <c r="A4050">
        <v>1055278</v>
      </c>
      <c r="B4050" t="s">
        <v>21</v>
      </c>
      <c r="C4050">
        <v>9.65</v>
      </c>
      <c r="D4050">
        <v>9.6999999999999993</v>
      </c>
      <c r="E4050">
        <v>39.9</v>
      </c>
      <c r="F4050" t="s">
        <v>6</v>
      </c>
      <c r="G40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50">
        <f>IF(Table1[[#This Row],[is_ups_overcharge]]="ups overcharged",Table1[[#This Row],[ups ship charge]]-Table1[[#This Row],[ada ship charge]],0)</f>
        <v>0</v>
      </c>
    </row>
    <row r="4051" spans="1:9" x14ac:dyDescent="0.2">
      <c r="A4051">
        <v>1055336</v>
      </c>
      <c r="B4051" t="s">
        <v>21</v>
      </c>
      <c r="C4051">
        <v>15.35</v>
      </c>
      <c r="D4051">
        <v>16.38</v>
      </c>
      <c r="E4051">
        <v>46.75</v>
      </c>
      <c r="F4051" t="s">
        <v>12</v>
      </c>
      <c r="G40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51">
        <f>IF(Table1[[#This Row],[is_ups_overcharge]]="ups overcharged",Table1[[#This Row],[ups ship charge]]-Table1[[#This Row],[ada ship charge]],0)</f>
        <v>0</v>
      </c>
    </row>
    <row r="4052" spans="1:9" x14ac:dyDescent="0.2">
      <c r="A4052">
        <v>1055344</v>
      </c>
      <c r="B4052" t="s">
        <v>21</v>
      </c>
      <c r="C4052">
        <v>13.63</v>
      </c>
      <c r="D4052">
        <v>13.84</v>
      </c>
      <c r="E4052">
        <v>122.45</v>
      </c>
      <c r="F4052" t="s">
        <v>9</v>
      </c>
      <c r="G40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52">
        <f>IF(Table1[[#This Row],[is_ups_overcharge]]="ups overcharged",Table1[[#This Row],[ups ship charge]]-Table1[[#This Row],[ada ship charge]],0)</f>
        <v>0</v>
      </c>
    </row>
    <row r="4053" spans="1:9" x14ac:dyDescent="0.2">
      <c r="A4053">
        <v>1055355</v>
      </c>
      <c r="B4053" t="s">
        <v>21</v>
      </c>
      <c r="C4053">
        <v>13.64</v>
      </c>
      <c r="D4053">
        <v>14.7</v>
      </c>
      <c r="E4053">
        <v>19.899999999999999</v>
      </c>
      <c r="F4053" t="s">
        <v>9</v>
      </c>
      <c r="G40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53">
        <f>IF(Table1[[#This Row],[is_ups_overcharge]]="ups overcharged",Table1[[#This Row],[ups ship charge]]-Table1[[#This Row],[ada ship charge]],0)</f>
        <v>0</v>
      </c>
    </row>
    <row r="4054" spans="1:9" x14ac:dyDescent="0.2">
      <c r="A4054">
        <v>1055389</v>
      </c>
      <c r="B4054" t="s">
        <v>21</v>
      </c>
      <c r="C4054">
        <v>66.760000000000005</v>
      </c>
      <c r="D4054">
        <v>68.489999999999995</v>
      </c>
      <c r="E4054">
        <v>210.7</v>
      </c>
      <c r="F4054" t="s">
        <v>8</v>
      </c>
      <c r="G40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54">
        <f>IF(Table1[[#This Row],[is_ups_overcharge]]="ups overcharged",Table1[[#This Row],[ups ship charge]]-Table1[[#This Row],[ada ship charge]],0)</f>
        <v>0</v>
      </c>
    </row>
    <row r="4055" spans="1:9" x14ac:dyDescent="0.2">
      <c r="A4055">
        <v>1055403</v>
      </c>
      <c r="B4055" t="s">
        <v>21</v>
      </c>
      <c r="C4055">
        <v>12.75</v>
      </c>
      <c r="D4055">
        <v>12.8</v>
      </c>
      <c r="E4055">
        <v>38.9</v>
      </c>
      <c r="F4055" t="s">
        <v>9</v>
      </c>
      <c r="G40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55">
        <f>IF(Table1[[#This Row],[is_ups_overcharge]]="ups overcharged",Table1[[#This Row],[ups ship charge]]-Table1[[#This Row],[ada ship charge]],0)</f>
        <v>0</v>
      </c>
    </row>
    <row r="4056" spans="1:9" x14ac:dyDescent="0.2">
      <c r="A4056">
        <v>1055423</v>
      </c>
      <c r="B4056" t="s">
        <v>21</v>
      </c>
      <c r="C4056">
        <v>16.64</v>
      </c>
      <c r="D4056">
        <v>16.690000000000001</v>
      </c>
      <c r="E4056">
        <v>57.85</v>
      </c>
      <c r="F4056" t="s">
        <v>10</v>
      </c>
      <c r="G40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56">
        <f>IF(Table1[[#This Row],[is_ups_overcharge]]="ups overcharged",Table1[[#This Row],[ups ship charge]]-Table1[[#This Row],[ada ship charge]],0)</f>
        <v>0</v>
      </c>
    </row>
    <row r="4057" spans="1:9" x14ac:dyDescent="0.2">
      <c r="A4057">
        <v>1055432</v>
      </c>
      <c r="B4057" t="s">
        <v>21</v>
      </c>
      <c r="C4057">
        <v>12.75</v>
      </c>
      <c r="D4057">
        <v>12.8</v>
      </c>
      <c r="E4057">
        <v>15</v>
      </c>
      <c r="F4057" t="s">
        <v>9</v>
      </c>
      <c r="G40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57">
        <f>IF(Table1[[#This Row],[is_ups_overcharge]]="ups overcharged",Table1[[#This Row],[ups ship charge]]-Table1[[#This Row],[ada ship charge]],0)</f>
        <v>0</v>
      </c>
    </row>
    <row r="4058" spans="1:9" x14ac:dyDescent="0.2">
      <c r="A4058">
        <v>1055454</v>
      </c>
      <c r="B4058" t="s">
        <v>21</v>
      </c>
      <c r="C4058">
        <v>13.64</v>
      </c>
      <c r="D4058">
        <v>13.69</v>
      </c>
      <c r="E4058">
        <v>6.95</v>
      </c>
      <c r="F4058" t="s">
        <v>9</v>
      </c>
      <c r="G40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58">
        <f>IF(Table1[[#This Row],[is_ups_overcharge]]="ups overcharged",Table1[[#This Row],[ups ship charge]]-Table1[[#This Row],[ada ship charge]],0)</f>
        <v>0</v>
      </c>
    </row>
    <row r="4059" spans="1:9" x14ac:dyDescent="0.2">
      <c r="A4059">
        <v>1055485</v>
      </c>
      <c r="B4059" t="s">
        <v>21</v>
      </c>
      <c r="C4059">
        <v>12.75</v>
      </c>
      <c r="D4059">
        <v>12.8</v>
      </c>
      <c r="E4059">
        <v>158.65</v>
      </c>
      <c r="F4059" t="s">
        <v>9</v>
      </c>
      <c r="G40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59">
        <f>IF(Table1[[#This Row],[is_ups_overcharge]]="ups overcharged",Table1[[#This Row],[ups ship charge]]-Table1[[#This Row],[ada ship charge]],0)</f>
        <v>0</v>
      </c>
    </row>
    <row r="4060" spans="1:9" x14ac:dyDescent="0.2">
      <c r="A4060">
        <v>1055508</v>
      </c>
      <c r="B4060" t="s">
        <v>21</v>
      </c>
      <c r="C4060">
        <v>12.75</v>
      </c>
      <c r="D4060">
        <v>12.8</v>
      </c>
      <c r="E4060">
        <v>17.95</v>
      </c>
      <c r="F4060" t="s">
        <v>9</v>
      </c>
      <c r="G40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60">
        <f>IF(Table1[[#This Row],[is_ups_overcharge]]="ups overcharged",Table1[[#This Row],[ups ship charge]]-Table1[[#This Row],[ada ship charge]],0)</f>
        <v>0</v>
      </c>
    </row>
    <row r="4061" spans="1:9" x14ac:dyDescent="0.2">
      <c r="A4061">
        <v>1055514</v>
      </c>
      <c r="B4061" t="s">
        <v>21</v>
      </c>
      <c r="C4061">
        <v>13.64</v>
      </c>
      <c r="D4061">
        <v>13.69</v>
      </c>
      <c r="E4061">
        <v>174.75</v>
      </c>
      <c r="F4061" t="s">
        <v>9</v>
      </c>
      <c r="G40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61">
        <f>IF(Table1[[#This Row],[is_ups_overcharge]]="ups overcharged",Table1[[#This Row],[ups ship charge]]-Table1[[#This Row],[ada ship charge]],0)</f>
        <v>0</v>
      </c>
    </row>
    <row r="4062" spans="1:9" x14ac:dyDescent="0.2">
      <c r="A4062">
        <v>1055540</v>
      </c>
      <c r="B4062" t="s">
        <v>21</v>
      </c>
      <c r="C4062">
        <v>31.05</v>
      </c>
      <c r="D4062">
        <v>33.229999999999997</v>
      </c>
      <c r="E4062">
        <v>156.05000000000001</v>
      </c>
      <c r="F4062" t="s">
        <v>15</v>
      </c>
      <c r="G40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62">
        <f>IF(Table1[[#This Row],[is_ups_overcharge]]="ups overcharged",Table1[[#This Row],[ups ship charge]]-Table1[[#This Row],[ada ship charge]],0)</f>
        <v>0</v>
      </c>
    </row>
    <row r="4063" spans="1:9" x14ac:dyDescent="0.2">
      <c r="A4063">
        <v>1055544</v>
      </c>
      <c r="B4063" t="s">
        <v>21</v>
      </c>
      <c r="C4063">
        <v>13.64</v>
      </c>
      <c r="D4063">
        <v>13.69</v>
      </c>
      <c r="E4063">
        <v>39.950000000000003</v>
      </c>
      <c r="F4063" t="s">
        <v>9</v>
      </c>
      <c r="G40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63">
        <f>IF(Table1[[#This Row],[is_ups_overcharge]]="ups overcharged",Table1[[#This Row],[ups ship charge]]-Table1[[#This Row],[ada ship charge]],0)</f>
        <v>0</v>
      </c>
    </row>
    <row r="4064" spans="1:9" x14ac:dyDescent="0.2">
      <c r="A4064">
        <v>1055559</v>
      </c>
      <c r="B4064" t="s">
        <v>21</v>
      </c>
      <c r="C4064">
        <v>13.64</v>
      </c>
      <c r="D4064">
        <v>13.69</v>
      </c>
      <c r="E4064">
        <v>80.75</v>
      </c>
      <c r="F4064" t="s">
        <v>9</v>
      </c>
      <c r="G40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64">
        <f>IF(Table1[[#This Row],[is_ups_overcharge]]="ups overcharged",Table1[[#This Row],[ups ship charge]]-Table1[[#This Row],[ada ship charge]],0)</f>
        <v>0</v>
      </c>
    </row>
    <row r="4065" spans="1:9" x14ac:dyDescent="0.2">
      <c r="A4065">
        <v>1055569</v>
      </c>
      <c r="B4065" t="s">
        <v>21</v>
      </c>
      <c r="C4065">
        <v>12.75</v>
      </c>
      <c r="D4065">
        <v>12.8</v>
      </c>
      <c r="E4065">
        <v>118.6</v>
      </c>
      <c r="F4065" t="s">
        <v>9</v>
      </c>
      <c r="G40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65">
        <f>IF(Table1[[#This Row],[is_ups_overcharge]]="ups overcharged",Table1[[#This Row],[ups ship charge]]-Table1[[#This Row],[ada ship charge]],0)</f>
        <v>0</v>
      </c>
    </row>
    <row r="4066" spans="1:9" x14ac:dyDescent="0.2">
      <c r="A4066">
        <v>1055578</v>
      </c>
      <c r="B4066" t="s">
        <v>21</v>
      </c>
      <c r="C4066">
        <v>15.33</v>
      </c>
      <c r="D4066">
        <v>15.38</v>
      </c>
      <c r="E4066">
        <v>79.900000000000006</v>
      </c>
      <c r="F4066" t="s">
        <v>12</v>
      </c>
      <c r="G40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66">
        <f>IF(Table1[[#This Row],[is_ups_overcharge]]="ups overcharged",Table1[[#This Row],[ups ship charge]]-Table1[[#This Row],[ada ship charge]],0)</f>
        <v>0</v>
      </c>
    </row>
    <row r="4067" spans="1:9" x14ac:dyDescent="0.2">
      <c r="A4067">
        <v>1055585</v>
      </c>
      <c r="B4067" t="s">
        <v>21</v>
      </c>
      <c r="C4067">
        <v>12.75</v>
      </c>
      <c r="D4067">
        <v>12.8</v>
      </c>
      <c r="E4067">
        <v>40.9</v>
      </c>
      <c r="F4067" t="s">
        <v>9</v>
      </c>
      <c r="G40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67">
        <f>IF(Table1[[#This Row],[is_ups_overcharge]]="ups overcharged",Table1[[#This Row],[ups ship charge]]-Table1[[#This Row],[ada ship charge]],0)</f>
        <v>0</v>
      </c>
    </row>
    <row r="4068" spans="1:9" x14ac:dyDescent="0.2">
      <c r="A4068">
        <v>1055600</v>
      </c>
      <c r="B4068" t="s">
        <v>21</v>
      </c>
      <c r="C4068">
        <v>12.75</v>
      </c>
      <c r="D4068">
        <v>12.8</v>
      </c>
      <c r="E4068">
        <v>72.400000000000006</v>
      </c>
      <c r="F4068" t="s">
        <v>9</v>
      </c>
      <c r="G40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68">
        <f>IF(Table1[[#This Row],[is_ups_overcharge]]="ups overcharged",Table1[[#This Row],[ups ship charge]]-Table1[[#This Row],[ada ship charge]],0)</f>
        <v>0</v>
      </c>
    </row>
    <row r="4069" spans="1:9" x14ac:dyDescent="0.2">
      <c r="A4069">
        <v>1055651</v>
      </c>
      <c r="B4069" t="s">
        <v>21</v>
      </c>
      <c r="C4069">
        <v>12.75</v>
      </c>
      <c r="D4069">
        <v>12.8</v>
      </c>
      <c r="E4069">
        <v>19.899999999999999</v>
      </c>
      <c r="F4069" t="s">
        <v>9</v>
      </c>
      <c r="G40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69">
        <f>IF(Table1[[#This Row],[is_ups_overcharge]]="ups overcharged",Table1[[#This Row],[ups ship charge]]-Table1[[#This Row],[ada ship charge]],0)</f>
        <v>0</v>
      </c>
    </row>
    <row r="4070" spans="1:9" x14ac:dyDescent="0.2">
      <c r="A4070">
        <v>1055664</v>
      </c>
      <c r="B4070" t="s">
        <v>21</v>
      </c>
      <c r="C4070">
        <v>12.75</v>
      </c>
      <c r="D4070">
        <v>12.8</v>
      </c>
      <c r="E4070">
        <v>11.65</v>
      </c>
      <c r="F4070" t="s">
        <v>9</v>
      </c>
      <c r="G40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70">
        <f>IF(Table1[[#This Row],[is_ups_overcharge]]="ups overcharged",Table1[[#This Row],[ups ship charge]]-Table1[[#This Row],[ada ship charge]],0)</f>
        <v>0</v>
      </c>
    </row>
    <row r="4071" spans="1:9" x14ac:dyDescent="0.2">
      <c r="A4071">
        <v>1055673</v>
      </c>
      <c r="B4071" t="s">
        <v>21</v>
      </c>
      <c r="C4071">
        <v>13.64</v>
      </c>
      <c r="D4071">
        <v>13.69</v>
      </c>
      <c r="E4071">
        <v>82.2</v>
      </c>
      <c r="F4071" t="s">
        <v>9</v>
      </c>
      <c r="G40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71">
        <f>IF(Table1[[#This Row],[is_ups_overcharge]]="ups overcharged",Table1[[#This Row],[ups ship charge]]-Table1[[#This Row],[ada ship charge]],0)</f>
        <v>0</v>
      </c>
    </row>
    <row r="4072" spans="1:9" x14ac:dyDescent="0.2">
      <c r="A4072">
        <v>1055678</v>
      </c>
      <c r="B4072" t="s">
        <v>21</v>
      </c>
      <c r="C4072">
        <v>12.75</v>
      </c>
      <c r="D4072">
        <v>12.8</v>
      </c>
      <c r="E4072">
        <v>39.15</v>
      </c>
      <c r="F4072" t="s">
        <v>9</v>
      </c>
      <c r="G40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72">
        <f>IF(Table1[[#This Row],[is_ups_overcharge]]="ups overcharged",Table1[[#This Row],[ups ship charge]]-Table1[[#This Row],[ada ship charge]],0)</f>
        <v>0</v>
      </c>
    </row>
    <row r="4073" spans="1:9" x14ac:dyDescent="0.2">
      <c r="A4073">
        <v>1055680</v>
      </c>
      <c r="B4073" t="s">
        <v>21</v>
      </c>
      <c r="C4073">
        <v>13.64</v>
      </c>
      <c r="D4073">
        <v>13.69</v>
      </c>
      <c r="E4073">
        <v>119.9</v>
      </c>
      <c r="F4073" t="s">
        <v>9</v>
      </c>
      <c r="G40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73">
        <f>IF(Table1[[#This Row],[is_ups_overcharge]]="ups overcharged",Table1[[#This Row],[ups ship charge]]-Table1[[#This Row],[ada ship charge]],0)</f>
        <v>0</v>
      </c>
    </row>
    <row r="4074" spans="1:9" x14ac:dyDescent="0.2">
      <c r="A4074">
        <v>1055687</v>
      </c>
      <c r="B4074" t="s">
        <v>21</v>
      </c>
      <c r="C4074">
        <v>12.75</v>
      </c>
      <c r="D4074">
        <v>12.84</v>
      </c>
      <c r="E4074">
        <v>65.75</v>
      </c>
      <c r="F4074" t="s">
        <v>9</v>
      </c>
      <c r="G40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74">
        <f>IF(Table1[[#This Row],[is_ups_overcharge]]="ups overcharged",Table1[[#This Row],[ups ship charge]]-Table1[[#This Row],[ada ship charge]],0)</f>
        <v>0</v>
      </c>
    </row>
    <row r="4075" spans="1:9" x14ac:dyDescent="0.2">
      <c r="A4075">
        <v>1055689</v>
      </c>
      <c r="B4075" t="s">
        <v>21</v>
      </c>
      <c r="C4075">
        <v>12.75</v>
      </c>
      <c r="D4075">
        <v>12.8</v>
      </c>
      <c r="E4075">
        <v>25.85</v>
      </c>
      <c r="F4075" t="s">
        <v>9</v>
      </c>
      <c r="G40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75">
        <f>IF(Table1[[#This Row],[is_ups_overcharge]]="ups overcharged",Table1[[#This Row],[ups ship charge]]-Table1[[#This Row],[ada ship charge]],0)</f>
        <v>0</v>
      </c>
    </row>
    <row r="4076" spans="1:9" x14ac:dyDescent="0.2">
      <c r="A4076">
        <v>1055690</v>
      </c>
      <c r="B4076" t="s">
        <v>21</v>
      </c>
      <c r="C4076">
        <v>20</v>
      </c>
      <c r="D4076">
        <v>20.05</v>
      </c>
      <c r="E4076">
        <v>162.6</v>
      </c>
      <c r="F4076" t="s">
        <v>10</v>
      </c>
      <c r="G40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76">
        <f>IF(Table1[[#This Row],[is_ups_overcharge]]="ups overcharged",Table1[[#This Row],[ups ship charge]]-Table1[[#This Row],[ada ship charge]],0)</f>
        <v>0</v>
      </c>
    </row>
    <row r="4077" spans="1:9" x14ac:dyDescent="0.2">
      <c r="A4077">
        <v>1055707</v>
      </c>
      <c r="B4077" t="s">
        <v>21</v>
      </c>
      <c r="C4077">
        <v>24.35</v>
      </c>
      <c r="D4077">
        <v>24.4</v>
      </c>
      <c r="E4077">
        <v>15.9</v>
      </c>
      <c r="F4077" t="s">
        <v>15</v>
      </c>
      <c r="G40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77">
        <f>IF(Table1[[#This Row],[is_ups_overcharge]]="ups overcharged",Table1[[#This Row],[ups ship charge]]-Table1[[#This Row],[ada ship charge]],0)</f>
        <v>0</v>
      </c>
    </row>
    <row r="4078" spans="1:9" x14ac:dyDescent="0.2">
      <c r="A4078">
        <v>1055718</v>
      </c>
      <c r="B4078" t="s">
        <v>21</v>
      </c>
      <c r="C4078">
        <v>12.75</v>
      </c>
      <c r="D4078">
        <v>12.8</v>
      </c>
      <c r="E4078">
        <v>38.5</v>
      </c>
      <c r="F4078" t="s">
        <v>9</v>
      </c>
      <c r="G40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78">
        <f>IF(Table1[[#This Row],[is_ups_overcharge]]="ups overcharged",Table1[[#This Row],[ups ship charge]]-Table1[[#This Row],[ada ship charge]],0)</f>
        <v>0</v>
      </c>
    </row>
    <row r="4079" spans="1:9" x14ac:dyDescent="0.2">
      <c r="A4079">
        <v>1055724</v>
      </c>
      <c r="B4079" t="s">
        <v>21</v>
      </c>
      <c r="C4079">
        <v>12.75</v>
      </c>
      <c r="D4079">
        <v>12.8</v>
      </c>
      <c r="E4079">
        <v>36.450000000000003</v>
      </c>
      <c r="F4079" t="s">
        <v>9</v>
      </c>
      <c r="G40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79">
        <f>IF(Table1[[#This Row],[is_ups_overcharge]]="ups overcharged",Table1[[#This Row],[ups ship charge]]-Table1[[#This Row],[ada ship charge]],0)</f>
        <v>0</v>
      </c>
    </row>
    <row r="4080" spans="1:9" x14ac:dyDescent="0.2">
      <c r="A4080">
        <v>1055726</v>
      </c>
      <c r="B4080" t="s">
        <v>21</v>
      </c>
      <c r="C4080">
        <v>13.64</v>
      </c>
      <c r="D4080">
        <v>13.69</v>
      </c>
      <c r="E4080">
        <v>31.95</v>
      </c>
      <c r="F4080" t="s">
        <v>9</v>
      </c>
      <c r="G40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80">
        <f>IF(Table1[[#This Row],[is_ups_overcharge]]="ups overcharged",Table1[[#This Row],[ups ship charge]]-Table1[[#This Row],[ada ship charge]],0)</f>
        <v>0</v>
      </c>
    </row>
    <row r="4081" spans="1:9" x14ac:dyDescent="0.2">
      <c r="A4081">
        <v>1055754</v>
      </c>
      <c r="B4081" t="s">
        <v>21</v>
      </c>
      <c r="C4081">
        <v>13.64</v>
      </c>
      <c r="D4081">
        <v>13.69</v>
      </c>
      <c r="E4081">
        <v>128.75</v>
      </c>
      <c r="F4081" t="s">
        <v>9</v>
      </c>
      <c r="G40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81">
        <f>IF(Table1[[#This Row],[is_ups_overcharge]]="ups overcharged",Table1[[#This Row],[ups ship charge]]-Table1[[#This Row],[ada ship charge]],0)</f>
        <v>0</v>
      </c>
    </row>
    <row r="4082" spans="1:9" x14ac:dyDescent="0.2">
      <c r="A4082">
        <v>1055764</v>
      </c>
      <c r="B4082" t="s">
        <v>21</v>
      </c>
      <c r="C4082">
        <v>12.79</v>
      </c>
      <c r="D4082">
        <v>13.61</v>
      </c>
      <c r="E4082">
        <v>9.9499999999999993</v>
      </c>
      <c r="F4082" t="s">
        <v>9</v>
      </c>
      <c r="G40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82">
        <f>IF(Table1[[#This Row],[is_ups_overcharge]]="ups overcharged",Table1[[#This Row],[ups ship charge]]-Table1[[#This Row],[ada ship charge]],0)</f>
        <v>0</v>
      </c>
    </row>
    <row r="4083" spans="1:9" x14ac:dyDescent="0.2">
      <c r="A4083">
        <v>1055777</v>
      </c>
      <c r="B4083" t="s">
        <v>21</v>
      </c>
      <c r="C4083">
        <v>13.64</v>
      </c>
      <c r="D4083">
        <v>13.69</v>
      </c>
      <c r="E4083">
        <v>75.8</v>
      </c>
      <c r="F4083" t="s">
        <v>9</v>
      </c>
      <c r="G40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83">
        <f>IF(Table1[[#This Row],[is_ups_overcharge]]="ups overcharged",Table1[[#This Row],[ups ship charge]]-Table1[[#This Row],[ada ship charge]],0)</f>
        <v>0</v>
      </c>
    </row>
    <row r="4084" spans="1:9" x14ac:dyDescent="0.2">
      <c r="A4084">
        <v>1055788</v>
      </c>
      <c r="B4084" t="s">
        <v>21</v>
      </c>
      <c r="C4084">
        <v>9.65</v>
      </c>
      <c r="D4084">
        <v>9.7100000000000009</v>
      </c>
      <c r="E4084">
        <v>25.85</v>
      </c>
      <c r="F4084" t="s">
        <v>6</v>
      </c>
      <c r="G40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84">
        <f>IF(Table1[[#This Row],[is_ups_overcharge]]="ups overcharged",Table1[[#This Row],[ups ship charge]]-Table1[[#This Row],[ada ship charge]],0)</f>
        <v>0</v>
      </c>
    </row>
    <row r="4085" spans="1:9" x14ac:dyDescent="0.2">
      <c r="A4085">
        <v>1055812</v>
      </c>
      <c r="B4085" t="s">
        <v>21</v>
      </c>
      <c r="C4085">
        <v>12.75</v>
      </c>
      <c r="D4085">
        <v>12.8</v>
      </c>
      <c r="E4085">
        <v>87.85</v>
      </c>
      <c r="F4085" t="s">
        <v>9</v>
      </c>
      <c r="G40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85">
        <f>IF(Table1[[#This Row],[is_ups_overcharge]]="ups overcharged",Table1[[#This Row],[ups ship charge]]-Table1[[#This Row],[ada ship charge]],0)</f>
        <v>0</v>
      </c>
    </row>
    <row r="4086" spans="1:9" x14ac:dyDescent="0.2">
      <c r="A4086">
        <v>1055819</v>
      </c>
      <c r="B4086" t="s">
        <v>21</v>
      </c>
      <c r="C4086">
        <v>16.34</v>
      </c>
      <c r="D4086">
        <v>16.39</v>
      </c>
      <c r="E4086">
        <v>71.95</v>
      </c>
      <c r="F4086" t="s">
        <v>10</v>
      </c>
      <c r="G40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86">
        <f>IF(Table1[[#This Row],[is_ups_overcharge]]="ups overcharged",Table1[[#This Row],[ups ship charge]]-Table1[[#This Row],[ada ship charge]],0)</f>
        <v>0</v>
      </c>
    </row>
    <row r="4087" spans="1:9" x14ac:dyDescent="0.2">
      <c r="A4087">
        <v>1055888</v>
      </c>
      <c r="B4087" t="s">
        <v>21</v>
      </c>
      <c r="C4087">
        <v>12.75</v>
      </c>
      <c r="D4087">
        <v>12.8</v>
      </c>
      <c r="E4087">
        <v>14.95</v>
      </c>
      <c r="F4087" t="s">
        <v>9</v>
      </c>
      <c r="G40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87">
        <f>IF(Table1[[#This Row],[is_ups_overcharge]]="ups overcharged",Table1[[#This Row],[ups ship charge]]-Table1[[#This Row],[ada ship charge]],0)</f>
        <v>0</v>
      </c>
    </row>
    <row r="4088" spans="1:9" x14ac:dyDescent="0.2">
      <c r="A4088">
        <v>1055895</v>
      </c>
      <c r="B4088" t="s">
        <v>21</v>
      </c>
      <c r="C4088">
        <v>12.26</v>
      </c>
      <c r="D4088">
        <v>12.31</v>
      </c>
      <c r="E4088">
        <v>149.55000000000001</v>
      </c>
      <c r="F4088" t="s">
        <v>13</v>
      </c>
      <c r="G40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88">
        <f>IF(Table1[[#This Row],[is_ups_overcharge]]="ups overcharged",Table1[[#This Row],[ups ship charge]]-Table1[[#This Row],[ada ship charge]],0)</f>
        <v>0</v>
      </c>
    </row>
    <row r="4089" spans="1:9" x14ac:dyDescent="0.2">
      <c r="A4089">
        <v>1055909</v>
      </c>
      <c r="B4089" t="s">
        <v>21</v>
      </c>
      <c r="C4089">
        <v>9.66</v>
      </c>
      <c r="D4089">
        <v>9.7100000000000009</v>
      </c>
      <c r="E4089">
        <v>50</v>
      </c>
      <c r="F4089" t="s">
        <v>6</v>
      </c>
      <c r="G40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89">
        <f>IF(Table1[[#This Row],[is_ups_overcharge]]="ups overcharged",Table1[[#This Row],[ups ship charge]]-Table1[[#This Row],[ada ship charge]],0)</f>
        <v>0</v>
      </c>
    </row>
    <row r="4090" spans="1:9" x14ac:dyDescent="0.2">
      <c r="A4090">
        <v>1055924</v>
      </c>
      <c r="B4090" t="s">
        <v>21</v>
      </c>
      <c r="C4090">
        <v>9.66</v>
      </c>
      <c r="D4090">
        <v>9.7100000000000009</v>
      </c>
      <c r="E4090">
        <v>48.9</v>
      </c>
      <c r="F4090" t="s">
        <v>6</v>
      </c>
      <c r="G40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90">
        <f>IF(Table1[[#This Row],[is_ups_overcharge]]="ups overcharged",Table1[[#This Row],[ups ship charge]]-Table1[[#This Row],[ada ship charge]],0)</f>
        <v>0</v>
      </c>
    </row>
    <row r="4091" spans="1:9" x14ac:dyDescent="0.2">
      <c r="A4091">
        <v>1055936</v>
      </c>
      <c r="B4091" t="s">
        <v>21</v>
      </c>
      <c r="C4091">
        <v>12.75</v>
      </c>
      <c r="D4091">
        <v>12.8</v>
      </c>
      <c r="E4091">
        <v>31.3</v>
      </c>
      <c r="F4091" t="s">
        <v>9</v>
      </c>
      <c r="G40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91">
        <f>IF(Table1[[#This Row],[is_ups_overcharge]]="ups overcharged",Table1[[#This Row],[ups ship charge]]-Table1[[#This Row],[ada ship charge]],0)</f>
        <v>0</v>
      </c>
    </row>
    <row r="4092" spans="1:9" x14ac:dyDescent="0.2">
      <c r="A4092">
        <v>1055943</v>
      </c>
      <c r="B4092" t="s">
        <v>21</v>
      </c>
      <c r="C4092">
        <v>13.64</v>
      </c>
      <c r="D4092">
        <v>13.69</v>
      </c>
      <c r="E4092">
        <v>50.85</v>
      </c>
      <c r="F4092" t="s">
        <v>9</v>
      </c>
      <c r="G40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92">
        <f>IF(Table1[[#This Row],[is_ups_overcharge]]="ups overcharged",Table1[[#This Row],[ups ship charge]]-Table1[[#This Row],[ada ship charge]],0)</f>
        <v>0</v>
      </c>
    </row>
    <row r="4093" spans="1:9" x14ac:dyDescent="0.2">
      <c r="A4093">
        <v>1055945</v>
      </c>
      <c r="B4093" t="s">
        <v>21</v>
      </c>
      <c r="C4093">
        <v>12.26</v>
      </c>
      <c r="D4093">
        <v>12.31</v>
      </c>
      <c r="E4093">
        <v>55.85</v>
      </c>
      <c r="F4093" t="s">
        <v>13</v>
      </c>
      <c r="G40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93">
        <f>IF(Table1[[#This Row],[is_ups_overcharge]]="ups overcharged",Table1[[#This Row],[ups ship charge]]-Table1[[#This Row],[ada ship charge]],0)</f>
        <v>0</v>
      </c>
    </row>
    <row r="4094" spans="1:9" x14ac:dyDescent="0.2">
      <c r="A4094">
        <v>1055981</v>
      </c>
      <c r="B4094" t="s">
        <v>21</v>
      </c>
      <c r="C4094">
        <v>10.94</v>
      </c>
      <c r="D4094">
        <v>10.99</v>
      </c>
      <c r="E4094">
        <v>257.7</v>
      </c>
      <c r="F4094" t="s">
        <v>14</v>
      </c>
      <c r="G40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94">
        <f>IF(Table1[[#This Row],[is_ups_overcharge]]="ups overcharged",Table1[[#This Row],[ups ship charge]]-Table1[[#This Row],[ada ship charge]],0)</f>
        <v>0</v>
      </c>
    </row>
    <row r="4095" spans="1:9" x14ac:dyDescent="0.2">
      <c r="A4095">
        <v>1055994</v>
      </c>
      <c r="B4095" t="s">
        <v>21</v>
      </c>
      <c r="C4095">
        <v>15.32</v>
      </c>
      <c r="D4095">
        <v>15.37</v>
      </c>
      <c r="E4095">
        <v>34.950000000000003</v>
      </c>
      <c r="F4095" t="s">
        <v>12</v>
      </c>
      <c r="G40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95">
        <f>IF(Table1[[#This Row],[is_ups_overcharge]]="ups overcharged",Table1[[#This Row],[ups ship charge]]-Table1[[#This Row],[ada ship charge]],0)</f>
        <v>0</v>
      </c>
    </row>
    <row r="4096" spans="1:9" x14ac:dyDescent="0.2">
      <c r="A4096">
        <v>1056003</v>
      </c>
      <c r="B4096" t="s">
        <v>21</v>
      </c>
      <c r="C4096">
        <v>12.75</v>
      </c>
      <c r="D4096">
        <v>12.8</v>
      </c>
      <c r="E4096">
        <v>50</v>
      </c>
      <c r="F4096" t="s">
        <v>9</v>
      </c>
      <c r="G40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96">
        <f>IF(Table1[[#This Row],[is_ups_overcharge]]="ups overcharged",Table1[[#This Row],[ups ship charge]]-Table1[[#This Row],[ada ship charge]],0)</f>
        <v>0</v>
      </c>
    </row>
    <row r="4097" spans="1:9" x14ac:dyDescent="0.2">
      <c r="A4097">
        <v>1056016</v>
      </c>
      <c r="B4097" t="s">
        <v>21</v>
      </c>
      <c r="C4097">
        <v>15.32</v>
      </c>
      <c r="D4097">
        <v>15.37</v>
      </c>
      <c r="E4097">
        <v>9.9499999999999993</v>
      </c>
      <c r="F4097" t="s">
        <v>12</v>
      </c>
      <c r="G40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97">
        <f>IF(Table1[[#This Row],[is_ups_overcharge]]="ups overcharged",Table1[[#This Row],[ups ship charge]]-Table1[[#This Row],[ada ship charge]],0)</f>
        <v>0</v>
      </c>
    </row>
    <row r="4098" spans="1:9" x14ac:dyDescent="0.2">
      <c r="A4098">
        <v>1056017</v>
      </c>
      <c r="B4098" t="s">
        <v>21</v>
      </c>
      <c r="C4098">
        <v>13.64</v>
      </c>
      <c r="D4098">
        <v>13.69</v>
      </c>
      <c r="E4098">
        <v>84.9</v>
      </c>
      <c r="F4098" t="s">
        <v>9</v>
      </c>
      <c r="G40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98">
        <f>IF(Table1[[#This Row],[is_ups_overcharge]]="ups overcharged",Table1[[#This Row],[ups ship charge]]-Table1[[#This Row],[ada ship charge]],0)</f>
        <v>0</v>
      </c>
    </row>
    <row r="4099" spans="1:9" x14ac:dyDescent="0.2">
      <c r="A4099">
        <v>1056020</v>
      </c>
      <c r="B4099" t="s">
        <v>21</v>
      </c>
      <c r="C4099">
        <v>12.75</v>
      </c>
      <c r="D4099">
        <v>12.8</v>
      </c>
      <c r="E4099">
        <v>11.7</v>
      </c>
      <c r="F4099" t="s">
        <v>9</v>
      </c>
      <c r="G40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0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099">
        <f>IF(Table1[[#This Row],[is_ups_overcharge]]="ups overcharged",Table1[[#This Row],[ups ship charge]]-Table1[[#This Row],[ada ship charge]],0)</f>
        <v>0</v>
      </c>
    </row>
    <row r="4100" spans="1:9" x14ac:dyDescent="0.2">
      <c r="A4100">
        <v>1056031</v>
      </c>
      <c r="B4100" t="s">
        <v>21</v>
      </c>
      <c r="C4100">
        <v>9.65</v>
      </c>
      <c r="D4100">
        <v>9.6999999999999993</v>
      </c>
      <c r="E4100">
        <v>37.9</v>
      </c>
      <c r="F4100" t="s">
        <v>6</v>
      </c>
      <c r="G41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00">
        <f>IF(Table1[[#This Row],[is_ups_overcharge]]="ups overcharged",Table1[[#This Row],[ups ship charge]]-Table1[[#This Row],[ada ship charge]],0)</f>
        <v>0</v>
      </c>
    </row>
    <row r="4101" spans="1:9" x14ac:dyDescent="0.2">
      <c r="A4101">
        <v>1056050</v>
      </c>
      <c r="B4101" t="s">
        <v>21</v>
      </c>
      <c r="C4101">
        <v>9.65</v>
      </c>
      <c r="D4101">
        <v>9.6999999999999993</v>
      </c>
      <c r="E4101">
        <v>164.8</v>
      </c>
      <c r="F4101" t="s">
        <v>6</v>
      </c>
      <c r="G41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01">
        <f>IF(Table1[[#This Row],[is_ups_overcharge]]="ups overcharged",Table1[[#This Row],[ups ship charge]]-Table1[[#This Row],[ada ship charge]],0)</f>
        <v>0</v>
      </c>
    </row>
    <row r="4102" spans="1:9" x14ac:dyDescent="0.2">
      <c r="A4102">
        <v>1056060</v>
      </c>
      <c r="B4102" t="s">
        <v>21</v>
      </c>
      <c r="C4102">
        <v>13.64</v>
      </c>
      <c r="D4102">
        <v>13.69</v>
      </c>
      <c r="E4102">
        <v>191.6</v>
      </c>
      <c r="F4102" t="s">
        <v>9</v>
      </c>
      <c r="G41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02">
        <f>IF(Table1[[#This Row],[is_ups_overcharge]]="ups overcharged",Table1[[#This Row],[ups ship charge]]-Table1[[#This Row],[ada ship charge]],0)</f>
        <v>0</v>
      </c>
    </row>
    <row r="4103" spans="1:9" x14ac:dyDescent="0.2">
      <c r="A4103">
        <v>1056071</v>
      </c>
      <c r="B4103" t="s">
        <v>21</v>
      </c>
      <c r="C4103">
        <v>13.64</v>
      </c>
      <c r="D4103">
        <v>13.69</v>
      </c>
      <c r="E4103">
        <v>38.700000000000003</v>
      </c>
      <c r="F4103" t="s">
        <v>9</v>
      </c>
      <c r="G41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03">
        <f>IF(Table1[[#This Row],[is_ups_overcharge]]="ups overcharged",Table1[[#This Row],[ups ship charge]]-Table1[[#This Row],[ada ship charge]],0)</f>
        <v>0</v>
      </c>
    </row>
    <row r="4104" spans="1:9" x14ac:dyDescent="0.2">
      <c r="A4104">
        <v>1056087</v>
      </c>
      <c r="B4104" t="s">
        <v>21</v>
      </c>
      <c r="C4104">
        <v>12.75</v>
      </c>
      <c r="D4104">
        <v>12.8</v>
      </c>
      <c r="E4104">
        <v>61.3</v>
      </c>
      <c r="F4104" t="s">
        <v>9</v>
      </c>
      <c r="G41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04">
        <f>IF(Table1[[#This Row],[is_ups_overcharge]]="ups overcharged",Table1[[#This Row],[ups ship charge]]-Table1[[#This Row],[ada ship charge]],0)</f>
        <v>0</v>
      </c>
    </row>
    <row r="4105" spans="1:9" x14ac:dyDescent="0.2">
      <c r="A4105">
        <v>1056094</v>
      </c>
      <c r="B4105" t="s">
        <v>21</v>
      </c>
      <c r="C4105">
        <v>12.75</v>
      </c>
      <c r="D4105">
        <v>12.8</v>
      </c>
      <c r="E4105">
        <v>44.95</v>
      </c>
      <c r="F4105" t="s">
        <v>9</v>
      </c>
      <c r="G41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05">
        <f>IF(Table1[[#This Row],[is_ups_overcharge]]="ups overcharged",Table1[[#This Row],[ups ship charge]]-Table1[[#This Row],[ada ship charge]],0)</f>
        <v>0</v>
      </c>
    </row>
    <row r="4106" spans="1:9" x14ac:dyDescent="0.2">
      <c r="A4106">
        <v>1056098</v>
      </c>
      <c r="B4106" t="s">
        <v>21</v>
      </c>
      <c r="C4106">
        <v>12.75</v>
      </c>
      <c r="D4106">
        <v>12.8</v>
      </c>
      <c r="E4106">
        <v>38.299999999999997</v>
      </c>
      <c r="F4106" t="s">
        <v>9</v>
      </c>
      <c r="G41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06">
        <f>IF(Table1[[#This Row],[is_ups_overcharge]]="ups overcharged",Table1[[#This Row],[ups ship charge]]-Table1[[#This Row],[ada ship charge]],0)</f>
        <v>0</v>
      </c>
    </row>
    <row r="4107" spans="1:9" x14ac:dyDescent="0.2">
      <c r="A4107">
        <v>1056121</v>
      </c>
      <c r="B4107" t="s">
        <v>21</v>
      </c>
      <c r="C4107">
        <v>9.65</v>
      </c>
      <c r="D4107">
        <v>14.57</v>
      </c>
      <c r="E4107">
        <v>59.9</v>
      </c>
      <c r="F4107" t="s">
        <v>6</v>
      </c>
      <c r="G41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07">
        <f>IF(Table1[[#This Row],[is_ups_overcharge]]="ups overcharged",Table1[[#This Row],[ups ship charge]]-Table1[[#This Row],[ada ship charge]],0)</f>
        <v>0</v>
      </c>
    </row>
    <row r="4108" spans="1:9" x14ac:dyDescent="0.2">
      <c r="A4108">
        <v>1056123</v>
      </c>
      <c r="B4108" t="s">
        <v>21</v>
      </c>
      <c r="C4108">
        <v>12.75</v>
      </c>
      <c r="D4108">
        <v>12.8</v>
      </c>
      <c r="E4108">
        <v>5</v>
      </c>
      <c r="F4108" t="s">
        <v>9</v>
      </c>
      <c r="G41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08">
        <f>IF(Table1[[#This Row],[is_ups_overcharge]]="ups overcharged",Table1[[#This Row],[ups ship charge]]-Table1[[#This Row],[ada ship charge]],0)</f>
        <v>0</v>
      </c>
    </row>
    <row r="4109" spans="1:9" x14ac:dyDescent="0.2">
      <c r="A4109">
        <v>1056130</v>
      </c>
      <c r="B4109" t="s">
        <v>21</v>
      </c>
      <c r="C4109">
        <v>12.75</v>
      </c>
      <c r="D4109">
        <v>12.8</v>
      </c>
      <c r="E4109">
        <v>19.2</v>
      </c>
      <c r="F4109" t="s">
        <v>9</v>
      </c>
      <c r="G41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09">
        <f>IF(Table1[[#This Row],[is_ups_overcharge]]="ups overcharged",Table1[[#This Row],[ups ship charge]]-Table1[[#This Row],[ada ship charge]],0)</f>
        <v>0</v>
      </c>
    </row>
    <row r="4110" spans="1:9" x14ac:dyDescent="0.2">
      <c r="A4110">
        <v>1056137</v>
      </c>
      <c r="B4110" t="s">
        <v>21</v>
      </c>
      <c r="C4110">
        <v>58.3</v>
      </c>
      <c r="D4110">
        <v>60.46</v>
      </c>
      <c r="E4110">
        <v>246.5</v>
      </c>
      <c r="F4110" t="s">
        <v>8</v>
      </c>
      <c r="G41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10">
        <f>IF(Table1[[#This Row],[is_ups_overcharge]]="ups overcharged",Table1[[#This Row],[ups ship charge]]-Table1[[#This Row],[ada ship charge]],0)</f>
        <v>0</v>
      </c>
    </row>
    <row r="4111" spans="1:9" x14ac:dyDescent="0.2">
      <c r="A4111">
        <v>1056150</v>
      </c>
      <c r="B4111" t="s">
        <v>21</v>
      </c>
      <c r="C4111">
        <v>13.64</v>
      </c>
      <c r="D4111">
        <v>13.69</v>
      </c>
      <c r="E4111">
        <v>126.05</v>
      </c>
      <c r="F4111" t="s">
        <v>9</v>
      </c>
      <c r="G41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11">
        <f>IF(Table1[[#This Row],[is_ups_overcharge]]="ups overcharged",Table1[[#This Row],[ups ship charge]]-Table1[[#This Row],[ada ship charge]],0)</f>
        <v>0</v>
      </c>
    </row>
    <row r="4112" spans="1:9" x14ac:dyDescent="0.2">
      <c r="A4112">
        <v>1056159</v>
      </c>
      <c r="B4112" t="s">
        <v>21</v>
      </c>
      <c r="C4112">
        <v>12.75</v>
      </c>
      <c r="D4112">
        <v>12.8</v>
      </c>
      <c r="E4112">
        <v>4.95</v>
      </c>
      <c r="F4112" t="s">
        <v>9</v>
      </c>
      <c r="G41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12">
        <f>IF(Table1[[#This Row],[is_ups_overcharge]]="ups overcharged",Table1[[#This Row],[ups ship charge]]-Table1[[#This Row],[ada ship charge]],0)</f>
        <v>0</v>
      </c>
    </row>
    <row r="4113" spans="1:9" x14ac:dyDescent="0.2">
      <c r="A4113">
        <v>1056171</v>
      </c>
      <c r="B4113" t="s">
        <v>21</v>
      </c>
      <c r="C4113">
        <v>13.64</v>
      </c>
      <c r="D4113">
        <v>13.69</v>
      </c>
      <c r="E4113">
        <v>114.9</v>
      </c>
      <c r="F4113" t="s">
        <v>9</v>
      </c>
      <c r="G41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13">
        <f>IF(Table1[[#This Row],[is_ups_overcharge]]="ups overcharged",Table1[[#This Row],[ups ship charge]]-Table1[[#This Row],[ada ship charge]],0)</f>
        <v>0</v>
      </c>
    </row>
    <row r="4114" spans="1:9" x14ac:dyDescent="0.2">
      <c r="A4114">
        <v>1056185</v>
      </c>
      <c r="B4114" t="s">
        <v>21</v>
      </c>
      <c r="C4114">
        <v>12.75</v>
      </c>
      <c r="D4114">
        <v>12.8</v>
      </c>
      <c r="E4114">
        <v>39.950000000000003</v>
      </c>
      <c r="F4114" t="s">
        <v>9</v>
      </c>
      <c r="G41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14">
        <f>IF(Table1[[#This Row],[is_ups_overcharge]]="ups overcharged",Table1[[#This Row],[ups ship charge]]-Table1[[#This Row],[ada ship charge]],0)</f>
        <v>0</v>
      </c>
    </row>
    <row r="4115" spans="1:9" x14ac:dyDescent="0.2">
      <c r="A4115">
        <v>1056201</v>
      </c>
      <c r="B4115" t="s">
        <v>21</v>
      </c>
      <c r="C4115">
        <v>16.649999999999999</v>
      </c>
      <c r="D4115">
        <v>16.7</v>
      </c>
      <c r="E4115">
        <v>6.5</v>
      </c>
      <c r="F4115" t="s">
        <v>10</v>
      </c>
      <c r="G41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15">
        <f>IF(Table1[[#This Row],[is_ups_overcharge]]="ups overcharged",Table1[[#This Row],[ups ship charge]]-Table1[[#This Row],[ada ship charge]],0)</f>
        <v>0</v>
      </c>
    </row>
    <row r="4116" spans="1:9" x14ac:dyDescent="0.2">
      <c r="A4116">
        <v>1056207</v>
      </c>
      <c r="B4116" t="s">
        <v>21</v>
      </c>
      <c r="C4116">
        <v>9.66</v>
      </c>
      <c r="D4116">
        <v>9.7100000000000009</v>
      </c>
      <c r="E4116">
        <v>29.95</v>
      </c>
      <c r="F4116" t="s">
        <v>6</v>
      </c>
      <c r="G41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16">
        <f>IF(Table1[[#This Row],[is_ups_overcharge]]="ups overcharged",Table1[[#This Row],[ups ship charge]]-Table1[[#This Row],[ada ship charge]],0)</f>
        <v>0</v>
      </c>
    </row>
    <row r="4117" spans="1:9" x14ac:dyDescent="0.2">
      <c r="A4117">
        <v>1056248</v>
      </c>
      <c r="B4117" t="s">
        <v>21</v>
      </c>
      <c r="C4117">
        <v>16.649999999999999</v>
      </c>
      <c r="D4117">
        <v>16.7</v>
      </c>
      <c r="E4117">
        <v>65.8</v>
      </c>
      <c r="F4117" t="s">
        <v>10</v>
      </c>
      <c r="G41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17">
        <f>IF(Table1[[#This Row],[is_ups_overcharge]]="ups overcharged",Table1[[#This Row],[ups ship charge]]-Table1[[#This Row],[ada ship charge]],0)</f>
        <v>0</v>
      </c>
    </row>
    <row r="4118" spans="1:9" x14ac:dyDescent="0.2">
      <c r="A4118">
        <v>1056250</v>
      </c>
      <c r="B4118" t="s">
        <v>21</v>
      </c>
      <c r="C4118">
        <v>28.68</v>
      </c>
      <c r="D4118">
        <v>28.73</v>
      </c>
      <c r="E4118">
        <v>64.400000000000006</v>
      </c>
      <c r="F4118" t="s">
        <v>15</v>
      </c>
      <c r="G41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18">
        <f>IF(Table1[[#This Row],[is_ups_overcharge]]="ups overcharged",Table1[[#This Row],[ups ship charge]]-Table1[[#This Row],[ada ship charge]],0)</f>
        <v>0</v>
      </c>
    </row>
    <row r="4119" spans="1:9" x14ac:dyDescent="0.2">
      <c r="A4119">
        <v>1056252</v>
      </c>
      <c r="B4119" t="s">
        <v>21</v>
      </c>
      <c r="C4119">
        <v>16.649999999999999</v>
      </c>
      <c r="D4119">
        <v>16.7</v>
      </c>
      <c r="E4119">
        <v>47.9</v>
      </c>
      <c r="F4119" t="s">
        <v>10</v>
      </c>
      <c r="G41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19">
        <f>IF(Table1[[#This Row],[is_ups_overcharge]]="ups overcharged",Table1[[#This Row],[ups ship charge]]-Table1[[#This Row],[ada ship charge]],0)</f>
        <v>0</v>
      </c>
    </row>
    <row r="4120" spans="1:9" x14ac:dyDescent="0.2">
      <c r="A4120">
        <v>1056253</v>
      </c>
      <c r="B4120" t="s">
        <v>21</v>
      </c>
      <c r="C4120">
        <v>13.64</v>
      </c>
      <c r="D4120">
        <v>13.69</v>
      </c>
      <c r="E4120">
        <v>19.5</v>
      </c>
      <c r="F4120" t="s">
        <v>9</v>
      </c>
      <c r="G41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20">
        <f>IF(Table1[[#This Row],[is_ups_overcharge]]="ups overcharged",Table1[[#This Row],[ups ship charge]]-Table1[[#This Row],[ada ship charge]],0)</f>
        <v>0</v>
      </c>
    </row>
    <row r="4121" spans="1:9" x14ac:dyDescent="0.2">
      <c r="A4121">
        <v>1056271</v>
      </c>
      <c r="B4121" t="s">
        <v>21</v>
      </c>
      <c r="C4121">
        <v>9.65</v>
      </c>
      <c r="D4121">
        <v>9.6999999999999993</v>
      </c>
      <c r="E4121">
        <v>12.9</v>
      </c>
      <c r="F4121" t="s">
        <v>6</v>
      </c>
      <c r="G41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21">
        <f>IF(Table1[[#This Row],[is_ups_overcharge]]="ups overcharged",Table1[[#This Row],[ups ship charge]]-Table1[[#This Row],[ada ship charge]],0)</f>
        <v>0</v>
      </c>
    </row>
    <row r="4122" spans="1:9" x14ac:dyDescent="0.2">
      <c r="A4122">
        <v>1056283</v>
      </c>
      <c r="B4122" t="s">
        <v>21</v>
      </c>
      <c r="C4122">
        <v>13.64</v>
      </c>
      <c r="D4122">
        <v>13.69</v>
      </c>
      <c r="E4122">
        <v>7.95</v>
      </c>
      <c r="F4122" t="s">
        <v>9</v>
      </c>
      <c r="G41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22">
        <f>IF(Table1[[#This Row],[is_ups_overcharge]]="ups overcharged",Table1[[#This Row],[ups ship charge]]-Table1[[#This Row],[ada ship charge]],0)</f>
        <v>0</v>
      </c>
    </row>
    <row r="4123" spans="1:9" x14ac:dyDescent="0.2">
      <c r="A4123">
        <v>1056325</v>
      </c>
      <c r="B4123" t="s">
        <v>21</v>
      </c>
      <c r="C4123">
        <v>13.64</v>
      </c>
      <c r="D4123">
        <v>13.69</v>
      </c>
      <c r="E4123">
        <v>53.8</v>
      </c>
      <c r="F4123" t="s">
        <v>9</v>
      </c>
      <c r="G41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23">
        <f>IF(Table1[[#This Row],[is_ups_overcharge]]="ups overcharged",Table1[[#This Row],[ups ship charge]]-Table1[[#This Row],[ada ship charge]],0)</f>
        <v>0</v>
      </c>
    </row>
    <row r="4124" spans="1:9" x14ac:dyDescent="0.2">
      <c r="A4124">
        <v>1056327</v>
      </c>
      <c r="B4124" t="s">
        <v>21</v>
      </c>
      <c r="C4124">
        <v>12.75</v>
      </c>
      <c r="D4124">
        <v>12.8</v>
      </c>
      <c r="E4124">
        <v>69.900000000000006</v>
      </c>
      <c r="F4124" t="s">
        <v>9</v>
      </c>
      <c r="G41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24">
        <f>IF(Table1[[#This Row],[is_ups_overcharge]]="ups overcharged",Table1[[#This Row],[ups ship charge]]-Table1[[#This Row],[ada ship charge]],0)</f>
        <v>0</v>
      </c>
    </row>
    <row r="4125" spans="1:9" x14ac:dyDescent="0.2">
      <c r="A4125">
        <v>1056329</v>
      </c>
      <c r="B4125" t="s">
        <v>21</v>
      </c>
      <c r="C4125">
        <v>9.66</v>
      </c>
      <c r="D4125">
        <v>9.7100000000000009</v>
      </c>
      <c r="E4125">
        <v>23.85</v>
      </c>
      <c r="F4125" t="s">
        <v>6</v>
      </c>
      <c r="G41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25">
        <f>IF(Table1[[#This Row],[is_ups_overcharge]]="ups overcharged",Table1[[#This Row],[ups ship charge]]-Table1[[#This Row],[ada ship charge]],0)</f>
        <v>0</v>
      </c>
    </row>
    <row r="4126" spans="1:9" x14ac:dyDescent="0.2">
      <c r="A4126">
        <v>1056336</v>
      </c>
      <c r="B4126" t="s">
        <v>21</v>
      </c>
      <c r="C4126">
        <v>18.32</v>
      </c>
      <c r="D4126">
        <v>18.37</v>
      </c>
      <c r="E4126">
        <v>5</v>
      </c>
      <c r="F4126" t="s">
        <v>15</v>
      </c>
      <c r="G41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26">
        <f>IF(Table1[[#This Row],[is_ups_overcharge]]="ups overcharged",Table1[[#This Row],[ups ship charge]]-Table1[[#This Row],[ada ship charge]],0)</f>
        <v>0</v>
      </c>
    </row>
    <row r="4127" spans="1:9" x14ac:dyDescent="0.2">
      <c r="A4127">
        <v>1056339</v>
      </c>
      <c r="B4127" t="s">
        <v>21</v>
      </c>
      <c r="C4127">
        <v>9.66</v>
      </c>
      <c r="D4127">
        <v>9.7100000000000009</v>
      </c>
      <c r="E4127">
        <v>5</v>
      </c>
      <c r="F4127" t="s">
        <v>6</v>
      </c>
      <c r="G41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27">
        <f>IF(Table1[[#This Row],[is_ups_overcharge]]="ups overcharged",Table1[[#This Row],[ups ship charge]]-Table1[[#This Row],[ada ship charge]],0)</f>
        <v>0</v>
      </c>
    </row>
    <row r="4128" spans="1:9" x14ac:dyDescent="0.2">
      <c r="A4128">
        <v>1056342</v>
      </c>
      <c r="B4128" t="s">
        <v>21</v>
      </c>
      <c r="C4128">
        <v>12.75</v>
      </c>
      <c r="D4128">
        <v>12.8</v>
      </c>
      <c r="E4128">
        <v>9.9499999999999993</v>
      </c>
      <c r="F4128" t="s">
        <v>9</v>
      </c>
      <c r="G41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28">
        <f>IF(Table1[[#This Row],[is_ups_overcharge]]="ups overcharged",Table1[[#This Row],[ups ship charge]]-Table1[[#This Row],[ada ship charge]],0)</f>
        <v>0</v>
      </c>
    </row>
    <row r="4129" spans="1:9" x14ac:dyDescent="0.2">
      <c r="A4129">
        <v>1056346</v>
      </c>
      <c r="B4129" t="s">
        <v>21</v>
      </c>
      <c r="C4129">
        <v>12.75</v>
      </c>
      <c r="D4129">
        <v>12.8</v>
      </c>
      <c r="E4129">
        <v>34.950000000000003</v>
      </c>
      <c r="F4129" t="s">
        <v>9</v>
      </c>
      <c r="G41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29">
        <f>IF(Table1[[#This Row],[is_ups_overcharge]]="ups overcharged",Table1[[#This Row],[ups ship charge]]-Table1[[#This Row],[ada ship charge]],0)</f>
        <v>0</v>
      </c>
    </row>
    <row r="4130" spans="1:9" x14ac:dyDescent="0.2">
      <c r="A4130">
        <v>1056372</v>
      </c>
      <c r="B4130" t="s">
        <v>21</v>
      </c>
      <c r="C4130">
        <v>12.75</v>
      </c>
      <c r="D4130">
        <v>12.8</v>
      </c>
      <c r="E4130">
        <v>5</v>
      </c>
      <c r="F4130" t="s">
        <v>9</v>
      </c>
      <c r="G41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30">
        <f>IF(Table1[[#This Row],[is_ups_overcharge]]="ups overcharged",Table1[[#This Row],[ups ship charge]]-Table1[[#This Row],[ada ship charge]],0)</f>
        <v>0</v>
      </c>
    </row>
    <row r="4131" spans="1:9" x14ac:dyDescent="0.2">
      <c r="A4131">
        <v>1056375</v>
      </c>
      <c r="B4131" t="s">
        <v>21</v>
      </c>
      <c r="C4131">
        <v>12.75</v>
      </c>
      <c r="D4131">
        <v>12.8</v>
      </c>
      <c r="E4131">
        <v>44.95</v>
      </c>
      <c r="F4131" t="s">
        <v>9</v>
      </c>
      <c r="G41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31">
        <f>IF(Table1[[#This Row],[is_ups_overcharge]]="ups overcharged",Table1[[#This Row],[ups ship charge]]-Table1[[#This Row],[ada ship charge]],0)</f>
        <v>0</v>
      </c>
    </row>
    <row r="4132" spans="1:9" x14ac:dyDescent="0.2">
      <c r="A4132">
        <v>1056392</v>
      </c>
      <c r="B4132" t="s">
        <v>21</v>
      </c>
      <c r="C4132">
        <v>9.65</v>
      </c>
      <c r="D4132">
        <v>13.69</v>
      </c>
      <c r="E4132">
        <v>16.25</v>
      </c>
      <c r="F4132" t="s">
        <v>6</v>
      </c>
      <c r="G41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32">
        <f>IF(Table1[[#This Row],[is_ups_overcharge]]="ups overcharged",Table1[[#This Row],[ups ship charge]]-Table1[[#This Row],[ada ship charge]],0)</f>
        <v>0</v>
      </c>
    </row>
    <row r="4133" spans="1:9" x14ac:dyDescent="0.2">
      <c r="A4133">
        <v>1056394</v>
      </c>
      <c r="B4133" t="s">
        <v>21</v>
      </c>
      <c r="C4133">
        <v>13.64</v>
      </c>
      <c r="D4133">
        <v>13.69</v>
      </c>
      <c r="E4133">
        <v>5.95</v>
      </c>
      <c r="F4133" t="s">
        <v>9</v>
      </c>
      <c r="G41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33">
        <f>IF(Table1[[#This Row],[is_ups_overcharge]]="ups overcharged",Table1[[#This Row],[ups ship charge]]-Table1[[#This Row],[ada ship charge]],0)</f>
        <v>0</v>
      </c>
    </row>
    <row r="4134" spans="1:9" x14ac:dyDescent="0.2">
      <c r="A4134">
        <v>1056398</v>
      </c>
      <c r="B4134" t="s">
        <v>21</v>
      </c>
      <c r="C4134">
        <v>13.64</v>
      </c>
      <c r="D4134">
        <v>13.69</v>
      </c>
      <c r="E4134">
        <v>37.35</v>
      </c>
      <c r="F4134" t="s">
        <v>9</v>
      </c>
      <c r="G41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34">
        <f>IF(Table1[[#This Row],[is_ups_overcharge]]="ups overcharged",Table1[[#This Row],[ups ship charge]]-Table1[[#This Row],[ada ship charge]],0)</f>
        <v>0</v>
      </c>
    </row>
    <row r="4135" spans="1:9" x14ac:dyDescent="0.2">
      <c r="A4135">
        <v>1056411</v>
      </c>
      <c r="B4135" t="s">
        <v>21</v>
      </c>
      <c r="C4135">
        <v>57.61</v>
      </c>
      <c r="D4135">
        <v>60.46</v>
      </c>
      <c r="E4135">
        <v>73.650000000000006</v>
      </c>
      <c r="F4135" t="s">
        <v>8</v>
      </c>
      <c r="G41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35">
        <f>IF(Table1[[#This Row],[is_ups_overcharge]]="ups overcharged",Table1[[#This Row],[ups ship charge]]-Table1[[#This Row],[ada ship charge]],0)</f>
        <v>0</v>
      </c>
    </row>
    <row r="4136" spans="1:9" x14ac:dyDescent="0.2">
      <c r="A4136">
        <v>1056425</v>
      </c>
      <c r="B4136" t="s">
        <v>21</v>
      </c>
      <c r="C4136">
        <v>12.75</v>
      </c>
      <c r="D4136">
        <v>12.8</v>
      </c>
      <c r="E4136">
        <v>12.85</v>
      </c>
      <c r="F4136" t="s">
        <v>9</v>
      </c>
      <c r="G41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36">
        <f>IF(Table1[[#This Row],[is_ups_overcharge]]="ups overcharged",Table1[[#This Row],[ups ship charge]]-Table1[[#This Row],[ada ship charge]],0)</f>
        <v>0</v>
      </c>
    </row>
    <row r="4137" spans="1:9" x14ac:dyDescent="0.2">
      <c r="A4137">
        <v>1056463</v>
      </c>
      <c r="B4137" t="s">
        <v>21</v>
      </c>
      <c r="C4137">
        <v>16.649999999999999</v>
      </c>
      <c r="D4137">
        <v>16.7</v>
      </c>
      <c r="E4137">
        <v>88.9</v>
      </c>
      <c r="F4137" t="s">
        <v>10</v>
      </c>
      <c r="G41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37">
        <f>IF(Table1[[#This Row],[is_ups_overcharge]]="ups overcharged",Table1[[#This Row],[ups ship charge]]-Table1[[#This Row],[ada ship charge]],0)</f>
        <v>0</v>
      </c>
    </row>
    <row r="4138" spans="1:9" x14ac:dyDescent="0.2">
      <c r="A4138">
        <v>1056477</v>
      </c>
      <c r="B4138" t="s">
        <v>21</v>
      </c>
      <c r="C4138">
        <v>13.64</v>
      </c>
      <c r="D4138">
        <v>13.69</v>
      </c>
      <c r="E4138">
        <v>1.95</v>
      </c>
      <c r="F4138" t="s">
        <v>9</v>
      </c>
      <c r="G41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38">
        <f>IF(Table1[[#This Row],[is_ups_overcharge]]="ups overcharged",Table1[[#This Row],[ups ship charge]]-Table1[[#This Row],[ada ship charge]],0)</f>
        <v>0</v>
      </c>
    </row>
    <row r="4139" spans="1:9" x14ac:dyDescent="0.2">
      <c r="A4139">
        <v>1056483</v>
      </c>
      <c r="B4139" t="s">
        <v>21</v>
      </c>
      <c r="C4139">
        <v>9.65</v>
      </c>
      <c r="D4139">
        <v>9.6999999999999993</v>
      </c>
      <c r="E4139">
        <v>39.9</v>
      </c>
      <c r="F4139" t="s">
        <v>6</v>
      </c>
      <c r="G41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39">
        <f>IF(Table1[[#This Row],[is_ups_overcharge]]="ups overcharged",Table1[[#This Row],[ups ship charge]]-Table1[[#This Row],[ada ship charge]],0)</f>
        <v>0</v>
      </c>
    </row>
    <row r="4140" spans="1:9" x14ac:dyDescent="0.2">
      <c r="A4140">
        <v>1056495</v>
      </c>
      <c r="B4140" t="s">
        <v>21</v>
      </c>
      <c r="C4140">
        <v>12.75</v>
      </c>
      <c r="D4140">
        <v>12.8</v>
      </c>
      <c r="E4140">
        <v>70.45</v>
      </c>
      <c r="F4140" t="s">
        <v>9</v>
      </c>
      <c r="G41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40">
        <f>IF(Table1[[#This Row],[is_ups_overcharge]]="ups overcharged",Table1[[#This Row],[ups ship charge]]-Table1[[#This Row],[ada ship charge]],0)</f>
        <v>0</v>
      </c>
    </row>
    <row r="4141" spans="1:9" x14ac:dyDescent="0.2">
      <c r="A4141">
        <v>1056524</v>
      </c>
      <c r="B4141" t="s">
        <v>21</v>
      </c>
      <c r="C4141">
        <v>16.34</v>
      </c>
      <c r="D4141">
        <v>16.39</v>
      </c>
      <c r="E4141">
        <v>59.95</v>
      </c>
      <c r="F4141" t="s">
        <v>10</v>
      </c>
      <c r="G41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41">
        <f>IF(Table1[[#This Row],[is_ups_overcharge]]="ups overcharged",Table1[[#This Row],[ups ship charge]]-Table1[[#This Row],[ada ship charge]],0)</f>
        <v>0</v>
      </c>
    </row>
    <row r="4142" spans="1:9" x14ac:dyDescent="0.2">
      <c r="A4142">
        <v>1056533</v>
      </c>
      <c r="B4142" t="s">
        <v>21</v>
      </c>
      <c r="C4142">
        <v>13.64</v>
      </c>
      <c r="D4142">
        <v>13.69</v>
      </c>
      <c r="E4142">
        <v>98.35</v>
      </c>
      <c r="F4142" t="s">
        <v>9</v>
      </c>
      <c r="G41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42">
        <f>IF(Table1[[#This Row],[is_ups_overcharge]]="ups overcharged",Table1[[#This Row],[ups ship charge]]-Table1[[#This Row],[ada ship charge]],0)</f>
        <v>0</v>
      </c>
    </row>
    <row r="4143" spans="1:9" x14ac:dyDescent="0.2">
      <c r="A4143">
        <v>1056535</v>
      </c>
      <c r="B4143" t="s">
        <v>21</v>
      </c>
      <c r="C4143">
        <v>22.55</v>
      </c>
      <c r="D4143">
        <v>9.6999999999999993</v>
      </c>
      <c r="E4143">
        <v>35.700000000000003</v>
      </c>
      <c r="F4143" t="s">
        <v>6</v>
      </c>
      <c r="G41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43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4143">
        <f>IF(Table1[[#This Row],[is_ups_overcharge]]="ups overcharged",Table1[[#This Row],[ups ship charge]]-Table1[[#This Row],[ada ship charge]],0)</f>
        <v>12.850000000000001</v>
      </c>
    </row>
    <row r="4144" spans="1:9" x14ac:dyDescent="0.2">
      <c r="A4144">
        <v>1056537</v>
      </c>
      <c r="B4144" t="s">
        <v>21</v>
      </c>
      <c r="C4144">
        <v>9.66</v>
      </c>
      <c r="D4144">
        <v>9.7100000000000009</v>
      </c>
      <c r="E4144">
        <v>17.95</v>
      </c>
      <c r="F4144" t="s">
        <v>6</v>
      </c>
      <c r="G41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44">
        <f>IF(Table1[[#This Row],[is_ups_overcharge]]="ups overcharged",Table1[[#This Row],[ups ship charge]]-Table1[[#This Row],[ada ship charge]],0)</f>
        <v>0</v>
      </c>
    </row>
    <row r="4145" spans="1:9" x14ac:dyDescent="0.2">
      <c r="A4145">
        <v>1056552</v>
      </c>
      <c r="B4145" t="s">
        <v>21</v>
      </c>
      <c r="C4145">
        <v>9.66</v>
      </c>
      <c r="D4145">
        <v>9.6999999999999993</v>
      </c>
      <c r="E4145">
        <v>70.8</v>
      </c>
      <c r="F4145" t="s">
        <v>6</v>
      </c>
      <c r="G41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45">
        <f>IF(Table1[[#This Row],[is_ups_overcharge]]="ups overcharged",Table1[[#This Row],[ups ship charge]]-Table1[[#This Row],[ada ship charge]],0)</f>
        <v>0</v>
      </c>
    </row>
    <row r="4146" spans="1:9" x14ac:dyDescent="0.2">
      <c r="A4146">
        <v>1056579</v>
      </c>
      <c r="B4146" t="s">
        <v>21</v>
      </c>
      <c r="C4146">
        <v>9.65</v>
      </c>
      <c r="D4146">
        <v>9.6999999999999993</v>
      </c>
      <c r="E4146">
        <v>19.2</v>
      </c>
      <c r="F4146" t="s">
        <v>6</v>
      </c>
      <c r="G41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46">
        <f>IF(Table1[[#This Row],[is_ups_overcharge]]="ups overcharged",Table1[[#This Row],[ups ship charge]]-Table1[[#This Row],[ada ship charge]],0)</f>
        <v>0</v>
      </c>
    </row>
    <row r="4147" spans="1:9" x14ac:dyDescent="0.2">
      <c r="A4147">
        <v>1056584</v>
      </c>
      <c r="B4147" t="s">
        <v>21</v>
      </c>
      <c r="C4147">
        <v>13.64</v>
      </c>
      <c r="D4147">
        <v>13.69</v>
      </c>
      <c r="E4147">
        <v>40.4</v>
      </c>
      <c r="F4147" t="s">
        <v>9</v>
      </c>
      <c r="G41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47">
        <f>IF(Table1[[#This Row],[is_ups_overcharge]]="ups overcharged",Table1[[#This Row],[ups ship charge]]-Table1[[#This Row],[ada ship charge]],0)</f>
        <v>0</v>
      </c>
    </row>
    <row r="4148" spans="1:9" x14ac:dyDescent="0.2">
      <c r="A4148">
        <v>1056593</v>
      </c>
      <c r="B4148" t="s">
        <v>21</v>
      </c>
      <c r="C4148">
        <v>9.65</v>
      </c>
      <c r="D4148">
        <v>9.6999999999999993</v>
      </c>
      <c r="E4148">
        <v>27.45</v>
      </c>
      <c r="F4148" t="s">
        <v>6</v>
      </c>
      <c r="G41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48">
        <f>IF(Table1[[#This Row],[is_ups_overcharge]]="ups overcharged",Table1[[#This Row],[ups ship charge]]-Table1[[#This Row],[ada ship charge]],0)</f>
        <v>0</v>
      </c>
    </row>
    <row r="4149" spans="1:9" x14ac:dyDescent="0.2">
      <c r="A4149">
        <v>1056622</v>
      </c>
      <c r="B4149" t="s">
        <v>21</v>
      </c>
      <c r="C4149">
        <v>12.36</v>
      </c>
      <c r="D4149">
        <v>16.489999999999998</v>
      </c>
      <c r="E4149">
        <v>19.8</v>
      </c>
      <c r="F4149" t="s">
        <v>13</v>
      </c>
      <c r="G41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49">
        <f>IF(Table1[[#This Row],[is_ups_overcharge]]="ups overcharged",Table1[[#This Row],[ups ship charge]]-Table1[[#This Row],[ada ship charge]],0)</f>
        <v>0</v>
      </c>
    </row>
    <row r="4150" spans="1:9" x14ac:dyDescent="0.2">
      <c r="A4150">
        <v>1056623</v>
      </c>
      <c r="B4150" t="s">
        <v>21</v>
      </c>
      <c r="C4150">
        <v>12.75</v>
      </c>
      <c r="D4150">
        <v>12.8</v>
      </c>
      <c r="E4150">
        <v>95.8</v>
      </c>
      <c r="F4150" t="s">
        <v>9</v>
      </c>
      <c r="G41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50">
        <f>IF(Table1[[#This Row],[is_ups_overcharge]]="ups overcharged",Table1[[#This Row],[ups ship charge]]-Table1[[#This Row],[ada ship charge]],0)</f>
        <v>0</v>
      </c>
    </row>
    <row r="4151" spans="1:9" x14ac:dyDescent="0.2">
      <c r="A4151">
        <v>1056633</v>
      </c>
      <c r="B4151" t="s">
        <v>21</v>
      </c>
      <c r="C4151">
        <v>12.75</v>
      </c>
      <c r="D4151">
        <v>12.8</v>
      </c>
      <c r="E4151">
        <v>59.95</v>
      </c>
      <c r="F4151" t="s">
        <v>9</v>
      </c>
      <c r="G41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51">
        <f>IF(Table1[[#This Row],[is_ups_overcharge]]="ups overcharged",Table1[[#This Row],[ups ship charge]]-Table1[[#This Row],[ada ship charge]],0)</f>
        <v>0</v>
      </c>
    </row>
    <row r="4152" spans="1:9" x14ac:dyDescent="0.2">
      <c r="A4152">
        <v>1056664</v>
      </c>
      <c r="B4152" t="s">
        <v>21</v>
      </c>
      <c r="C4152">
        <v>18.02</v>
      </c>
      <c r="D4152">
        <v>18.84</v>
      </c>
      <c r="E4152">
        <v>69.75</v>
      </c>
      <c r="F4152" t="s">
        <v>15</v>
      </c>
      <c r="G41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52">
        <f>IF(Table1[[#This Row],[is_ups_overcharge]]="ups overcharged",Table1[[#This Row],[ups ship charge]]-Table1[[#This Row],[ada ship charge]],0)</f>
        <v>0</v>
      </c>
    </row>
    <row r="4153" spans="1:9" x14ac:dyDescent="0.2">
      <c r="A4153">
        <v>1056666</v>
      </c>
      <c r="B4153" t="s">
        <v>21</v>
      </c>
      <c r="C4153">
        <v>13.64</v>
      </c>
      <c r="D4153">
        <v>13.69</v>
      </c>
      <c r="E4153">
        <v>29.85</v>
      </c>
      <c r="F4153" t="s">
        <v>9</v>
      </c>
      <c r="G41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53">
        <f>IF(Table1[[#This Row],[is_ups_overcharge]]="ups overcharged",Table1[[#This Row],[ups ship charge]]-Table1[[#This Row],[ada ship charge]],0)</f>
        <v>0</v>
      </c>
    </row>
    <row r="4154" spans="1:9" x14ac:dyDescent="0.2">
      <c r="A4154">
        <v>1056675</v>
      </c>
      <c r="B4154" t="s">
        <v>21</v>
      </c>
      <c r="C4154">
        <v>12.75</v>
      </c>
      <c r="D4154">
        <v>12.8</v>
      </c>
      <c r="E4154">
        <v>89.85</v>
      </c>
      <c r="F4154" t="s">
        <v>9</v>
      </c>
      <c r="G41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54">
        <f>IF(Table1[[#This Row],[is_ups_overcharge]]="ups overcharged",Table1[[#This Row],[ups ship charge]]-Table1[[#This Row],[ada ship charge]],0)</f>
        <v>0</v>
      </c>
    </row>
    <row r="4155" spans="1:9" x14ac:dyDescent="0.2">
      <c r="A4155">
        <v>1056747</v>
      </c>
      <c r="B4155" t="s">
        <v>21</v>
      </c>
      <c r="C4155">
        <v>12.26</v>
      </c>
      <c r="D4155">
        <v>12.31</v>
      </c>
      <c r="E4155">
        <v>56.9</v>
      </c>
      <c r="F4155" t="s">
        <v>13</v>
      </c>
      <c r="G41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55">
        <f>IF(Table1[[#This Row],[is_ups_overcharge]]="ups overcharged",Table1[[#This Row],[ups ship charge]]-Table1[[#This Row],[ada ship charge]],0)</f>
        <v>0</v>
      </c>
    </row>
    <row r="4156" spans="1:9" x14ac:dyDescent="0.2">
      <c r="A4156">
        <v>1056764</v>
      </c>
      <c r="B4156" t="s">
        <v>21</v>
      </c>
      <c r="C4156">
        <v>13.64</v>
      </c>
      <c r="D4156">
        <v>13.69</v>
      </c>
      <c r="E4156">
        <v>14.95</v>
      </c>
      <c r="F4156" t="s">
        <v>9</v>
      </c>
      <c r="G41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56">
        <f>IF(Table1[[#This Row],[is_ups_overcharge]]="ups overcharged",Table1[[#This Row],[ups ship charge]]-Table1[[#This Row],[ada ship charge]],0)</f>
        <v>0</v>
      </c>
    </row>
    <row r="4157" spans="1:9" x14ac:dyDescent="0.2">
      <c r="A4157">
        <v>1056771</v>
      </c>
      <c r="B4157" t="s">
        <v>21</v>
      </c>
      <c r="C4157">
        <v>13.64</v>
      </c>
      <c r="D4157">
        <v>13.68</v>
      </c>
      <c r="E4157">
        <v>63.85</v>
      </c>
      <c r="F4157" t="s">
        <v>9</v>
      </c>
      <c r="G41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57">
        <f>IF(Table1[[#This Row],[is_ups_overcharge]]="ups overcharged",Table1[[#This Row],[ups ship charge]]-Table1[[#This Row],[ada ship charge]],0)</f>
        <v>0</v>
      </c>
    </row>
    <row r="4158" spans="1:9" x14ac:dyDescent="0.2">
      <c r="A4158">
        <v>1056778</v>
      </c>
      <c r="B4158" t="s">
        <v>21</v>
      </c>
      <c r="C4158">
        <v>12.75</v>
      </c>
      <c r="D4158">
        <v>12.8</v>
      </c>
      <c r="E4158">
        <v>29.95</v>
      </c>
      <c r="F4158" t="s">
        <v>9</v>
      </c>
      <c r="G41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58">
        <f>IF(Table1[[#This Row],[is_ups_overcharge]]="ups overcharged",Table1[[#This Row],[ups ship charge]]-Table1[[#This Row],[ada ship charge]],0)</f>
        <v>0</v>
      </c>
    </row>
    <row r="4159" spans="1:9" x14ac:dyDescent="0.2">
      <c r="A4159">
        <v>1056799</v>
      </c>
      <c r="B4159" t="s">
        <v>21</v>
      </c>
      <c r="C4159">
        <v>13.64</v>
      </c>
      <c r="D4159">
        <v>13.69</v>
      </c>
      <c r="E4159">
        <v>83.05</v>
      </c>
      <c r="F4159" t="s">
        <v>9</v>
      </c>
      <c r="G41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59">
        <f>IF(Table1[[#This Row],[is_ups_overcharge]]="ups overcharged",Table1[[#This Row],[ups ship charge]]-Table1[[#This Row],[ada ship charge]],0)</f>
        <v>0</v>
      </c>
    </row>
    <row r="4160" spans="1:9" x14ac:dyDescent="0.2">
      <c r="A4160">
        <v>1056832</v>
      </c>
      <c r="B4160" t="s">
        <v>21</v>
      </c>
      <c r="C4160">
        <v>13.64</v>
      </c>
      <c r="D4160">
        <v>13.73</v>
      </c>
      <c r="E4160">
        <v>50.35</v>
      </c>
      <c r="F4160" t="s">
        <v>9</v>
      </c>
      <c r="G41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60">
        <f>IF(Table1[[#This Row],[is_ups_overcharge]]="ups overcharged",Table1[[#This Row],[ups ship charge]]-Table1[[#This Row],[ada ship charge]],0)</f>
        <v>0</v>
      </c>
    </row>
    <row r="4161" spans="1:9" x14ac:dyDescent="0.2">
      <c r="A4161">
        <v>1056848</v>
      </c>
      <c r="B4161" t="s">
        <v>21</v>
      </c>
      <c r="C4161">
        <v>60.41</v>
      </c>
      <c r="D4161">
        <v>61.15</v>
      </c>
      <c r="E4161">
        <v>88.05</v>
      </c>
      <c r="F4161" t="s">
        <v>8</v>
      </c>
      <c r="G41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61">
        <f>IF(Table1[[#This Row],[is_ups_overcharge]]="ups overcharged",Table1[[#This Row],[ups ship charge]]-Table1[[#This Row],[ada ship charge]],0)</f>
        <v>0</v>
      </c>
    </row>
    <row r="4162" spans="1:9" x14ac:dyDescent="0.2">
      <c r="A4162">
        <v>1056852</v>
      </c>
      <c r="B4162" t="s">
        <v>21</v>
      </c>
      <c r="C4162">
        <v>9.66</v>
      </c>
      <c r="D4162">
        <v>9.7100000000000009</v>
      </c>
      <c r="E4162">
        <v>15.8</v>
      </c>
      <c r="F4162" t="s">
        <v>6</v>
      </c>
      <c r="G41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62">
        <f>IF(Table1[[#This Row],[is_ups_overcharge]]="ups overcharged",Table1[[#This Row],[ups ship charge]]-Table1[[#This Row],[ada ship charge]],0)</f>
        <v>0</v>
      </c>
    </row>
    <row r="4163" spans="1:9" x14ac:dyDescent="0.2">
      <c r="A4163">
        <v>1056862</v>
      </c>
      <c r="B4163" t="s">
        <v>21</v>
      </c>
      <c r="C4163">
        <v>12.75</v>
      </c>
      <c r="D4163">
        <v>14.08</v>
      </c>
      <c r="E4163">
        <v>124.75</v>
      </c>
      <c r="F4163" t="s">
        <v>9</v>
      </c>
      <c r="G41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63">
        <f>IF(Table1[[#This Row],[is_ups_overcharge]]="ups overcharged",Table1[[#This Row],[ups ship charge]]-Table1[[#This Row],[ada ship charge]],0)</f>
        <v>0</v>
      </c>
    </row>
    <row r="4164" spans="1:9" x14ac:dyDescent="0.2">
      <c r="A4164">
        <v>1056930</v>
      </c>
      <c r="B4164" t="s">
        <v>21</v>
      </c>
      <c r="C4164">
        <v>16.649999999999999</v>
      </c>
      <c r="D4164">
        <v>17.16</v>
      </c>
      <c r="E4164">
        <v>155.80000000000001</v>
      </c>
      <c r="F4164" t="s">
        <v>10</v>
      </c>
      <c r="G41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64">
        <f>IF(Table1[[#This Row],[is_ups_overcharge]]="ups overcharged",Table1[[#This Row],[ups ship charge]]-Table1[[#This Row],[ada ship charge]],0)</f>
        <v>0</v>
      </c>
    </row>
    <row r="4165" spans="1:9" x14ac:dyDescent="0.2">
      <c r="A4165">
        <v>1056969</v>
      </c>
      <c r="B4165" t="s">
        <v>21</v>
      </c>
      <c r="C4165">
        <v>13.63</v>
      </c>
      <c r="D4165">
        <v>13.69</v>
      </c>
      <c r="E4165">
        <v>117.2</v>
      </c>
      <c r="F4165" t="s">
        <v>9</v>
      </c>
      <c r="G41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65">
        <f>IF(Table1[[#This Row],[is_ups_overcharge]]="ups overcharged",Table1[[#This Row],[ups ship charge]]-Table1[[#This Row],[ada ship charge]],0)</f>
        <v>0</v>
      </c>
    </row>
    <row r="4166" spans="1:9" x14ac:dyDescent="0.2">
      <c r="A4166">
        <v>1057028</v>
      </c>
      <c r="B4166" t="s">
        <v>21</v>
      </c>
      <c r="C4166">
        <v>12.75</v>
      </c>
      <c r="D4166">
        <v>12.8</v>
      </c>
      <c r="E4166">
        <v>67.8</v>
      </c>
      <c r="F4166" t="s">
        <v>9</v>
      </c>
      <c r="G41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66">
        <f>IF(Table1[[#This Row],[is_ups_overcharge]]="ups overcharged",Table1[[#This Row],[ups ship charge]]-Table1[[#This Row],[ada ship charge]],0)</f>
        <v>0</v>
      </c>
    </row>
    <row r="4167" spans="1:9" x14ac:dyDescent="0.2">
      <c r="A4167">
        <v>1057055</v>
      </c>
      <c r="B4167" t="s">
        <v>21</v>
      </c>
      <c r="C4167">
        <v>12.75</v>
      </c>
      <c r="D4167">
        <v>12.8</v>
      </c>
      <c r="E4167">
        <v>95.8</v>
      </c>
      <c r="F4167" t="s">
        <v>9</v>
      </c>
      <c r="G41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67">
        <f>IF(Table1[[#This Row],[is_ups_overcharge]]="ups overcharged",Table1[[#This Row],[ups ship charge]]-Table1[[#This Row],[ada ship charge]],0)</f>
        <v>0</v>
      </c>
    </row>
    <row r="4168" spans="1:9" x14ac:dyDescent="0.2">
      <c r="A4168">
        <v>1057065</v>
      </c>
      <c r="B4168" t="s">
        <v>21</v>
      </c>
      <c r="C4168">
        <v>12.75</v>
      </c>
      <c r="D4168">
        <v>12.8</v>
      </c>
      <c r="E4168">
        <v>85.7</v>
      </c>
      <c r="F4168" t="s">
        <v>9</v>
      </c>
      <c r="G41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68">
        <f>IF(Table1[[#This Row],[is_ups_overcharge]]="ups overcharged",Table1[[#This Row],[ups ship charge]]-Table1[[#This Row],[ada ship charge]],0)</f>
        <v>0</v>
      </c>
    </row>
    <row r="4169" spans="1:9" x14ac:dyDescent="0.2">
      <c r="A4169">
        <v>1057095</v>
      </c>
      <c r="B4169" t="s">
        <v>21</v>
      </c>
      <c r="C4169">
        <v>12.75</v>
      </c>
      <c r="D4169">
        <v>12.8</v>
      </c>
      <c r="E4169">
        <v>68.75</v>
      </c>
      <c r="F4169" t="s">
        <v>9</v>
      </c>
      <c r="G41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69">
        <f>IF(Table1[[#This Row],[is_ups_overcharge]]="ups overcharged",Table1[[#This Row],[ups ship charge]]-Table1[[#This Row],[ada ship charge]],0)</f>
        <v>0</v>
      </c>
    </row>
    <row r="4170" spans="1:9" x14ac:dyDescent="0.2">
      <c r="A4170">
        <v>1057097</v>
      </c>
      <c r="B4170" t="s">
        <v>21</v>
      </c>
      <c r="C4170">
        <v>12.75</v>
      </c>
      <c r="D4170">
        <v>12.8</v>
      </c>
      <c r="E4170">
        <v>121.8</v>
      </c>
      <c r="F4170" t="s">
        <v>9</v>
      </c>
      <c r="G41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70">
        <f>IF(Table1[[#This Row],[is_ups_overcharge]]="ups overcharged",Table1[[#This Row],[ups ship charge]]-Table1[[#This Row],[ada ship charge]],0)</f>
        <v>0</v>
      </c>
    </row>
    <row r="4171" spans="1:9" x14ac:dyDescent="0.2">
      <c r="A4171">
        <v>1057120</v>
      </c>
      <c r="B4171" t="s">
        <v>21</v>
      </c>
      <c r="C4171">
        <v>13.64</v>
      </c>
      <c r="D4171">
        <v>13.69</v>
      </c>
      <c r="E4171">
        <v>53.75</v>
      </c>
      <c r="F4171" t="s">
        <v>9</v>
      </c>
      <c r="G41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71">
        <f>IF(Table1[[#This Row],[is_ups_overcharge]]="ups overcharged",Table1[[#This Row],[ups ship charge]]-Table1[[#This Row],[ada ship charge]],0)</f>
        <v>0</v>
      </c>
    </row>
    <row r="4172" spans="1:9" x14ac:dyDescent="0.2">
      <c r="A4172">
        <v>1057121</v>
      </c>
      <c r="B4172" t="s">
        <v>21</v>
      </c>
      <c r="C4172">
        <v>61.89</v>
      </c>
      <c r="D4172">
        <v>61.94</v>
      </c>
      <c r="E4172">
        <v>203.7</v>
      </c>
      <c r="F4172" t="s">
        <v>8</v>
      </c>
      <c r="G41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72">
        <f>IF(Table1[[#This Row],[is_ups_overcharge]]="ups overcharged",Table1[[#This Row],[ups ship charge]]-Table1[[#This Row],[ada ship charge]],0)</f>
        <v>0</v>
      </c>
    </row>
    <row r="4173" spans="1:9" x14ac:dyDescent="0.2">
      <c r="A4173">
        <v>1057150</v>
      </c>
      <c r="B4173" t="s">
        <v>21</v>
      </c>
      <c r="C4173">
        <v>13.64</v>
      </c>
      <c r="D4173">
        <v>13.69</v>
      </c>
      <c r="E4173">
        <v>67.8</v>
      </c>
      <c r="F4173" t="s">
        <v>9</v>
      </c>
      <c r="G41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73">
        <f>IF(Table1[[#This Row],[is_ups_overcharge]]="ups overcharged",Table1[[#This Row],[ups ship charge]]-Table1[[#This Row],[ada ship charge]],0)</f>
        <v>0</v>
      </c>
    </row>
    <row r="4174" spans="1:9" x14ac:dyDescent="0.2">
      <c r="A4174">
        <v>1057155</v>
      </c>
      <c r="B4174" t="s">
        <v>21</v>
      </c>
      <c r="C4174">
        <v>13.64</v>
      </c>
      <c r="D4174">
        <v>13.69</v>
      </c>
      <c r="E4174">
        <v>17.5</v>
      </c>
      <c r="F4174" t="s">
        <v>9</v>
      </c>
      <c r="G41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74">
        <f>IF(Table1[[#This Row],[is_ups_overcharge]]="ups overcharged",Table1[[#This Row],[ups ship charge]]-Table1[[#This Row],[ada ship charge]],0)</f>
        <v>0</v>
      </c>
    </row>
    <row r="4175" spans="1:9" x14ac:dyDescent="0.2">
      <c r="A4175">
        <v>1057158</v>
      </c>
      <c r="B4175" t="s">
        <v>21</v>
      </c>
      <c r="C4175">
        <v>13.64</v>
      </c>
      <c r="D4175">
        <v>13.69</v>
      </c>
      <c r="E4175">
        <v>180.95</v>
      </c>
      <c r="F4175" t="s">
        <v>9</v>
      </c>
      <c r="G41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75">
        <f>IF(Table1[[#This Row],[is_ups_overcharge]]="ups overcharged",Table1[[#This Row],[ups ship charge]]-Table1[[#This Row],[ada ship charge]],0)</f>
        <v>0</v>
      </c>
    </row>
    <row r="4176" spans="1:9" x14ac:dyDescent="0.2">
      <c r="A4176">
        <v>1057161</v>
      </c>
      <c r="B4176" t="s">
        <v>21</v>
      </c>
      <c r="C4176">
        <v>13.64</v>
      </c>
      <c r="D4176">
        <v>13.69</v>
      </c>
      <c r="E4176">
        <v>64.900000000000006</v>
      </c>
      <c r="F4176" t="s">
        <v>9</v>
      </c>
      <c r="G41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76">
        <f>IF(Table1[[#This Row],[is_ups_overcharge]]="ups overcharged",Table1[[#This Row],[ups ship charge]]-Table1[[#This Row],[ada ship charge]],0)</f>
        <v>0</v>
      </c>
    </row>
    <row r="4177" spans="1:9" x14ac:dyDescent="0.2">
      <c r="A4177">
        <v>1057164</v>
      </c>
      <c r="B4177" t="s">
        <v>21</v>
      </c>
      <c r="C4177">
        <v>15.33</v>
      </c>
      <c r="D4177">
        <v>15.38</v>
      </c>
      <c r="E4177">
        <v>123.75</v>
      </c>
      <c r="F4177" t="s">
        <v>12</v>
      </c>
      <c r="G41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77">
        <f>IF(Table1[[#This Row],[is_ups_overcharge]]="ups overcharged",Table1[[#This Row],[ups ship charge]]-Table1[[#This Row],[ada ship charge]],0)</f>
        <v>0</v>
      </c>
    </row>
    <row r="4178" spans="1:9" x14ac:dyDescent="0.2">
      <c r="A4178">
        <v>1057166</v>
      </c>
      <c r="B4178" t="s">
        <v>21</v>
      </c>
      <c r="C4178">
        <v>12.75</v>
      </c>
      <c r="D4178">
        <v>12.8</v>
      </c>
      <c r="E4178">
        <v>46.8</v>
      </c>
      <c r="F4178" t="s">
        <v>9</v>
      </c>
      <c r="G41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78">
        <f>IF(Table1[[#This Row],[is_ups_overcharge]]="ups overcharged",Table1[[#This Row],[ups ship charge]]-Table1[[#This Row],[ada ship charge]],0)</f>
        <v>0</v>
      </c>
    </row>
    <row r="4179" spans="1:9" x14ac:dyDescent="0.2">
      <c r="A4179">
        <v>1057186</v>
      </c>
      <c r="B4179" t="s">
        <v>21</v>
      </c>
      <c r="C4179">
        <v>13.64</v>
      </c>
      <c r="D4179">
        <v>13.69</v>
      </c>
      <c r="E4179">
        <v>100</v>
      </c>
      <c r="F4179" t="s">
        <v>9</v>
      </c>
      <c r="G41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79">
        <f>IF(Table1[[#This Row],[is_ups_overcharge]]="ups overcharged",Table1[[#This Row],[ups ship charge]]-Table1[[#This Row],[ada ship charge]],0)</f>
        <v>0</v>
      </c>
    </row>
    <row r="4180" spans="1:9" x14ac:dyDescent="0.2">
      <c r="A4180">
        <v>1057197</v>
      </c>
      <c r="B4180" t="s">
        <v>21</v>
      </c>
      <c r="C4180">
        <v>9.65</v>
      </c>
      <c r="D4180">
        <v>9.6999999999999993</v>
      </c>
      <c r="E4180">
        <v>113.35</v>
      </c>
      <c r="F4180" t="s">
        <v>6</v>
      </c>
      <c r="G41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80">
        <f>IF(Table1[[#This Row],[is_ups_overcharge]]="ups overcharged",Table1[[#This Row],[ups ship charge]]-Table1[[#This Row],[ada ship charge]],0)</f>
        <v>0</v>
      </c>
    </row>
    <row r="4181" spans="1:9" x14ac:dyDescent="0.2">
      <c r="A4181">
        <v>1057266</v>
      </c>
      <c r="B4181" t="s">
        <v>21</v>
      </c>
      <c r="C4181">
        <v>16.34</v>
      </c>
      <c r="D4181">
        <v>16.39</v>
      </c>
      <c r="E4181">
        <v>29.9</v>
      </c>
      <c r="F4181" t="s">
        <v>10</v>
      </c>
      <c r="G41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81">
        <f>IF(Table1[[#This Row],[is_ups_overcharge]]="ups overcharged",Table1[[#This Row],[ups ship charge]]-Table1[[#This Row],[ada ship charge]],0)</f>
        <v>0</v>
      </c>
    </row>
    <row r="4182" spans="1:9" x14ac:dyDescent="0.2">
      <c r="A4182">
        <v>1057308</v>
      </c>
      <c r="B4182" t="s">
        <v>21</v>
      </c>
      <c r="C4182">
        <v>16.64</v>
      </c>
      <c r="D4182">
        <v>16.690000000000001</v>
      </c>
      <c r="E4182">
        <v>39.85</v>
      </c>
      <c r="F4182" t="s">
        <v>10</v>
      </c>
      <c r="G41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82">
        <f>IF(Table1[[#This Row],[is_ups_overcharge]]="ups overcharged",Table1[[#This Row],[ups ship charge]]-Table1[[#This Row],[ada ship charge]],0)</f>
        <v>0</v>
      </c>
    </row>
    <row r="4183" spans="1:9" x14ac:dyDescent="0.2">
      <c r="A4183">
        <v>1057310</v>
      </c>
      <c r="B4183" t="s">
        <v>21</v>
      </c>
      <c r="C4183">
        <v>13.64</v>
      </c>
      <c r="D4183">
        <v>13.69</v>
      </c>
      <c r="E4183">
        <v>59.35</v>
      </c>
      <c r="F4183" t="s">
        <v>9</v>
      </c>
      <c r="G41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83">
        <f>IF(Table1[[#This Row],[is_ups_overcharge]]="ups overcharged",Table1[[#This Row],[ups ship charge]]-Table1[[#This Row],[ada ship charge]],0)</f>
        <v>0</v>
      </c>
    </row>
    <row r="4184" spans="1:9" x14ac:dyDescent="0.2">
      <c r="A4184">
        <v>1057312</v>
      </c>
      <c r="B4184" t="s">
        <v>21</v>
      </c>
      <c r="C4184">
        <v>12.75</v>
      </c>
      <c r="D4184">
        <v>12.8</v>
      </c>
      <c r="E4184">
        <v>40.15</v>
      </c>
      <c r="F4184" t="s">
        <v>9</v>
      </c>
      <c r="G41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84">
        <f>IF(Table1[[#This Row],[is_ups_overcharge]]="ups overcharged",Table1[[#This Row],[ups ship charge]]-Table1[[#This Row],[ada ship charge]],0)</f>
        <v>0</v>
      </c>
    </row>
    <row r="4185" spans="1:9" x14ac:dyDescent="0.2">
      <c r="A4185">
        <v>1057336</v>
      </c>
      <c r="B4185" t="s">
        <v>21</v>
      </c>
      <c r="C4185">
        <v>17.309999999999999</v>
      </c>
      <c r="D4185">
        <v>17.36</v>
      </c>
      <c r="E4185">
        <v>19.95</v>
      </c>
      <c r="F4185" t="s">
        <v>16</v>
      </c>
      <c r="G41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85">
        <f>IF(Table1[[#This Row],[is_ups_overcharge]]="ups overcharged",Table1[[#This Row],[ups ship charge]]-Table1[[#This Row],[ada ship charge]],0)</f>
        <v>0</v>
      </c>
    </row>
    <row r="4186" spans="1:9" x14ac:dyDescent="0.2">
      <c r="A4186">
        <v>1057348</v>
      </c>
      <c r="B4186" t="s">
        <v>21</v>
      </c>
      <c r="C4186">
        <v>12.75</v>
      </c>
      <c r="D4186">
        <v>12.8</v>
      </c>
      <c r="E4186">
        <v>29.95</v>
      </c>
      <c r="F4186" t="s">
        <v>9</v>
      </c>
      <c r="G41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86">
        <f>IF(Table1[[#This Row],[is_ups_overcharge]]="ups overcharged",Table1[[#This Row],[ups ship charge]]-Table1[[#This Row],[ada ship charge]],0)</f>
        <v>0</v>
      </c>
    </row>
    <row r="4187" spans="1:9" x14ac:dyDescent="0.2">
      <c r="A4187">
        <v>1057395</v>
      </c>
      <c r="B4187" t="s">
        <v>21</v>
      </c>
      <c r="C4187">
        <v>16.649999999999999</v>
      </c>
      <c r="D4187">
        <v>16.7</v>
      </c>
      <c r="E4187">
        <v>82.25</v>
      </c>
      <c r="F4187" t="s">
        <v>10</v>
      </c>
      <c r="G41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87">
        <f>IF(Table1[[#This Row],[is_ups_overcharge]]="ups overcharged",Table1[[#This Row],[ups ship charge]]-Table1[[#This Row],[ada ship charge]],0)</f>
        <v>0</v>
      </c>
    </row>
    <row r="4188" spans="1:9" x14ac:dyDescent="0.2">
      <c r="A4188">
        <v>1057402</v>
      </c>
      <c r="B4188" t="s">
        <v>21</v>
      </c>
      <c r="C4188">
        <v>13.64</v>
      </c>
      <c r="D4188">
        <v>13.69</v>
      </c>
      <c r="E4188">
        <v>7.8</v>
      </c>
      <c r="F4188" t="s">
        <v>9</v>
      </c>
      <c r="G41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88">
        <f>IF(Table1[[#This Row],[is_ups_overcharge]]="ups overcharged",Table1[[#This Row],[ups ship charge]]-Table1[[#This Row],[ada ship charge]],0)</f>
        <v>0</v>
      </c>
    </row>
    <row r="4189" spans="1:9" x14ac:dyDescent="0.2">
      <c r="A4189">
        <v>1057439</v>
      </c>
      <c r="B4189" t="s">
        <v>21</v>
      </c>
      <c r="C4189">
        <v>71.47</v>
      </c>
      <c r="D4189">
        <v>90.37</v>
      </c>
      <c r="E4189">
        <v>178</v>
      </c>
      <c r="F4189" t="s">
        <v>11</v>
      </c>
      <c r="G41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89">
        <f>IF(Table1[[#This Row],[is_ups_overcharge]]="ups overcharged",Table1[[#This Row],[ups ship charge]]-Table1[[#This Row],[ada ship charge]],0)</f>
        <v>0</v>
      </c>
    </row>
    <row r="4190" spans="1:9" x14ac:dyDescent="0.2">
      <c r="A4190">
        <v>1057462</v>
      </c>
      <c r="B4190" t="s">
        <v>21</v>
      </c>
      <c r="C4190">
        <v>16.75</v>
      </c>
      <c r="D4190">
        <v>18.64</v>
      </c>
      <c r="E4190">
        <v>106.6</v>
      </c>
      <c r="F4190" t="s">
        <v>10</v>
      </c>
      <c r="G41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90">
        <f>IF(Table1[[#This Row],[is_ups_overcharge]]="ups overcharged",Table1[[#This Row],[ups ship charge]]-Table1[[#This Row],[ada ship charge]],0)</f>
        <v>0</v>
      </c>
    </row>
    <row r="4191" spans="1:9" x14ac:dyDescent="0.2">
      <c r="A4191">
        <v>1057480</v>
      </c>
      <c r="B4191" t="s">
        <v>21</v>
      </c>
      <c r="C4191">
        <v>13.64</v>
      </c>
      <c r="D4191">
        <v>13.69</v>
      </c>
      <c r="E4191">
        <v>43.35</v>
      </c>
      <c r="F4191" t="s">
        <v>9</v>
      </c>
      <c r="G41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91">
        <f>IF(Table1[[#This Row],[is_ups_overcharge]]="ups overcharged",Table1[[#This Row],[ups ship charge]]-Table1[[#This Row],[ada ship charge]],0)</f>
        <v>0</v>
      </c>
    </row>
    <row r="4192" spans="1:9" x14ac:dyDescent="0.2">
      <c r="A4192">
        <v>1057487</v>
      </c>
      <c r="B4192" t="s">
        <v>21</v>
      </c>
      <c r="C4192">
        <v>13.64</v>
      </c>
      <c r="D4192">
        <v>13.69</v>
      </c>
      <c r="E4192">
        <v>47.9</v>
      </c>
      <c r="F4192" t="s">
        <v>9</v>
      </c>
      <c r="G41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92">
        <f>IF(Table1[[#This Row],[is_ups_overcharge]]="ups overcharged",Table1[[#This Row],[ups ship charge]]-Table1[[#This Row],[ada ship charge]],0)</f>
        <v>0</v>
      </c>
    </row>
    <row r="4193" spans="1:9" x14ac:dyDescent="0.2">
      <c r="A4193">
        <v>1057499</v>
      </c>
      <c r="B4193" t="s">
        <v>21</v>
      </c>
      <c r="C4193">
        <v>18.28</v>
      </c>
      <c r="D4193">
        <v>18.329999999999998</v>
      </c>
      <c r="E4193">
        <v>59</v>
      </c>
      <c r="F4193" t="s">
        <v>10</v>
      </c>
      <c r="G41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93">
        <f>IF(Table1[[#This Row],[is_ups_overcharge]]="ups overcharged",Table1[[#This Row],[ups ship charge]]-Table1[[#This Row],[ada ship charge]],0)</f>
        <v>0</v>
      </c>
    </row>
    <row r="4194" spans="1:9" x14ac:dyDescent="0.2">
      <c r="A4194">
        <v>1057503</v>
      </c>
      <c r="B4194" t="s">
        <v>21</v>
      </c>
      <c r="C4194">
        <v>13.64</v>
      </c>
      <c r="D4194">
        <v>13.69</v>
      </c>
      <c r="E4194">
        <v>62.75</v>
      </c>
      <c r="F4194" t="s">
        <v>9</v>
      </c>
      <c r="G41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94">
        <f>IF(Table1[[#This Row],[is_ups_overcharge]]="ups overcharged",Table1[[#This Row],[ups ship charge]]-Table1[[#This Row],[ada ship charge]],0)</f>
        <v>0</v>
      </c>
    </row>
    <row r="4195" spans="1:9" x14ac:dyDescent="0.2">
      <c r="A4195">
        <v>1057521</v>
      </c>
      <c r="B4195" t="s">
        <v>21</v>
      </c>
      <c r="C4195">
        <v>16.350000000000001</v>
      </c>
      <c r="D4195">
        <v>17.420000000000002</v>
      </c>
      <c r="E4195">
        <v>883.86</v>
      </c>
      <c r="F4195" t="s">
        <v>16</v>
      </c>
      <c r="G41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95">
        <f>IF(Table1[[#This Row],[is_ups_overcharge]]="ups overcharged",Table1[[#This Row],[ups ship charge]]-Table1[[#This Row],[ada ship charge]],0)</f>
        <v>0</v>
      </c>
    </row>
    <row r="4196" spans="1:9" x14ac:dyDescent="0.2">
      <c r="A4196">
        <v>1057533</v>
      </c>
      <c r="B4196" t="s">
        <v>21</v>
      </c>
      <c r="C4196">
        <v>12.75</v>
      </c>
      <c r="D4196">
        <v>12.8</v>
      </c>
      <c r="E4196">
        <v>78.25</v>
      </c>
      <c r="F4196" t="s">
        <v>9</v>
      </c>
      <c r="G41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96">
        <f>IF(Table1[[#This Row],[is_ups_overcharge]]="ups overcharged",Table1[[#This Row],[ups ship charge]]-Table1[[#This Row],[ada ship charge]],0)</f>
        <v>0</v>
      </c>
    </row>
    <row r="4197" spans="1:9" x14ac:dyDescent="0.2">
      <c r="A4197">
        <v>1057550</v>
      </c>
      <c r="B4197" t="s">
        <v>21</v>
      </c>
      <c r="C4197">
        <v>12.75</v>
      </c>
      <c r="D4197">
        <v>12.8</v>
      </c>
      <c r="E4197">
        <v>34.700000000000003</v>
      </c>
      <c r="F4197" t="s">
        <v>9</v>
      </c>
      <c r="G41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97">
        <f>IF(Table1[[#This Row],[is_ups_overcharge]]="ups overcharged",Table1[[#This Row],[ups ship charge]]-Table1[[#This Row],[ada ship charge]],0)</f>
        <v>0</v>
      </c>
    </row>
    <row r="4198" spans="1:9" x14ac:dyDescent="0.2">
      <c r="A4198">
        <v>1057552</v>
      </c>
      <c r="B4198" t="s">
        <v>21</v>
      </c>
      <c r="C4198">
        <v>12.75</v>
      </c>
      <c r="D4198">
        <v>12.8</v>
      </c>
      <c r="E4198">
        <v>34.9</v>
      </c>
      <c r="F4198" t="s">
        <v>9</v>
      </c>
      <c r="G41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98">
        <f>IF(Table1[[#This Row],[is_ups_overcharge]]="ups overcharged",Table1[[#This Row],[ups ship charge]]-Table1[[#This Row],[ada ship charge]],0)</f>
        <v>0</v>
      </c>
    </row>
    <row r="4199" spans="1:9" x14ac:dyDescent="0.2">
      <c r="A4199">
        <v>1057553</v>
      </c>
      <c r="B4199" t="s">
        <v>21</v>
      </c>
      <c r="C4199">
        <v>13.64</v>
      </c>
      <c r="D4199">
        <v>13.69</v>
      </c>
      <c r="E4199">
        <v>29.95</v>
      </c>
      <c r="F4199" t="s">
        <v>9</v>
      </c>
      <c r="G41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1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199">
        <f>IF(Table1[[#This Row],[is_ups_overcharge]]="ups overcharged",Table1[[#This Row],[ups ship charge]]-Table1[[#This Row],[ada ship charge]],0)</f>
        <v>0</v>
      </c>
    </row>
    <row r="4200" spans="1:9" x14ac:dyDescent="0.2">
      <c r="A4200">
        <v>1057557</v>
      </c>
      <c r="B4200" t="s">
        <v>21</v>
      </c>
      <c r="C4200">
        <v>26.37</v>
      </c>
      <c r="D4200">
        <v>26.42</v>
      </c>
      <c r="E4200">
        <v>95.8</v>
      </c>
      <c r="F4200" t="s">
        <v>15</v>
      </c>
      <c r="G42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00">
        <f>IF(Table1[[#This Row],[is_ups_overcharge]]="ups overcharged",Table1[[#This Row],[ups ship charge]]-Table1[[#This Row],[ada ship charge]],0)</f>
        <v>0</v>
      </c>
    </row>
    <row r="4201" spans="1:9" x14ac:dyDescent="0.2">
      <c r="A4201">
        <v>1057559</v>
      </c>
      <c r="B4201" t="s">
        <v>21</v>
      </c>
      <c r="C4201">
        <v>13.64</v>
      </c>
      <c r="D4201">
        <v>13.69</v>
      </c>
      <c r="E4201">
        <v>40</v>
      </c>
      <c r="F4201" t="s">
        <v>9</v>
      </c>
      <c r="G42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01">
        <f>IF(Table1[[#This Row],[is_ups_overcharge]]="ups overcharged",Table1[[#This Row],[ups ship charge]]-Table1[[#This Row],[ada ship charge]],0)</f>
        <v>0</v>
      </c>
    </row>
    <row r="4202" spans="1:9" x14ac:dyDescent="0.2">
      <c r="A4202">
        <v>1057569</v>
      </c>
      <c r="B4202" t="s">
        <v>21</v>
      </c>
      <c r="C4202">
        <v>12.75</v>
      </c>
      <c r="D4202">
        <v>12.8</v>
      </c>
      <c r="E4202">
        <v>90.4</v>
      </c>
      <c r="F4202" t="s">
        <v>9</v>
      </c>
      <c r="G42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02">
        <f>IF(Table1[[#This Row],[is_ups_overcharge]]="ups overcharged",Table1[[#This Row],[ups ship charge]]-Table1[[#This Row],[ada ship charge]],0)</f>
        <v>0</v>
      </c>
    </row>
    <row r="4203" spans="1:9" x14ac:dyDescent="0.2">
      <c r="A4203">
        <v>1057604</v>
      </c>
      <c r="B4203" t="s">
        <v>21</v>
      </c>
      <c r="C4203">
        <v>12.75</v>
      </c>
      <c r="D4203">
        <v>12.8</v>
      </c>
      <c r="E4203">
        <v>47.45</v>
      </c>
      <c r="F4203" t="s">
        <v>9</v>
      </c>
      <c r="G42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03">
        <f>IF(Table1[[#This Row],[is_ups_overcharge]]="ups overcharged",Table1[[#This Row],[ups ship charge]]-Table1[[#This Row],[ada ship charge]],0)</f>
        <v>0</v>
      </c>
    </row>
    <row r="4204" spans="1:9" x14ac:dyDescent="0.2">
      <c r="A4204">
        <v>1057619</v>
      </c>
      <c r="B4204" t="s">
        <v>21</v>
      </c>
      <c r="C4204">
        <v>13.64</v>
      </c>
      <c r="D4204">
        <v>13.68</v>
      </c>
      <c r="E4204">
        <v>49.85</v>
      </c>
      <c r="F4204" t="s">
        <v>9</v>
      </c>
      <c r="G42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04">
        <f>IF(Table1[[#This Row],[is_ups_overcharge]]="ups overcharged",Table1[[#This Row],[ups ship charge]]-Table1[[#This Row],[ada ship charge]],0)</f>
        <v>0</v>
      </c>
    </row>
    <row r="4205" spans="1:9" x14ac:dyDescent="0.2">
      <c r="A4205">
        <v>1057642</v>
      </c>
      <c r="B4205" t="s">
        <v>21</v>
      </c>
      <c r="C4205">
        <v>9.66</v>
      </c>
      <c r="D4205">
        <v>9.6999999999999993</v>
      </c>
      <c r="E4205">
        <v>59.55</v>
      </c>
      <c r="F4205" t="s">
        <v>6</v>
      </c>
      <c r="G42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05">
        <f>IF(Table1[[#This Row],[is_ups_overcharge]]="ups overcharged",Table1[[#This Row],[ups ship charge]]-Table1[[#This Row],[ada ship charge]],0)</f>
        <v>0</v>
      </c>
    </row>
    <row r="4206" spans="1:9" x14ac:dyDescent="0.2">
      <c r="A4206">
        <v>1057649</v>
      </c>
      <c r="B4206" t="s">
        <v>21</v>
      </c>
      <c r="C4206">
        <v>24.69</v>
      </c>
      <c r="D4206">
        <v>24.74</v>
      </c>
      <c r="E4206">
        <v>239.75</v>
      </c>
      <c r="F4206" t="s">
        <v>15</v>
      </c>
      <c r="G42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06">
        <f>IF(Table1[[#This Row],[is_ups_overcharge]]="ups overcharged",Table1[[#This Row],[ups ship charge]]-Table1[[#This Row],[ada ship charge]],0)</f>
        <v>0</v>
      </c>
    </row>
    <row r="4207" spans="1:9" x14ac:dyDescent="0.2">
      <c r="A4207">
        <v>1057683</v>
      </c>
      <c r="B4207" t="s">
        <v>21</v>
      </c>
      <c r="C4207">
        <v>13.64</v>
      </c>
      <c r="D4207">
        <v>13.69</v>
      </c>
      <c r="E4207">
        <v>35</v>
      </c>
      <c r="F4207" t="s">
        <v>9</v>
      </c>
      <c r="G42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07">
        <f>IF(Table1[[#This Row],[is_ups_overcharge]]="ups overcharged",Table1[[#This Row],[ups ship charge]]-Table1[[#This Row],[ada ship charge]],0)</f>
        <v>0</v>
      </c>
    </row>
    <row r="4208" spans="1:9" x14ac:dyDescent="0.2">
      <c r="A4208">
        <v>1057695</v>
      </c>
      <c r="B4208" t="s">
        <v>21</v>
      </c>
      <c r="C4208">
        <v>9.66</v>
      </c>
      <c r="D4208">
        <v>9.7100000000000009</v>
      </c>
      <c r="E4208">
        <v>9.9499999999999993</v>
      </c>
      <c r="F4208" t="s">
        <v>6</v>
      </c>
      <c r="G42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08">
        <f>IF(Table1[[#This Row],[is_ups_overcharge]]="ups overcharged",Table1[[#This Row],[ups ship charge]]-Table1[[#This Row],[ada ship charge]],0)</f>
        <v>0</v>
      </c>
    </row>
    <row r="4209" spans="1:9" x14ac:dyDescent="0.2">
      <c r="A4209">
        <v>1057719</v>
      </c>
      <c r="B4209" t="s">
        <v>21</v>
      </c>
      <c r="C4209">
        <v>13.64</v>
      </c>
      <c r="D4209">
        <v>13.69</v>
      </c>
      <c r="E4209">
        <v>19.899999999999999</v>
      </c>
      <c r="F4209" t="s">
        <v>9</v>
      </c>
      <c r="G42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09">
        <f>IF(Table1[[#This Row],[is_ups_overcharge]]="ups overcharged",Table1[[#This Row],[ups ship charge]]-Table1[[#This Row],[ada ship charge]],0)</f>
        <v>0</v>
      </c>
    </row>
    <row r="4210" spans="1:9" x14ac:dyDescent="0.2">
      <c r="A4210">
        <v>1057727</v>
      </c>
      <c r="B4210" t="s">
        <v>21</v>
      </c>
      <c r="C4210">
        <v>12.75</v>
      </c>
      <c r="D4210">
        <v>12.8</v>
      </c>
      <c r="E4210">
        <v>66.849999999999994</v>
      </c>
      <c r="F4210" t="s">
        <v>9</v>
      </c>
      <c r="G42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10">
        <f>IF(Table1[[#This Row],[is_ups_overcharge]]="ups overcharged",Table1[[#This Row],[ups ship charge]]-Table1[[#This Row],[ada ship charge]],0)</f>
        <v>0</v>
      </c>
    </row>
    <row r="4211" spans="1:9" x14ac:dyDescent="0.2">
      <c r="A4211">
        <v>1057780</v>
      </c>
      <c r="B4211" t="s">
        <v>21</v>
      </c>
      <c r="C4211">
        <v>9.65</v>
      </c>
      <c r="D4211">
        <v>9.6999999999999993</v>
      </c>
      <c r="E4211">
        <v>50.45</v>
      </c>
      <c r="F4211" t="s">
        <v>6</v>
      </c>
      <c r="G42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11">
        <f>IF(Table1[[#This Row],[is_ups_overcharge]]="ups overcharged",Table1[[#This Row],[ups ship charge]]-Table1[[#This Row],[ada ship charge]],0)</f>
        <v>0</v>
      </c>
    </row>
    <row r="4212" spans="1:9" x14ac:dyDescent="0.2">
      <c r="A4212">
        <v>1057789</v>
      </c>
      <c r="B4212" t="s">
        <v>21</v>
      </c>
      <c r="C4212">
        <v>13.64</v>
      </c>
      <c r="D4212">
        <v>13.69</v>
      </c>
      <c r="E4212">
        <v>34.950000000000003</v>
      </c>
      <c r="F4212" t="s">
        <v>9</v>
      </c>
      <c r="G42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12">
        <f>IF(Table1[[#This Row],[is_ups_overcharge]]="ups overcharged",Table1[[#This Row],[ups ship charge]]-Table1[[#This Row],[ada ship charge]],0)</f>
        <v>0</v>
      </c>
    </row>
    <row r="4213" spans="1:9" x14ac:dyDescent="0.2">
      <c r="A4213">
        <v>1057811</v>
      </c>
      <c r="B4213" t="s">
        <v>21</v>
      </c>
      <c r="C4213">
        <v>13.64</v>
      </c>
      <c r="D4213">
        <v>13.69</v>
      </c>
      <c r="E4213">
        <v>40.75</v>
      </c>
      <c r="F4213" t="s">
        <v>9</v>
      </c>
      <c r="G42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13">
        <f>IF(Table1[[#This Row],[is_ups_overcharge]]="ups overcharged",Table1[[#This Row],[ups ship charge]]-Table1[[#This Row],[ada ship charge]],0)</f>
        <v>0</v>
      </c>
    </row>
    <row r="4214" spans="1:9" x14ac:dyDescent="0.2">
      <c r="A4214">
        <v>1057821</v>
      </c>
      <c r="B4214" t="s">
        <v>21</v>
      </c>
      <c r="C4214">
        <v>16.34</v>
      </c>
      <c r="D4214">
        <v>16.39</v>
      </c>
      <c r="E4214">
        <v>11.9</v>
      </c>
      <c r="F4214" t="s">
        <v>10</v>
      </c>
      <c r="G42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14">
        <f>IF(Table1[[#This Row],[is_ups_overcharge]]="ups overcharged",Table1[[#This Row],[ups ship charge]]-Table1[[#This Row],[ada ship charge]],0)</f>
        <v>0</v>
      </c>
    </row>
    <row r="4215" spans="1:9" x14ac:dyDescent="0.2">
      <c r="A4215">
        <v>1057826</v>
      </c>
      <c r="B4215" t="s">
        <v>21</v>
      </c>
      <c r="C4215">
        <v>12.75</v>
      </c>
      <c r="D4215">
        <v>13.25</v>
      </c>
      <c r="E4215">
        <v>85</v>
      </c>
      <c r="F4215" t="s">
        <v>9</v>
      </c>
      <c r="G42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15">
        <f>IF(Table1[[#This Row],[is_ups_overcharge]]="ups overcharged",Table1[[#This Row],[ups ship charge]]-Table1[[#This Row],[ada ship charge]],0)</f>
        <v>0</v>
      </c>
    </row>
    <row r="4216" spans="1:9" x14ac:dyDescent="0.2">
      <c r="A4216">
        <v>1057853</v>
      </c>
      <c r="B4216" t="s">
        <v>21</v>
      </c>
      <c r="C4216">
        <v>12.75</v>
      </c>
      <c r="D4216">
        <v>12.8</v>
      </c>
      <c r="E4216">
        <v>9.9499999999999993</v>
      </c>
      <c r="F4216" t="s">
        <v>9</v>
      </c>
      <c r="G42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16">
        <f>IF(Table1[[#This Row],[is_ups_overcharge]]="ups overcharged",Table1[[#This Row],[ups ship charge]]-Table1[[#This Row],[ada ship charge]],0)</f>
        <v>0</v>
      </c>
    </row>
    <row r="4217" spans="1:9" x14ac:dyDescent="0.2">
      <c r="A4217">
        <v>1057855</v>
      </c>
      <c r="B4217" t="s">
        <v>21</v>
      </c>
      <c r="C4217">
        <v>9.65</v>
      </c>
      <c r="D4217">
        <v>9.6999999999999993</v>
      </c>
      <c r="E4217">
        <v>96.85</v>
      </c>
      <c r="F4217" t="s">
        <v>6</v>
      </c>
      <c r="G42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17">
        <f>IF(Table1[[#This Row],[is_ups_overcharge]]="ups overcharged",Table1[[#This Row],[ups ship charge]]-Table1[[#This Row],[ada ship charge]],0)</f>
        <v>0</v>
      </c>
    </row>
    <row r="4218" spans="1:9" x14ac:dyDescent="0.2">
      <c r="A4218">
        <v>1057861</v>
      </c>
      <c r="B4218" t="s">
        <v>21</v>
      </c>
      <c r="C4218">
        <v>9.65</v>
      </c>
      <c r="D4218">
        <v>14.14</v>
      </c>
      <c r="E4218">
        <v>95.4</v>
      </c>
      <c r="F4218" t="s">
        <v>6</v>
      </c>
      <c r="G42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18">
        <f>IF(Table1[[#This Row],[is_ups_overcharge]]="ups overcharged",Table1[[#This Row],[ups ship charge]]-Table1[[#This Row],[ada ship charge]],0)</f>
        <v>0</v>
      </c>
    </row>
    <row r="4219" spans="1:9" x14ac:dyDescent="0.2">
      <c r="A4219">
        <v>1057874</v>
      </c>
      <c r="B4219" t="s">
        <v>21</v>
      </c>
      <c r="C4219">
        <v>13.64</v>
      </c>
      <c r="D4219">
        <v>13.69</v>
      </c>
      <c r="E4219">
        <v>17.5</v>
      </c>
      <c r="F4219" t="s">
        <v>9</v>
      </c>
      <c r="G42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19">
        <f>IF(Table1[[#This Row],[is_ups_overcharge]]="ups overcharged",Table1[[#This Row],[ups ship charge]]-Table1[[#This Row],[ada ship charge]],0)</f>
        <v>0</v>
      </c>
    </row>
    <row r="4220" spans="1:9" x14ac:dyDescent="0.2">
      <c r="A4220">
        <v>1057883</v>
      </c>
      <c r="B4220" t="s">
        <v>21</v>
      </c>
      <c r="C4220">
        <v>12.75</v>
      </c>
      <c r="D4220">
        <v>12.8</v>
      </c>
      <c r="E4220">
        <v>1.95</v>
      </c>
      <c r="F4220" t="s">
        <v>9</v>
      </c>
      <c r="G42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20">
        <f>IF(Table1[[#This Row],[is_ups_overcharge]]="ups overcharged",Table1[[#This Row],[ups ship charge]]-Table1[[#This Row],[ada ship charge]],0)</f>
        <v>0</v>
      </c>
    </row>
    <row r="4221" spans="1:9" x14ac:dyDescent="0.2">
      <c r="A4221">
        <v>1057885</v>
      </c>
      <c r="B4221" t="s">
        <v>21</v>
      </c>
      <c r="C4221">
        <v>13.64</v>
      </c>
      <c r="D4221">
        <v>13.69</v>
      </c>
      <c r="E4221">
        <v>47.9</v>
      </c>
      <c r="F4221" t="s">
        <v>9</v>
      </c>
      <c r="G42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21">
        <f>IF(Table1[[#This Row],[is_ups_overcharge]]="ups overcharged",Table1[[#This Row],[ups ship charge]]-Table1[[#This Row],[ada ship charge]],0)</f>
        <v>0</v>
      </c>
    </row>
    <row r="4222" spans="1:9" x14ac:dyDescent="0.2">
      <c r="A4222">
        <v>1057913</v>
      </c>
      <c r="B4222" t="s">
        <v>21</v>
      </c>
      <c r="C4222">
        <v>12.75</v>
      </c>
      <c r="D4222">
        <v>12.8</v>
      </c>
      <c r="E4222">
        <v>5</v>
      </c>
      <c r="F4222" t="s">
        <v>9</v>
      </c>
      <c r="G42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22">
        <f>IF(Table1[[#This Row],[is_ups_overcharge]]="ups overcharged",Table1[[#This Row],[ups ship charge]]-Table1[[#This Row],[ada ship charge]],0)</f>
        <v>0</v>
      </c>
    </row>
    <row r="4223" spans="1:9" x14ac:dyDescent="0.2">
      <c r="A4223">
        <v>1057930</v>
      </c>
      <c r="B4223" t="s">
        <v>21</v>
      </c>
      <c r="C4223">
        <v>12.75</v>
      </c>
      <c r="D4223">
        <v>12.8</v>
      </c>
      <c r="E4223">
        <v>13.9</v>
      </c>
      <c r="F4223" t="s">
        <v>9</v>
      </c>
      <c r="G42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23">
        <f>IF(Table1[[#This Row],[is_ups_overcharge]]="ups overcharged",Table1[[#This Row],[ups ship charge]]-Table1[[#This Row],[ada ship charge]],0)</f>
        <v>0</v>
      </c>
    </row>
    <row r="4224" spans="1:9" x14ac:dyDescent="0.2">
      <c r="A4224">
        <v>1057943</v>
      </c>
      <c r="B4224" t="s">
        <v>21</v>
      </c>
      <c r="C4224">
        <v>13.64</v>
      </c>
      <c r="D4224">
        <v>9.6999999999999993</v>
      </c>
      <c r="E4224">
        <v>11.4</v>
      </c>
      <c r="F4224" t="s">
        <v>9</v>
      </c>
      <c r="G42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24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4224">
        <f>IF(Table1[[#This Row],[is_ups_overcharge]]="ups overcharged",Table1[[#This Row],[ups ship charge]]-Table1[[#This Row],[ada ship charge]],0)</f>
        <v>3.9400000000000013</v>
      </c>
    </row>
    <row r="4225" spans="1:9" x14ac:dyDescent="0.2">
      <c r="A4225">
        <v>1058000</v>
      </c>
      <c r="B4225" t="s">
        <v>21</v>
      </c>
      <c r="C4225">
        <v>9.65</v>
      </c>
      <c r="D4225">
        <v>9.6999999999999993</v>
      </c>
      <c r="E4225">
        <v>5</v>
      </c>
      <c r="F4225" t="s">
        <v>6</v>
      </c>
      <c r="G42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25">
        <f>IF(Table1[[#This Row],[is_ups_overcharge]]="ups overcharged",Table1[[#This Row],[ups ship charge]]-Table1[[#This Row],[ada ship charge]],0)</f>
        <v>0</v>
      </c>
    </row>
    <row r="4226" spans="1:9" x14ac:dyDescent="0.2">
      <c r="A4226">
        <v>1058021</v>
      </c>
      <c r="B4226" t="s">
        <v>21</v>
      </c>
      <c r="C4226">
        <v>12.75</v>
      </c>
      <c r="D4226">
        <v>12.8</v>
      </c>
      <c r="E4226">
        <v>39.950000000000003</v>
      </c>
      <c r="F4226" t="s">
        <v>9</v>
      </c>
      <c r="G42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26">
        <f>IF(Table1[[#This Row],[is_ups_overcharge]]="ups overcharged",Table1[[#This Row],[ups ship charge]]-Table1[[#This Row],[ada ship charge]],0)</f>
        <v>0</v>
      </c>
    </row>
    <row r="4227" spans="1:9" x14ac:dyDescent="0.2">
      <c r="A4227">
        <v>1058065</v>
      </c>
      <c r="B4227" t="s">
        <v>21</v>
      </c>
      <c r="C4227">
        <v>12.75</v>
      </c>
      <c r="D4227">
        <v>12.8</v>
      </c>
      <c r="E4227">
        <v>5</v>
      </c>
      <c r="F4227" t="s">
        <v>9</v>
      </c>
      <c r="G42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27">
        <f>IF(Table1[[#This Row],[is_ups_overcharge]]="ups overcharged",Table1[[#This Row],[ups ship charge]]-Table1[[#This Row],[ada ship charge]],0)</f>
        <v>0</v>
      </c>
    </row>
    <row r="4228" spans="1:9" x14ac:dyDescent="0.2">
      <c r="A4228">
        <v>1058066</v>
      </c>
      <c r="B4228" t="s">
        <v>21</v>
      </c>
      <c r="C4228">
        <v>13.64</v>
      </c>
      <c r="D4228">
        <v>13.73</v>
      </c>
      <c r="E4228">
        <v>55.1</v>
      </c>
      <c r="F4228" t="s">
        <v>9</v>
      </c>
      <c r="G42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28">
        <f>IF(Table1[[#This Row],[is_ups_overcharge]]="ups overcharged",Table1[[#This Row],[ups ship charge]]-Table1[[#This Row],[ada ship charge]],0)</f>
        <v>0</v>
      </c>
    </row>
    <row r="4229" spans="1:9" x14ac:dyDescent="0.2">
      <c r="A4229">
        <v>1058078</v>
      </c>
      <c r="B4229" t="s">
        <v>21</v>
      </c>
      <c r="C4229">
        <v>13.64</v>
      </c>
      <c r="D4229">
        <v>13.69</v>
      </c>
      <c r="E4229">
        <v>5</v>
      </c>
      <c r="F4229" t="s">
        <v>9</v>
      </c>
      <c r="G42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29">
        <f>IF(Table1[[#This Row],[is_ups_overcharge]]="ups overcharged",Table1[[#This Row],[ups ship charge]]-Table1[[#This Row],[ada ship charge]],0)</f>
        <v>0</v>
      </c>
    </row>
    <row r="4230" spans="1:9" x14ac:dyDescent="0.2">
      <c r="A4230">
        <v>1058083</v>
      </c>
      <c r="B4230" t="s">
        <v>21</v>
      </c>
      <c r="C4230">
        <v>12.75</v>
      </c>
      <c r="D4230">
        <v>12.8</v>
      </c>
      <c r="E4230">
        <v>77</v>
      </c>
      <c r="F4230" t="s">
        <v>9</v>
      </c>
      <c r="G42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30">
        <f>IF(Table1[[#This Row],[is_ups_overcharge]]="ups overcharged",Table1[[#This Row],[ups ship charge]]-Table1[[#This Row],[ada ship charge]],0)</f>
        <v>0</v>
      </c>
    </row>
    <row r="4231" spans="1:9" x14ac:dyDescent="0.2">
      <c r="A4231">
        <v>1058084</v>
      </c>
      <c r="B4231" t="s">
        <v>21</v>
      </c>
      <c r="C4231">
        <v>13.64</v>
      </c>
      <c r="D4231">
        <v>13.69</v>
      </c>
      <c r="E4231">
        <v>5</v>
      </c>
      <c r="F4231" t="s">
        <v>9</v>
      </c>
      <c r="G42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31">
        <f>IF(Table1[[#This Row],[is_ups_overcharge]]="ups overcharged",Table1[[#This Row],[ups ship charge]]-Table1[[#This Row],[ada ship charge]],0)</f>
        <v>0</v>
      </c>
    </row>
    <row r="4232" spans="1:9" x14ac:dyDescent="0.2">
      <c r="A4232">
        <v>1058086</v>
      </c>
      <c r="B4232" t="s">
        <v>21</v>
      </c>
      <c r="C4232">
        <v>14.32</v>
      </c>
      <c r="D4232">
        <v>14.37</v>
      </c>
      <c r="E4232">
        <v>100</v>
      </c>
      <c r="F4232" t="s">
        <v>9</v>
      </c>
      <c r="G42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32">
        <f>IF(Table1[[#This Row],[is_ups_overcharge]]="ups overcharged",Table1[[#This Row],[ups ship charge]]-Table1[[#This Row],[ada ship charge]],0)</f>
        <v>0</v>
      </c>
    </row>
    <row r="4233" spans="1:9" x14ac:dyDescent="0.2">
      <c r="A4233">
        <v>1058093</v>
      </c>
      <c r="B4233" t="s">
        <v>21</v>
      </c>
      <c r="C4233">
        <v>13.64</v>
      </c>
      <c r="D4233">
        <v>13.73</v>
      </c>
      <c r="E4233">
        <v>47.85</v>
      </c>
      <c r="F4233" t="s">
        <v>9</v>
      </c>
      <c r="G42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33">
        <f>IF(Table1[[#This Row],[is_ups_overcharge]]="ups overcharged",Table1[[#This Row],[ups ship charge]]-Table1[[#This Row],[ada ship charge]],0)</f>
        <v>0</v>
      </c>
    </row>
    <row r="4234" spans="1:9" x14ac:dyDescent="0.2">
      <c r="A4234">
        <v>1058104</v>
      </c>
      <c r="B4234" t="s">
        <v>21</v>
      </c>
      <c r="C4234">
        <v>16.75</v>
      </c>
      <c r="D4234">
        <v>16.8</v>
      </c>
      <c r="E4234">
        <v>79.900000000000006</v>
      </c>
      <c r="F4234" t="s">
        <v>10</v>
      </c>
      <c r="G42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34">
        <f>IF(Table1[[#This Row],[is_ups_overcharge]]="ups overcharged",Table1[[#This Row],[ups ship charge]]-Table1[[#This Row],[ada ship charge]],0)</f>
        <v>0</v>
      </c>
    </row>
    <row r="4235" spans="1:9" x14ac:dyDescent="0.2">
      <c r="A4235">
        <v>1058107</v>
      </c>
      <c r="B4235" t="s">
        <v>21</v>
      </c>
      <c r="C4235">
        <v>12.75</v>
      </c>
      <c r="D4235">
        <v>12.8</v>
      </c>
      <c r="E4235">
        <v>5</v>
      </c>
      <c r="F4235" t="s">
        <v>9</v>
      </c>
      <c r="G42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35">
        <f>IF(Table1[[#This Row],[is_ups_overcharge]]="ups overcharged",Table1[[#This Row],[ups ship charge]]-Table1[[#This Row],[ada ship charge]],0)</f>
        <v>0</v>
      </c>
    </row>
    <row r="4236" spans="1:9" x14ac:dyDescent="0.2">
      <c r="A4236">
        <v>1058124</v>
      </c>
      <c r="B4236" t="s">
        <v>21</v>
      </c>
      <c r="C4236">
        <v>10.85</v>
      </c>
      <c r="D4236">
        <v>15.26</v>
      </c>
      <c r="E4236">
        <v>100</v>
      </c>
      <c r="F4236" t="s">
        <v>6</v>
      </c>
      <c r="G42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36">
        <f>IF(Table1[[#This Row],[is_ups_overcharge]]="ups overcharged",Table1[[#This Row],[ups ship charge]]-Table1[[#This Row],[ada ship charge]],0)</f>
        <v>0</v>
      </c>
    </row>
    <row r="4237" spans="1:9" x14ac:dyDescent="0.2">
      <c r="A4237">
        <v>1058128</v>
      </c>
      <c r="B4237" t="s">
        <v>21</v>
      </c>
      <c r="C4237">
        <v>9.65</v>
      </c>
      <c r="D4237">
        <v>9.6999999999999993</v>
      </c>
      <c r="E4237">
        <v>89.85</v>
      </c>
      <c r="F4237" t="s">
        <v>6</v>
      </c>
      <c r="G42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37">
        <f>IF(Table1[[#This Row],[is_ups_overcharge]]="ups overcharged",Table1[[#This Row],[ups ship charge]]-Table1[[#This Row],[ada ship charge]],0)</f>
        <v>0</v>
      </c>
    </row>
    <row r="4238" spans="1:9" x14ac:dyDescent="0.2">
      <c r="A4238">
        <v>1058139</v>
      </c>
      <c r="B4238" t="s">
        <v>21</v>
      </c>
      <c r="C4238">
        <v>66.98</v>
      </c>
      <c r="D4238">
        <v>67.03</v>
      </c>
      <c r="E4238">
        <v>41.4</v>
      </c>
      <c r="F4238" t="s">
        <v>8</v>
      </c>
      <c r="G42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38">
        <f>IF(Table1[[#This Row],[is_ups_overcharge]]="ups overcharged",Table1[[#This Row],[ups ship charge]]-Table1[[#This Row],[ada ship charge]],0)</f>
        <v>0</v>
      </c>
    </row>
    <row r="4239" spans="1:9" x14ac:dyDescent="0.2">
      <c r="A4239">
        <v>1058162</v>
      </c>
      <c r="B4239" t="s">
        <v>21</v>
      </c>
      <c r="C4239">
        <v>12.75</v>
      </c>
      <c r="D4239">
        <v>13.25</v>
      </c>
      <c r="E4239">
        <v>47.85</v>
      </c>
      <c r="F4239" t="s">
        <v>9</v>
      </c>
      <c r="G42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39">
        <f>IF(Table1[[#This Row],[is_ups_overcharge]]="ups overcharged",Table1[[#This Row],[ups ship charge]]-Table1[[#This Row],[ada ship charge]],0)</f>
        <v>0</v>
      </c>
    </row>
    <row r="4240" spans="1:9" x14ac:dyDescent="0.2">
      <c r="A4240">
        <v>1058167</v>
      </c>
      <c r="B4240" t="s">
        <v>21</v>
      </c>
      <c r="C4240">
        <v>16.649999999999999</v>
      </c>
      <c r="D4240">
        <v>16.7</v>
      </c>
      <c r="E4240">
        <v>54.85</v>
      </c>
      <c r="F4240" t="s">
        <v>10</v>
      </c>
      <c r="G42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40">
        <f>IF(Table1[[#This Row],[is_ups_overcharge]]="ups overcharged",Table1[[#This Row],[ups ship charge]]-Table1[[#This Row],[ada ship charge]],0)</f>
        <v>0</v>
      </c>
    </row>
    <row r="4241" spans="1:9" x14ac:dyDescent="0.2">
      <c r="A4241">
        <v>1058173</v>
      </c>
      <c r="B4241" t="s">
        <v>21</v>
      </c>
      <c r="C4241">
        <v>13.64</v>
      </c>
      <c r="D4241">
        <v>13.69</v>
      </c>
      <c r="E4241">
        <v>5</v>
      </c>
      <c r="F4241" t="s">
        <v>9</v>
      </c>
      <c r="G42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41">
        <f>IF(Table1[[#This Row],[is_ups_overcharge]]="ups overcharged",Table1[[#This Row],[ups ship charge]]-Table1[[#This Row],[ada ship charge]],0)</f>
        <v>0</v>
      </c>
    </row>
    <row r="4242" spans="1:9" x14ac:dyDescent="0.2">
      <c r="A4242">
        <v>1058184</v>
      </c>
      <c r="B4242" t="s">
        <v>21</v>
      </c>
      <c r="C4242">
        <v>13.64</v>
      </c>
      <c r="D4242">
        <v>13.69</v>
      </c>
      <c r="E4242">
        <v>29.95</v>
      </c>
      <c r="F4242" t="s">
        <v>9</v>
      </c>
      <c r="G42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42">
        <f>IF(Table1[[#This Row],[is_ups_overcharge]]="ups overcharged",Table1[[#This Row],[ups ship charge]]-Table1[[#This Row],[ada ship charge]],0)</f>
        <v>0</v>
      </c>
    </row>
    <row r="4243" spans="1:9" x14ac:dyDescent="0.2">
      <c r="A4243">
        <v>1058191</v>
      </c>
      <c r="B4243" t="s">
        <v>21</v>
      </c>
      <c r="C4243">
        <v>9.65</v>
      </c>
      <c r="D4243">
        <v>9.7100000000000009</v>
      </c>
      <c r="E4243">
        <v>99.75</v>
      </c>
      <c r="F4243" t="s">
        <v>6</v>
      </c>
      <c r="G42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43">
        <f>IF(Table1[[#This Row],[is_ups_overcharge]]="ups overcharged",Table1[[#This Row],[ups ship charge]]-Table1[[#This Row],[ada ship charge]],0)</f>
        <v>0</v>
      </c>
    </row>
    <row r="4244" spans="1:9" x14ac:dyDescent="0.2">
      <c r="A4244">
        <v>1058195</v>
      </c>
      <c r="B4244" t="s">
        <v>21</v>
      </c>
      <c r="C4244">
        <v>9.66</v>
      </c>
      <c r="D4244">
        <v>9.7100000000000009</v>
      </c>
      <c r="E4244">
        <v>5</v>
      </c>
      <c r="F4244" t="s">
        <v>6</v>
      </c>
      <c r="G42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44">
        <f>IF(Table1[[#This Row],[is_ups_overcharge]]="ups overcharged",Table1[[#This Row],[ups ship charge]]-Table1[[#This Row],[ada ship charge]],0)</f>
        <v>0</v>
      </c>
    </row>
    <row r="4245" spans="1:9" x14ac:dyDescent="0.2">
      <c r="A4245">
        <v>1058236</v>
      </c>
      <c r="B4245" t="s">
        <v>21</v>
      </c>
      <c r="C4245">
        <v>12.75</v>
      </c>
      <c r="D4245">
        <v>12.8</v>
      </c>
      <c r="E4245">
        <v>5</v>
      </c>
      <c r="F4245" t="s">
        <v>9</v>
      </c>
      <c r="G42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45">
        <f>IF(Table1[[#This Row],[is_ups_overcharge]]="ups overcharged",Table1[[#This Row],[ups ship charge]]-Table1[[#This Row],[ada ship charge]],0)</f>
        <v>0</v>
      </c>
    </row>
    <row r="4246" spans="1:9" x14ac:dyDescent="0.2">
      <c r="A4246">
        <v>1058245</v>
      </c>
      <c r="B4246" t="s">
        <v>21</v>
      </c>
      <c r="C4246">
        <v>12.75</v>
      </c>
      <c r="D4246">
        <v>12.8</v>
      </c>
      <c r="E4246">
        <v>31.9</v>
      </c>
      <c r="F4246" t="s">
        <v>9</v>
      </c>
      <c r="G42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46">
        <f>IF(Table1[[#This Row],[is_ups_overcharge]]="ups overcharged",Table1[[#This Row],[ups ship charge]]-Table1[[#This Row],[ada ship charge]],0)</f>
        <v>0</v>
      </c>
    </row>
    <row r="4247" spans="1:9" x14ac:dyDescent="0.2">
      <c r="A4247">
        <v>1058248</v>
      </c>
      <c r="B4247" t="s">
        <v>21</v>
      </c>
      <c r="C4247">
        <v>9.66</v>
      </c>
      <c r="D4247">
        <v>12.8</v>
      </c>
      <c r="E4247">
        <v>59.85</v>
      </c>
      <c r="F4247" t="s">
        <v>6</v>
      </c>
      <c r="G42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47">
        <f>IF(Table1[[#This Row],[is_ups_overcharge]]="ups overcharged",Table1[[#This Row],[ups ship charge]]-Table1[[#This Row],[ada ship charge]],0)</f>
        <v>0</v>
      </c>
    </row>
    <row r="4248" spans="1:9" x14ac:dyDescent="0.2">
      <c r="A4248">
        <v>1058249</v>
      </c>
      <c r="B4248" t="s">
        <v>21</v>
      </c>
      <c r="C4248">
        <v>12.75</v>
      </c>
      <c r="D4248">
        <v>12.8</v>
      </c>
      <c r="E4248">
        <v>43.85</v>
      </c>
      <c r="F4248" t="s">
        <v>9</v>
      </c>
      <c r="G42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48">
        <f>IF(Table1[[#This Row],[is_ups_overcharge]]="ups overcharged",Table1[[#This Row],[ups ship charge]]-Table1[[#This Row],[ada ship charge]],0)</f>
        <v>0</v>
      </c>
    </row>
    <row r="4249" spans="1:9" x14ac:dyDescent="0.2">
      <c r="A4249">
        <v>1058259</v>
      </c>
      <c r="B4249" t="s">
        <v>21</v>
      </c>
      <c r="C4249">
        <v>23.06</v>
      </c>
      <c r="D4249">
        <v>24.83</v>
      </c>
      <c r="E4249">
        <v>52.8</v>
      </c>
      <c r="F4249" t="s">
        <v>15</v>
      </c>
      <c r="G42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49">
        <f>IF(Table1[[#This Row],[is_ups_overcharge]]="ups overcharged",Table1[[#This Row],[ups ship charge]]-Table1[[#This Row],[ada ship charge]],0)</f>
        <v>0</v>
      </c>
    </row>
    <row r="4250" spans="1:9" x14ac:dyDescent="0.2">
      <c r="A4250">
        <v>1058261</v>
      </c>
      <c r="B4250" t="s">
        <v>21</v>
      </c>
      <c r="C4250">
        <v>13.64</v>
      </c>
      <c r="D4250">
        <v>13.69</v>
      </c>
      <c r="E4250">
        <v>15.85</v>
      </c>
      <c r="F4250" t="s">
        <v>9</v>
      </c>
      <c r="G42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50">
        <f>IF(Table1[[#This Row],[is_ups_overcharge]]="ups overcharged",Table1[[#This Row],[ups ship charge]]-Table1[[#This Row],[ada ship charge]],0)</f>
        <v>0</v>
      </c>
    </row>
    <row r="4251" spans="1:9" x14ac:dyDescent="0.2">
      <c r="A4251">
        <v>1058270</v>
      </c>
      <c r="B4251" t="s">
        <v>21</v>
      </c>
      <c r="C4251">
        <v>13.64</v>
      </c>
      <c r="D4251">
        <v>13.69</v>
      </c>
      <c r="E4251">
        <v>30.9</v>
      </c>
      <c r="F4251" t="s">
        <v>9</v>
      </c>
      <c r="G42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51">
        <f>IF(Table1[[#This Row],[is_ups_overcharge]]="ups overcharged",Table1[[#This Row],[ups ship charge]]-Table1[[#This Row],[ada ship charge]],0)</f>
        <v>0</v>
      </c>
    </row>
    <row r="4252" spans="1:9" x14ac:dyDescent="0.2">
      <c r="A4252">
        <v>1058273</v>
      </c>
      <c r="B4252" t="s">
        <v>21</v>
      </c>
      <c r="C4252">
        <v>13.64</v>
      </c>
      <c r="D4252">
        <v>13.73</v>
      </c>
      <c r="E4252">
        <v>59.4</v>
      </c>
      <c r="F4252" t="s">
        <v>9</v>
      </c>
      <c r="G42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52">
        <f>IF(Table1[[#This Row],[is_ups_overcharge]]="ups overcharged",Table1[[#This Row],[ups ship charge]]-Table1[[#This Row],[ada ship charge]],0)</f>
        <v>0</v>
      </c>
    </row>
    <row r="4253" spans="1:9" x14ac:dyDescent="0.2">
      <c r="A4253">
        <v>1058278</v>
      </c>
      <c r="B4253" t="s">
        <v>21</v>
      </c>
      <c r="C4253">
        <v>12.75</v>
      </c>
      <c r="D4253">
        <v>12.8</v>
      </c>
      <c r="E4253">
        <v>54.95</v>
      </c>
      <c r="F4253" t="s">
        <v>9</v>
      </c>
      <c r="G42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53">
        <f>IF(Table1[[#This Row],[is_ups_overcharge]]="ups overcharged",Table1[[#This Row],[ups ship charge]]-Table1[[#This Row],[ada ship charge]],0)</f>
        <v>0</v>
      </c>
    </row>
    <row r="4254" spans="1:9" x14ac:dyDescent="0.2">
      <c r="A4254">
        <v>1058297</v>
      </c>
      <c r="B4254" t="s">
        <v>21</v>
      </c>
      <c r="C4254">
        <v>12.75</v>
      </c>
      <c r="D4254">
        <v>12.8</v>
      </c>
      <c r="E4254">
        <v>113.7</v>
      </c>
      <c r="F4254" t="s">
        <v>9</v>
      </c>
      <c r="G42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54">
        <f>IF(Table1[[#This Row],[is_ups_overcharge]]="ups overcharged",Table1[[#This Row],[ups ship charge]]-Table1[[#This Row],[ada ship charge]],0)</f>
        <v>0</v>
      </c>
    </row>
    <row r="4255" spans="1:9" x14ac:dyDescent="0.2">
      <c r="A4255">
        <v>1058304</v>
      </c>
      <c r="B4255" t="s">
        <v>21</v>
      </c>
      <c r="C4255">
        <v>13.64</v>
      </c>
      <c r="D4255">
        <v>13.69</v>
      </c>
      <c r="E4255">
        <v>22.5</v>
      </c>
      <c r="F4255" t="s">
        <v>9</v>
      </c>
      <c r="G42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55">
        <f>IF(Table1[[#This Row],[is_ups_overcharge]]="ups overcharged",Table1[[#This Row],[ups ship charge]]-Table1[[#This Row],[ada ship charge]],0)</f>
        <v>0</v>
      </c>
    </row>
    <row r="4256" spans="1:9" x14ac:dyDescent="0.2">
      <c r="A4256">
        <v>1058306</v>
      </c>
      <c r="B4256" t="s">
        <v>21</v>
      </c>
      <c r="C4256">
        <v>12.75</v>
      </c>
      <c r="D4256">
        <v>12.8</v>
      </c>
      <c r="E4256">
        <v>67.8</v>
      </c>
      <c r="F4256" t="s">
        <v>9</v>
      </c>
      <c r="G42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56">
        <f>IF(Table1[[#This Row],[is_ups_overcharge]]="ups overcharged",Table1[[#This Row],[ups ship charge]]-Table1[[#This Row],[ada ship charge]],0)</f>
        <v>0</v>
      </c>
    </row>
    <row r="4257" spans="1:9" x14ac:dyDescent="0.2">
      <c r="A4257">
        <v>1058330</v>
      </c>
      <c r="B4257" t="s">
        <v>21</v>
      </c>
      <c r="C4257">
        <v>12.75</v>
      </c>
      <c r="D4257">
        <v>12.8</v>
      </c>
      <c r="E4257">
        <v>76.8</v>
      </c>
      <c r="F4257" t="s">
        <v>9</v>
      </c>
      <c r="G42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57">
        <f>IF(Table1[[#This Row],[is_ups_overcharge]]="ups overcharged",Table1[[#This Row],[ups ship charge]]-Table1[[#This Row],[ada ship charge]],0)</f>
        <v>0</v>
      </c>
    </row>
    <row r="4258" spans="1:9" x14ac:dyDescent="0.2">
      <c r="A4258">
        <v>1058335</v>
      </c>
      <c r="B4258" t="s">
        <v>21</v>
      </c>
      <c r="C4258">
        <v>12.75</v>
      </c>
      <c r="D4258">
        <v>12.8</v>
      </c>
      <c r="E4258">
        <v>54</v>
      </c>
      <c r="F4258" t="s">
        <v>9</v>
      </c>
      <c r="G42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58">
        <f>IF(Table1[[#This Row],[is_ups_overcharge]]="ups overcharged",Table1[[#This Row],[ups ship charge]]-Table1[[#This Row],[ada ship charge]],0)</f>
        <v>0</v>
      </c>
    </row>
    <row r="4259" spans="1:9" x14ac:dyDescent="0.2">
      <c r="A4259">
        <v>1058361</v>
      </c>
      <c r="B4259" t="s">
        <v>21</v>
      </c>
      <c r="C4259">
        <v>16.57</v>
      </c>
      <c r="D4259">
        <v>22.15</v>
      </c>
      <c r="E4259">
        <v>229.9</v>
      </c>
      <c r="F4259" t="s">
        <v>12</v>
      </c>
      <c r="G42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59">
        <f>IF(Table1[[#This Row],[is_ups_overcharge]]="ups overcharged",Table1[[#This Row],[ups ship charge]]-Table1[[#This Row],[ada ship charge]],0)</f>
        <v>0</v>
      </c>
    </row>
    <row r="4260" spans="1:9" x14ac:dyDescent="0.2">
      <c r="A4260">
        <v>1058370</v>
      </c>
      <c r="B4260" t="s">
        <v>21</v>
      </c>
      <c r="C4260">
        <v>13.64</v>
      </c>
      <c r="D4260">
        <v>13.69</v>
      </c>
      <c r="E4260">
        <v>56.95</v>
      </c>
      <c r="F4260" t="s">
        <v>9</v>
      </c>
      <c r="G42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60">
        <f>IF(Table1[[#This Row],[is_ups_overcharge]]="ups overcharged",Table1[[#This Row],[ups ship charge]]-Table1[[#This Row],[ada ship charge]],0)</f>
        <v>0</v>
      </c>
    </row>
    <row r="4261" spans="1:9" x14ac:dyDescent="0.2">
      <c r="A4261">
        <v>1058411</v>
      </c>
      <c r="B4261" t="s">
        <v>21</v>
      </c>
      <c r="C4261">
        <v>13.64</v>
      </c>
      <c r="D4261">
        <v>13.69</v>
      </c>
      <c r="E4261">
        <v>60.95</v>
      </c>
      <c r="F4261" t="s">
        <v>9</v>
      </c>
      <c r="G42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61">
        <f>IF(Table1[[#This Row],[is_ups_overcharge]]="ups overcharged",Table1[[#This Row],[ups ship charge]]-Table1[[#This Row],[ada ship charge]],0)</f>
        <v>0</v>
      </c>
    </row>
    <row r="4262" spans="1:9" x14ac:dyDescent="0.2">
      <c r="A4262">
        <v>1058414</v>
      </c>
      <c r="B4262" t="s">
        <v>21</v>
      </c>
      <c r="C4262">
        <v>12.75</v>
      </c>
      <c r="D4262">
        <v>12.8</v>
      </c>
      <c r="E4262">
        <v>47.9</v>
      </c>
      <c r="F4262" t="s">
        <v>9</v>
      </c>
      <c r="G42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62">
        <f>IF(Table1[[#This Row],[is_ups_overcharge]]="ups overcharged",Table1[[#This Row],[ups ship charge]]-Table1[[#This Row],[ada ship charge]],0)</f>
        <v>0</v>
      </c>
    </row>
    <row r="4263" spans="1:9" x14ac:dyDescent="0.2">
      <c r="A4263">
        <v>1058422</v>
      </c>
      <c r="B4263" t="s">
        <v>21</v>
      </c>
      <c r="C4263">
        <v>12.75</v>
      </c>
      <c r="D4263">
        <v>13.25</v>
      </c>
      <c r="E4263">
        <v>137.55000000000001</v>
      </c>
      <c r="F4263" t="s">
        <v>9</v>
      </c>
      <c r="G42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63">
        <f>IF(Table1[[#This Row],[is_ups_overcharge]]="ups overcharged",Table1[[#This Row],[ups ship charge]]-Table1[[#This Row],[ada ship charge]],0)</f>
        <v>0</v>
      </c>
    </row>
    <row r="4264" spans="1:9" x14ac:dyDescent="0.2">
      <c r="A4264">
        <v>1058439</v>
      </c>
      <c r="B4264" t="s">
        <v>21</v>
      </c>
      <c r="C4264">
        <v>12.75</v>
      </c>
      <c r="D4264">
        <v>12.8</v>
      </c>
      <c r="E4264">
        <v>29.85</v>
      </c>
      <c r="F4264" t="s">
        <v>9</v>
      </c>
      <c r="G42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64">
        <f>IF(Table1[[#This Row],[is_ups_overcharge]]="ups overcharged",Table1[[#This Row],[ups ship charge]]-Table1[[#This Row],[ada ship charge]],0)</f>
        <v>0</v>
      </c>
    </row>
    <row r="4265" spans="1:9" x14ac:dyDescent="0.2">
      <c r="A4265">
        <v>1058451</v>
      </c>
      <c r="B4265" t="s">
        <v>21</v>
      </c>
      <c r="C4265">
        <v>16.649999999999999</v>
      </c>
      <c r="D4265">
        <v>16.7</v>
      </c>
      <c r="E4265">
        <v>64.95</v>
      </c>
      <c r="F4265" t="s">
        <v>10</v>
      </c>
      <c r="G42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65">
        <f>IF(Table1[[#This Row],[is_ups_overcharge]]="ups overcharged",Table1[[#This Row],[ups ship charge]]-Table1[[#This Row],[ada ship charge]],0)</f>
        <v>0</v>
      </c>
    </row>
    <row r="4266" spans="1:9" x14ac:dyDescent="0.2">
      <c r="A4266">
        <v>1058464</v>
      </c>
      <c r="B4266" t="s">
        <v>21</v>
      </c>
      <c r="C4266">
        <v>16.34</v>
      </c>
      <c r="D4266">
        <v>16.39</v>
      </c>
      <c r="E4266">
        <v>166.6</v>
      </c>
      <c r="F4266" t="s">
        <v>10</v>
      </c>
      <c r="G42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66">
        <f>IF(Table1[[#This Row],[is_ups_overcharge]]="ups overcharged",Table1[[#This Row],[ups ship charge]]-Table1[[#This Row],[ada ship charge]],0)</f>
        <v>0</v>
      </c>
    </row>
    <row r="4267" spans="1:9" x14ac:dyDescent="0.2">
      <c r="A4267">
        <v>1058469</v>
      </c>
      <c r="B4267" t="s">
        <v>21</v>
      </c>
      <c r="C4267">
        <v>13.64</v>
      </c>
      <c r="D4267">
        <v>13.68</v>
      </c>
      <c r="E4267">
        <v>183.6</v>
      </c>
      <c r="F4267" t="s">
        <v>13</v>
      </c>
      <c r="G42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67">
        <f>IF(Table1[[#This Row],[is_ups_overcharge]]="ups overcharged",Table1[[#This Row],[ups ship charge]]-Table1[[#This Row],[ada ship charge]],0)</f>
        <v>0</v>
      </c>
    </row>
    <row r="4268" spans="1:9" x14ac:dyDescent="0.2">
      <c r="A4268">
        <v>1058477</v>
      </c>
      <c r="B4268" t="s">
        <v>21</v>
      </c>
      <c r="C4268">
        <v>13.85</v>
      </c>
      <c r="D4268">
        <v>13.9</v>
      </c>
      <c r="E4268">
        <v>100</v>
      </c>
      <c r="F4268" t="s">
        <v>9</v>
      </c>
      <c r="G42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68">
        <f>IF(Table1[[#This Row],[is_ups_overcharge]]="ups overcharged",Table1[[#This Row],[ups ship charge]]-Table1[[#This Row],[ada ship charge]],0)</f>
        <v>0</v>
      </c>
    </row>
    <row r="4269" spans="1:9" x14ac:dyDescent="0.2">
      <c r="A4269">
        <v>1058492</v>
      </c>
      <c r="B4269" t="s">
        <v>21</v>
      </c>
      <c r="C4269">
        <v>12.75</v>
      </c>
      <c r="D4269">
        <v>13.25</v>
      </c>
      <c r="E4269">
        <v>65.849999999999994</v>
      </c>
      <c r="F4269" t="s">
        <v>9</v>
      </c>
      <c r="G42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69">
        <f>IF(Table1[[#This Row],[is_ups_overcharge]]="ups overcharged",Table1[[#This Row],[ups ship charge]]-Table1[[#This Row],[ada ship charge]],0)</f>
        <v>0</v>
      </c>
    </row>
    <row r="4270" spans="1:9" x14ac:dyDescent="0.2">
      <c r="A4270">
        <v>1058506</v>
      </c>
      <c r="B4270" t="s">
        <v>21</v>
      </c>
      <c r="C4270">
        <v>12.75</v>
      </c>
      <c r="D4270">
        <v>12.8</v>
      </c>
      <c r="E4270">
        <v>75.900000000000006</v>
      </c>
      <c r="F4270" t="s">
        <v>9</v>
      </c>
      <c r="G42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70">
        <f>IF(Table1[[#This Row],[is_ups_overcharge]]="ups overcharged",Table1[[#This Row],[ups ship charge]]-Table1[[#This Row],[ada ship charge]],0)</f>
        <v>0</v>
      </c>
    </row>
    <row r="4271" spans="1:9" x14ac:dyDescent="0.2">
      <c r="A4271">
        <v>1058520</v>
      </c>
      <c r="B4271" t="s">
        <v>21</v>
      </c>
      <c r="C4271">
        <v>16.649999999999999</v>
      </c>
      <c r="D4271">
        <v>16.7</v>
      </c>
      <c r="E4271">
        <v>146.65</v>
      </c>
      <c r="F4271" t="s">
        <v>10</v>
      </c>
      <c r="G42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71">
        <f>IF(Table1[[#This Row],[is_ups_overcharge]]="ups overcharged",Table1[[#This Row],[ups ship charge]]-Table1[[#This Row],[ada ship charge]],0)</f>
        <v>0</v>
      </c>
    </row>
    <row r="4272" spans="1:9" x14ac:dyDescent="0.2">
      <c r="A4272">
        <v>1058530</v>
      </c>
      <c r="B4272" t="s">
        <v>21</v>
      </c>
      <c r="C4272">
        <v>13.64</v>
      </c>
      <c r="D4272">
        <v>13.69</v>
      </c>
      <c r="E4272">
        <v>39.9</v>
      </c>
      <c r="F4272" t="s">
        <v>9</v>
      </c>
      <c r="G42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72">
        <f>IF(Table1[[#This Row],[is_ups_overcharge]]="ups overcharged",Table1[[#This Row],[ups ship charge]]-Table1[[#This Row],[ada ship charge]],0)</f>
        <v>0</v>
      </c>
    </row>
    <row r="4273" spans="1:9" x14ac:dyDescent="0.2">
      <c r="A4273">
        <v>1058531</v>
      </c>
      <c r="B4273" t="s">
        <v>21</v>
      </c>
      <c r="C4273">
        <v>12.75</v>
      </c>
      <c r="D4273">
        <v>12.8</v>
      </c>
      <c r="E4273">
        <v>49.15</v>
      </c>
      <c r="F4273" t="s">
        <v>9</v>
      </c>
      <c r="G42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73">
        <f>IF(Table1[[#This Row],[is_ups_overcharge]]="ups overcharged",Table1[[#This Row],[ups ship charge]]-Table1[[#This Row],[ada ship charge]],0)</f>
        <v>0</v>
      </c>
    </row>
    <row r="4274" spans="1:9" x14ac:dyDescent="0.2">
      <c r="A4274">
        <v>1058533</v>
      </c>
      <c r="B4274" t="s">
        <v>21</v>
      </c>
      <c r="C4274">
        <v>16.34</v>
      </c>
      <c r="D4274">
        <v>16.39</v>
      </c>
      <c r="E4274">
        <v>2.95</v>
      </c>
      <c r="F4274" t="s">
        <v>10</v>
      </c>
      <c r="G42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74">
        <f>IF(Table1[[#This Row],[is_ups_overcharge]]="ups overcharged",Table1[[#This Row],[ups ship charge]]-Table1[[#This Row],[ada ship charge]],0)</f>
        <v>0</v>
      </c>
    </row>
    <row r="4275" spans="1:9" x14ac:dyDescent="0.2">
      <c r="A4275">
        <v>1058534</v>
      </c>
      <c r="B4275" t="s">
        <v>21</v>
      </c>
      <c r="C4275">
        <v>9.66</v>
      </c>
      <c r="D4275">
        <v>9.6999999999999993</v>
      </c>
      <c r="E4275">
        <v>8.9</v>
      </c>
      <c r="F4275" t="s">
        <v>6</v>
      </c>
      <c r="G42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75">
        <f>IF(Table1[[#This Row],[is_ups_overcharge]]="ups overcharged",Table1[[#This Row],[ups ship charge]]-Table1[[#This Row],[ada ship charge]],0)</f>
        <v>0</v>
      </c>
    </row>
    <row r="4276" spans="1:9" x14ac:dyDescent="0.2">
      <c r="A4276">
        <v>1058545</v>
      </c>
      <c r="B4276" t="s">
        <v>21</v>
      </c>
      <c r="C4276">
        <v>12.75</v>
      </c>
      <c r="D4276">
        <v>12.8</v>
      </c>
      <c r="E4276">
        <v>57.85</v>
      </c>
      <c r="F4276" t="s">
        <v>9</v>
      </c>
      <c r="G42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76">
        <f>IF(Table1[[#This Row],[is_ups_overcharge]]="ups overcharged",Table1[[#This Row],[ups ship charge]]-Table1[[#This Row],[ada ship charge]],0)</f>
        <v>0</v>
      </c>
    </row>
    <row r="4277" spans="1:9" x14ac:dyDescent="0.2">
      <c r="A4277">
        <v>1058546</v>
      </c>
      <c r="B4277" t="s">
        <v>21</v>
      </c>
      <c r="C4277">
        <v>15.02</v>
      </c>
      <c r="D4277">
        <v>15.07</v>
      </c>
      <c r="E4277">
        <v>19.899999999999999</v>
      </c>
      <c r="F4277" t="s">
        <v>12</v>
      </c>
      <c r="G42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77">
        <f>IF(Table1[[#This Row],[is_ups_overcharge]]="ups overcharged",Table1[[#This Row],[ups ship charge]]-Table1[[#This Row],[ada ship charge]],0)</f>
        <v>0</v>
      </c>
    </row>
    <row r="4278" spans="1:9" x14ac:dyDescent="0.2">
      <c r="A4278">
        <v>1058548</v>
      </c>
      <c r="B4278" t="s">
        <v>21</v>
      </c>
      <c r="C4278">
        <v>13.64</v>
      </c>
      <c r="D4278">
        <v>13.69</v>
      </c>
      <c r="E4278">
        <v>60.85</v>
      </c>
      <c r="F4278" t="s">
        <v>9</v>
      </c>
      <c r="G42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78">
        <f>IF(Table1[[#This Row],[is_ups_overcharge]]="ups overcharged",Table1[[#This Row],[ups ship charge]]-Table1[[#This Row],[ada ship charge]],0)</f>
        <v>0</v>
      </c>
    </row>
    <row r="4279" spans="1:9" x14ac:dyDescent="0.2">
      <c r="A4279">
        <v>1058563</v>
      </c>
      <c r="B4279" t="s">
        <v>21</v>
      </c>
      <c r="C4279">
        <v>13.64</v>
      </c>
      <c r="D4279">
        <v>14.14</v>
      </c>
      <c r="E4279">
        <v>25</v>
      </c>
      <c r="F4279" t="s">
        <v>9</v>
      </c>
      <c r="G42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79">
        <f>IF(Table1[[#This Row],[is_ups_overcharge]]="ups overcharged",Table1[[#This Row],[ups ship charge]]-Table1[[#This Row],[ada ship charge]],0)</f>
        <v>0</v>
      </c>
    </row>
    <row r="4280" spans="1:9" x14ac:dyDescent="0.2">
      <c r="A4280">
        <v>1058581</v>
      </c>
      <c r="B4280" t="s">
        <v>21</v>
      </c>
      <c r="C4280">
        <v>15.33</v>
      </c>
      <c r="D4280">
        <v>15.38</v>
      </c>
      <c r="E4280">
        <v>21.5</v>
      </c>
      <c r="F4280" t="s">
        <v>12</v>
      </c>
      <c r="G42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80">
        <f>IF(Table1[[#This Row],[is_ups_overcharge]]="ups overcharged",Table1[[#This Row],[ups ship charge]]-Table1[[#This Row],[ada ship charge]],0)</f>
        <v>0</v>
      </c>
    </row>
    <row r="4281" spans="1:9" x14ac:dyDescent="0.2">
      <c r="A4281">
        <v>1058586</v>
      </c>
      <c r="B4281" t="s">
        <v>21</v>
      </c>
      <c r="C4281">
        <v>12.75</v>
      </c>
      <c r="D4281">
        <v>12.8</v>
      </c>
      <c r="E4281">
        <v>69.900000000000006</v>
      </c>
      <c r="F4281" t="s">
        <v>9</v>
      </c>
      <c r="G42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81">
        <f>IF(Table1[[#This Row],[is_ups_overcharge]]="ups overcharged",Table1[[#This Row],[ups ship charge]]-Table1[[#This Row],[ada ship charge]],0)</f>
        <v>0</v>
      </c>
    </row>
    <row r="4282" spans="1:9" x14ac:dyDescent="0.2">
      <c r="A4282">
        <v>1058603</v>
      </c>
      <c r="B4282" t="s">
        <v>21</v>
      </c>
      <c r="C4282">
        <v>13.64</v>
      </c>
      <c r="D4282">
        <v>13.69</v>
      </c>
      <c r="E4282">
        <v>72.75</v>
      </c>
      <c r="F4282" t="s">
        <v>9</v>
      </c>
      <c r="G42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82">
        <f>IF(Table1[[#This Row],[is_ups_overcharge]]="ups overcharged",Table1[[#This Row],[ups ship charge]]-Table1[[#This Row],[ada ship charge]],0)</f>
        <v>0</v>
      </c>
    </row>
    <row r="4283" spans="1:9" x14ac:dyDescent="0.2">
      <c r="A4283">
        <v>1058606</v>
      </c>
      <c r="B4283" t="s">
        <v>21</v>
      </c>
      <c r="C4283">
        <v>12.75</v>
      </c>
      <c r="D4283">
        <v>12.8</v>
      </c>
      <c r="E4283">
        <v>40.799999999999997</v>
      </c>
      <c r="F4283" t="s">
        <v>9</v>
      </c>
      <c r="G42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83">
        <f>IF(Table1[[#This Row],[is_ups_overcharge]]="ups overcharged",Table1[[#This Row],[ups ship charge]]-Table1[[#This Row],[ada ship charge]],0)</f>
        <v>0</v>
      </c>
    </row>
    <row r="4284" spans="1:9" x14ac:dyDescent="0.2">
      <c r="A4284">
        <v>1058607</v>
      </c>
      <c r="B4284" t="s">
        <v>21</v>
      </c>
      <c r="C4284">
        <v>13.64</v>
      </c>
      <c r="D4284">
        <v>13.69</v>
      </c>
      <c r="E4284">
        <v>47.95</v>
      </c>
      <c r="F4284" t="s">
        <v>9</v>
      </c>
      <c r="G42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84">
        <f>IF(Table1[[#This Row],[is_ups_overcharge]]="ups overcharged",Table1[[#This Row],[ups ship charge]]-Table1[[#This Row],[ada ship charge]],0)</f>
        <v>0</v>
      </c>
    </row>
    <row r="4285" spans="1:9" x14ac:dyDescent="0.2">
      <c r="A4285">
        <v>1058623</v>
      </c>
      <c r="B4285" t="s">
        <v>21</v>
      </c>
      <c r="C4285">
        <v>18.02</v>
      </c>
      <c r="D4285">
        <v>18.84</v>
      </c>
      <c r="E4285">
        <v>75.599999999999994</v>
      </c>
      <c r="F4285" t="s">
        <v>15</v>
      </c>
      <c r="G42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85">
        <f>IF(Table1[[#This Row],[is_ups_overcharge]]="ups overcharged",Table1[[#This Row],[ups ship charge]]-Table1[[#This Row],[ada ship charge]],0)</f>
        <v>0</v>
      </c>
    </row>
    <row r="4286" spans="1:9" x14ac:dyDescent="0.2">
      <c r="A4286">
        <v>1058630</v>
      </c>
      <c r="B4286" t="s">
        <v>21</v>
      </c>
      <c r="C4286">
        <v>13.64</v>
      </c>
      <c r="D4286">
        <v>13.69</v>
      </c>
      <c r="E4286">
        <v>21.5</v>
      </c>
      <c r="F4286" t="s">
        <v>9</v>
      </c>
      <c r="G42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86">
        <f>IF(Table1[[#This Row],[is_ups_overcharge]]="ups overcharged",Table1[[#This Row],[ups ship charge]]-Table1[[#This Row],[ada ship charge]],0)</f>
        <v>0</v>
      </c>
    </row>
    <row r="4287" spans="1:9" x14ac:dyDescent="0.2">
      <c r="A4287">
        <v>1058633</v>
      </c>
      <c r="B4287" t="s">
        <v>21</v>
      </c>
      <c r="C4287">
        <v>12.75</v>
      </c>
      <c r="D4287">
        <v>12.8</v>
      </c>
      <c r="E4287">
        <v>40.6</v>
      </c>
      <c r="F4287" t="s">
        <v>9</v>
      </c>
      <c r="G42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87">
        <f>IF(Table1[[#This Row],[is_ups_overcharge]]="ups overcharged",Table1[[#This Row],[ups ship charge]]-Table1[[#This Row],[ada ship charge]],0)</f>
        <v>0</v>
      </c>
    </row>
    <row r="4288" spans="1:9" x14ac:dyDescent="0.2">
      <c r="A4288">
        <v>1058652</v>
      </c>
      <c r="B4288" t="s">
        <v>21</v>
      </c>
      <c r="C4288">
        <v>12.75</v>
      </c>
      <c r="D4288">
        <v>12.8</v>
      </c>
      <c r="E4288">
        <v>49.9</v>
      </c>
      <c r="F4288" t="s">
        <v>9</v>
      </c>
      <c r="G42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88">
        <f>IF(Table1[[#This Row],[is_ups_overcharge]]="ups overcharged",Table1[[#This Row],[ups ship charge]]-Table1[[#This Row],[ada ship charge]],0)</f>
        <v>0</v>
      </c>
    </row>
    <row r="4289" spans="1:9" x14ac:dyDescent="0.2">
      <c r="A4289">
        <v>1058654</v>
      </c>
      <c r="B4289" t="s">
        <v>21</v>
      </c>
      <c r="C4289">
        <v>16.34</v>
      </c>
      <c r="D4289">
        <v>16.39</v>
      </c>
      <c r="E4289">
        <v>10.6</v>
      </c>
      <c r="F4289" t="s">
        <v>10</v>
      </c>
      <c r="G42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89">
        <f>IF(Table1[[#This Row],[is_ups_overcharge]]="ups overcharged",Table1[[#This Row],[ups ship charge]]-Table1[[#This Row],[ada ship charge]],0)</f>
        <v>0</v>
      </c>
    </row>
    <row r="4290" spans="1:9" x14ac:dyDescent="0.2">
      <c r="A4290">
        <v>1058664</v>
      </c>
      <c r="B4290" t="s">
        <v>21</v>
      </c>
      <c r="C4290">
        <v>13.64</v>
      </c>
      <c r="D4290">
        <v>13.69</v>
      </c>
      <c r="E4290">
        <v>69.5</v>
      </c>
      <c r="F4290" t="s">
        <v>9</v>
      </c>
      <c r="G42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90">
        <f>IF(Table1[[#This Row],[is_ups_overcharge]]="ups overcharged",Table1[[#This Row],[ups ship charge]]-Table1[[#This Row],[ada ship charge]],0)</f>
        <v>0</v>
      </c>
    </row>
    <row r="4291" spans="1:9" x14ac:dyDescent="0.2">
      <c r="A4291">
        <v>1058681</v>
      </c>
      <c r="B4291" t="s">
        <v>21</v>
      </c>
      <c r="C4291">
        <v>16.34</v>
      </c>
      <c r="D4291">
        <v>16.39</v>
      </c>
      <c r="E4291">
        <v>36.9</v>
      </c>
      <c r="F4291" t="s">
        <v>10</v>
      </c>
      <c r="G42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91">
        <f>IF(Table1[[#This Row],[is_ups_overcharge]]="ups overcharged",Table1[[#This Row],[ups ship charge]]-Table1[[#This Row],[ada ship charge]],0)</f>
        <v>0</v>
      </c>
    </row>
    <row r="4292" spans="1:9" x14ac:dyDescent="0.2">
      <c r="A4292">
        <v>1058740</v>
      </c>
      <c r="B4292" t="s">
        <v>21</v>
      </c>
      <c r="C4292">
        <v>12.75</v>
      </c>
      <c r="D4292">
        <v>12.8</v>
      </c>
      <c r="E4292">
        <v>75.8</v>
      </c>
      <c r="F4292" t="s">
        <v>9</v>
      </c>
      <c r="G42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92">
        <f>IF(Table1[[#This Row],[is_ups_overcharge]]="ups overcharged",Table1[[#This Row],[ups ship charge]]-Table1[[#This Row],[ada ship charge]],0)</f>
        <v>0</v>
      </c>
    </row>
    <row r="4293" spans="1:9" x14ac:dyDescent="0.2">
      <c r="A4293">
        <v>1058755</v>
      </c>
      <c r="B4293" t="s">
        <v>21</v>
      </c>
      <c r="C4293">
        <v>71.209999999999994</v>
      </c>
      <c r="D4293">
        <v>74.98</v>
      </c>
      <c r="E4293">
        <v>114.95</v>
      </c>
      <c r="F4293" t="s">
        <v>11</v>
      </c>
      <c r="G42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93">
        <f>IF(Table1[[#This Row],[is_ups_overcharge]]="ups overcharged",Table1[[#This Row],[ups ship charge]]-Table1[[#This Row],[ada ship charge]],0)</f>
        <v>0</v>
      </c>
    </row>
    <row r="4294" spans="1:9" x14ac:dyDescent="0.2">
      <c r="A4294">
        <v>1058761</v>
      </c>
      <c r="B4294" t="s">
        <v>21</v>
      </c>
      <c r="C4294">
        <v>12.75</v>
      </c>
      <c r="D4294">
        <v>12.8</v>
      </c>
      <c r="E4294">
        <v>69.599999999999994</v>
      </c>
      <c r="F4294" t="s">
        <v>9</v>
      </c>
      <c r="G42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94">
        <f>IF(Table1[[#This Row],[is_ups_overcharge]]="ups overcharged",Table1[[#This Row],[ups ship charge]]-Table1[[#This Row],[ada ship charge]],0)</f>
        <v>0</v>
      </c>
    </row>
    <row r="4295" spans="1:9" x14ac:dyDescent="0.2">
      <c r="A4295">
        <v>1058792</v>
      </c>
      <c r="B4295" t="s">
        <v>21</v>
      </c>
      <c r="C4295">
        <v>71.209999999999994</v>
      </c>
      <c r="D4295">
        <v>78.16</v>
      </c>
      <c r="E4295">
        <v>153.9</v>
      </c>
      <c r="F4295" t="s">
        <v>11</v>
      </c>
      <c r="G42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95">
        <f>IF(Table1[[#This Row],[is_ups_overcharge]]="ups overcharged",Table1[[#This Row],[ups ship charge]]-Table1[[#This Row],[ada ship charge]],0)</f>
        <v>0</v>
      </c>
    </row>
    <row r="4296" spans="1:9" x14ac:dyDescent="0.2">
      <c r="A4296">
        <v>1058793</v>
      </c>
      <c r="B4296" t="s">
        <v>21</v>
      </c>
      <c r="C4296">
        <v>13.64</v>
      </c>
      <c r="D4296">
        <v>13.69</v>
      </c>
      <c r="E4296">
        <v>102.7</v>
      </c>
      <c r="F4296" t="s">
        <v>9</v>
      </c>
      <c r="G42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96">
        <f>IF(Table1[[#This Row],[is_ups_overcharge]]="ups overcharged",Table1[[#This Row],[ups ship charge]]-Table1[[#This Row],[ada ship charge]],0)</f>
        <v>0</v>
      </c>
    </row>
    <row r="4297" spans="1:9" x14ac:dyDescent="0.2">
      <c r="A4297">
        <v>1058807</v>
      </c>
      <c r="B4297" t="s">
        <v>21</v>
      </c>
      <c r="C4297">
        <v>12.75</v>
      </c>
      <c r="D4297">
        <v>12.8</v>
      </c>
      <c r="E4297">
        <v>24.95</v>
      </c>
      <c r="F4297" t="s">
        <v>9</v>
      </c>
      <c r="G42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97">
        <f>IF(Table1[[#This Row],[is_ups_overcharge]]="ups overcharged",Table1[[#This Row],[ups ship charge]]-Table1[[#This Row],[ada ship charge]],0)</f>
        <v>0</v>
      </c>
    </row>
    <row r="4298" spans="1:9" x14ac:dyDescent="0.2">
      <c r="A4298">
        <v>1058826</v>
      </c>
      <c r="B4298" t="s">
        <v>21</v>
      </c>
      <c r="C4298">
        <v>13.64</v>
      </c>
      <c r="D4298">
        <v>13.69</v>
      </c>
      <c r="E4298">
        <v>34.85</v>
      </c>
      <c r="F4298" t="s">
        <v>9</v>
      </c>
      <c r="G42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98">
        <f>IF(Table1[[#This Row],[is_ups_overcharge]]="ups overcharged",Table1[[#This Row],[ups ship charge]]-Table1[[#This Row],[ada ship charge]],0)</f>
        <v>0</v>
      </c>
    </row>
    <row r="4299" spans="1:9" x14ac:dyDescent="0.2">
      <c r="A4299">
        <v>1058851</v>
      </c>
      <c r="B4299" t="s">
        <v>21</v>
      </c>
      <c r="C4299">
        <v>12.75</v>
      </c>
      <c r="D4299">
        <v>12.8</v>
      </c>
      <c r="E4299">
        <v>26.45</v>
      </c>
      <c r="F4299" t="s">
        <v>9</v>
      </c>
      <c r="G42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2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299">
        <f>IF(Table1[[#This Row],[is_ups_overcharge]]="ups overcharged",Table1[[#This Row],[ups ship charge]]-Table1[[#This Row],[ada ship charge]],0)</f>
        <v>0</v>
      </c>
    </row>
    <row r="4300" spans="1:9" x14ac:dyDescent="0.2">
      <c r="A4300">
        <v>1058861</v>
      </c>
      <c r="B4300" t="s">
        <v>21</v>
      </c>
      <c r="C4300">
        <v>13.64</v>
      </c>
      <c r="D4300">
        <v>13.69</v>
      </c>
      <c r="E4300">
        <v>97.85</v>
      </c>
      <c r="F4300" t="s">
        <v>9</v>
      </c>
      <c r="G43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00">
        <f>IF(Table1[[#This Row],[is_ups_overcharge]]="ups overcharged",Table1[[#This Row],[ups ship charge]]-Table1[[#This Row],[ada ship charge]],0)</f>
        <v>0</v>
      </c>
    </row>
    <row r="4301" spans="1:9" x14ac:dyDescent="0.2">
      <c r="A4301">
        <v>1058875</v>
      </c>
      <c r="B4301" t="s">
        <v>21</v>
      </c>
      <c r="C4301">
        <v>18.79</v>
      </c>
      <c r="D4301">
        <v>19.850000000000001</v>
      </c>
      <c r="E4301">
        <v>168.5</v>
      </c>
      <c r="F4301" t="s">
        <v>15</v>
      </c>
      <c r="G43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01">
        <f>IF(Table1[[#This Row],[is_ups_overcharge]]="ups overcharged",Table1[[#This Row],[ups ship charge]]-Table1[[#This Row],[ada ship charge]],0)</f>
        <v>0</v>
      </c>
    </row>
    <row r="4302" spans="1:9" x14ac:dyDescent="0.2">
      <c r="A4302">
        <v>1058902</v>
      </c>
      <c r="B4302" t="s">
        <v>21</v>
      </c>
      <c r="C4302">
        <v>13.64</v>
      </c>
      <c r="D4302">
        <v>13.69</v>
      </c>
      <c r="E4302">
        <v>110.8</v>
      </c>
      <c r="F4302" t="s">
        <v>9</v>
      </c>
      <c r="G43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02">
        <f>IF(Table1[[#This Row],[is_ups_overcharge]]="ups overcharged",Table1[[#This Row],[ups ship charge]]-Table1[[#This Row],[ada ship charge]],0)</f>
        <v>0</v>
      </c>
    </row>
    <row r="4303" spans="1:9" x14ac:dyDescent="0.2">
      <c r="A4303">
        <v>1058905</v>
      </c>
      <c r="B4303" t="s">
        <v>21</v>
      </c>
      <c r="C4303">
        <v>9.65</v>
      </c>
      <c r="D4303">
        <v>9.6999999999999993</v>
      </c>
      <c r="E4303">
        <v>21.5</v>
      </c>
      <c r="F4303" t="s">
        <v>6</v>
      </c>
      <c r="G43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03">
        <f>IF(Table1[[#This Row],[is_ups_overcharge]]="ups overcharged",Table1[[#This Row],[ups ship charge]]-Table1[[#This Row],[ada ship charge]],0)</f>
        <v>0</v>
      </c>
    </row>
    <row r="4304" spans="1:9" x14ac:dyDescent="0.2">
      <c r="A4304">
        <v>1058921</v>
      </c>
      <c r="B4304" t="s">
        <v>21</v>
      </c>
      <c r="C4304">
        <v>12.75</v>
      </c>
      <c r="D4304">
        <v>12.8</v>
      </c>
      <c r="E4304">
        <v>55.85</v>
      </c>
      <c r="F4304" t="s">
        <v>9</v>
      </c>
      <c r="G43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04">
        <f>IF(Table1[[#This Row],[is_ups_overcharge]]="ups overcharged",Table1[[#This Row],[ups ship charge]]-Table1[[#This Row],[ada ship charge]],0)</f>
        <v>0</v>
      </c>
    </row>
    <row r="4305" spans="1:9" x14ac:dyDescent="0.2">
      <c r="A4305">
        <v>1058922</v>
      </c>
      <c r="B4305" t="s">
        <v>21</v>
      </c>
      <c r="C4305">
        <v>12.75</v>
      </c>
      <c r="D4305">
        <v>12.8</v>
      </c>
      <c r="E4305">
        <v>19.899999999999999</v>
      </c>
      <c r="F4305" t="s">
        <v>9</v>
      </c>
      <c r="G43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05">
        <f>IF(Table1[[#This Row],[is_ups_overcharge]]="ups overcharged",Table1[[#This Row],[ups ship charge]]-Table1[[#This Row],[ada ship charge]],0)</f>
        <v>0</v>
      </c>
    </row>
    <row r="4306" spans="1:9" x14ac:dyDescent="0.2">
      <c r="A4306">
        <v>1058924</v>
      </c>
      <c r="B4306" t="s">
        <v>21</v>
      </c>
      <c r="C4306">
        <v>12.75</v>
      </c>
      <c r="D4306">
        <v>12.8</v>
      </c>
      <c r="E4306">
        <v>63.25</v>
      </c>
      <c r="F4306" t="s">
        <v>9</v>
      </c>
      <c r="G43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06">
        <f>IF(Table1[[#This Row],[is_ups_overcharge]]="ups overcharged",Table1[[#This Row],[ups ship charge]]-Table1[[#This Row],[ada ship charge]],0)</f>
        <v>0</v>
      </c>
    </row>
    <row r="4307" spans="1:9" x14ac:dyDescent="0.2">
      <c r="A4307">
        <v>1058957</v>
      </c>
      <c r="B4307" t="s">
        <v>21</v>
      </c>
      <c r="C4307">
        <v>13.64</v>
      </c>
      <c r="D4307">
        <v>13.69</v>
      </c>
      <c r="E4307">
        <v>9.9499999999999993</v>
      </c>
      <c r="F4307" t="s">
        <v>9</v>
      </c>
      <c r="G43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07">
        <f>IF(Table1[[#This Row],[is_ups_overcharge]]="ups overcharged",Table1[[#This Row],[ups ship charge]]-Table1[[#This Row],[ada ship charge]],0)</f>
        <v>0</v>
      </c>
    </row>
    <row r="4308" spans="1:9" x14ac:dyDescent="0.2">
      <c r="A4308">
        <v>1058970</v>
      </c>
      <c r="B4308" t="s">
        <v>21</v>
      </c>
      <c r="C4308">
        <v>16.34</v>
      </c>
      <c r="D4308">
        <v>16.39</v>
      </c>
      <c r="E4308">
        <v>27.52</v>
      </c>
      <c r="F4308" t="s">
        <v>10</v>
      </c>
      <c r="G43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08">
        <f>IF(Table1[[#This Row],[is_ups_overcharge]]="ups overcharged",Table1[[#This Row],[ups ship charge]]-Table1[[#This Row],[ada ship charge]],0)</f>
        <v>0</v>
      </c>
    </row>
    <row r="4309" spans="1:9" x14ac:dyDescent="0.2">
      <c r="A4309">
        <v>1058972</v>
      </c>
      <c r="B4309" t="s">
        <v>21</v>
      </c>
      <c r="C4309">
        <v>71.16</v>
      </c>
      <c r="D4309">
        <v>71.209999999999994</v>
      </c>
      <c r="E4309">
        <v>26.9</v>
      </c>
      <c r="F4309" t="s">
        <v>11</v>
      </c>
      <c r="G43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09">
        <f>IF(Table1[[#This Row],[is_ups_overcharge]]="ups overcharged",Table1[[#This Row],[ups ship charge]]-Table1[[#This Row],[ada ship charge]],0)</f>
        <v>0</v>
      </c>
    </row>
    <row r="4310" spans="1:9" x14ac:dyDescent="0.2">
      <c r="A4310">
        <v>1058975</v>
      </c>
      <c r="B4310" t="s">
        <v>21</v>
      </c>
      <c r="C4310">
        <v>12.75</v>
      </c>
      <c r="D4310">
        <v>12.8</v>
      </c>
      <c r="E4310">
        <v>56.9</v>
      </c>
      <c r="F4310" t="s">
        <v>9</v>
      </c>
      <c r="G43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10">
        <f>IF(Table1[[#This Row],[is_ups_overcharge]]="ups overcharged",Table1[[#This Row],[ups ship charge]]-Table1[[#This Row],[ada ship charge]],0)</f>
        <v>0</v>
      </c>
    </row>
    <row r="4311" spans="1:9" x14ac:dyDescent="0.2">
      <c r="A4311">
        <v>1058978</v>
      </c>
      <c r="B4311" t="s">
        <v>21</v>
      </c>
      <c r="C4311">
        <v>12.75</v>
      </c>
      <c r="D4311">
        <v>12.8</v>
      </c>
      <c r="E4311">
        <v>23.85</v>
      </c>
      <c r="F4311" t="s">
        <v>9</v>
      </c>
      <c r="G43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11">
        <f>IF(Table1[[#This Row],[is_ups_overcharge]]="ups overcharged",Table1[[#This Row],[ups ship charge]]-Table1[[#This Row],[ada ship charge]],0)</f>
        <v>0</v>
      </c>
    </row>
    <row r="4312" spans="1:9" x14ac:dyDescent="0.2">
      <c r="A4312">
        <v>1058986</v>
      </c>
      <c r="B4312" t="s">
        <v>21</v>
      </c>
      <c r="C4312">
        <v>9.66</v>
      </c>
      <c r="D4312">
        <v>9.7100000000000009</v>
      </c>
      <c r="E4312">
        <v>47.9</v>
      </c>
      <c r="F4312" t="s">
        <v>6</v>
      </c>
      <c r="G43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12">
        <f>IF(Table1[[#This Row],[is_ups_overcharge]]="ups overcharged",Table1[[#This Row],[ups ship charge]]-Table1[[#This Row],[ada ship charge]],0)</f>
        <v>0</v>
      </c>
    </row>
    <row r="4313" spans="1:9" x14ac:dyDescent="0.2">
      <c r="A4313">
        <v>1059011</v>
      </c>
      <c r="B4313" t="s">
        <v>21</v>
      </c>
      <c r="C4313">
        <v>13.64</v>
      </c>
      <c r="D4313">
        <v>13.69</v>
      </c>
      <c r="E4313">
        <v>4.5</v>
      </c>
      <c r="F4313" t="s">
        <v>9</v>
      </c>
      <c r="G43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13">
        <f>IF(Table1[[#This Row],[is_ups_overcharge]]="ups overcharged",Table1[[#This Row],[ups ship charge]]-Table1[[#This Row],[ada ship charge]],0)</f>
        <v>0</v>
      </c>
    </row>
    <row r="4314" spans="1:9" x14ac:dyDescent="0.2">
      <c r="A4314">
        <v>1059075</v>
      </c>
      <c r="B4314" t="s">
        <v>21</v>
      </c>
      <c r="C4314">
        <v>16.649999999999999</v>
      </c>
      <c r="D4314">
        <v>16.7</v>
      </c>
      <c r="E4314">
        <v>54.25</v>
      </c>
      <c r="F4314" t="s">
        <v>10</v>
      </c>
      <c r="G43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14">
        <f>IF(Table1[[#This Row],[is_ups_overcharge]]="ups overcharged",Table1[[#This Row],[ups ship charge]]-Table1[[#This Row],[ada ship charge]],0)</f>
        <v>0</v>
      </c>
    </row>
    <row r="4315" spans="1:9" x14ac:dyDescent="0.2">
      <c r="A4315">
        <v>1059084</v>
      </c>
      <c r="B4315" t="s">
        <v>21</v>
      </c>
      <c r="C4315">
        <v>16.649999999999999</v>
      </c>
      <c r="D4315">
        <v>16.7</v>
      </c>
      <c r="E4315">
        <v>46</v>
      </c>
      <c r="F4315" t="s">
        <v>10</v>
      </c>
      <c r="G43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15">
        <f>IF(Table1[[#This Row],[is_ups_overcharge]]="ups overcharged",Table1[[#This Row],[ups ship charge]]-Table1[[#This Row],[ada ship charge]],0)</f>
        <v>0</v>
      </c>
    </row>
    <row r="4316" spans="1:9" x14ac:dyDescent="0.2">
      <c r="A4316">
        <v>1059090</v>
      </c>
      <c r="B4316" t="s">
        <v>21</v>
      </c>
      <c r="C4316">
        <v>12.75</v>
      </c>
      <c r="D4316">
        <v>12.84</v>
      </c>
      <c r="E4316">
        <v>176.3</v>
      </c>
      <c r="F4316" t="s">
        <v>9</v>
      </c>
      <c r="G43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16">
        <f>IF(Table1[[#This Row],[is_ups_overcharge]]="ups overcharged",Table1[[#This Row],[ups ship charge]]-Table1[[#This Row],[ada ship charge]],0)</f>
        <v>0</v>
      </c>
    </row>
    <row r="4317" spans="1:9" x14ac:dyDescent="0.2">
      <c r="A4317">
        <v>1059121</v>
      </c>
      <c r="B4317" t="s">
        <v>21</v>
      </c>
      <c r="C4317">
        <v>9.65</v>
      </c>
      <c r="D4317">
        <v>10.65</v>
      </c>
      <c r="E4317">
        <v>99.95</v>
      </c>
      <c r="F4317" t="s">
        <v>6</v>
      </c>
      <c r="G43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17">
        <f>IF(Table1[[#This Row],[is_ups_overcharge]]="ups overcharged",Table1[[#This Row],[ups ship charge]]-Table1[[#This Row],[ada ship charge]],0)</f>
        <v>0</v>
      </c>
    </row>
    <row r="4318" spans="1:9" x14ac:dyDescent="0.2">
      <c r="A4318">
        <v>1059147</v>
      </c>
      <c r="B4318" t="s">
        <v>21</v>
      </c>
      <c r="C4318">
        <v>15.33</v>
      </c>
      <c r="D4318">
        <v>15.38</v>
      </c>
      <c r="E4318">
        <v>49.95</v>
      </c>
      <c r="F4318" t="s">
        <v>12</v>
      </c>
      <c r="G43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18">
        <f>IF(Table1[[#This Row],[is_ups_overcharge]]="ups overcharged",Table1[[#This Row],[ups ship charge]]-Table1[[#This Row],[ada ship charge]],0)</f>
        <v>0</v>
      </c>
    </row>
    <row r="4319" spans="1:9" x14ac:dyDescent="0.2">
      <c r="A4319">
        <v>1059157</v>
      </c>
      <c r="B4319" t="s">
        <v>21</v>
      </c>
      <c r="C4319">
        <v>13.64</v>
      </c>
      <c r="D4319">
        <v>13.69</v>
      </c>
      <c r="E4319">
        <v>28.8</v>
      </c>
      <c r="F4319" t="s">
        <v>9</v>
      </c>
      <c r="G43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19">
        <f>IF(Table1[[#This Row],[is_ups_overcharge]]="ups overcharged",Table1[[#This Row],[ups ship charge]]-Table1[[#This Row],[ada ship charge]],0)</f>
        <v>0</v>
      </c>
    </row>
    <row r="4320" spans="1:9" x14ac:dyDescent="0.2">
      <c r="A4320">
        <v>1059161</v>
      </c>
      <c r="B4320" t="s">
        <v>21</v>
      </c>
      <c r="C4320">
        <v>18.79</v>
      </c>
      <c r="D4320">
        <v>19.850000000000001</v>
      </c>
      <c r="E4320">
        <v>128.69999999999999</v>
      </c>
      <c r="F4320" t="s">
        <v>15</v>
      </c>
      <c r="G43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20">
        <f>IF(Table1[[#This Row],[is_ups_overcharge]]="ups overcharged",Table1[[#This Row],[ups ship charge]]-Table1[[#This Row],[ada ship charge]],0)</f>
        <v>0</v>
      </c>
    </row>
    <row r="4321" spans="1:9" x14ac:dyDescent="0.2">
      <c r="A4321">
        <v>1059167</v>
      </c>
      <c r="B4321" t="s">
        <v>21</v>
      </c>
      <c r="C4321">
        <v>9.65</v>
      </c>
      <c r="D4321">
        <v>9.7100000000000009</v>
      </c>
      <c r="E4321">
        <v>83.7</v>
      </c>
      <c r="F4321" t="s">
        <v>6</v>
      </c>
      <c r="G43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21">
        <f>IF(Table1[[#This Row],[is_ups_overcharge]]="ups overcharged",Table1[[#This Row],[ups ship charge]]-Table1[[#This Row],[ada ship charge]],0)</f>
        <v>0</v>
      </c>
    </row>
    <row r="4322" spans="1:9" x14ac:dyDescent="0.2">
      <c r="A4322">
        <v>1059180</v>
      </c>
      <c r="B4322" t="s">
        <v>21</v>
      </c>
      <c r="C4322">
        <v>12.75</v>
      </c>
      <c r="D4322">
        <v>12.8</v>
      </c>
      <c r="E4322">
        <v>39.950000000000003</v>
      </c>
      <c r="F4322" t="s">
        <v>9</v>
      </c>
      <c r="G43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22">
        <f>IF(Table1[[#This Row],[is_ups_overcharge]]="ups overcharged",Table1[[#This Row],[ups ship charge]]-Table1[[#This Row],[ada ship charge]],0)</f>
        <v>0</v>
      </c>
    </row>
    <row r="4323" spans="1:9" x14ac:dyDescent="0.2">
      <c r="A4323">
        <v>1059183</v>
      </c>
      <c r="B4323" t="s">
        <v>21</v>
      </c>
      <c r="C4323">
        <v>13.64</v>
      </c>
      <c r="D4323">
        <v>13.69</v>
      </c>
      <c r="E4323">
        <v>23.95</v>
      </c>
      <c r="F4323" t="s">
        <v>9</v>
      </c>
      <c r="G43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23">
        <f>IF(Table1[[#This Row],[is_ups_overcharge]]="ups overcharged",Table1[[#This Row],[ups ship charge]]-Table1[[#This Row],[ada ship charge]],0)</f>
        <v>0</v>
      </c>
    </row>
    <row r="4324" spans="1:9" x14ac:dyDescent="0.2">
      <c r="A4324">
        <v>1059189</v>
      </c>
      <c r="B4324" t="s">
        <v>21</v>
      </c>
      <c r="C4324">
        <v>13.64</v>
      </c>
      <c r="D4324">
        <v>13.69</v>
      </c>
      <c r="E4324">
        <v>70.599999999999994</v>
      </c>
      <c r="F4324" t="s">
        <v>9</v>
      </c>
      <c r="G43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24">
        <f>IF(Table1[[#This Row],[is_ups_overcharge]]="ups overcharged",Table1[[#This Row],[ups ship charge]]-Table1[[#This Row],[ada ship charge]],0)</f>
        <v>0</v>
      </c>
    </row>
    <row r="4325" spans="1:9" x14ac:dyDescent="0.2">
      <c r="A4325">
        <v>1059202</v>
      </c>
      <c r="B4325" t="s">
        <v>21</v>
      </c>
      <c r="C4325">
        <v>13.64</v>
      </c>
      <c r="D4325">
        <v>13.69</v>
      </c>
      <c r="E4325">
        <v>38.9</v>
      </c>
      <c r="F4325" t="s">
        <v>9</v>
      </c>
      <c r="G43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25">
        <f>IF(Table1[[#This Row],[is_ups_overcharge]]="ups overcharged",Table1[[#This Row],[ups ship charge]]-Table1[[#This Row],[ada ship charge]],0)</f>
        <v>0</v>
      </c>
    </row>
    <row r="4326" spans="1:9" x14ac:dyDescent="0.2">
      <c r="A4326">
        <v>1059207</v>
      </c>
      <c r="B4326" t="s">
        <v>21</v>
      </c>
      <c r="C4326">
        <v>13.64</v>
      </c>
      <c r="D4326">
        <v>13.69</v>
      </c>
      <c r="E4326">
        <v>4.95</v>
      </c>
      <c r="F4326" t="s">
        <v>9</v>
      </c>
      <c r="G43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26">
        <f>IF(Table1[[#This Row],[is_ups_overcharge]]="ups overcharged",Table1[[#This Row],[ups ship charge]]-Table1[[#This Row],[ada ship charge]],0)</f>
        <v>0</v>
      </c>
    </row>
    <row r="4327" spans="1:9" x14ac:dyDescent="0.2">
      <c r="A4327">
        <v>1059209</v>
      </c>
      <c r="B4327" t="s">
        <v>21</v>
      </c>
      <c r="C4327">
        <v>15.35</v>
      </c>
      <c r="D4327">
        <v>16.38</v>
      </c>
      <c r="E4327">
        <v>44.15</v>
      </c>
      <c r="F4327" t="s">
        <v>12</v>
      </c>
      <c r="G43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27">
        <f>IF(Table1[[#This Row],[is_ups_overcharge]]="ups overcharged",Table1[[#This Row],[ups ship charge]]-Table1[[#This Row],[ada ship charge]],0)</f>
        <v>0</v>
      </c>
    </row>
    <row r="4328" spans="1:9" x14ac:dyDescent="0.2">
      <c r="A4328">
        <v>1059223</v>
      </c>
      <c r="B4328" t="s">
        <v>21</v>
      </c>
      <c r="C4328">
        <v>15.33</v>
      </c>
      <c r="D4328">
        <v>15.39</v>
      </c>
      <c r="E4328">
        <v>54.95</v>
      </c>
      <c r="F4328" t="s">
        <v>12</v>
      </c>
      <c r="G43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28">
        <f>IF(Table1[[#This Row],[is_ups_overcharge]]="ups overcharged",Table1[[#This Row],[ups ship charge]]-Table1[[#This Row],[ada ship charge]],0)</f>
        <v>0</v>
      </c>
    </row>
    <row r="4329" spans="1:9" x14ac:dyDescent="0.2">
      <c r="A4329">
        <v>1059240</v>
      </c>
      <c r="B4329" t="s">
        <v>21</v>
      </c>
      <c r="C4329">
        <v>9.65</v>
      </c>
      <c r="D4329">
        <v>9.6999999999999993</v>
      </c>
      <c r="E4329">
        <v>71.599999999999994</v>
      </c>
      <c r="F4329" t="s">
        <v>6</v>
      </c>
      <c r="G43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29">
        <f>IF(Table1[[#This Row],[is_ups_overcharge]]="ups overcharged",Table1[[#This Row],[ups ship charge]]-Table1[[#This Row],[ada ship charge]],0)</f>
        <v>0</v>
      </c>
    </row>
    <row r="4330" spans="1:9" x14ac:dyDescent="0.2">
      <c r="A4330">
        <v>1059242</v>
      </c>
      <c r="B4330" t="s">
        <v>21</v>
      </c>
      <c r="C4330">
        <v>12.75</v>
      </c>
      <c r="D4330">
        <v>12.8</v>
      </c>
      <c r="E4330">
        <v>11.95</v>
      </c>
      <c r="F4330" t="s">
        <v>9</v>
      </c>
      <c r="G43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30">
        <f>IF(Table1[[#This Row],[is_ups_overcharge]]="ups overcharged",Table1[[#This Row],[ups ship charge]]-Table1[[#This Row],[ada ship charge]],0)</f>
        <v>0</v>
      </c>
    </row>
    <row r="4331" spans="1:9" x14ac:dyDescent="0.2">
      <c r="A4331">
        <v>1059259</v>
      </c>
      <c r="B4331" t="s">
        <v>21</v>
      </c>
      <c r="C4331">
        <v>12.75</v>
      </c>
      <c r="D4331">
        <v>12.8</v>
      </c>
      <c r="E4331">
        <v>65.7</v>
      </c>
      <c r="F4331" t="s">
        <v>9</v>
      </c>
      <c r="G43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31">
        <f>IF(Table1[[#This Row],[is_ups_overcharge]]="ups overcharged",Table1[[#This Row],[ups ship charge]]-Table1[[#This Row],[ada ship charge]],0)</f>
        <v>0</v>
      </c>
    </row>
    <row r="4332" spans="1:9" x14ac:dyDescent="0.2">
      <c r="A4332">
        <v>1059276</v>
      </c>
      <c r="B4332" t="s">
        <v>21</v>
      </c>
      <c r="C4332">
        <v>12.75</v>
      </c>
      <c r="D4332">
        <v>12.8</v>
      </c>
      <c r="E4332">
        <v>29.9</v>
      </c>
      <c r="F4332" t="s">
        <v>9</v>
      </c>
      <c r="G43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32">
        <f>IF(Table1[[#This Row],[is_ups_overcharge]]="ups overcharged",Table1[[#This Row],[ups ship charge]]-Table1[[#This Row],[ada ship charge]],0)</f>
        <v>0</v>
      </c>
    </row>
    <row r="4333" spans="1:9" x14ac:dyDescent="0.2">
      <c r="A4333">
        <v>1059315</v>
      </c>
      <c r="B4333" t="s">
        <v>21</v>
      </c>
      <c r="C4333">
        <v>12.75</v>
      </c>
      <c r="D4333">
        <v>12.8</v>
      </c>
      <c r="E4333">
        <v>139.80000000000001</v>
      </c>
      <c r="F4333" t="s">
        <v>9</v>
      </c>
      <c r="G43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33">
        <f>IF(Table1[[#This Row],[is_ups_overcharge]]="ups overcharged",Table1[[#This Row],[ups ship charge]]-Table1[[#This Row],[ada ship charge]],0)</f>
        <v>0</v>
      </c>
    </row>
    <row r="4334" spans="1:9" x14ac:dyDescent="0.2">
      <c r="A4334">
        <v>1059327</v>
      </c>
      <c r="B4334" t="s">
        <v>21</v>
      </c>
      <c r="C4334">
        <v>9.65</v>
      </c>
      <c r="D4334">
        <v>9.6999999999999993</v>
      </c>
      <c r="E4334">
        <v>24.5</v>
      </c>
      <c r="F4334" t="s">
        <v>6</v>
      </c>
      <c r="G43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34">
        <f>IF(Table1[[#This Row],[is_ups_overcharge]]="ups overcharged",Table1[[#This Row],[ups ship charge]]-Table1[[#This Row],[ada ship charge]],0)</f>
        <v>0</v>
      </c>
    </row>
    <row r="4335" spans="1:9" x14ac:dyDescent="0.2">
      <c r="A4335">
        <v>1059346</v>
      </c>
      <c r="B4335" t="s">
        <v>21</v>
      </c>
      <c r="C4335">
        <v>12.75</v>
      </c>
      <c r="D4335">
        <v>12.8</v>
      </c>
      <c r="E4335">
        <v>29.95</v>
      </c>
      <c r="F4335" t="s">
        <v>9</v>
      </c>
      <c r="G43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35">
        <f>IF(Table1[[#This Row],[is_ups_overcharge]]="ups overcharged",Table1[[#This Row],[ups ship charge]]-Table1[[#This Row],[ada ship charge]],0)</f>
        <v>0</v>
      </c>
    </row>
    <row r="4336" spans="1:9" x14ac:dyDescent="0.2">
      <c r="A4336">
        <v>1059359</v>
      </c>
      <c r="B4336" t="s">
        <v>21</v>
      </c>
      <c r="C4336">
        <v>18.02</v>
      </c>
      <c r="D4336">
        <v>19.850000000000001</v>
      </c>
      <c r="E4336">
        <v>123.8</v>
      </c>
      <c r="F4336" t="s">
        <v>15</v>
      </c>
      <c r="G43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36">
        <f>IF(Table1[[#This Row],[is_ups_overcharge]]="ups overcharged",Table1[[#This Row],[ups ship charge]]-Table1[[#This Row],[ada ship charge]],0)</f>
        <v>0</v>
      </c>
    </row>
    <row r="4337" spans="1:9" x14ac:dyDescent="0.2">
      <c r="A4337">
        <v>1059363</v>
      </c>
      <c r="B4337" t="s">
        <v>21</v>
      </c>
      <c r="C4337">
        <v>13.64</v>
      </c>
      <c r="D4337">
        <v>13.69</v>
      </c>
      <c r="E4337">
        <v>54.75</v>
      </c>
      <c r="F4337" t="s">
        <v>9</v>
      </c>
      <c r="G43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37">
        <f>IF(Table1[[#This Row],[is_ups_overcharge]]="ups overcharged",Table1[[#This Row],[ups ship charge]]-Table1[[#This Row],[ada ship charge]],0)</f>
        <v>0</v>
      </c>
    </row>
    <row r="4338" spans="1:9" x14ac:dyDescent="0.2">
      <c r="A4338">
        <v>1059418</v>
      </c>
      <c r="B4338" t="s">
        <v>21</v>
      </c>
      <c r="C4338">
        <v>13.64</v>
      </c>
      <c r="D4338">
        <v>13.69</v>
      </c>
      <c r="E4338">
        <v>69.8</v>
      </c>
      <c r="F4338" t="s">
        <v>9</v>
      </c>
      <c r="G43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38">
        <f>IF(Table1[[#This Row],[is_ups_overcharge]]="ups overcharged",Table1[[#This Row],[ups ship charge]]-Table1[[#This Row],[ada ship charge]],0)</f>
        <v>0</v>
      </c>
    </row>
    <row r="4339" spans="1:9" x14ac:dyDescent="0.2">
      <c r="A4339">
        <v>1059430</v>
      </c>
      <c r="B4339" t="s">
        <v>21</v>
      </c>
      <c r="C4339">
        <v>13.64</v>
      </c>
      <c r="D4339">
        <v>13.69</v>
      </c>
      <c r="E4339">
        <v>24.95</v>
      </c>
      <c r="F4339" t="s">
        <v>9</v>
      </c>
      <c r="G43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39">
        <f>IF(Table1[[#This Row],[is_ups_overcharge]]="ups overcharged",Table1[[#This Row],[ups ship charge]]-Table1[[#This Row],[ada ship charge]],0)</f>
        <v>0</v>
      </c>
    </row>
    <row r="4340" spans="1:9" x14ac:dyDescent="0.2">
      <c r="A4340">
        <v>1059435</v>
      </c>
      <c r="B4340" t="s">
        <v>21</v>
      </c>
      <c r="C4340">
        <v>13.64</v>
      </c>
      <c r="D4340">
        <v>13.69</v>
      </c>
      <c r="E4340">
        <v>59.9</v>
      </c>
      <c r="F4340" t="s">
        <v>9</v>
      </c>
      <c r="G43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40">
        <f>IF(Table1[[#This Row],[is_ups_overcharge]]="ups overcharged",Table1[[#This Row],[ups ship charge]]-Table1[[#This Row],[ada ship charge]],0)</f>
        <v>0</v>
      </c>
    </row>
    <row r="4341" spans="1:9" x14ac:dyDescent="0.2">
      <c r="A4341">
        <v>1059460</v>
      </c>
      <c r="B4341" t="s">
        <v>21</v>
      </c>
      <c r="C4341">
        <v>9.66</v>
      </c>
      <c r="D4341">
        <v>9.6999999999999993</v>
      </c>
      <c r="E4341">
        <v>139.65</v>
      </c>
      <c r="F4341" t="s">
        <v>6</v>
      </c>
      <c r="G43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41">
        <f>IF(Table1[[#This Row],[is_ups_overcharge]]="ups overcharged",Table1[[#This Row],[ups ship charge]]-Table1[[#This Row],[ada ship charge]],0)</f>
        <v>0</v>
      </c>
    </row>
    <row r="4342" spans="1:9" x14ac:dyDescent="0.2">
      <c r="A4342">
        <v>1059480</v>
      </c>
      <c r="B4342" t="s">
        <v>21</v>
      </c>
      <c r="C4342">
        <v>16.34</v>
      </c>
      <c r="D4342">
        <v>16.39</v>
      </c>
      <c r="E4342">
        <v>34.85</v>
      </c>
      <c r="F4342" t="s">
        <v>10</v>
      </c>
      <c r="G43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42">
        <f>IF(Table1[[#This Row],[is_ups_overcharge]]="ups overcharged",Table1[[#This Row],[ups ship charge]]-Table1[[#This Row],[ada ship charge]],0)</f>
        <v>0</v>
      </c>
    </row>
    <row r="4343" spans="1:9" x14ac:dyDescent="0.2">
      <c r="A4343">
        <v>1059485</v>
      </c>
      <c r="B4343" t="s">
        <v>21</v>
      </c>
      <c r="C4343">
        <v>13.64</v>
      </c>
      <c r="D4343">
        <v>13.69</v>
      </c>
      <c r="E4343">
        <v>44.85</v>
      </c>
      <c r="F4343" t="s">
        <v>9</v>
      </c>
      <c r="G43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43">
        <f>IF(Table1[[#This Row],[is_ups_overcharge]]="ups overcharged",Table1[[#This Row],[ups ship charge]]-Table1[[#This Row],[ada ship charge]],0)</f>
        <v>0</v>
      </c>
    </row>
    <row r="4344" spans="1:9" x14ac:dyDescent="0.2">
      <c r="A4344">
        <v>1059495</v>
      </c>
      <c r="B4344" t="s">
        <v>21</v>
      </c>
      <c r="C4344">
        <v>12.75</v>
      </c>
      <c r="D4344">
        <v>12.8</v>
      </c>
      <c r="E4344">
        <v>88</v>
      </c>
      <c r="F4344" t="s">
        <v>9</v>
      </c>
      <c r="G43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44">
        <f>IF(Table1[[#This Row],[is_ups_overcharge]]="ups overcharged",Table1[[#This Row],[ups ship charge]]-Table1[[#This Row],[ada ship charge]],0)</f>
        <v>0</v>
      </c>
    </row>
    <row r="4345" spans="1:9" x14ac:dyDescent="0.2">
      <c r="A4345">
        <v>1059525</v>
      </c>
      <c r="B4345" t="s">
        <v>21</v>
      </c>
      <c r="C4345">
        <v>12.26</v>
      </c>
      <c r="D4345">
        <v>16.39</v>
      </c>
      <c r="E4345">
        <v>59.85</v>
      </c>
      <c r="F4345" t="s">
        <v>13</v>
      </c>
      <c r="G43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45">
        <f>IF(Table1[[#This Row],[is_ups_overcharge]]="ups overcharged",Table1[[#This Row],[ups ship charge]]-Table1[[#This Row],[ada ship charge]],0)</f>
        <v>0</v>
      </c>
    </row>
    <row r="4346" spans="1:9" x14ac:dyDescent="0.2">
      <c r="A4346">
        <v>1059527</v>
      </c>
      <c r="B4346" t="s">
        <v>21</v>
      </c>
      <c r="C4346">
        <v>13.64</v>
      </c>
      <c r="D4346">
        <v>13.69</v>
      </c>
      <c r="E4346">
        <v>11.95</v>
      </c>
      <c r="F4346" t="s">
        <v>9</v>
      </c>
      <c r="G43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46">
        <f>IF(Table1[[#This Row],[is_ups_overcharge]]="ups overcharged",Table1[[#This Row],[ups ship charge]]-Table1[[#This Row],[ada ship charge]],0)</f>
        <v>0</v>
      </c>
    </row>
    <row r="4347" spans="1:9" x14ac:dyDescent="0.2">
      <c r="A4347">
        <v>1059533</v>
      </c>
      <c r="B4347" t="s">
        <v>21</v>
      </c>
      <c r="C4347">
        <v>23.25</v>
      </c>
      <c r="D4347">
        <v>23.29</v>
      </c>
      <c r="E4347">
        <v>233.95</v>
      </c>
      <c r="F4347" t="s">
        <v>16</v>
      </c>
      <c r="G43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47">
        <f>IF(Table1[[#This Row],[is_ups_overcharge]]="ups overcharged",Table1[[#This Row],[ups ship charge]]-Table1[[#This Row],[ada ship charge]],0)</f>
        <v>0</v>
      </c>
    </row>
    <row r="4348" spans="1:9" x14ac:dyDescent="0.2">
      <c r="A4348">
        <v>1059552</v>
      </c>
      <c r="B4348" t="s">
        <v>21</v>
      </c>
      <c r="C4348">
        <v>13.64</v>
      </c>
      <c r="D4348">
        <v>13.69</v>
      </c>
      <c r="E4348">
        <v>49.85</v>
      </c>
      <c r="F4348" t="s">
        <v>9</v>
      </c>
      <c r="G43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48">
        <f>IF(Table1[[#This Row],[is_ups_overcharge]]="ups overcharged",Table1[[#This Row],[ups ship charge]]-Table1[[#This Row],[ada ship charge]],0)</f>
        <v>0</v>
      </c>
    </row>
    <row r="4349" spans="1:9" x14ac:dyDescent="0.2">
      <c r="A4349">
        <v>1059567</v>
      </c>
      <c r="B4349" t="s">
        <v>21</v>
      </c>
      <c r="C4349">
        <v>12.75</v>
      </c>
      <c r="D4349">
        <v>12.8</v>
      </c>
      <c r="E4349">
        <v>32.4</v>
      </c>
      <c r="F4349" t="s">
        <v>9</v>
      </c>
      <c r="G43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49">
        <f>IF(Table1[[#This Row],[is_ups_overcharge]]="ups overcharged",Table1[[#This Row],[ups ship charge]]-Table1[[#This Row],[ada ship charge]],0)</f>
        <v>0</v>
      </c>
    </row>
    <row r="4350" spans="1:9" x14ac:dyDescent="0.2">
      <c r="A4350">
        <v>1059586</v>
      </c>
      <c r="B4350" t="s">
        <v>21</v>
      </c>
      <c r="C4350">
        <v>9.65</v>
      </c>
      <c r="D4350">
        <v>9.74</v>
      </c>
      <c r="E4350">
        <v>155</v>
      </c>
      <c r="F4350" t="s">
        <v>6</v>
      </c>
      <c r="G43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50">
        <f>IF(Table1[[#This Row],[is_ups_overcharge]]="ups overcharged",Table1[[#This Row],[ups ship charge]]-Table1[[#This Row],[ada ship charge]],0)</f>
        <v>0</v>
      </c>
    </row>
    <row r="4351" spans="1:9" x14ac:dyDescent="0.2">
      <c r="A4351">
        <v>1059621</v>
      </c>
      <c r="B4351" t="s">
        <v>21</v>
      </c>
      <c r="C4351">
        <v>12.75</v>
      </c>
      <c r="D4351">
        <v>12.8</v>
      </c>
      <c r="E4351">
        <v>73.2</v>
      </c>
      <c r="F4351" t="s">
        <v>9</v>
      </c>
      <c r="G43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51">
        <f>IF(Table1[[#This Row],[is_ups_overcharge]]="ups overcharged",Table1[[#This Row],[ups ship charge]]-Table1[[#This Row],[ada ship charge]],0)</f>
        <v>0</v>
      </c>
    </row>
    <row r="4352" spans="1:9" x14ac:dyDescent="0.2">
      <c r="A4352">
        <v>1059639</v>
      </c>
      <c r="B4352" t="s">
        <v>21</v>
      </c>
      <c r="C4352">
        <v>15.02</v>
      </c>
      <c r="D4352">
        <v>15.07</v>
      </c>
      <c r="E4352">
        <v>55.85</v>
      </c>
      <c r="F4352" t="s">
        <v>12</v>
      </c>
      <c r="G43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52">
        <f>IF(Table1[[#This Row],[is_ups_overcharge]]="ups overcharged",Table1[[#This Row],[ups ship charge]]-Table1[[#This Row],[ada ship charge]],0)</f>
        <v>0</v>
      </c>
    </row>
    <row r="4353" spans="1:9" x14ac:dyDescent="0.2">
      <c r="A4353">
        <v>1059659</v>
      </c>
      <c r="B4353" t="s">
        <v>21</v>
      </c>
      <c r="C4353">
        <v>12.75</v>
      </c>
      <c r="D4353">
        <v>12.8</v>
      </c>
      <c r="E4353">
        <v>47.9</v>
      </c>
      <c r="F4353" t="s">
        <v>9</v>
      </c>
      <c r="G43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53">
        <f>IF(Table1[[#This Row],[is_ups_overcharge]]="ups overcharged",Table1[[#This Row],[ups ship charge]]-Table1[[#This Row],[ada ship charge]],0)</f>
        <v>0</v>
      </c>
    </row>
    <row r="4354" spans="1:9" x14ac:dyDescent="0.2">
      <c r="A4354">
        <v>1059669</v>
      </c>
      <c r="B4354" t="s">
        <v>21</v>
      </c>
      <c r="C4354">
        <v>13.64</v>
      </c>
      <c r="D4354">
        <v>13.69</v>
      </c>
      <c r="E4354">
        <v>6.25</v>
      </c>
      <c r="F4354" t="s">
        <v>9</v>
      </c>
      <c r="G43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54">
        <f>IF(Table1[[#This Row],[is_ups_overcharge]]="ups overcharged",Table1[[#This Row],[ups ship charge]]-Table1[[#This Row],[ada ship charge]],0)</f>
        <v>0</v>
      </c>
    </row>
    <row r="4355" spans="1:9" x14ac:dyDescent="0.2">
      <c r="A4355">
        <v>1059693</v>
      </c>
      <c r="B4355" t="s">
        <v>21</v>
      </c>
      <c r="C4355">
        <v>12.75</v>
      </c>
      <c r="D4355">
        <v>12.84</v>
      </c>
      <c r="E4355">
        <v>71.25</v>
      </c>
      <c r="F4355" t="s">
        <v>9</v>
      </c>
      <c r="G43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55">
        <f>IF(Table1[[#This Row],[is_ups_overcharge]]="ups overcharged",Table1[[#This Row],[ups ship charge]]-Table1[[#This Row],[ada ship charge]],0)</f>
        <v>0</v>
      </c>
    </row>
    <row r="4356" spans="1:9" x14ac:dyDescent="0.2">
      <c r="A4356">
        <v>1059708</v>
      </c>
      <c r="B4356" t="s">
        <v>21</v>
      </c>
      <c r="C4356">
        <v>16.34</v>
      </c>
      <c r="D4356">
        <v>16.39</v>
      </c>
      <c r="E4356">
        <v>90.25</v>
      </c>
      <c r="F4356" t="s">
        <v>10</v>
      </c>
      <c r="G43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56">
        <f>IF(Table1[[#This Row],[is_ups_overcharge]]="ups overcharged",Table1[[#This Row],[ups ship charge]]-Table1[[#This Row],[ada ship charge]],0)</f>
        <v>0</v>
      </c>
    </row>
    <row r="4357" spans="1:9" x14ac:dyDescent="0.2">
      <c r="A4357">
        <v>1059709</v>
      </c>
      <c r="B4357" t="s">
        <v>21</v>
      </c>
      <c r="C4357">
        <v>13.64</v>
      </c>
      <c r="D4357">
        <v>13.68</v>
      </c>
      <c r="E4357">
        <v>12.9</v>
      </c>
      <c r="F4357" t="s">
        <v>9</v>
      </c>
      <c r="G43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57">
        <f>IF(Table1[[#This Row],[is_ups_overcharge]]="ups overcharged",Table1[[#This Row],[ups ship charge]]-Table1[[#This Row],[ada ship charge]],0)</f>
        <v>0</v>
      </c>
    </row>
    <row r="4358" spans="1:9" x14ac:dyDescent="0.2">
      <c r="A4358">
        <v>1059725</v>
      </c>
      <c r="B4358" t="s">
        <v>21</v>
      </c>
      <c r="C4358">
        <v>13.64</v>
      </c>
      <c r="D4358">
        <v>13.69</v>
      </c>
      <c r="E4358">
        <v>58.4</v>
      </c>
      <c r="F4358" t="s">
        <v>9</v>
      </c>
      <c r="G43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58">
        <f>IF(Table1[[#This Row],[is_ups_overcharge]]="ups overcharged",Table1[[#This Row],[ups ship charge]]-Table1[[#This Row],[ada ship charge]],0)</f>
        <v>0</v>
      </c>
    </row>
    <row r="4359" spans="1:9" x14ac:dyDescent="0.2">
      <c r="A4359">
        <v>1059744</v>
      </c>
      <c r="B4359" t="s">
        <v>21</v>
      </c>
      <c r="C4359">
        <v>12.75</v>
      </c>
      <c r="D4359">
        <v>12.8</v>
      </c>
      <c r="E4359">
        <v>78.75</v>
      </c>
      <c r="F4359" t="s">
        <v>9</v>
      </c>
      <c r="G43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59">
        <f>IF(Table1[[#This Row],[is_ups_overcharge]]="ups overcharged",Table1[[#This Row],[ups ship charge]]-Table1[[#This Row],[ada ship charge]],0)</f>
        <v>0</v>
      </c>
    </row>
    <row r="4360" spans="1:9" x14ac:dyDescent="0.2">
      <c r="A4360">
        <v>1059746</v>
      </c>
      <c r="B4360" t="s">
        <v>21</v>
      </c>
      <c r="C4360">
        <v>13.64</v>
      </c>
      <c r="D4360">
        <v>13.69</v>
      </c>
      <c r="E4360">
        <v>64.900000000000006</v>
      </c>
      <c r="F4360" t="s">
        <v>9</v>
      </c>
      <c r="G43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60">
        <f>IF(Table1[[#This Row],[is_ups_overcharge]]="ups overcharged",Table1[[#This Row],[ups ship charge]]-Table1[[#This Row],[ada ship charge]],0)</f>
        <v>0</v>
      </c>
    </row>
    <row r="4361" spans="1:9" x14ac:dyDescent="0.2">
      <c r="A4361">
        <v>1059757</v>
      </c>
      <c r="B4361" t="s">
        <v>21</v>
      </c>
      <c r="C4361">
        <v>12.26</v>
      </c>
      <c r="D4361">
        <v>12.31</v>
      </c>
      <c r="E4361">
        <v>149.4</v>
      </c>
      <c r="F4361" t="s">
        <v>13</v>
      </c>
      <c r="G43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61">
        <f>IF(Table1[[#This Row],[is_ups_overcharge]]="ups overcharged",Table1[[#This Row],[ups ship charge]]-Table1[[#This Row],[ada ship charge]],0)</f>
        <v>0</v>
      </c>
    </row>
    <row r="4362" spans="1:9" x14ac:dyDescent="0.2">
      <c r="A4362">
        <v>1059764</v>
      </c>
      <c r="B4362" t="s">
        <v>21</v>
      </c>
      <c r="C4362">
        <v>12.75</v>
      </c>
      <c r="D4362">
        <v>12.8</v>
      </c>
      <c r="E4362">
        <v>77.599999999999994</v>
      </c>
      <c r="F4362" t="s">
        <v>9</v>
      </c>
      <c r="G43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62">
        <f>IF(Table1[[#This Row],[is_ups_overcharge]]="ups overcharged",Table1[[#This Row],[ups ship charge]]-Table1[[#This Row],[ada ship charge]],0)</f>
        <v>0</v>
      </c>
    </row>
    <row r="4363" spans="1:9" x14ac:dyDescent="0.2">
      <c r="A4363">
        <v>1059765</v>
      </c>
      <c r="B4363" t="s">
        <v>21</v>
      </c>
      <c r="C4363">
        <v>13.64</v>
      </c>
      <c r="D4363">
        <v>13.69</v>
      </c>
      <c r="E4363">
        <v>14.85</v>
      </c>
      <c r="F4363" t="s">
        <v>9</v>
      </c>
      <c r="G43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63">
        <f>IF(Table1[[#This Row],[is_ups_overcharge]]="ups overcharged",Table1[[#This Row],[ups ship charge]]-Table1[[#This Row],[ada ship charge]],0)</f>
        <v>0</v>
      </c>
    </row>
    <row r="4364" spans="1:9" x14ac:dyDescent="0.2">
      <c r="A4364">
        <v>1059767</v>
      </c>
      <c r="B4364" t="s">
        <v>21</v>
      </c>
      <c r="C4364">
        <v>9.66</v>
      </c>
      <c r="D4364">
        <v>9.7100000000000009</v>
      </c>
      <c r="E4364">
        <v>24.95</v>
      </c>
      <c r="F4364" t="s">
        <v>6</v>
      </c>
      <c r="G43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64">
        <f>IF(Table1[[#This Row],[is_ups_overcharge]]="ups overcharged",Table1[[#This Row],[ups ship charge]]-Table1[[#This Row],[ada ship charge]],0)</f>
        <v>0</v>
      </c>
    </row>
    <row r="4365" spans="1:9" x14ac:dyDescent="0.2">
      <c r="A4365">
        <v>1059772</v>
      </c>
      <c r="B4365" t="s">
        <v>21</v>
      </c>
      <c r="C4365">
        <v>17.36</v>
      </c>
      <c r="D4365">
        <v>17.41</v>
      </c>
      <c r="E4365">
        <v>159.25</v>
      </c>
      <c r="F4365" t="s">
        <v>12</v>
      </c>
      <c r="G43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65">
        <f>IF(Table1[[#This Row],[is_ups_overcharge]]="ups overcharged",Table1[[#This Row],[ups ship charge]]-Table1[[#This Row],[ada ship charge]],0)</f>
        <v>0</v>
      </c>
    </row>
    <row r="4366" spans="1:9" x14ac:dyDescent="0.2">
      <c r="A4366">
        <v>1059794</v>
      </c>
      <c r="B4366" t="s">
        <v>21</v>
      </c>
      <c r="C4366">
        <v>12.75</v>
      </c>
      <c r="D4366">
        <v>12.8</v>
      </c>
      <c r="E4366">
        <v>56.8</v>
      </c>
      <c r="F4366" t="s">
        <v>9</v>
      </c>
      <c r="G43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66">
        <f>IF(Table1[[#This Row],[is_ups_overcharge]]="ups overcharged",Table1[[#This Row],[ups ship charge]]-Table1[[#This Row],[ada ship charge]],0)</f>
        <v>0</v>
      </c>
    </row>
    <row r="4367" spans="1:9" x14ac:dyDescent="0.2">
      <c r="A4367">
        <v>1059801</v>
      </c>
      <c r="B4367" t="s">
        <v>21</v>
      </c>
      <c r="C4367">
        <v>12.75</v>
      </c>
      <c r="D4367">
        <v>12.8</v>
      </c>
      <c r="E4367">
        <v>67.8</v>
      </c>
      <c r="F4367" t="s">
        <v>9</v>
      </c>
      <c r="G43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67">
        <f>IF(Table1[[#This Row],[is_ups_overcharge]]="ups overcharged",Table1[[#This Row],[ups ship charge]]-Table1[[#This Row],[ada ship charge]],0)</f>
        <v>0</v>
      </c>
    </row>
    <row r="4368" spans="1:9" x14ac:dyDescent="0.2">
      <c r="A4368">
        <v>1059805</v>
      </c>
      <c r="B4368" t="s">
        <v>21</v>
      </c>
      <c r="C4368">
        <v>13.64</v>
      </c>
      <c r="D4368">
        <v>13.69</v>
      </c>
      <c r="E4368">
        <v>14.95</v>
      </c>
      <c r="F4368" t="s">
        <v>9</v>
      </c>
      <c r="G43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68">
        <f>IF(Table1[[#This Row],[is_ups_overcharge]]="ups overcharged",Table1[[#This Row],[ups ship charge]]-Table1[[#This Row],[ada ship charge]],0)</f>
        <v>0</v>
      </c>
    </row>
    <row r="4369" spans="1:9" x14ac:dyDescent="0.2">
      <c r="A4369">
        <v>1059814</v>
      </c>
      <c r="B4369" t="s">
        <v>21</v>
      </c>
      <c r="C4369">
        <v>16.75</v>
      </c>
      <c r="D4369">
        <v>16.8</v>
      </c>
      <c r="E4369">
        <v>94.85</v>
      </c>
      <c r="F4369" t="s">
        <v>10</v>
      </c>
      <c r="G43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69">
        <f>IF(Table1[[#This Row],[is_ups_overcharge]]="ups overcharged",Table1[[#This Row],[ups ship charge]]-Table1[[#This Row],[ada ship charge]],0)</f>
        <v>0</v>
      </c>
    </row>
    <row r="4370" spans="1:9" x14ac:dyDescent="0.2">
      <c r="A4370">
        <v>1059825</v>
      </c>
      <c r="B4370" t="s">
        <v>21</v>
      </c>
      <c r="C4370">
        <v>12.75</v>
      </c>
      <c r="D4370">
        <v>12.8</v>
      </c>
      <c r="E4370">
        <v>47.9</v>
      </c>
      <c r="F4370" t="s">
        <v>9</v>
      </c>
      <c r="G43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70">
        <f>IF(Table1[[#This Row],[is_ups_overcharge]]="ups overcharged",Table1[[#This Row],[ups ship charge]]-Table1[[#This Row],[ada ship charge]],0)</f>
        <v>0</v>
      </c>
    </row>
    <row r="4371" spans="1:9" x14ac:dyDescent="0.2">
      <c r="A4371">
        <v>1059837</v>
      </c>
      <c r="B4371" t="s">
        <v>21</v>
      </c>
      <c r="C4371">
        <v>9.65</v>
      </c>
      <c r="D4371">
        <v>9.6999999999999993</v>
      </c>
      <c r="E4371">
        <v>9.9499999999999993</v>
      </c>
      <c r="F4371" t="s">
        <v>6</v>
      </c>
      <c r="G43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71">
        <f>IF(Table1[[#This Row],[is_ups_overcharge]]="ups overcharged",Table1[[#This Row],[ups ship charge]]-Table1[[#This Row],[ada ship charge]],0)</f>
        <v>0</v>
      </c>
    </row>
    <row r="4372" spans="1:9" x14ac:dyDescent="0.2">
      <c r="A4372">
        <v>1059863</v>
      </c>
      <c r="B4372" t="s">
        <v>21</v>
      </c>
      <c r="C4372">
        <v>12.75</v>
      </c>
      <c r="D4372">
        <v>12.8</v>
      </c>
      <c r="E4372">
        <v>72.75</v>
      </c>
      <c r="F4372" t="s">
        <v>9</v>
      </c>
      <c r="G43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72">
        <f>IF(Table1[[#This Row],[is_ups_overcharge]]="ups overcharged",Table1[[#This Row],[ups ship charge]]-Table1[[#This Row],[ada ship charge]],0)</f>
        <v>0</v>
      </c>
    </row>
    <row r="4373" spans="1:9" x14ac:dyDescent="0.2">
      <c r="A4373">
        <v>1059869</v>
      </c>
      <c r="B4373" t="s">
        <v>21</v>
      </c>
      <c r="C4373">
        <v>12.75</v>
      </c>
      <c r="D4373">
        <v>12.8</v>
      </c>
      <c r="E4373">
        <v>39.950000000000003</v>
      </c>
      <c r="F4373" t="s">
        <v>9</v>
      </c>
      <c r="G43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73">
        <f>IF(Table1[[#This Row],[is_ups_overcharge]]="ups overcharged",Table1[[#This Row],[ups ship charge]]-Table1[[#This Row],[ada ship charge]],0)</f>
        <v>0</v>
      </c>
    </row>
    <row r="4374" spans="1:9" x14ac:dyDescent="0.2">
      <c r="A4374">
        <v>1059871</v>
      </c>
      <c r="B4374" t="s">
        <v>21</v>
      </c>
      <c r="C4374">
        <v>9.65</v>
      </c>
      <c r="D4374">
        <v>9.7100000000000009</v>
      </c>
      <c r="E4374">
        <v>114.55</v>
      </c>
      <c r="F4374" t="s">
        <v>6</v>
      </c>
      <c r="G43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74">
        <f>IF(Table1[[#This Row],[is_ups_overcharge]]="ups overcharged",Table1[[#This Row],[ups ship charge]]-Table1[[#This Row],[ada ship charge]],0)</f>
        <v>0</v>
      </c>
    </row>
    <row r="4375" spans="1:9" x14ac:dyDescent="0.2">
      <c r="A4375">
        <v>1059878</v>
      </c>
      <c r="B4375" t="s">
        <v>21</v>
      </c>
      <c r="C4375">
        <v>16.34</v>
      </c>
      <c r="D4375">
        <v>16.39</v>
      </c>
      <c r="E4375">
        <v>23.6</v>
      </c>
      <c r="F4375" t="s">
        <v>10</v>
      </c>
      <c r="G43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75">
        <f>IF(Table1[[#This Row],[is_ups_overcharge]]="ups overcharged",Table1[[#This Row],[ups ship charge]]-Table1[[#This Row],[ada ship charge]],0)</f>
        <v>0</v>
      </c>
    </row>
    <row r="4376" spans="1:9" x14ac:dyDescent="0.2">
      <c r="A4376">
        <v>1059895</v>
      </c>
      <c r="B4376" t="s">
        <v>21</v>
      </c>
      <c r="C4376">
        <v>12.75</v>
      </c>
      <c r="D4376">
        <v>13.25</v>
      </c>
      <c r="E4376">
        <v>74.650000000000006</v>
      </c>
      <c r="F4376" t="s">
        <v>9</v>
      </c>
      <c r="G43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76">
        <f>IF(Table1[[#This Row],[is_ups_overcharge]]="ups overcharged",Table1[[#This Row],[ups ship charge]]-Table1[[#This Row],[ada ship charge]],0)</f>
        <v>0</v>
      </c>
    </row>
    <row r="4377" spans="1:9" x14ac:dyDescent="0.2">
      <c r="A4377">
        <v>1059911</v>
      </c>
      <c r="B4377" t="s">
        <v>21</v>
      </c>
      <c r="C4377">
        <v>12.75</v>
      </c>
      <c r="D4377">
        <v>12.8</v>
      </c>
      <c r="E4377">
        <v>29.9</v>
      </c>
      <c r="F4377" t="s">
        <v>9</v>
      </c>
      <c r="G43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77">
        <f>IF(Table1[[#This Row],[is_ups_overcharge]]="ups overcharged",Table1[[#This Row],[ups ship charge]]-Table1[[#This Row],[ada ship charge]],0)</f>
        <v>0</v>
      </c>
    </row>
    <row r="4378" spans="1:9" x14ac:dyDescent="0.2">
      <c r="A4378">
        <v>1059912</v>
      </c>
      <c r="B4378" t="s">
        <v>21</v>
      </c>
      <c r="C4378">
        <v>61.89</v>
      </c>
      <c r="D4378">
        <v>60.46</v>
      </c>
      <c r="E4378">
        <v>131.80000000000001</v>
      </c>
      <c r="F4378" t="s">
        <v>8</v>
      </c>
      <c r="G43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7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4378">
        <f>IF(Table1[[#This Row],[is_ups_overcharge]]="ups overcharged",Table1[[#This Row],[ups ship charge]]-Table1[[#This Row],[ada ship charge]],0)</f>
        <v>1.4299999999999997</v>
      </c>
    </row>
    <row r="4379" spans="1:9" x14ac:dyDescent="0.2">
      <c r="A4379">
        <v>1059926</v>
      </c>
      <c r="B4379" t="s">
        <v>21</v>
      </c>
      <c r="C4379">
        <v>15.02</v>
      </c>
      <c r="D4379">
        <v>15.07</v>
      </c>
      <c r="E4379">
        <v>101.45</v>
      </c>
      <c r="F4379" t="s">
        <v>12</v>
      </c>
      <c r="G43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79">
        <f>IF(Table1[[#This Row],[is_ups_overcharge]]="ups overcharged",Table1[[#This Row],[ups ship charge]]-Table1[[#This Row],[ada ship charge]],0)</f>
        <v>0</v>
      </c>
    </row>
    <row r="4380" spans="1:9" x14ac:dyDescent="0.2">
      <c r="A4380">
        <v>1059936</v>
      </c>
      <c r="B4380" t="s">
        <v>21</v>
      </c>
      <c r="C4380">
        <v>12.75</v>
      </c>
      <c r="D4380">
        <v>12.8</v>
      </c>
      <c r="E4380">
        <v>119.55</v>
      </c>
      <c r="F4380" t="s">
        <v>9</v>
      </c>
      <c r="G43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80">
        <f>IF(Table1[[#This Row],[is_ups_overcharge]]="ups overcharged",Table1[[#This Row],[ups ship charge]]-Table1[[#This Row],[ada ship charge]],0)</f>
        <v>0</v>
      </c>
    </row>
    <row r="4381" spans="1:9" x14ac:dyDescent="0.2">
      <c r="A4381">
        <v>1059947</v>
      </c>
      <c r="B4381" t="s">
        <v>21</v>
      </c>
      <c r="C4381">
        <v>13.64</v>
      </c>
      <c r="D4381">
        <v>13.69</v>
      </c>
      <c r="E4381">
        <v>14.95</v>
      </c>
      <c r="F4381" t="s">
        <v>9</v>
      </c>
      <c r="G43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81">
        <f>IF(Table1[[#This Row],[is_ups_overcharge]]="ups overcharged",Table1[[#This Row],[ups ship charge]]-Table1[[#This Row],[ada ship charge]],0)</f>
        <v>0</v>
      </c>
    </row>
    <row r="4382" spans="1:9" x14ac:dyDescent="0.2">
      <c r="A4382">
        <v>1059958</v>
      </c>
      <c r="B4382" t="s">
        <v>21</v>
      </c>
      <c r="C4382">
        <v>12.26</v>
      </c>
      <c r="D4382">
        <v>12.31</v>
      </c>
      <c r="E4382">
        <v>118.65</v>
      </c>
      <c r="F4382" t="s">
        <v>13</v>
      </c>
      <c r="G43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82">
        <f>IF(Table1[[#This Row],[is_ups_overcharge]]="ups overcharged",Table1[[#This Row],[ups ship charge]]-Table1[[#This Row],[ada ship charge]],0)</f>
        <v>0</v>
      </c>
    </row>
    <row r="4383" spans="1:9" x14ac:dyDescent="0.2">
      <c r="A4383">
        <v>1059991</v>
      </c>
      <c r="B4383" t="s">
        <v>21</v>
      </c>
      <c r="C4383">
        <v>16.440000000000001</v>
      </c>
      <c r="D4383">
        <v>16.489999999999998</v>
      </c>
      <c r="E4383">
        <v>67.8</v>
      </c>
      <c r="F4383" t="s">
        <v>10</v>
      </c>
      <c r="G43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83">
        <f>IF(Table1[[#This Row],[is_ups_overcharge]]="ups overcharged",Table1[[#This Row],[ups ship charge]]-Table1[[#This Row],[ada ship charge]],0)</f>
        <v>0</v>
      </c>
    </row>
    <row r="4384" spans="1:9" x14ac:dyDescent="0.2">
      <c r="A4384">
        <v>1059995</v>
      </c>
      <c r="B4384" t="s">
        <v>21</v>
      </c>
      <c r="C4384">
        <v>12.75</v>
      </c>
      <c r="D4384">
        <v>12.8</v>
      </c>
      <c r="E4384">
        <v>88.65</v>
      </c>
      <c r="F4384" t="s">
        <v>9</v>
      </c>
      <c r="G43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84">
        <f>IF(Table1[[#This Row],[is_ups_overcharge]]="ups overcharged",Table1[[#This Row],[ups ship charge]]-Table1[[#This Row],[ada ship charge]],0)</f>
        <v>0</v>
      </c>
    </row>
    <row r="4385" spans="1:9" x14ac:dyDescent="0.2">
      <c r="A4385">
        <v>1060001</v>
      </c>
      <c r="B4385" t="s">
        <v>21</v>
      </c>
      <c r="C4385">
        <v>12.75</v>
      </c>
      <c r="D4385">
        <v>12.8</v>
      </c>
      <c r="E4385">
        <v>109.85</v>
      </c>
      <c r="F4385" t="s">
        <v>9</v>
      </c>
      <c r="G43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85">
        <f>IF(Table1[[#This Row],[is_ups_overcharge]]="ups overcharged",Table1[[#This Row],[ups ship charge]]-Table1[[#This Row],[ada ship charge]],0)</f>
        <v>0</v>
      </c>
    </row>
    <row r="4386" spans="1:9" x14ac:dyDescent="0.2">
      <c r="A4386">
        <v>1060011</v>
      </c>
      <c r="B4386" t="s">
        <v>21</v>
      </c>
      <c r="C4386">
        <v>16.649999999999999</v>
      </c>
      <c r="D4386">
        <v>16.7</v>
      </c>
      <c r="E4386">
        <v>39.950000000000003</v>
      </c>
      <c r="F4386" t="s">
        <v>10</v>
      </c>
      <c r="G43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86">
        <f>IF(Table1[[#This Row],[is_ups_overcharge]]="ups overcharged",Table1[[#This Row],[ups ship charge]]-Table1[[#This Row],[ada ship charge]],0)</f>
        <v>0</v>
      </c>
    </row>
    <row r="4387" spans="1:9" x14ac:dyDescent="0.2">
      <c r="A4387">
        <v>1060038</v>
      </c>
      <c r="B4387" t="s">
        <v>21</v>
      </c>
      <c r="C4387">
        <v>13.64</v>
      </c>
      <c r="D4387">
        <v>13.69</v>
      </c>
      <c r="E4387">
        <v>15</v>
      </c>
      <c r="F4387" t="s">
        <v>9</v>
      </c>
      <c r="G43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87">
        <f>IF(Table1[[#This Row],[is_ups_overcharge]]="ups overcharged",Table1[[#This Row],[ups ship charge]]-Table1[[#This Row],[ada ship charge]],0)</f>
        <v>0</v>
      </c>
    </row>
    <row r="4388" spans="1:9" x14ac:dyDescent="0.2">
      <c r="A4388">
        <v>1060044</v>
      </c>
      <c r="B4388" t="s">
        <v>21</v>
      </c>
      <c r="C4388">
        <v>15.33</v>
      </c>
      <c r="D4388">
        <v>18.93</v>
      </c>
      <c r="E4388">
        <v>49.9</v>
      </c>
      <c r="F4388" t="s">
        <v>12</v>
      </c>
      <c r="G43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88">
        <f>IF(Table1[[#This Row],[is_ups_overcharge]]="ups overcharged",Table1[[#This Row],[ups ship charge]]-Table1[[#This Row],[ada ship charge]],0)</f>
        <v>0</v>
      </c>
    </row>
    <row r="4389" spans="1:9" x14ac:dyDescent="0.2">
      <c r="A4389">
        <v>1060070</v>
      </c>
      <c r="B4389" t="s">
        <v>21</v>
      </c>
      <c r="C4389">
        <v>15.33</v>
      </c>
      <c r="D4389">
        <v>15.38</v>
      </c>
      <c r="E4389">
        <v>2.95</v>
      </c>
      <c r="F4389" t="s">
        <v>12</v>
      </c>
      <c r="G43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89">
        <f>IF(Table1[[#This Row],[is_ups_overcharge]]="ups overcharged",Table1[[#This Row],[ups ship charge]]-Table1[[#This Row],[ada ship charge]],0)</f>
        <v>0</v>
      </c>
    </row>
    <row r="4390" spans="1:9" x14ac:dyDescent="0.2">
      <c r="A4390">
        <v>1060113</v>
      </c>
      <c r="B4390" t="s">
        <v>21</v>
      </c>
      <c r="C4390">
        <v>13.64</v>
      </c>
      <c r="D4390">
        <v>13.69</v>
      </c>
      <c r="E4390">
        <v>67.75</v>
      </c>
      <c r="F4390" t="s">
        <v>9</v>
      </c>
      <c r="G43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90">
        <f>IF(Table1[[#This Row],[is_ups_overcharge]]="ups overcharged",Table1[[#This Row],[ups ship charge]]-Table1[[#This Row],[ada ship charge]],0)</f>
        <v>0</v>
      </c>
    </row>
    <row r="4391" spans="1:9" x14ac:dyDescent="0.2">
      <c r="A4391">
        <v>1060117</v>
      </c>
      <c r="B4391" t="s">
        <v>21</v>
      </c>
      <c r="C4391">
        <v>9.66</v>
      </c>
      <c r="D4391">
        <v>9.7100000000000009</v>
      </c>
      <c r="E4391">
        <v>6.8</v>
      </c>
      <c r="F4391" t="s">
        <v>6</v>
      </c>
      <c r="G43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91">
        <f>IF(Table1[[#This Row],[is_ups_overcharge]]="ups overcharged",Table1[[#This Row],[ups ship charge]]-Table1[[#This Row],[ada ship charge]],0)</f>
        <v>0</v>
      </c>
    </row>
    <row r="4392" spans="1:9" x14ac:dyDescent="0.2">
      <c r="A4392">
        <v>1060136</v>
      </c>
      <c r="B4392" t="s">
        <v>21</v>
      </c>
      <c r="C4392">
        <v>12.75</v>
      </c>
      <c r="D4392">
        <v>12.8</v>
      </c>
      <c r="E4392">
        <v>43.9</v>
      </c>
      <c r="F4392" t="s">
        <v>9</v>
      </c>
      <c r="G43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92">
        <f>IF(Table1[[#This Row],[is_ups_overcharge]]="ups overcharged",Table1[[#This Row],[ups ship charge]]-Table1[[#This Row],[ada ship charge]],0)</f>
        <v>0</v>
      </c>
    </row>
    <row r="4393" spans="1:9" x14ac:dyDescent="0.2">
      <c r="A4393">
        <v>1060147</v>
      </c>
      <c r="B4393" t="s">
        <v>21</v>
      </c>
      <c r="C4393">
        <v>13.63</v>
      </c>
      <c r="D4393">
        <v>13.84</v>
      </c>
      <c r="E4393">
        <v>17.5</v>
      </c>
      <c r="F4393" t="s">
        <v>9</v>
      </c>
      <c r="G43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93">
        <f>IF(Table1[[#This Row],[is_ups_overcharge]]="ups overcharged",Table1[[#This Row],[ups ship charge]]-Table1[[#This Row],[ada ship charge]],0)</f>
        <v>0</v>
      </c>
    </row>
    <row r="4394" spans="1:9" x14ac:dyDescent="0.2">
      <c r="A4394">
        <v>1060150</v>
      </c>
      <c r="B4394" t="s">
        <v>21</v>
      </c>
      <c r="C4394">
        <v>13.64</v>
      </c>
      <c r="D4394">
        <v>13.68</v>
      </c>
      <c r="E4394">
        <v>50.9</v>
      </c>
      <c r="F4394" t="s">
        <v>9</v>
      </c>
      <c r="G43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94">
        <f>IF(Table1[[#This Row],[is_ups_overcharge]]="ups overcharged",Table1[[#This Row],[ups ship charge]]-Table1[[#This Row],[ada ship charge]],0)</f>
        <v>0</v>
      </c>
    </row>
    <row r="4395" spans="1:9" x14ac:dyDescent="0.2">
      <c r="A4395">
        <v>1060155</v>
      </c>
      <c r="B4395" t="s">
        <v>21</v>
      </c>
      <c r="C4395">
        <v>66.760000000000005</v>
      </c>
      <c r="D4395">
        <v>66.81</v>
      </c>
      <c r="E4395">
        <v>34.950000000000003</v>
      </c>
      <c r="F4395" t="s">
        <v>8</v>
      </c>
      <c r="G43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95">
        <f>IF(Table1[[#This Row],[is_ups_overcharge]]="ups overcharged",Table1[[#This Row],[ups ship charge]]-Table1[[#This Row],[ada ship charge]],0)</f>
        <v>0</v>
      </c>
    </row>
    <row r="4396" spans="1:9" x14ac:dyDescent="0.2">
      <c r="A4396">
        <v>1060156</v>
      </c>
      <c r="B4396" t="s">
        <v>21</v>
      </c>
      <c r="C4396">
        <v>12.75</v>
      </c>
      <c r="D4396">
        <v>12.8</v>
      </c>
      <c r="E4396">
        <v>69.25</v>
      </c>
      <c r="F4396" t="s">
        <v>9</v>
      </c>
      <c r="G43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96">
        <f>IF(Table1[[#This Row],[is_ups_overcharge]]="ups overcharged",Table1[[#This Row],[ups ship charge]]-Table1[[#This Row],[ada ship charge]],0)</f>
        <v>0</v>
      </c>
    </row>
    <row r="4397" spans="1:9" x14ac:dyDescent="0.2">
      <c r="A4397">
        <v>1060173</v>
      </c>
      <c r="B4397" t="s">
        <v>21</v>
      </c>
      <c r="C4397">
        <v>12.75</v>
      </c>
      <c r="D4397">
        <v>12.8</v>
      </c>
      <c r="E4397">
        <v>79.95</v>
      </c>
      <c r="F4397" t="s">
        <v>9</v>
      </c>
      <c r="G43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97">
        <f>IF(Table1[[#This Row],[is_ups_overcharge]]="ups overcharged",Table1[[#This Row],[ups ship charge]]-Table1[[#This Row],[ada ship charge]],0)</f>
        <v>0</v>
      </c>
    </row>
    <row r="4398" spans="1:9" x14ac:dyDescent="0.2">
      <c r="A4398">
        <v>1060188</v>
      </c>
      <c r="B4398" t="s">
        <v>21</v>
      </c>
      <c r="C4398">
        <v>21.7</v>
      </c>
      <c r="D4398">
        <v>21.75</v>
      </c>
      <c r="E4398">
        <v>49.95</v>
      </c>
      <c r="F4398" t="s">
        <v>15</v>
      </c>
      <c r="G43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98">
        <f>IF(Table1[[#This Row],[is_ups_overcharge]]="ups overcharged",Table1[[#This Row],[ups ship charge]]-Table1[[#This Row],[ada ship charge]],0)</f>
        <v>0</v>
      </c>
    </row>
    <row r="4399" spans="1:9" x14ac:dyDescent="0.2">
      <c r="A4399">
        <v>1060228</v>
      </c>
      <c r="B4399" t="s">
        <v>21</v>
      </c>
      <c r="C4399">
        <v>13.64</v>
      </c>
      <c r="D4399">
        <v>13.69</v>
      </c>
      <c r="E4399">
        <v>23.35</v>
      </c>
      <c r="F4399" t="s">
        <v>9</v>
      </c>
      <c r="G43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3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399">
        <f>IF(Table1[[#This Row],[is_ups_overcharge]]="ups overcharged",Table1[[#This Row],[ups ship charge]]-Table1[[#This Row],[ada ship charge]],0)</f>
        <v>0</v>
      </c>
    </row>
    <row r="4400" spans="1:9" x14ac:dyDescent="0.2">
      <c r="A4400">
        <v>1060231</v>
      </c>
      <c r="B4400" t="s">
        <v>21</v>
      </c>
      <c r="C4400">
        <v>13.64</v>
      </c>
      <c r="D4400">
        <v>13.69</v>
      </c>
      <c r="E4400">
        <v>25</v>
      </c>
      <c r="F4400" t="s">
        <v>9</v>
      </c>
      <c r="G44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00">
        <f>IF(Table1[[#This Row],[is_ups_overcharge]]="ups overcharged",Table1[[#This Row],[ups ship charge]]-Table1[[#This Row],[ada ship charge]],0)</f>
        <v>0</v>
      </c>
    </row>
    <row r="4401" spans="1:9" x14ac:dyDescent="0.2">
      <c r="A4401">
        <v>1060236</v>
      </c>
      <c r="B4401" t="s">
        <v>21</v>
      </c>
      <c r="C4401">
        <v>12.75</v>
      </c>
      <c r="D4401">
        <v>12.8</v>
      </c>
      <c r="E4401">
        <v>103.25</v>
      </c>
      <c r="F4401" t="s">
        <v>9</v>
      </c>
      <c r="G44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01">
        <f>IF(Table1[[#This Row],[is_ups_overcharge]]="ups overcharged",Table1[[#This Row],[ups ship charge]]-Table1[[#This Row],[ada ship charge]],0)</f>
        <v>0</v>
      </c>
    </row>
    <row r="4402" spans="1:9" x14ac:dyDescent="0.2">
      <c r="A4402">
        <v>1060255</v>
      </c>
      <c r="B4402" t="s">
        <v>21</v>
      </c>
      <c r="C4402">
        <v>12.75</v>
      </c>
      <c r="D4402">
        <v>12.8</v>
      </c>
      <c r="E4402">
        <v>53.9</v>
      </c>
      <c r="F4402" t="s">
        <v>9</v>
      </c>
      <c r="G44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02">
        <f>IF(Table1[[#This Row],[is_ups_overcharge]]="ups overcharged",Table1[[#This Row],[ups ship charge]]-Table1[[#This Row],[ada ship charge]],0)</f>
        <v>0</v>
      </c>
    </row>
    <row r="4403" spans="1:9" x14ac:dyDescent="0.2">
      <c r="A4403">
        <v>1060259</v>
      </c>
      <c r="B4403" t="s">
        <v>21</v>
      </c>
      <c r="C4403">
        <v>13.63</v>
      </c>
      <c r="D4403">
        <v>13.68</v>
      </c>
      <c r="E4403">
        <v>110.7</v>
      </c>
      <c r="F4403" t="s">
        <v>13</v>
      </c>
      <c r="G44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03">
        <f>IF(Table1[[#This Row],[is_ups_overcharge]]="ups overcharged",Table1[[#This Row],[ups ship charge]]-Table1[[#This Row],[ada ship charge]],0)</f>
        <v>0</v>
      </c>
    </row>
    <row r="4404" spans="1:9" x14ac:dyDescent="0.2">
      <c r="A4404">
        <v>1060291</v>
      </c>
      <c r="B4404" t="s">
        <v>21</v>
      </c>
      <c r="C4404">
        <v>12.75</v>
      </c>
      <c r="D4404">
        <v>12.8</v>
      </c>
      <c r="E4404">
        <v>22.85</v>
      </c>
      <c r="F4404" t="s">
        <v>9</v>
      </c>
      <c r="G44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04">
        <f>IF(Table1[[#This Row],[is_ups_overcharge]]="ups overcharged",Table1[[#This Row],[ups ship charge]]-Table1[[#This Row],[ada ship charge]],0)</f>
        <v>0</v>
      </c>
    </row>
    <row r="4405" spans="1:9" x14ac:dyDescent="0.2">
      <c r="A4405">
        <v>1060302</v>
      </c>
      <c r="B4405" t="s">
        <v>21</v>
      </c>
      <c r="C4405">
        <v>9.66</v>
      </c>
      <c r="D4405">
        <v>9.7100000000000009</v>
      </c>
      <c r="E4405">
        <v>5.95</v>
      </c>
      <c r="F4405" t="s">
        <v>6</v>
      </c>
      <c r="G44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05">
        <f>IF(Table1[[#This Row],[is_ups_overcharge]]="ups overcharged",Table1[[#This Row],[ups ship charge]]-Table1[[#This Row],[ada ship charge]],0)</f>
        <v>0</v>
      </c>
    </row>
    <row r="4406" spans="1:9" x14ac:dyDescent="0.2">
      <c r="A4406">
        <v>1060305</v>
      </c>
      <c r="B4406" t="s">
        <v>21</v>
      </c>
      <c r="C4406">
        <v>15.33</v>
      </c>
      <c r="D4406">
        <v>15.39</v>
      </c>
      <c r="E4406">
        <v>29.9</v>
      </c>
      <c r="F4406" t="s">
        <v>12</v>
      </c>
      <c r="G44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06">
        <f>IF(Table1[[#This Row],[is_ups_overcharge]]="ups overcharged",Table1[[#This Row],[ups ship charge]]-Table1[[#This Row],[ada ship charge]],0)</f>
        <v>0</v>
      </c>
    </row>
    <row r="4407" spans="1:9" x14ac:dyDescent="0.2">
      <c r="A4407">
        <v>1060326</v>
      </c>
      <c r="B4407" t="s">
        <v>21</v>
      </c>
      <c r="C4407">
        <v>13.64</v>
      </c>
      <c r="D4407">
        <v>13.69</v>
      </c>
      <c r="E4407">
        <v>47.9</v>
      </c>
      <c r="F4407" t="s">
        <v>9</v>
      </c>
      <c r="G44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07">
        <f>IF(Table1[[#This Row],[is_ups_overcharge]]="ups overcharged",Table1[[#This Row],[ups ship charge]]-Table1[[#This Row],[ada ship charge]],0)</f>
        <v>0</v>
      </c>
    </row>
    <row r="4408" spans="1:9" x14ac:dyDescent="0.2">
      <c r="A4408">
        <v>1060328</v>
      </c>
      <c r="B4408" t="s">
        <v>21</v>
      </c>
      <c r="C4408">
        <v>13.64</v>
      </c>
      <c r="D4408">
        <v>13.69</v>
      </c>
      <c r="E4408">
        <v>17.600000000000001</v>
      </c>
      <c r="F4408" t="s">
        <v>9</v>
      </c>
      <c r="G44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08">
        <f>IF(Table1[[#This Row],[is_ups_overcharge]]="ups overcharged",Table1[[#This Row],[ups ship charge]]-Table1[[#This Row],[ada ship charge]],0)</f>
        <v>0</v>
      </c>
    </row>
    <row r="4409" spans="1:9" x14ac:dyDescent="0.2">
      <c r="A4409">
        <v>1060343</v>
      </c>
      <c r="B4409" t="s">
        <v>21</v>
      </c>
      <c r="C4409">
        <v>13.64</v>
      </c>
      <c r="D4409">
        <v>13.69</v>
      </c>
      <c r="E4409">
        <v>103.8</v>
      </c>
      <c r="F4409" t="s">
        <v>9</v>
      </c>
      <c r="G44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09">
        <f>IF(Table1[[#This Row],[is_ups_overcharge]]="ups overcharged",Table1[[#This Row],[ups ship charge]]-Table1[[#This Row],[ada ship charge]],0)</f>
        <v>0</v>
      </c>
    </row>
    <row r="4410" spans="1:9" x14ac:dyDescent="0.2">
      <c r="A4410">
        <v>1060359</v>
      </c>
      <c r="B4410" t="s">
        <v>21</v>
      </c>
      <c r="C4410">
        <v>15.02</v>
      </c>
      <c r="D4410">
        <v>17.690000000000001</v>
      </c>
      <c r="E4410">
        <v>7.95</v>
      </c>
      <c r="F4410" t="s">
        <v>12</v>
      </c>
      <c r="G44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10">
        <f>IF(Table1[[#This Row],[is_ups_overcharge]]="ups overcharged",Table1[[#This Row],[ups ship charge]]-Table1[[#This Row],[ada ship charge]],0)</f>
        <v>0</v>
      </c>
    </row>
    <row r="4411" spans="1:9" x14ac:dyDescent="0.2">
      <c r="A4411">
        <v>1060360</v>
      </c>
      <c r="B4411" t="s">
        <v>21</v>
      </c>
      <c r="C4411">
        <v>17.02</v>
      </c>
      <c r="D4411">
        <v>18.579999999999998</v>
      </c>
      <c r="E4411">
        <v>62.7</v>
      </c>
      <c r="F4411" t="s">
        <v>10</v>
      </c>
      <c r="G44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11">
        <f>IF(Table1[[#This Row],[is_ups_overcharge]]="ups overcharged",Table1[[#This Row],[ups ship charge]]-Table1[[#This Row],[ada ship charge]],0)</f>
        <v>0</v>
      </c>
    </row>
    <row r="4412" spans="1:9" x14ac:dyDescent="0.2">
      <c r="A4412">
        <v>1060369</v>
      </c>
      <c r="B4412" t="s">
        <v>21</v>
      </c>
      <c r="C4412">
        <v>13.64</v>
      </c>
      <c r="D4412">
        <v>13.69</v>
      </c>
      <c r="E4412">
        <v>46.95</v>
      </c>
      <c r="F4412" t="s">
        <v>9</v>
      </c>
      <c r="G44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12">
        <f>IF(Table1[[#This Row],[is_ups_overcharge]]="ups overcharged",Table1[[#This Row],[ups ship charge]]-Table1[[#This Row],[ada ship charge]],0)</f>
        <v>0</v>
      </c>
    </row>
    <row r="4413" spans="1:9" x14ac:dyDescent="0.2">
      <c r="A4413">
        <v>1060390</v>
      </c>
      <c r="B4413" t="s">
        <v>21</v>
      </c>
      <c r="C4413">
        <v>12.75</v>
      </c>
      <c r="D4413">
        <v>12.8</v>
      </c>
      <c r="E4413">
        <v>19.899999999999999</v>
      </c>
      <c r="F4413" t="s">
        <v>9</v>
      </c>
      <c r="G44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13">
        <f>IF(Table1[[#This Row],[is_ups_overcharge]]="ups overcharged",Table1[[#This Row],[ups ship charge]]-Table1[[#This Row],[ada ship charge]],0)</f>
        <v>0</v>
      </c>
    </row>
    <row r="4414" spans="1:9" x14ac:dyDescent="0.2">
      <c r="A4414">
        <v>1060408</v>
      </c>
      <c r="B4414" t="s">
        <v>21</v>
      </c>
      <c r="C4414">
        <v>41.97</v>
      </c>
      <c r="D4414">
        <v>48.53</v>
      </c>
      <c r="E4414">
        <v>283.04000000000002</v>
      </c>
      <c r="F4414" t="s">
        <v>13</v>
      </c>
      <c r="G44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14">
        <f>IF(Table1[[#This Row],[is_ups_overcharge]]="ups overcharged",Table1[[#This Row],[ups ship charge]]-Table1[[#This Row],[ada ship charge]],0)</f>
        <v>0</v>
      </c>
    </row>
    <row r="4415" spans="1:9" x14ac:dyDescent="0.2">
      <c r="A4415">
        <v>1060497</v>
      </c>
      <c r="B4415" t="s">
        <v>21</v>
      </c>
      <c r="C4415">
        <v>12.75</v>
      </c>
      <c r="D4415">
        <v>12.8</v>
      </c>
      <c r="E4415">
        <v>6.9</v>
      </c>
      <c r="F4415" t="s">
        <v>9</v>
      </c>
      <c r="G44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15">
        <f>IF(Table1[[#This Row],[is_ups_overcharge]]="ups overcharged",Table1[[#This Row],[ups ship charge]]-Table1[[#This Row],[ada ship charge]],0)</f>
        <v>0</v>
      </c>
    </row>
    <row r="4416" spans="1:9" x14ac:dyDescent="0.2">
      <c r="A4416">
        <v>1060513</v>
      </c>
      <c r="B4416" t="s">
        <v>21</v>
      </c>
      <c r="C4416">
        <v>13.64</v>
      </c>
      <c r="D4416">
        <v>13.69</v>
      </c>
      <c r="E4416">
        <v>59.95</v>
      </c>
      <c r="F4416" t="s">
        <v>9</v>
      </c>
      <c r="G44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16">
        <f>IF(Table1[[#This Row],[is_ups_overcharge]]="ups overcharged",Table1[[#This Row],[ups ship charge]]-Table1[[#This Row],[ada ship charge]],0)</f>
        <v>0</v>
      </c>
    </row>
    <row r="4417" spans="1:9" x14ac:dyDescent="0.2">
      <c r="A4417">
        <v>1060523</v>
      </c>
      <c r="B4417" t="s">
        <v>21</v>
      </c>
      <c r="C4417">
        <v>13.64</v>
      </c>
      <c r="D4417">
        <v>13.69</v>
      </c>
      <c r="E4417">
        <v>8.9</v>
      </c>
      <c r="F4417" t="s">
        <v>9</v>
      </c>
      <c r="G44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17">
        <f>IF(Table1[[#This Row],[is_ups_overcharge]]="ups overcharged",Table1[[#This Row],[ups ship charge]]-Table1[[#This Row],[ada ship charge]],0)</f>
        <v>0</v>
      </c>
    </row>
    <row r="4418" spans="1:9" x14ac:dyDescent="0.2">
      <c r="A4418">
        <v>1060535</v>
      </c>
      <c r="B4418" t="s">
        <v>21</v>
      </c>
      <c r="C4418">
        <v>16.579999999999998</v>
      </c>
      <c r="D4418">
        <v>16.64</v>
      </c>
      <c r="E4418">
        <v>114.75</v>
      </c>
      <c r="F4418" t="s">
        <v>12</v>
      </c>
      <c r="G44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18">
        <f>IF(Table1[[#This Row],[is_ups_overcharge]]="ups overcharged",Table1[[#This Row],[ups ship charge]]-Table1[[#This Row],[ada ship charge]],0)</f>
        <v>0</v>
      </c>
    </row>
    <row r="4419" spans="1:9" x14ac:dyDescent="0.2">
      <c r="A4419">
        <v>1060539</v>
      </c>
      <c r="B4419" t="s">
        <v>21</v>
      </c>
      <c r="C4419">
        <v>9.65</v>
      </c>
      <c r="D4419">
        <v>12.8</v>
      </c>
      <c r="E4419">
        <v>60.8</v>
      </c>
      <c r="F4419" t="s">
        <v>6</v>
      </c>
      <c r="G44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19">
        <f>IF(Table1[[#This Row],[is_ups_overcharge]]="ups overcharged",Table1[[#This Row],[ups ship charge]]-Table1[[#This Row],[ada ship charge]],0)</f>
        <v>0</v>
      </c>
    </row>
    <row r="4420" spans="1:9" x14ac:dyDescent="0.2">
      <c r="A4420">
        <v>1060561</v>
      </c>
      <c r="B4420" t="s">
        <v>21</v>
      </c>
      <c r="C4420">
        <v>13.87</v>
      </c>
      <c r="D4420">
        <v>13.92</v>
      </c>
      <c r="E4420">
        <v>123.8</v>
      </c>
      <c r="F4420" t="s">
        <v>9</v>
      </c>
      <c r="G44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20">
        <f>IF(Table1[[#This Row],[is_ups_overcharge]]="ups overcharged",Table1[[#This Row],[ups ship charge]]-Table1[[#This Row],[ada ship charge]],0)</f>
        <v>0</v>
      </c>
    </row>
    <row r="4421" spans="1:9" x14ac:dyDescent="0.2">
      <c r="A4421">
        <v>1060564</v>
      </c>
      <c r="B4421" t="s">
        <v>21</v>
      </c>
      <c r="C4421">
        <v>9.65</v>
      </c>
      <c r="D4421">
        <v>9.7100000000000009</v>
      </c>
      <c r="E4421">
        <v>6.95</v>
      </c>
      <c r="F4421" t="s">
        <v>6</v>
      </c>
      <c r="G44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21">
        <f>IF(Table1[[#This Row],[is_ups_overcharge]]="ups overcharged",Table1[[#This Row],[ups ship charge]]-Table1[[#This Row],[ada ship charge]],0)</f>
        <v>0</v>
      </c>
    </row>
    <row r="4422" spans="1:9" x14ac:dyDescent="0.2">
      <c r="A4422">
        <v>1060572</v>
      </c>
      <c r="B4422" t="s">
        <v>21</v>
      </c>
      <c r="C4422">
        <v>13.64</v>
      </c>
      <c r="D4422">
        <v>13.69</v>
      </c>
      <c r="E4422">
        <v>52.9</v>
      </c>
      <c r="F4422" t="s">
        <v>9</v>
      </c>
      <c r="G44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22">
        <f>IF(Table1[[#This Row],[is_ups_overcharge]]="ups overcharged",Table1[[#This Row],[ups ship charge]]-Table1[[#This Row],[ada ship charge]],0)</f>
        <v>0</v>
      </c>
    </row>
    <row r="4423" spans="1:9" x14ac:dyDescent="0.2">
      <c r="A4423">
        <v>1060575</v>
      </c>
      <c r="B4423" t="s">
        <v>21</v>
      </c>
      <c r="C4423">
        <v>13.64</v>
      </c>
      <c r="D4423">
        <v>13.69</v>
      </c>
      <c r="E4423">
        <v>21.85</v>
      </c>
      <c r="F4423" t="s">
        <v>9</v>
      </c>
      <c r="G44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23">
        <f>IF(Table1[[#This Row],[is_ups_overcharge]]="ups overcharged",Table1[[#This Row],[ups ship charge]]-Table1[[#This Row],[ada ship charge]],0)</f>
        <v>0</v>
      </c>
    </row>
    <row r="4424" spans="1:9" x14ac:dyDescent="0.2">
      <c r="A4424">
        <v>1060582</v>
      </c>
      <c r="B4424" t="s">
        <v>21</v>
      </c>
      <c r="C4424">
        <v>13.64</v>
      </c>
      <c r="D4424">
        <v>13.69</v>
      </c>
      <c r="E4424">
        <v>49.9</v>
      </c>
      <c r="F4424" t="s">
        <v>9</v>
      </c>
      <c r="G44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24">
        <f>IF(Table1[[#This Row],[is_ups_overcharge]]="ups overcharged",Table1[[#This Row],[ups ship charge]]-Table1[[#This Row],[ada ship charge]],0)</f>
        <v>0</v>
      </c>
    </row>
    <row r="4425" spans="1:9" x14ac:dyDescent="0.2">
      <c r="A4425">
        <v>1060596</v>
      </c>
      <c r="B4425" t="s">
        <v>21</v>
      </c>
      <c r="C4425">
        <v>15.02</v>
      </c>
      <c r="D4425">
        <v>15.07</v>
      </c>
      <c r="E4425">
        <v>39.75</v>
      </c>
      <c r="F4425" t="s">
        <v>12</v>
      </c>
      <c r="G44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25">
        <f>IF(Table1[[#This Row],[is_ups_overcharge]]="ups overcharged",Table1[[#This Row],[ups ship charge]]-Table1[[#This Row],[ada ship charge]],0)</f>
        <v>0</v>
      </c>
    </row>
    <row r="4426" spans="1:9" x14ac:dyDescent="0.2">
      <c r="A4426">
        <v>1060605</v>
      </c>
      <c r="B4426" t="s">
        <v>21</v>
      </c>
      <c r="C4426">
        <v>16.34</v>
      </c>
      <c r="D4426">
        <v>18.27</v>
      </c>
      <c r="E4426">
        <v>119.8</v>
      </c>
      <c r="F4426" t="s">
        <v>10</v>
      </c>
      <c r="G44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26">
        <f>IF(Table1[[#This Row],[is_ups_overcharge]]="ups overcharged",Table1[[#This Row],[ups ship charge]]-Table1[[#This Row],[ada ship charge]],0)</f>
        <v>0</v>
      </c>
    </row>
    <row r="4427" spans="1:9" x14ac:dyDescent="0.2">
      <c r="A4427">
        <v>1060617</v>
      </c>
      <c r="B4427" t="s">
        <v>21</v>
      </c>
      <c r="C4427">
        <v>16.649999999999999</v>
      </c>
      <c r="D4427">
        <v>16.7</v>
      </c>
      <c r="E4427">
        <v>35.85</v>
      </c>
      <c r="F4427" t="s">
        <v>10</v>
      </c>
      <c r="G44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27">
        <f>IF(Table1[[#This Row],[is_ups_overcharge]]="ups overcharged",Table1[[#This Row],[ups ship charge]]-Table1[[#This Row],[ada ship charge]],0)</f>
        <v>0</v>
      </c>
    </row>
    <row r="4428" spans="1:9" x14ac:dyDescent="0.2">
      <c r="A4428">
        <v>1060620</v>
      </c>
      <c r="B4428" t="s">
        <v>21</v>
      </c>
      <c r="C4428">
        <v>12.75</v>
      </c>
      <c r="D4428">
        <v>12.8</v>
      </c>
      <c r="E4428">
        <v>11.8</v>
      </c>
      <c r="F4428" t="s">
        <v>9</v>
      </c>
      <c r="G44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28">
        <f>IF(Table1[[#This Row],[is_ups_overcharge]]="ups overcharged",Table1[[#This Row],[ups ship charge]]-Table1[[#This Row],[ada ship charge]],0)</f>
        <v>0</v>
      </c>
    </row>
    <row r="4429" spans="1:9" x14ac:dyDescent="0.2">
      <c r="A4429">
        <v>1060621</v>
      </c>
      <c r="B4429" t="s">
        <v>21</v>
      </c>
      <c r="C4429">
        <v>12.75</v>
      </c>
      <c r="D4429">
        <v>12.8</v>
      </c>
      <c r="E4429">
        <v>19.95</v>
      </c>
      <c r="F4429" t="s">
        <v>9</v>
      </c>
      <c r="G44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29">
        <f>IF(Table1[[#This Row],[is_ups_overcharge]]="ups overcharged",Table1[[#This Row],[ups ship charge]]-Table1[[#This Row],[ada ship charge]],0)</f>
        <v>0</v>
      </c>
    </row>
    <row r="4430" spans="1:9" x14ac:dyDescent="0.2">
      <c r="A4430">
        <v>1060646</v>
      </c>
      <c r="B4430" t="s">
        <v>21</v>
      </c>
      <c r="C4430">
        <v>13.64</v>
      </c>
      <c r="D4430">
        <v>13.69</v>
      </c>
      <c r="E4430">
        <v>39.950000000000003</v>
      </c>
      <c r="F4430" t="s">
        <v>9</v>
      </c>
      <c r="G44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30">
        <f>IF(Table1[[#This Row],[is_ups_overcharge]]="ups overcharged",Table1[[#This Row],[ups ship charge]]-Table1[[#This Row],[ada ship charge]],0)</f>
        <v>0</v>
      </c>
    </row>
    <row r="4431" spans="1:9" x14ac:dyDescent="0.2">
      <c r="A4431">
        <v>1060655</v>
      </c>
      <c r="B4431" t="s">
        <v>21</v>
      </c>
      <c r="C4431">
        <v>13.64</v>
      </c>
      <c r="D4431">
        <v>13.69</v>
      </c>
      <c r="E4431">
        <v>17.45</v>
      </c>
      <c r="F4431" t="s">
        <v>9</v>
      </c>
      <c r="G44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31">
        <f>IF(Table1[[#This Row],[is_ups_overcharge]]="ups overcharged",Table1[[#This Row],[ups ship charge]]-Table1[[#This Row],[ada ship charge]],0)</f>
        <v>0</v>
      </c>
    </row>
    <row r="4432" spans="1:9" x14ac:dyDescent="0.2">
      <c r="A4432">
        <v>1060682</v>
      </c>
      <c r="B4432" t="s">
        <v>21</v>
      </c>
      <c r="C4432">
        <v>12.75</v>
      </c>
      <c r="D4432">
        <v>12.8</v>
      </c>
      <c r="E4432">
        <v>89.9</v>
      </c>
      <c r="F4432" t="s">
        <v>9</v>
      </c>
      <c r="G44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32">
        <f>IF(Table1[[#This Row],[is_ups_overcharge]]="ups overcharged",Table1[[#This Row],[ups ship charge]]-Table1[[#This Row],[ada ship charge]],0)</f>
        <v>0</v>
      </c>
    </row>
    <row r="4433" spans="1:9" x14ac:dyDescent="0.2">
      <c r="A4433">
        <v>1060689</v>
      </c>
      <c r="B4433" t="s">
        <v>21</v>
      </c>
      <c r="C4433">
        <v>12.75</v>
      </c>
      <c r="D4433">
        <v>12.8</v>
      </c>
      <c r="E4433">
        <v>6.95</v>
      </c>
      <c r="F4433" t="s">
        <v>9</v>
      </c>
      <c r="G44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33">
        <f>IF(Table1[[#This Row],[is_ups_overcharge]]="ups overcharged",Table1[[#This Row],[ups ship charge]]-Table1[[#This Row],[ada ship charge]],0)</f>
        <v>0</v>
      </c>
    </row>
    <row r="4434" spans="1:9" x14ac:dyDescent="0.2">
      <c r="A4434">
        <v>1060694</v>
      </c>
      <c r="B4434" t="s">
        <v>21</v>
      </c>
      <c r="C4434">
        <v>12.75</v>
      </c>
      <c r="D4434">
        <v>12.8</v>
      </c>
      <c r="E4434">
        <v>30.85</v>
      </c>
      <c r="F4434" t="s">
        <v>9</v>
      </c>
      <c r="G44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34">
        <f>IF(Table1[[#This Row],[is_ups_overcharge]]="ups overcharged",Table1[[#This Row],[ups ship charge]]-Table1[[#This Row],[ada ship charge]],0)</f>
        <v>0</v>
      </c>
    </row>
    <row r="4435" spans="1:9" x14ac:dyDescent="0.2">
      <c r="A4435">
        <v>1060801</v>
      </c>
      <c r="B4435" t="s">
        <v>21</v>
      </c>
      <c r="C4435">
        <v>12.75</v>
      </c>
      <c r="D4435">
        <v>12.8</v>
      </c>
      <c r="E4435">
        <v>6</v>
      </c>
      <c r="F4435" t="s">
        <v>9</v>
      </c>
      <c r="G44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35">
        <f>IF(Table1[[#This Row],[is_ups_overcharge]]="ups overcharged",Table1[[#This Row],[ups ship charge]]-Table1[[#This Row],[ada ship charge]],0)</f>
        <v>0</v>
      </c>
    </row>
    <row r="4436" spans="1:9" x14ac:dyDescent="0.2">
      <c r="A4436">
        <v>1060829</v>
      </c>
      <c r="B4436" t="s">
        <v>21</v>
      </c>
      <c r="C4436">
        <v>13.64</v>
      </c>
      <c r="D4436">
        <v>13.69</v>
      </c>
      <c r="E4436">
        <v>39.950000000000003</v>
      </c>
      <c r="F4436" t="s">
        <v>9</v>
      </c>
      <c r="G44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36">
        <f>IF(Table1[[#This Row],[is_ups_overcharge]]="ups overcharged",Table1[[#This Row],[ups ship charge]]-Table1[[#This Row],[ada ship charge]],0)</f>
        <v>0</v>
      </c>
    </row>
    <row r="4437" spans="1:9" x14ac:dyDescent="0.2">
      <c r="A4437">
        <v>1060885</v>
      </c>
      <c r="B4437" t="s">
        <v>21</v>
      </c>
      <c r="C4437">
        <v>15.02</v>
      </c>
      <c r="D4437">
        <v>16.63</v>
      </c>
      <c r="E4437">
        <v>119.9</v>
      </c>
      <c r="F4437" t="s">
        <v>12</v>
      </c>
      <c r="G44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37">
        <f>IF(Table1[[#This Row],[is_ups_overcharge]]="ups overcharged",Table1[[#This Row],[ups ship charge]]-Table1[[#This Row],[ada ship charge]],0)</f>
        <v>0</v>
      </c>
    </row>
    <row r="4438" spans="1:9" x14ac:dyDescent="0.2">
      <c r="A4438">
        <v>1060890</v>
      </c>
      <c r="B4438" t="s">
        <v>21</v>
      </c>
      <c r="C4438">
        <v>15.02</v>
      </c>
      <c r="D4438">
        <v>15.07</v>
      </c>
      <c r="E4438">
        <v>77.2</v>
      </c>
      <c r="F4438" t="s">
        <v>12</v>
      </c>
      <c r="G44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38">
        <f>IF(Table1[[#This Row],[is_ups_overcharge]]="ups overcharged",Table1[[#This Row],[ups ship charge]]-Table1[[#This Row],[ada ship charge]],0)</f>
        <v>0</v>
      </c>
    </row>
    <row r="4439" spans="1:9" x14ac:dyDescent="0.2">
      <c r="A4439">
        <v>1060897</v>
      </c>
      <c r="B4439" t="s">
        <v>21</v>
      </c>
      <c r="C4439">
        <v>15.33</v>
      </c>
      <c r="D4439">
        <v>15.38</v>
      </c>
      <c r="E4439">
        <v>4.95</v>
      </c>
      <c r="F4439" t="s">
        <v>12</v>
      </c>
      <c r="G44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39">
        <f>IF(Table1[[#This Row],[is_ups_overcharge]]="ups overcharged",Table1[[#This Row],[ups ship charge]]-Table1[[#This Row],[ada ship charge]],0)</f>
        <v>0</v>
      </c>
    </row>
    <row r="4440" spans="1:9" x14ac:dyDescent="0.2">
      <c r="A4440">
        <v>1060917</v>
      </c>
      <c r="B4440" t="s">
        <v>21</v>
      </c>
      <c r="C4440">
        <v>13.64</v>
      </c>
      <c r="D4440">
        <v>13.69</v>
      </c>
      <c r="E4440">
        <v>92.55</v>
      </c>
      <c r="F4440" t="s">
        <v>9</v>
      </c>
      <c r="G44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40">
        <f>IF(Table1[[#This Row],[is_ups_overcharge]]="ups overcharged",Table1[[#This Row],[ups ship charge]]-Table1[[#This Row],[ada ship charge]],0)</f>
        <v>0</v>
      </c>
    </row>
    <row r="4441" spans="1:9" x14ac:dyDescent="0.2">
      <c r="A4441">
        <v>1060921</v>
      </c>
      <c r="B4441" t="s">
        <v>21</v>
      </c>
      <c r="C4441">
        <v>12.75</v>
      </c>
      <c r="D4441">
        <v>12.8</v>
      </c>
      <c r="E4441">
        <v>25</v>
      </c>
      <c r="F4441" t="s">
        <v>9</v>
      </c>
      <c r="G44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41">
        <f>IF(Table1[[#This Row],[is_ups_overcharge]]="ups overcharged",Table1[[#This Row],[ups ship charge]]-Table1[[#This Row],[ada ship charge]],0)</f>
        <v>0</v>
      </c>
    </row>
    <row r="4442" spans="1:9" x14ac:dyDescent="0.2">
      <c r="A4442">
        <v>1060935</v>
      </c>
      <c r="B4442" t="s">
        <v>21</v>
      </c>
      <c r="C4442">
        <v>16.440000000000001</v>
      </c>
      <c r="D4442">
        <v>16.489999999999998</v>
      </c>
      <c r="E4442">
        <v>39.950000000000003</v>
      </c>
      <c r="F4442" t="s">
        <v>10</v>
      </c>
      <c r="G44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42">
        <f>IF(Table1[[#This Row],[is_ups_overcharge]]="ups overcharged",Table1[[#This Row],[ups ship charge]]-Table1[[#This Row],[ada ship charge]],0)</f>
        <v>0</v>
      </c>
    </row>
    <row r="4443" spans="1:9" x14ac:dyDescent="0.2">
      <c r="A4443">
        <v>1060939</v>
      </c>
      <c r="B4443" t="s">
        <v>21</v>
      </c>
      <c r="C4443">
        <v>12.75</v>
      </c>
      <c r="D4443">
        <v>12.8</v>
      </c>
      <c r="E4443">
        <v>24.9</v>
      </c>
      <c r="F4443" t="s">
        <v>9</v>
      </c>
      <c r="G44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43">
        <f>IF(Table1[[#This Row],[is_ups_overcharge]]="ups overcharged",Table1[[#This Row],[ups ship charge]]-Table1[[#This Row],[ada ship charge]],0)</f>
        <v>0</v>
      </c>
    </row>
    <row r="4444" spans="1:9" x14ac:dyDescent="0.2">
      <c r="A4444">
        <v>1060959</v>
      </c>
      <c r="B4444" t="s">
        <v>21</v>
      </c>
      <c r="C4444">
        <v>13.64</v>
      </c>
      <c r="D4444">
        <v>13.68</v>
      </c>
      <c r="E4444">
        <v>104.9</v>
      </c>
      <c r="F4444" t="s">
        <v>9</v>
      </c>
      <c r="G44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44">
        <f>IF(Table1[[#This Row],[is_ups_overcharge]]="ups overcharged",Table1[[#This Row],[ups ship charge]]-Table1[[#This Row],[ada ship charge]],0)</f>
        <v>0</v>
      </c>
    </row>
    <row r="4445" spans="1:9" x14ac:dyDescent="0.2">
      <c r="A4445">
        <v>1061013</v>
      </c>
      <c r="B4445" t="s">
        <v>21</v>
      </c>
      <c r="C4445">
        <v>12.75</v>
      </c>
      <c r="D4445">
        <v>12.8</v>
      </c>
      <c r="E4445">
        <v>44.9</v>
      </c>
      <c r="F4445" t="s">
        <v>9</v>
      </c>
      <c r="G44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45">
        <f>IF(Table1[[#This Row],[is_ups_overcharge]]="ups overcharged",Table1[[#This Row],[ups ship charge]]-Table1[[#This Row],[ada ship charge]],0)</f>
        <v>0</v>
      </c>
    </row>
    <row r="4446" spans="1:9" x14ac:dyDescent="0.2">
      <c r="A4446">
        <v>1061016</v>
      </c>
      <c r="B4446" t="s">
        <v>21</v>
      </c>
      <c r="C4446">
        <v>16.440000000000001</v>
      </c>
      <c r="D4446">
        <v>18.329999999999998</v>
      </c>
      <c r="E4446">
        <v>98.65</v>
      </c>
      <c r="F4446" t="s">
        <v>10</v>
      </c>
      <c r="G44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46">
        <f>IF(Table1[[#This Row],[is_ups_overcharge]]="ups overcharged",Table1[[#This Row],[ups ship charge]]-Table1[[#This Row],[ada ship charge]],0)</f>
        <v>0</v>
      </c>
    </row>
    <row r="4447" spans="1:9" x14ac:dyDescent="0.2">
      <c r="A4447">
        <v>1061022</v>
      </c>
      <c r="B4447" t="s">
        <v>21</v>
      </c>
      <c r="C4447">
        <v>13.64</v>
      </c>
      <c r="D4447">
        <v>13.69</v>
      </c>
      <c r="E4447">
        <v>9.9499999999999993</v>
      </c>
      <c r="F4447" t="s">
        <v>9</v>
      </c>
      <c r="G44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47">
        <f>IF(Table1[[#This Row],[is_ups_overcharge]]="ups overcharged",Table1[[#This Row],[ups ship charge]]-Table1[[#This Row],[ada ship charge]],0)</f>
        <v>0</v>
      </c>
    </row>
    <row r="4448" spans="1:9" x14ac:dyDescent="0.2">
      <c r="A4448">
        <v>1061034</v>
      </c>
      <c r="B4448" t="s">
        <v>21</v>
      </c>
      <c r="C4448">
        <v>21.84</v>
      </c>
      <c r="D4448">
        <v>21.88</v>
      </c>
      <c r="E4448">
        <v>344.71</v>
      </c>
      <c r="F4448" t="s">
        <v>15</v>
      </c>
      <c r="G44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48">
        <f>IF(Table1[[#This Row],[is_ups_overcharge]]="ups overcharged",Table1[[#This Row],[ups ship charge]]-Table1[[#This Row],[ada ship charge]],0)</f>
        <v>0</v>
      </c>
    </row>
    <row r="4449" spans="1:9" x14ac:dyDescent="0.2">
      <c r="A4449">
        <v>1061044</v>
      </c>
      <c r="B4449" t="s">
        <v>21</v>
      </c>
      <c r="C4449">
        <v>18.02</v>
      </c>
      <c r="D4449">
        <v>18.07</v>
      </c>
      <c r="E4449">
        <v>22.9</v>
      </c>
      <c r="F4449" t="s">
        <v>15</v>
      </c>
      <c r="G44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49">
        <f>IF(Table1[[#This Row],[is_ups_overcharge]]="ups overcharged",Table1[[#This Row],[ups ship charge]]-Table1[[#This Row],[ada ship charge]],0)</f>
        <v>0</v>
      </c>
    </row>
    <row r="4450" spans="1:9" x14ac:dyDescent="0.2">
      <c r="A4450">
        <v>1061063</v>
      </c>
      <c r="B4450" t="s">
        <v>21</v>
      </c>
      <c r="C4450">
        <v>13.64</v>
      </c>
      <c r="D4450">
        <v>13.69</v>
      </c>
      <c r="E4450">
        <v>15</v>
      </c>
      <c r="F4450" t="s">
        <v>9</v>
      </c>
      <c r="G44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50">
        <f>IF(Table1[[#This Row],[is_ups_overcharge]]="ups overcharged",Table1[[#This Row],[ups ship charge]]-Table1[[#This Row],[ada ship charge]],0)</f>
        <v>0</v>
      </c>
    </row>
    <row r="4451" spans="1:9" x14ac:dyDescent="0.2">
      <c r="A4451">
        <v>1061074</v>
      </c>
      <c r="B4451" t="s">
        <v>21</v>
      </c>
      <c r="C4451">
        <v>15.02</v>
      </c>
      <c r="D4451">
        <v>17.690000000000001</v>
      </c>
      <c r="E4451">
        <v>144.88</v>
      </c>
      <c r="F4451" t="s">
        <v>12</v>
      </c>
      <c r="G44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51">
        <f>IF(Table1[[#This Row],[is_ups_overcharge]]="ups overcharged",Table1[[#This Row],[ups ship charge]]-Table1[[#This Row],[ada ship charge]],0)</f>
        <v>0</v>
      </c>
    </row>
    <row r="4452" spans="1:9" x14ac:dyDescent="0.2">
      <c r="A4452">
        <v>1061142</v>
      </c>
      <c r="B4452" t="s">
        <v>21</v>
      </c>
      <c r="C4452">
        <v>13.64</v>
      </c>
      <c r="D4452">
        <v>13.69</v>
      </c>
      <c r="E4452">
        <v>67.900000000000006</v>
      </c>
      <c r="F4452" t="s">
        <v>9</v>
      </c>
      <c r="G44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52">
        <f>IF(Table1[[#This Row],[is_ups_overcharge]]="ups overcharged",Table1[[#This Row],[ups ship charge]]-Table1[[#This Row],[ada ship charge]],0)</f>
        <v>0</v>
      </c>
    </row>
    <row r="4453" spans="1:9" x14ac:dyDescent="0.2">
      <c r="A4453">
        <v>1061171</v>
      </c>
      <c r="B4453" t="s">
        <v>21</v>
      </c>
      <c r="C4453">
        <v>24.35</v>
      </c>
      <c r="D4453">
        <v>24.4</v>
      </c>
      <c r="E4453">
        <v>74.900000000000006</v>
      </c>
      <c r="F4453" t="s">
        <v>15</v>
      </c>
      <c r="G44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53">
        <f>IF(Table1[[#This Row],[is_ups_overcharge]]="ups overcharged",Table1[[#This Row],[ups ship charge]]-Table1[[#This Row],[ada ship charge]],0)</f>
        <v>0</v>
      </c>
    </row>
    <row r="4454" spans="1:9" x14ac:dyDescent="0.2">
      <c r="A4454">
        <v>1061184</v>
      </c>
      <c r="B4454" t="s">
        <v>21</v>
      </c>
      <c r="C4454">
        <v>16.649999999999999</v>
      </c>
      <c r="D4454">
        <v>16.7</v>
      </c>
      <c r="E4454">
        <v>68.95</v>
      </c>
      <c r="F4454" t="s">
        <v>10</v>
      </c>
      <c r="G44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54">
        <f>IF(Table1[[#This Row],[is_ups_overcharge]]="ups overcharged",Table1[[#This Row],[ups ship charge]]-Table1[[#This Row],[ada ship charge]],0)</f>
        <v>0</v>
      </c>
    </row>
    <row r="4455" spans="1:9" x14ac:dyDescent="0.2">
      <c r="A4455">
        <v>1061206</v>
      </c>
      <c r="B4455" t="s">
        <v>21</v>
      </c>
      <c r="C4455">
        <v>16.649999999999999</v>
      </c>
      <c r="D4455">
        <v>16.7</v>
      </c>
      <c r="E4455">
        <v>67.900000000000006</v>
      </c>
      <c r="F4455" t="s">
        <v>10</v>
      </c>
      <c r="G44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55">
        <f>IF(Table1[[#This Row],[is_ups_overcharge]]="ups overcharged",Table1[[#This Row],[ups ship charge]]-Table1[[#This Row],[ada ship charge]],0)</f>
        <v>0</v>
      </c>
    </row>
    <row r="4456" spans="1:9" x14ac:dyDescent="0.2">
      <c r="A4456">
        <v>1061215</v>
      </c>
      <c r="B4456" t="s">
        <v>21</v>
      </c>
      <c r="C4456">
        <v>9.66</v>
      </c>
      <c r="D4456">
        <v>12.8</v>
      </c>
      <c r="E4456">
        <v>8.85</v>
      </c>
      <c r="F4456" t="s">
        <v>6</v>
      </c>
      <c r="G44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56">
        <f>IF(Table1[[#This Row],[is_ups_overcharge]]="ups overcharged",Table1[[#This Row],[ups ship charge]]-Table1[[#This Row],[ada ship charge]],0)</f>
        <v>0</v>
      </c>
    </row>
    <row r="4457" spans="1:9" x14ac:dyDescent="0.2">
      <c r="A4457">
        <v>1061217</v>
      </c>
      <c r="B4457" t="s">
        <v>21</v>
      </c>
      <c r="C4457">
        <v>13.63</v>
      </c>
      <c r="D4457">
        <v>15.1</v>
      </c>
      <c r="E4457">
        <v>99.95</v>
      </c>
      <c r="F4457" t="s">
        <v>9</v>
      </c>
      <c r="G44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57">
        <f>IF(Table1[[#This Row],[is_ups_overcharge]]="ups overcharged",Table1[[#This Row],[ups ship charge]]-Table1[[#This Row],[ada ship charge]],0)</f>
        <v>0</v>
      </c>
    </row>
    <row r="4458" spans="1:9" x14ac:dyDescent="0.2">
      <c r="A4458">
        <v>1061223</v>
      </c>
      <c r="B4458" t="s">
        <v>21</v>
      </c>
      <c r="C4458">
        <v>13.64</v>
      </c>
      <c r="D4458">
        <v>13.69</v>
      </c>
      <c r="E4458">
        <v>79.95</v>
      </c>
      <c r="F4458" t="s">
        <v>9</v>
      </c>
      <c r="G44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58">
        <f>IF(Table1[[#This Row],[is_ups_overcharge]]="ups overcharged",Table1[[#This Row],[ups ship charge]]-Table1[[#This Row],[ada ship charge]],0)</f>
        <v>0</v>
      </c>
    </row>
    <row r="4459" spans="1:9" x14ac:dyDescent="0.2">
      <c r="A4459">
        <v>1061225</v>
      </c>
      <c r="B4459" t="s">
        <v>21</v>
      </c>
      <c r="C4459">
        <v>22.53</v>
      </c>
      <c r="D4459">
        <v>23.29</v>
      </c>
      <c r="E4459">
        <v>97.45</v>
      </c>
      <c r="F4459" t="s">
        <v>16</v>
      </c>
      <c r="G44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59">
        <f>IF(Table1[[#This Row],[is_ups_overcharge]]="ups overcharged",Table1[[#This Row],[ups ship charge]]-Table1[[#This Row],[ada ship charge]],0)</f>
        <v>0</v>
      </c>
    </row>
    <row r="4460" spans="1:9" x14ac:dyDescent="0.2">
      <c r="A4460">
        <v>1061252</v>
      </c>
      <c r="B4460" t="s">
        <v>21</v>
      </c>
      <c r="C4460">
        <v>13.64</v>
      </c>
      <c r="D4460">
        <v>13.69</v>
      </c>
      <c r="E4460">
        <v>71.7</v>
      </c>
      <c r="F4460" t="s">
        <v>9</v>
      </c>
      <c r="G44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60">
        <f>IF(Table1[[#This Row],[is_ups_overcharge]]="ups overcharged",Table1[[#This Row],[ups ship charge]]-Table1[[#This Row],[ada ship charge]],0)</f>
        <v>0</v>
      </c>
    </row>
    <row r="4461" spans="1:9" x14ac:dyDescent="0.2">
      <c r="A4461">
        <v>1061264</v>
      </c>
      <c r="B4461" t="s">
        <v>21</v>
      </c>
      <c r="C4461">
        <v>13.64</v>
      </c>
      <c r="D4461">
        <v>13.69</v>
      </c>
      <c r="E4461">
        <v>67.8</v>
      </c>
      <c r="F4461" t="s">
        <v>9</v>
      </c>
      <c r="G44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61">
        <f>IF(Table1[[#This Row],[is_ups_overcharge]]="ups overcharged",Table1[[#This Row],[ups ship charge]]-Table1[[#This Row],[ada ship charge]],0)</f>
        <v>0</v>
      </c>
    </row>
    <row r="4462" spans="1:9" x14ac:dyDescent="0.2">
      <c r="A4462">
        <v>1061287</v>
      </c>
      <c r="B4462" t="s">
        <v>21</v>
      </c>
      <c r="C4462">
        <v>9.66</v>
      </c>
      <c r="D4462">
        <v>9.7100000000000009</v>
      </c>
      <c r="E4462">
        <v>14.9</v>
      </c>
      <c r="F4462" t="s">
        <v>6</v>
      </c>
      <c r="G44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62">
        <f>IF(Table1[[#This Row],[is_ups_overcharge]]="ups overcharged",Table1[[#This Row],[ups ship charge]]-Table1[[#This Row],[ada ship charge]],0)</f>
        <v>0</v>
      </c>
    </row>
    <row r="4463" spans="1:9" x14ac:dyDescent="0.2">
      <c r="A4463">
        <v>1061296</v>
      </c>
      <c r="B4463" t="s">
        <v>21</v>
      </c>
      <c r="C4463">
        <v>16.34</v>
      </c>
      <c r="D4463">
        <v>16.77</v>
      </c>
      <c r="E4463">
        <v>26.9</v>
      </c>
      <c r="F4463" t="s">
        <v>10</v>
      </c>
      <c r="G44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63">
        <f>IF(Table1[[#This Row],[is_ups_overcharge]]="ups overcharged",Table1[[#This Row],[ups ship charge]]-Table1[[#This Row],[ada ship charge]],0)</f>
        <v>0</v>
      </c>
    </row>
    <row r="4464" spans="1:9" x14ac:dyDescent="0.2">
      <c r="A4464">
        <v>1061309</v>
      </c>
      <c r="B4464" t="s">
        <v>21</v>
      </c>
      <c r="C4464">
        <v>57.53</v>
      </c>
      <c r="D4464">
        <v>57.58</v>
      </c>
      <c r="E4464">
        <v>303.89999999999998</v>
      </c>
      <c r="F4464" t="s">
        <v>11</v>
      </c>
      <c r="G44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64">
        <f>IF(Table1[[#This Row],[is_ups_overcharge]]="ups overcharged",Table1[[#This Row],[ups ship charge]]-Table1[[#This Row],[ada ship charge]],0)</f>
        <v>0</v>
      </c>
    </row>
    <row r="4465" spans="1:9" x14ac:dyDescent="0.2">
      <c r="A4465">
        <v>1061323</v>
      </c>
      <c r="B4465" t="s">
        <v>21</v>
      </c>
      <c r="C4465">
        <v>12.75</v>
      </c>
      <c r="D4465">
        <v>12.8</v>
      </c>
      <c r="E4465">
        <v>66.849999999999994</v>
      </c>
      <c r="F4465" t="s">
        <v>9</v>
      </c>
      <c r="G44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65">
        <f>IF(Table1[[#This Row],[is_ups_overcharge]]="ups overcharged",Table1[[#This Row],[ups ship charge]]-Table1[[#This Row],[ada ship charge]],0)</f>
        <v>0</v>
      </c>
    </row>
    <row r="4466" spans="1:9" x14ac:dyDescent="0.2">
      <c r="A4466">
        <v>1061331</v>
      </c>
      <c r="B4466" t="s">
        <v>21</v>
      </c>
      <c r="C4466">
        <v>12.26</v>
      </c>
      <c r="D4466">
        <v>16.7</v>
      </c>
      <c r="E4466">
        <v>23.85</v>
      </c>
      <c r="F4466" t="s">
        <v>13</v>
      </c>
      <c r="G44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66">
        <f>IF(Table1[[#This Row],[is_ups_overcharge]]="ups overcharged",Table1[[#This Row],[ups ship charge]]-Table1[[#This Row],[ada ship charge]],0)</f>
        <v>0</v>
      </c>
    </row>
    <row r="4467" spans="1:9" x14ac:dyDescent="0.2">
      <c r="A4467">
        <v>1061343</v>
      </c>
      <c r="B4467" t="s">
        <v>21</v>
      </c>
      <c r="C4467">
        <v>13.64</v>
      </c>
      <c r="D4467">
        <v>13.69</v>
      </c>
      <c r="E4467">
        <v>14.65</v>
      </c>
      <c r="F4467" t="s">
        <v>9</v>
      </c>
      <c r="G44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67">
        <f>IF(Table1[[#This Row],[is_ups_overcharge]]="ups overcharged",Table1[[#This Row],[ups ship charge]]-Table1[[#This Row],[ada ship charge]],0)</f>
        <v>0</v>
      </c>
    </row>
    <row r="4468" spans="1:9" x14ac:dyDescent="0.2">
      <c r="A4468">
        <v>1061367</v>
      </c>
      <c r="B4468" t="s">
        <v>21</v>
      </c>
      <c r="C4468">
        <v>12.75</v>
      </c>
      <c r="D4468">
        <v>12.8</v>
      </c>
      <c r="E4468">
        <v>9.9499999999999993</v>
      </c>
      <c r="F4468" t="s">
        <v>9</v>
      </c>
      <c r="G44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68">
        <f>IF(Table1[[#This Row],[is_ups_overcharge]]="ups overcharged",Table1[[#This Row],[ups ship charge]]-Table1[[#This Row],[ada ship charge]],0)</f>
        <v>0</v>
      </c>
    </row>
    <row r="4469" spans="1:9" x14ac:dyDescent="0.2">
      <c r="A4469">
        <v>1061387</v>
      </c>
      <c r="B4469" t="s">
        <v>21</v>
      </c>
      <c r="C4469">
        <v>12.75</v>
      </c>
      <c r="D4469">
        <v>12.8</v>
      </c>
      <c r="E4469">
        <v>25.9</v>
      </c>
      <c r="F4469" t="s">
        <v>9</v>
      </c>
      <c r="G44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69">
        <f>IF(Table1[[#This Row],[is_ups_overcharge]]="ups overcharged",Table1[[#This Row],[ups ship charge]]-Table1[[#This Row],[ada ship charge]],0)</f>
        <v>0</v>
      </c>
    </row>
    <row r="4470" spans="1:9" x14ac:dyDescent="0.2">
      <c r="A4470">
        <v>1061390</v>
      </c>
      <c r="B4470" t="s">
        <v>21</v>
      </c>
      <c r="C4470">
        <v>12.75</v>
      </c>
      <c r="D4470">
        <v>12.8</v>
      </c>
      <c r="E4470">
        <v>40.799999999999997</v>
      </c>
      <c r="F4470" t="s">
        <v>9</v>
      </c>
      <c r="G44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70">
        <f>IF(Table1[[#This Row],[is_ups_overcharge]]="ups overcharged",Table1[[#This Row],[ups ship charge]]-Table1[[#This Row],[ada ship charge]],0)</f>
        <v>0</v>
      </c>
    </row>
    <row r="4471" spans="1:9" x14ac:dyDescent="0.2">
      <c r="A4471">
        <v>1061397</v>
      </c>
      <c r="B4471" t="s">
        <v>21</v>
      </c>
      <c r="C4471">
        <v>15.04</v>
      </c>
      <c r="D4471">
        <v>17.41</v>
      </c>
      <c r="E4471">
        <v>28.85</v>
      </c>
      <c r="F4471" t="s">
        <v>12</v>
      </c>
      <c r="G44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71">
        <f>IF(Table1[[#This Row],[is_ups_overcharge]]="ups overcharged",Table1[[#This Row],[ups ship charge]]-Table1[[#This Row],[ada ship charge]],0)</f>
        <v>0</v>
      </c>
    </row>
    <row r="4472" spans="1:9" x14ac:dyDescent="0.2">
      <c r="A4472">
        <v>1061423</v>
      </c>
      <c r="B4472" t="s">
        <v>21</v>
      </c>
      <c r="C4472">
        <v>12.75</v>
      </c>
      <c r="D4472">
        <v>12.8</v>
      </c>
      <c r="E4472">
        <v>44.5</v>
      </c>
      <c r="F4472" t="s">
        <v>9</v>
      </c>
      <c r="G44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72">
        <f>IF(Table1[[#This Row],[is_ups_overcharge]]="ups overcharged",Table1[[#This Row],[ups ship charge]]-Table1[[#This Row],[ada ship charge]],0)</f>
        <v>0</v>
      </c>
    </row>
    <row r="4473" spans="1:9" x14ac:dyDescent="0.2">
      <c r="A4473">
        <v>1061429</v>
      </c>
      <c r="B4473" t="s">
        <v>21</v>
      </c>
      <c r="C4473">
        <v>9.65</v>
      </c>
      <c r="D4473">
        <v>0</v>
      </c>
      <c r="E4473">
        <v>36</v>
      </c>
      <c r="F4473" t="s">
        <v>6</v>
      </c>
      <c r="G44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73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4473">
        <f>IF(Table1[[#This Row],[is_ups_overcharge]]="ups overcharged",Table1[[#This Row],[ups ship charge]]-Table1[[#This Row],[ada ship charge]],0)</f>
        <v>9.65</v>
      </c>
    </row>
    <row r="4474" spans="1:9" x14ac:dyDescent="0.2">
      <c r="A4474">
        <v>1061434</v>
      </c>
      <c r="B4474" t="s">
        <v>21</v>
      </c>
      <c r="C4474">
        <v>15.33</v>
      </c>
      <c r="D4474">
        <v>15.43</v>
      </c>
      <c r="E4474">
        <v>107.85</v>
      </c>
      <c r="F4474" t="s">
        <v>12</v>
      </c>
      <c r="G44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74">
        <f>IF(Table1[[#This Row],[is_ups_overcharge]]="ups overcharged",Table1[[#This Row],[ups ship charge]]-Table1[[#This Row],[ada ship charge]],0)</f>
        <v>0</v>
      </c>
    </row>
    <row r="4475" spans="1:9" x14ac:dyDescent="0.2">
      <c r="A4475">
        <v>1061446</v>
      </c>
      <c r="B4475" t="s">
        <v>21</v>
      </c>
      <c r="C4475">
        <v>12.75</v>
      </c>
      <c r="D4475">
        <v>12.8</v>
      </c>
      <c r="E4475">
        <v>80</v>
      </c>
      <c r="F4475" t="s">
        <v>9</v>
      </c>
      <c r="G44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75">
        <f>IF(Table1[[#This Row],[is_ups_overcharge]]="ups overcharged",Table1[[#This Row],[ups ship charge]]-Table1[[#This Row],[ada ship charge]],0)</f>
        <v>0</v>
      </c>
    </row>
    <row r="4476" spans="1:9" x14ac:dyDescent="0.2">
      <c r="A4476">
        <v>1061448</v>
      </c>
      <c r="B4476" t="s">
        <v>21</v>
      </c>
      <c r="C4476">
        <v>10.6</v>
      </c>
      <c r="D4476">
        <v>10.33</v>
      </c>
      <c r="E4476">
        <v>182.2</v>
      </c>
      <c r="F4476" t="s">
        <v>6</v>
      </c>
      <c r="G44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76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4476">
        <f>IF(Table1[[#This Row],[is_ups_overcharge]]="ups overcharged",Table1[[#This Row],[ups ship charge]]-Table1[[#This Row],[ada ship charge]],0)</f>
        <v>0.26999999999999957</v>
      </c>
    </row>
    <row r="4477" spans="1:9" x14ac:dyDescent="0.2">
      <c r="A4477">
        <v>1061454</v>
      </c>
      <c r="B4477" t="s">
        <v>21</v>
      </c>
      <c r="C4477">
        <v>9.66</v>
      </c>
      <c r="D4477">
        <v>9.7100000000000009</v>
      </c>
      <c r="E4477">
        <v>21.12</v>
      </c>
      <c r="F4477" t="s">
        <v>6</v>
      </c>
      <c r="G44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77">
        <f>IF(Table1[[#This Row],[is_ups_overcharge]]="ups overcharged",Table1[[#This Row],[ups ship charge]]-Table1[[#This Row],[ada ship charge]],0)</f>
        <v>0</v>
      </c>
    </row>
    <row r="4478" spans="1:9" x14ac:dyDescent="0.2">
      <c r="A4478">
        <v>1061458</v>
      </c>
      <c r="B4478" t="s">
        <v>21</v>
      </c>
      <c r="C4478">
        <v>12.75</v>
      </c>
      <c r="D4478">
        <v>13.25</v>
      </c>
      <c r="E4478">
        <v>62.7</v>
      </c>
      <c r="F4478" t="s">
        <v>9</v>
      </c>
      <c r="G44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78">
        <f>IF(Table1[[#This Row],[is_ups_overcharge]]="ups overcharged",Table1[[#This Row],[ups ship charge]]-Table1[[#This Row],[ada ship charge]],0)</f>
        <v>0</v>
      </c>
    </row>
    <row r="4479" spans="1:9" x14ac:dyDescent="0.2">
      <c r="A4479">
        <v>1061462</v>
      </c>
      <c r="B4479" t="s">
        <v>21</v>
      </c>
      <c r="C4479">
        <v>13.64</v>
      </c>
      <c r="D4479">
        <v>13.69</v>
      </c>
      <c r="E4479">
        <v>40.9</v>
      </c>
      <c r="F4479" t="s">
        <v>9</v>
      </c>
      <c r="G44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79">
        <f>IF(Table1[[#This Row],[is_ups_overcharge]]="ups overcharged",Table1[[#This Row],[ups ship charge]]-Table1[[#This Row],[ada ship charge]],0)</f>
        <v>0</v>
      </c>
    </row>
    <row r="4480" spans="1:9" x14ac:dyDescent="0.2">
      <c r="A4480">
        <v>1061464</v>
      </c>
      <c r="B4480" t="s">
        <v>21</v>
      </c>
      <c r="C4480">
        <v>15.33</v>
      </c>
      <c r="D4480">
        <v>15.38</v>
      </c>
      <c r="E4480">
        <v>31.9</v>
      </c>
      <c r="F4480" t="s">
        <v>12</v>
      </c>
      <c r="G44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80">
        <f>IF(Table1[[#This Row],[is_ups_overcharge]]="ups overcharged",Table1[[#This Row],[ups ship charge]]-Table1[[#This Row],[ada ship charge]],0)</f>
        <v>0</v>
      </c>
    </row>
    <row r="4481" spans="1:9" x14ac:dyDescent="0.2">
      <c r="A4481">
        <v>1061467</v>
      </c>
      <c r="B4481" t="s">
        <v>21</v>
      </c>
      <c r="C4481">
        <v>12.75</v>
      </c>
      <c r="D4481">
        <v>12.8</v>
      </c>
      <c r="E4481">
        <v>15.9</v>
      </c>
      <c r="F4481" t="s">
        <v>9</v>
      </c>
      <c r="G44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81">
        <f>IF(Table1[[#This Row],[is_ups_overcharge]]="ups overcharged",Table1[[#This Row],[ups ship charge]]-Table1[[#This Row],[ada ship charge]],0)</f>
        <v>0</v>
      </c>
    </row>
    <row r="4482" spans="1:9" x14ac:dyDescent="0.2">
      <c r="A4482">
        <v>1061469</v>
      </c>
      <c r="B4482" t="s">
        <v>21</v>
      </c>
      <c r="C4482">
        <v>12.75</v>
      </c>
      <c r="D4482">
        <v>12.8</v>
      </c>
      <c r="E4482">
        <v>17.850000000000001</v>
      </c>
      <c r="F4482" t="s">
        <v>9</v>
      </c>
      <c r="G44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82">
        <f>IF(Table1[[#This Row],[is_ups_overcharge]]="ups overcharged",Table1[[#This Row],[ups ship charge]]-Table1[[#This Row],[ada ship charge]],0)</f>
        <v>0</v>
      </c>
    </row>
    <row r="4483" spans="1:9" x14ac:dyDescent="0.2">
      <c r="A4483">
        <v>1061483</v>
      </c>
      <c r="B4483" t="s">
        <v>21</v>
      </c>
      <c r="C4483">
        <v>9.65</v>
      </c>
      <c r="D4483">
        <v>9.6999999999999993</v>
      </c>
      <c r="E4483">
        <v>84.75</v>
      </c>
      <c r="F4483" t="s">
        <v>6</v>
      </c>
      <c r="G44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83">
        <f>IF(Table1[[#This Row],[is_ups_overcharge]]="ups overcharged",Table1[[#This Row],[ups ship charge]]-Table1[[#This Row],[ada ship charge]],0)</f>
        <v>0</v>
      </c>
    </row>
    <row r="4484" spans="1:9" x14ac:dyDescent="0.2">
      <c r="A4484">
        <v>1061504</v>
      </c>
      <c r="B4484" t="s">
        <v>21</v>
      </c>
      <c r="C4484">
        <v>14.09</v>
      </c>
      <c r="D4484">
        <v>15.1</v>
      </c>
      <c r="E4484">
        <v>61.95</v>
      </c>
      <c r="F4484" t="s">
        <v>9</v>
      </c>
      <c r="G44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84">
        <f>IF(Table1[[#This Row],[is_ups_overcharge]]="ups overcharged",Table1[[#This Row],[ups ship charge]]-Table1[[#This Row],[ada ship charge]],0)</f>
        <v>0</v>
      </c>
    </row>
    <row r="4485" spans="1:9" x14ac:dyDescent="0.2">
      <c r="A4485">
        <v>1061513</v>
      </c>
      <c r="B4485" t="s">
        <v>21</v>
      </c>
      <c r="C4485">
        <v>16.64</v>
      </c>
      <c r="D4485">
        <v>16.690000000000001</v>
      </c>
      <c r="E4485">
        <v>29.7</v>
      </c>
      <c r="F4485" t="s">
        <v>10</v>
      </c>
      <c r="G44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85">
        <f>IF(Table1[[#This Row],[is_ups_overcharge]]="ups overcharged",Table1[[#This Row],[ups ship charge]]-Table1[[#This Row],[ada ship charge]],0)</f>
        <v>0</v>
      </c>
    </row>
    <row r="4486" spans="1:9" x14ac:dyDescent="0.2">
      <c r="A4486">
        <v>1061535</v>
      </c>
      <c r="B4486" t="s">
        <v>21</v>
      </c>
      <c r="C4486">
        <v>12.75</v>
      </c>
      <c r="D4486">
        <v>12.8</v>
      </c>
      <c r="E4486">
        <v>134.69999999999999</v>
      </c>
      <c r="F4486" t="s">
        <v>9</v>
      </c>
      <c r="G44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86">
        <f>IF(Table1[[#This Row],[is_ups_overcharge]]="ups overcharged",Table1[[#This Row],[ups ship charge]]-Table1[[#This Row],[ada ship charge]],0)</f>
        <v>0</v>
      </c>
    </row>
    <row r="4487" spans="1:9" x14ac:dyDescent="0.2">
      <c r="A4487">
        <v>1061555</v>
      </c>
      <c r="B4487" t="s">
        <v>21</v>
      </c>
      <c r="C4487">
        <v>12.26</v>
      </c>
      <c r="D4487">
        <v>12.31</v>
      </c>
      <c r="E4487">
        <v>201.75</v>
      </c>
      <c r="F4487" t="s">
        <v>13</v>
      </c>
      <c r="G44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87">
        <f>IF(Table1[[#This Row],[is_ups_overcharge]]="ups overcharged",Table1[[#This Row],[ups ship charge]]-Table1[[#This Row],[ada ship charge]],0)</f>
        <v>0</v>
      </c>
    </row>
    <row r="4488" spans="1:9" x14ac:dyDescent="0.2">
      <c r="A4488">
        <v>1061577</v>
      </c>
      <c r="B4488" t="s">
        <v>21</v>
      </c>
      <c r="C4488">
        <v>12.75</v>
      </c>
      <c r="D4488">
        <v>12.8</v>
      </c>
      <c r="E4488">
        <v>49.6</v>
      </c>
      <c r="F4488" t="s">
        <v>9</v>
      </c>
      <c r="G44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88">
        <f>IF(Table1[[#This Row],[is_ups_overcharge]]="ups overcharged",Table1[[#This Row],[ups ship charge]]-Table1[[#This Row],[ada ship charge]],0)</f>
        <v>0</v>
      </c>
    </row>
    <row r="4489" spans="1:9" x14ac:dyDescent="0.2">
      <c r="A4489">
        <v>1061579</v>
      </c>
      <c r="B4489" t="s">
        <v>21</v>
      </c>
      <c r="C4489">
        <v>12.75</v>
      </c>
      <c r="D4489">
        <v>12.8</v>
      </c>
      <c r="E4489">
        <v>84.9</v>
      </c>
      <c r="F4489" t="s">
        <v>9</v>
      </c>
      <c r="G44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89">
        <f>IF(Table1[[#This Row],[is_ups_overcharge]]="ups overcharged",Table1[[#This Row],[ups ship charge]]-Table1[[#This Row],[ada ship charge]],0)</f>
        <v>0</v>
      </c>
    </row>
    <row r="4490" spans="1:9" x14ac:dyDescent="0.2">
      <c r="A4490">
        <v>1061582</v>
      </c>
      <c r="B4490" t="s">
        <v>21</v>
      </c>
      <c r="C4490">
        <v>16.649999999999999</v>
      </c>
      <c r="D4490">
        <v>18.579999999999998</v>
      </c>
      <c r="E4490">
        <v>298.7</v>
      </c>
      <c r="F4490" t="s">
        <v>10</v>
      </c>
      <c r="G44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90">
        <f>IF(Table1[[#This Row],[is_ups_overcharge]]="ups overcharged",Table1[[#This Row],[ups ship charge]]-Table1[[#This Row],[ada ship charge]],0)</f>
        <v>0</v>
      </c>
    </row>
    <row r="4491" spans="1:9" x14ac:dyDescent="0.2">
      <c r="A4491">
        <v>1061615</v>
      </c>
      <c r="B4491" t="s">
        <v>21</v>
      </c>
      <c r="C4491">
        <v>13.64</v>
      </c>
      <c r="D4491">
        <v>13.69</v>
      </c>
      <c r="E4491">
        <v>74.5</v>
      </c>
      <c r="F4491" t="s">
        <v>9</v>
      </c>
      <c r="G44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91">
        <f>IF(Table1[[#This Row],[is_ups_overcharge]]="ups overcharged",Table1[[#This Row],[ups ship charge]]-Table1[[#This Row],[ada ship charge]],0)</f>
        <v>0</v>
      </c>
    </row>
    <row r="4492" spans="1:9" x14ac:dyDescent="0.2">
      <c r="A4492">
        <v>1061622</v>
      </c>
      <c r="B4492" t="s">
        <v>21</v>
      </c>
      <c r="C4492">
        <v>12.75</v>
      </c>
      <c r="D4492">
        <v>12.8</v>
      </c>
      <c r="E4492">
        <v>65.400000000000006</v>
      </c>
      <c r="F4492" t="s">
        <v>9</v>
      </c>
      <c r="G44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92">
        <f>IF(Table1[[#This Row],[is_ups_overcharge]]="ups overcharged",Table1[[#This Row],[ups ship charge]]-Table1[[#This Row],[ada ship charge]],0)</f>
        <v>0</v>
      </c>
    </row>
    <row r="4493" spans="1:9" x14ac:dyDescent="0.2">
      <c r="A4493">
        <v>1061632</v>
      </c>
      <c r="B4493" t="s">
        <v>21</v>
      </c>
      <c r="C4493">
        <v>19.96</v>
      </c>
      <c r="D4493">
        <v>20.010000000000002</v>
      </c>
      <c r="E4493">
        <v>69.95</v>
      </c>
      <c r="F4493" t="s">
        <v>16</v>
      </c>
      <c r="G44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93">
        <f>IF(Table1[[#This Row],[is_ups_overcharge]]="ups overcharged",Table1[[#This Row],[ups ship charge]]-Table1[[#This Row],[ada ship charge]],0)</f>
        <v>0</v>
      </c>
    </row>
    <row r="4494" spans="1:9" x14ac:dyDescent="0.2">
      <c r="A4494">
        <v>1061647</v>
      </c>
      <c r="B4494" t="s">
        <v>21</v>
      </c>
      <c r="C4494">
        <v>12.75</v>
      </c>
      <c r="D4494">
        <v>12.8</v>
      </c>
      <c r="E4494">
        <v>12.95</v>
      </c>
      <c r="F4494" t="s">
        <v>9</v>
      </c>
      <c r="G44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94">
        <f>IF(Table1[[#This Row],[is_ups_overcharge]]="ups overcharged",Table1[[#This Row],[ups ship charge]]-Table1[[#This Row],[ada ship charge]],0)</f>
        <v>0</v>
      </c>
    </row>
    <row r="4495" spans="1:9" x14ac:dyDescent="0.2">
      <c r="A4495">
        <v>1061674</v>
      </c>
      <c r="B4495" t="s">
        <v>21</v>
      </c>
      <c r="C4495">
        <v>12.75</v>
      </c>
      <c r="D4495">
        <v>13.25</v>
      </c>
      <c r="E4495">
        <v>57.75</v>
      </c>
      <c r="F4495" t="s">
        <v>9</v>
      </c>
      <c r="G44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95">
        <f>IF(Table1[[#This Row],[is_ups_overcharge]]="ups overcharged",Table1[[#This Row],[ups ship charge]]-Table1[[#This Row],[ada ship charge]],0)</f>
        <v>0</v>
      </c>
    </row>
    <row r="4496" spans="1:9" x14ac:dyDescent="0.2">
      <c r="A4496">
        <v>1061677</v>
      </c>
      <c r="B4496" t="s">
        <v>21</v>
      </c>
      <c r="C4496">
        <v>9.66</v>
      </c>
      <c r="D4496">
        <v>9.6999999999999993</v>
      </c>
      <c r="E4496">
        <v>189.95</v>
      </c>
      <c r="F4496" t="s">
        <v>6</v>
      </c>
      <c r="G44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96">
        <f>IF(Table1[[#This Row],[is_ups_overcharge]]="ups overcharged",Table1[[#This Row],[ups ship charge]]-Table1[[#This Row],[ada ship charge]],0)</f>
        <v>0</v>
      </c>
    </row>
    <row r="4497" spans="1:9" x14ac:dyDescent="0.2">
      <c r="A4497">
        <v>1061682</v>
      </c>
      <c r="B4497" t="s">
        <v>21</v>
      </c>
      <c r="C4497">
        <v>9.65</v>
      </c>
      <c r="D4497">
        <v>9.6999999999999993</v>
      </c>
      <c r="E4497">
        <v>17.850000000000001</v>
      </c>
      <c r="F4497" t="s">
        <v>6</v>
      </c>
      <c r="G44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97">
        <f>IF(Table1[[#This Row],[is_ups_overcharge]]="ups overcharged",Table1[[#This Row],[ups ship charge]]-Table1[[#This Row],[ada ship charge]],0)</f>
        <v>0</v>
      </c>
    </row>
    <row r="4498" spans="1:9" x14ac:dyDescent="0.2">
      <c r="A4498">
        <v>1061703</v>
      </c>
      <c r="B4498" t="s">
        <v>21</v>
      </c>
      <c r="C4498">
        <v>12.75</v>
      </c>
      <c r="D4498">
        <v>12.8</v>
      </c>
      <c r="E4498">
        <v>119.85</v>
      </c>
      <c r="F4498" t="s">
        <v>9</v>
      </c>
      <c r="G44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98">
        <f>IF(Table1[[#This Row],[is_ups_overcharge]]="ups overcharged",Table1[[#This Row],[ups ship charge]]-Table1[[#This Row],[ada ship charge]],0)</f>
        <v>0</v>
      </c>
    </row>
    <row r="4499" spans="1:9" x14ac:dyDescent="0.2">
      <c r="A4499">
        <v>1061729</v>
      </c>
      <c r="B4499" t="s">
        <v>21</v>
      </c>
      <c r="C4499">
        <v>9.65</v>
      </c>
      <c r="D4499">
        <v>9.6999999999999993</v>
      </c>
      <c r="E4499">
        <v>39.950000000000003</v>
      </c>
      <c r="F4499" t="s">
        <v>6</v>
      </c>
      <c r="G44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4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499">
        <f>IF(Table1[[#This Row],[is_ups_overcharge]]="ups overcharged",Table1[[#This Row],[ups ship charge]]-Table1[[#This Row],[ada ship charge]],0)</f>
        <v>0</v>
      </c>
    </row>
    <row r="4500" spans="1:9" x14ac:dyDescent="0.2">
      <c r="A4500">
        <v>1061735</v>
      </c>
      <c r="B4500" t="s">
        <v>21</v>
      </c>
      <c r="C4500">
        <v>9.65</v>
      </c>
      <c r="D4500">
        <v>9.6999999999999993</v>
      </c>
      <c r="E4500">
        <v>2.95</v>
      </c>
      <c r="F4500" t="s">
        <v>6</v>
      </c>
      <c r="G45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00">
        <f>IF(Table1[[#This Row],[is_ups_overcharge]]="ups overcharged",Table1[[#This Row],[ups ship charge]]-Table1[[#This Row],[ada ship charge]],0)</f>
        <v>0</v>
      </c>
    </row>
    <row r="4501" spans="1:9" x14ac:dyDescent="0.2">
      <c r="A4501">
        <v>1061771</v>
      </c>
      <c r="B4501" t="s">
        <v>21</v>
      </c>
      <c r="C4501">
        <v>12.75</v>
      </c>
      <c r="D4501">
        <v>12.8</v>
      </c>
      <c r="E4501">
        <v>19.95</v>
      </c>
      <c r="F4501" t="s">
        <v>9</v>
      </c>
      <c r="G45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01">
        <f>IF(Table1[[#This Row],[is_ups_overcharge]]="ups overcharged",Table1[[#This Row],[ups ship charge]]-Table1[[#This Row],[ada ship charge]],0)</f>
        <v>0</v>
      </c>
    </row>
    <row r="4502" spans="1:9" x14ac:dyDescent="0.2">
      <c r="A4502">
        <v>1061778</v>
      </c>
      <c r="B4502" t="s">
        <v>21</v>
      </c>
      <c r="C4502">
        <v>9.65</v>
      </c>
      <c r="D4502">
        <v>9.6999999999999993</v>
      </c>
      <c r="E4502">
        <v>23.95</v>
      </c>
      <c r="F4502" t="s">
        <v>6</v>
      </c>
      <c r="G45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02">
        <f>IF(Table1[[#This Row],[is_ups_overcharge]]="ups overcharged",Table1[[#This Row],[ups ship charge]]-Table1[[#This Row],[ada ship charge]],0)</f>
        <v>0</v>
      </c>
    </row>
    <row r="4503" spans="1:9" x14ac:dyDescent="0.2">
      <c r="A4503">
        <v>1061780</v>
      </c>
      <c r="B4503" t="s">
        <v>21</v>
      </c>
      <c r="C4503">
        <v>12.75</v>
      </c>
      <c r="D4503">
        <v>12.8</v>
      </c>
      <c r="E4503">
        <v>13.9</v>
      </c>
      <c r="F4503" t="s">
        <v>9</v>
      </c>
      <c r="G45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03">
        <f>IF(Table1[[#This Row],[is_ups_overcharge]]="ups overcharged",Table1[[#This Row],[ups ship charge]]-Table1[[#This Row],[ada ship charge]],0)</f>
        <v>0</v>
      </c>
    </row>
    <row r="4504" spans="1:9" x14ac:dyDescent="0.2">
      <c r="A4504">
        <v>1061789</v>
      </c>
      <c r="B4504" t="s">
        <v>21</v>
      </c>
      <c r="C4504">
        <v>12.75</v>
      </c>
      <c r="D4504">
        <v>12.8</v>
      </c>
      <c r="E4504">
        <v>108.75</v>
      </c>
      <c r="F4504" t="s">
        <v>9</v>
      </c>
      <c r="G45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04">
        <f>IF(Table1[[#This Row],[is_ups_overcharge]]="ups overcharged",Table1[[#This Row],[ups ship charge]]-Table1[[#This Row],[ada ship charge]],0)</f>
        <v>0</v>
      </c>
    </row>
    <row r="4505" spans="1:9" x14ac:dyDescent="0.2">
      <c r="A4505">
        <v>1061810</v>
      </c>
      <c r="B4505" t="s">
        <v>21</v>
      </c>
      <c r="C4505">
        <v>13.88</v>
      </c>
      <c r="D4505">
        <v>14.09</v>
      </c>
      <c r="E4505">
        <v>142.25</v>
      </c>
      <c r="F4505" t="s">
        <v>9</v>
      </c>
      <c r="G45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05">
        <f>IF(Table1[[#This Row],[is_ups_overcharge]]="ups overcharged",Table1[[#This Row],[ups ship charge]]-Table1[[#This Row],[ada ship charge]],0)</f>
        <v>0</v>
      </c>
    </row>
    <row r="4506" spans="1:9" x14ac:dyDescent="0.2">
      <c r="A4506">
        <v>1061829</v>
      </c>
      <c r="B4506" t="s">
        <v>21</v>
      </c>
      <c r="C4506">
        <v>12.75</v>
      </c>
      <c r="D4506">
        <v>12.8</v>
      </c>
      <c r="E4506">
        <v>103.05</v>
      </c>
      <c r="F4506" t="s">
        <v>9</v>
      </c>
      <c r="G45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06">
        <f>IF(Table1[[#This Row],[is_ups_overcharge]]="ups overcharged",Table1[[#This Row],[ups ship charge]]-Table1[[#This Row],[ada ship charge]],0)</f>
        <v>0</v>
      </c>
    </row>
    <row r="4507" spans="1:9" x14ac:dyDescent="0.2">
      <c r="A4507">
        <v>1061854</v>
      </c>
      <c r="B4507" t="s">
        <v>21</v>
      </c>
      <c r="C4507">
        <v>12.36</v>
      </c>
      <c r="D4507">
        <v>14.25</v>
      </c>
      <c r="E4507">
        <v>143.44999999999999</v>
      </c>
      <c r="F4507" t="s">
        <v>13</v>
      </c>
      <c r="G45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07">
        <f>IF(Table1[[#This Row],[is_ups_overcharge]]="ups overcharged",Table1[[#This Row],[ups ship charge]]-Table1[[#This Row],[ada ship charge]],0)</f>
        <v>0</v>
      </c>
    </row>
    <row r="4508" spans="1:9" x14ac:dyDescent="0.2">
      <c r="A4508">
        <v>1061855</v>
      </c>
      <c r="B4508" t="s">
        <v>21</v>
      </c>
      <c r="C4508">
        <v>12.75</v>
      </c>
      <c r="D4508">
        <v>12.8</v>
      </c>
      <c r="E4508">
        <v>55.85</v>
      </c>
      <c r="F4508" t="s">
        <v>9</v>
      </c>
      <c r="G45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08">
        <f>IF(Table1[[#This Row],[is_ups_overcharge]]="ups overcharged",Table1[[#This Row],[ups ship charge]]-Table1[[#This Row],[ada ship charge]],0)</f>
        <v>0</v>
      </c>
    </row>
    <row r="4509" spans="1:9" x14ac:dyDescent="0.2">
      <c r="A4509">
        <v>1061869</v>
      </c>
      <c r="B4509" t="s">
        <v>21</v>
      </c>
      <c r="C4509">
        <v>12.75</v>
      </c>
      <c r="D4509">
        <v>12.8</v>
      </c>
      <c r="E4509">
        <v>99.95</v>
      </c>
      <c r="F4509" t="s">
        <v>9</v>
      </c>
      <c r="G45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09">
        <f>IF(Table1[[#This Row],[is_ups_overcharge]]="ups overcharged",Table1[[#This Row],[ups ship charge]]-Table1[[#This Row],[ada ship charge]],0)</f>
        <v>0</v>
      </c>
    </row>
    <row r="4510" spans="1:9" x14ac:dyDescent="0.2">
      <c r="A4510">
        <v>1061880</v>
      </c>
      <c r="B4510" t="s">
        <v>21</v>
      </c>
      <c r="C4510">
        <v>12.75</v>
      </c>
      <c r="D4510">
        <v>12.8</v>
      </c>
      <c r="E4510">
        <v>19.95</v>
      </c>
      <c r="F4510" t="s">
        <v>9</v>
      </c>
      <c r="G45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10">
        <f>IF(Table1[[#This Row],[is_ups_overcharge]]="ups overcharged",Table1[[#This Row],[ups ship charge]]-Table1[[#This Row],[ada ship charge]],0)</f>
        <v>0</v>
      </c>
    </row>
    <row r="4511" spans="1:9" x14ac:dyDescent="0.2">
      <c r="A4511">
        <v>1061882</v>
      </c>
      <c r="B4511" t="s">
        <v>21</v>
      </c>
      <c r="C4511">
        <v>12.75</v>
      </c>
      <c r="D4511">
        <v>13.81</v>
      </c>
      <c r="E4511">
        <v>29.95</v>
      </c>
      <c r="F4511" t="s">
        <v>9</v>
      </c>
      <c r="G45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11">
        <f>IF(Table1[[#This Row],[is_ups_overcharge]]="ups overcharged",Table1[[#This Row],[ups ship charge]]-Table1[[#This Row],[ada ship charge]],0)</f>
        <v>0</v>
      </c>
    </row>
    <row r="4512" spans="1:9" x14ac:dyDescent="0.2">
      <c r="A4512">
        <v>1061901</v>
      </c>
      <c r="B4512" t="s">
        <v>21</v>
      </c>
      <c r="C4512">
        <v>12.36</v>
      </c>
      <c r="D4512">
        <v>12.41</v>
      </c>
      <c r="E4512">
        <v>89.9</v>
      </c>
      <c r="F4512" t="s">
        <v>13</v>
      </c>
      <c r="G45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12">
        <f>IF(Table1[[#This Row],[is_ups_overcharge]]="ups overcharged",Table1[[#This Row],[ups ship charge]]-Table1[[#This Row],[ada ship charge]],0)</f>
        <v>0</v>
      </c>
    </row>
    <row r="4513" spans="1:9" x14ac:dyDescent="0.2">
      <c r="A4513">
        <v>1061904</v>
      </c>
      <c r="B4513" t="s">
        <v>21</v>
      </c>
      <c r="C4513">
        <v>23.16</v>
      </c>
      <c r="D4513">
        <v>23.21</v>
      </c>
      <c r="E4513">
        <v>7.5</v>
      </c>
      <c r="F4513" t="s">
        <v>15</v>
      </c>
      <c r="G45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13">
        <f>IF(Table1[[#This Row],[is_ups_overcharge]]="ups overcharged",Table1[[#This Row],[ups ship charge]]-Table1[[#This Row],[ada ship charge]],0)</f>
        <v>0</v>
      </c>
    </row>
    <row r="4514" spans="1:9" x14ac:dyDescent="0.2">
      <c r="A4514">
        <v>1061931</v>
      </c>
      <c r="B4514" t="s">
        <v>21</v>
      </c>
      <c r="C4514">
        <v>12.75</v>
      </c>
      <c r="D4514">
        <v>12.8</v>
      </c>
      <c r="E4514">
        <v>38.65</v>
      </c>
      <c r="F4514" t="s">
        <v>9</v>
      </c>
      <c r="G45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14">
        <f>IF(Table1[[#This Row],[is_ups_overcharge]]="ups overcharged",Table1[[#This Row],[ups ship charge]]-Table1[[#This Row],[ada ship charge]],0)</f>
        <v>0</v>
      </c>
    </row>
    <row r="4515" spans="1:9" x14ac:dyDescent="0.2">
      <c r="A4515">
        <v>1061962</v>
      </c>
      <c r="B4515" t="s">
        <v>21</v>
      </c>
      <c r="C4515">
        <v>12.75</v>
      </c>
      <c r="D4515">
        <v>12.87</v>
      </c>
      <c r="E4515">
        <v>34.950000000000003</v>
      </c>
      <c r="F4515" t="s">
        <v>9</v>
      </c>
      <c r="G45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15">
        <f>IF(Table1[[#This Row],[is_ups_overcharge]]="ups overcharged",Table1[[#This Row],[ups ship charge]]-Table1[[#This Row],[ada ship charge]],0)</f>
        <v>0</v>
      </c>
    </row>
    <row r="4516" spans="1:9" x14ac:dyDescent="0.2">
      <c r="A4516">
        <v>1061979</v>
      </c>
      <c r="B4516" t="s">
        <v>21</v>
      </c>
      <c r="C4516">
        <v>15.33</v>
      </c>
      <c r="D4516">
        <v>15.38</v>
      </c>
      <c r="E4516">
        <v>19.95</v>
      </c>
      <c r="F4516" t="s">
        <v>12</v>
      </c>
      <c r="G45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16">
        <f>IF(Table1[[#This Row],[is_ups_overcharge]]="ups overcharged",Table1[[#This Row],[ups ship charge]]-Table1[[#This Row],[ada ship charge]],0)</f>
        <v>0</v>
      </c>
    </row>
    <row r="4517" spans="1:9" x14ac:dyDescent="0.2">
      <c r="A4517">
        <v>1062021</v>
      </c>
      <c r="B4517" t="s">
        <v>21</v>
      </c>
      <c r="C4517">
        <v>13.64</v>
      </c>
      <c r="D4517">
        <v>13.69</v>
      </c>
      <c r="E4517">
        <v>12.85</v>
      </c>
      <c r="F4517" t="s">
        <v>9</v>
      </c>
      <c r="G45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17">
        <f>IF(Table1[[#This Row],[is_ups_overcharge]]="ups overcharged",Table1[[#This Row],[ups ship charge]]-Table1[[#This Row],[ada ship charge]],0)</f>
        <v>0</v>
      </c>
    </row>
    <row r="4518" spans="1:9" x14ac:dyDescent="0.2">
      <c r="A4518">
        <v>1062022</v>
      </c>
      <c r="B4518" t="s">
        <v>21</v>
      </c>
      <c r="C4518">
        <v>13.64</v>
      </c>
      <c r="D4518">
        <v>13.69</v>
      </c>
      <c r="E4518">
        <v>15.95</v>
      </c>
      <c r="F4518" t="s">
        <v>9</v>
      </c>
      <c r="G45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18">
        <f>IF(Table1[[#This Row],[is_ups_overcharge]]="ups overcharged",Table1[[#This Row],[ups ship charge]]-Table1[[#This Row],[ada ship charge]],0)</f>
        <v>0</v>
      </c>
    </row>
    <row r="4519" spans="1:9" x14ac:dyDescent="0.2">
      <c r="A4519">
        <v>1062046</v>
      </c>
      <c r="B4519" t="s">
        <v>21</v>
      </c>
      <c r="C4519">
        <v>12.75</v>
      </c>
      <c r="D4519">
        <v>12.8</v>
      </c>
      <c r="E4519">
        <v>19.95</v>
      </c>
      <c r="F4519" t="s">
        <v>9</v>
      </c>
      <c r="G45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19">
        <f>IF(Table1[[#This Row],[is_ups_overcharge]]="ups overcharged",Table1[[#This Row],[ups ship charge]]-Table1[[#This Row],[ada ship charge]],0)</f>
        <v>0</v>
      </c>
    </row>
    <row r="4520" spans="1:9" x14ac:dyDescent="0.2">
      <c r="A4520">
        <v>1062047</v>
      </c>
      <c r="B4520" t="s">
        <v>21</v>
      </c>
      <c r="C4520">
        <v>12.75</v>
      </c>
      <c r="D4520">
        <v>12.8</v>
      </c>
      <c r="E4520">
        <v>39.950000000000003</v>
      </c>
      <c r="F4520" t="s">
        <v>9</v>
      </c>
      <c r="G45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20">
        <f>IF(Table1[[#This Row],[is_ups_overcharge]]="ups overcharged",Table1[[#This Row],[ups ship charge]]-Table1[[#This Row],[ada ship charge]],0)</f>
        <v>0</v>
      </c>
    </row>
    <row r="4521" spans="1:9" x14ac:dyDescent="0.2">
      <c r="A4521">
        <v>1062052</v>
      </c>
      <c r="B4521" t="s">
        <v>21</v>
      </c>
      <c r="C4521">
        <v>12.75</v>
      </c>
      <c r="D4521">
        <v>12.8</v>
      </c>
      <c r="E4521">
        <v>6.95</v>
      </c>
      <c r="F4521" t="s">
        <v>9</v>
      </c>
      <c r="G45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21">
        <f>IF(Table1[[#This Row],[is_ups_overcharge]]="ups overcharged",Table1[[#This Row],[ups ship charge]]-Table1[[#This Row],[ada ship charge]],0)</f>
        <v>0</v>
      </c>
    </row>
    <row r="4522" spans="1:9" x14ac:dyDescent="0.2">
      <c r="A4522">
        <v>1062054</v>
      </c>
      <c r="B4522" t="s">
        <v>21</v>
      </c>
      <c r="C4522">
        <v>12.75</v>
      </c>
      <c r="D4522">
        <v>12.8</v>
      </c>
      <c r="E4522">
        <v>67.900000000000006</v>
      </c>
      <c r="F4522" t="s">
        <v>9</v>
      </c>
      <c r="G45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22">
        <f>IF(Table1[[#This Row],[is_ups_overcharge]]="ups overcharged",Table1[[#This Row],[ups ship charge]]-Table1[[#This Row],[ada ship charge]],0)</f>
        <v>0</v>
      </c>
    </row>
    <row r="4523" spans="1:9" x14ac:dyDescent="0.2">
      <c r="A4523">
        <v>1062122</v>
      </c>
      <c r="B4523" t="s">
        <v>21</v>
      </c>
      <c r="C4523">
        <v>12.75</v>
      </c>
      <c r="D4523">
        <v>12.8</v>
      </c>
      <c r="E4523">
        <v>79.75</v>
      </c>
      <c r="F4523" t="s">
        <v>9</v>
      </c>
      <c r="G45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23">
        <f>IF(Table1[[#This Row],[is_ups_overcharge]]="ups overcharged",Table1[[#This Row],[ups ship charge]]-Table1[[#This Row],[ada ship charge]],0)</f>
        <v>0</v>
      </c>
    </row>
    <row r="4524" spans="1:9" x14ac:dyDescent="0.2">
      <c r="A4524">
        <v>1062154</v>
      </c>
      <c r="B4524" t="s">
        <v>21</v>
      </c>
      <c r="C4524">
        <v>13.64</v>
      </c>
      <c r="D4524">
        <v>13.69</v>
      </c>
      <c r="E4524">
        <v>18.7</v>
      </c>
      <c r="F4524" t="s">
        <v>9</v>
      </c>
      <c r="G45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24">
        <f>IF(Table1[[#This Row],[is_ups_overcharge]]="ups overcharged",Table1[[#This Row],[ups ship charge]]-Table1[[#This Row],[ada ship charge]],0)</f>
        <v>0</v>
      </c>
    </row>
    <row r="4525" spans="1:9" x14ac:dyDescent="0.2">
      <c r="A4525">
        <v>1062161</v>
      </c>
      <c r="B4525" t="s">
        <v>21</v>
      </c>
      <c r="C4525">
        <v>13.64</v>
      </c>
      <c r="D4525">
        <v>13.69</v>
      </c>
      <c r="E4525">
        <v>79.95</v>
      </c>
      <c r="F4525" t="s">
        <v>9</v>
      </c>
      <c r="G45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25">
        <f>IF(Table1[[#This Row],[is_ups_overcharge]]="ups overcharged",Table1[[#This Row],[ups ship charge]]-Table1[[#This Row],[ada ship charge]],0)</f>
        <v>0</v>
      </c>
    </row>
    <row r="4526" spans="1:9" x14ac:dyDescent="0.2">
      <c r="A4526">
        <v>1062209</v>
      </c>
      <c r="B4526" t="s">
        <v>21</v>
      </c>
      <c r="C4526">
        <v>13.64</v>
      </c>
      <c r="D4526">
        <v>13.69</v>
      </c>
      <c r="E4526">
        <v>62.7</v>
      </c>
      <c r="F4526" t="s">
        <v>9</v>
      </c>
      <c r="G45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26">
        <f>IF(Table1[[#This Row],[is_ups_overcharge]]="ups overcharged",Table1[[#This Row],[ups ship charge]]-Table1[[#This Row],[ada ship charge]],0)</f>
        <v>0</v>
      </c>
    </row>
    <row r="4527" spans="1:9" x14ac:dyDescent="0.2">
      <c r="A4527">
        <v>1062212</v>
      </c>
      <c r="B4527" t="s">
        <v>21</v>
      </c>
      <c r="C4527">
        <v>12.75</v>
      </c>
      <c r="D4527">
        <v>12.8</v>
      </c>
      <c r="E4527">
        <v>34.950000000000003</v>
      </c>
      <c r="F4527" t="s">
        <v>9</v>
      </c>
      <c r="G45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27">
        <f>IF(Table1[[#This Row],[is_ups_overcharge]]="ups overcharged",Table1[[#This Row],[ups ship charge]]-Table1[[#This Row],[ada ship charge]],0)</f>
        <v>0</v>
      </c>
    </row>
    <row r="4528" spans="1:9" x14ac:dyDescent="0.2">
      <c r="A4528">
        <v>1062219</v>
      </c>
      <c r="B4528" t="s">
        <v>21</v>
      </c>
      <c r="C4528">
        <v>15.32</v>
      </c>
      <c r="D4528">
        <v>15.96</v>
      </c>
      <c r="E4528">
        <v>34.9</v>
      </c>
      <c r="F4528" t="s">
        <v>12</v>
      </c>
      <c r="G45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2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28">
        <f>IF(Table1[[#This Row],[is_ups_overcharge]]="ups overcharged",Table1[[#This Row],[ups ship charge]]-Table1[[#This Row],[ada ship charge]],0)</f>
        <v>0</v>
      </c>
    </row>
    <row r="4529" spans="1:9" x14ac:dyDescent="0.2">
      <c r="A4529">
        <v>1062226</v>
      </c>
      <c r="B4529" t="s">
        <v>21</v>
      </c>
      <c r="C4529">
        <v>13.64</v>
      </c>
      <c r="D4529">
        <v>13.68</v>
      </c>
      <c r="E4529">
        <v>20.7</v>
      </c>
      <c r="F4529" t="s">
        <v>9</v>
      </c>
      <c r="G45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29">
        <f>IF(Table1[[#This Row],[is_ups_overcharge]]="ups overcharged",Table1[[#This Row],[ups ship charge]]-Table1[[#This Row],[ada ship charge]],0)</f>
        <v>0</v>
      </c>
    </row>
    <row r="4530" spans="1:9" x14ac:dyDescent="0.2">
      <c r="A4530">
        <v>1062233</v>
      </c>
      <c r="B4530" t="s">
        <v>21</v>
      </c>
      <c r="C4530">
        <v>13.64</v>
      </c>
      <c r="D4530">
        <v>13.69</v>
      </c>
      <c r="E4530">
        <v>171.84</v>
      </c>
      <c r="F4530" t="s">
        <v>9</v>
      </c>
      <c r="G45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30">
        <f>IF(Table1[[#This Row],[is_ups_overcharge]]="ups overcharged",Table1[[#This Row],[ups ship charge]]-Table1[[#This Row],[ada ship charge]],0)</f>
        <v>0</v>
      </c>
    </row>
    <row r="4531" spans="1:9" x14ac:dyDescent="0.2">
      <c r="A4531">
        <v>1062257</v>
      </c>
      <c r="B4531" t="s">
        <v>21</v>
      </c>
      <c r="C4531">
        <v>15.02</v>
      </c>
      <c r="D4531">
        <v>16.329999999999998</v>
      </c>
      <c r="E4531">
        <v>67.400000000000006</v>
      </c>
      <c r="F4531" t="s">
        <v>12</v>
      </c>
      <c r="G45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31">
        <f>IF(Table1[[#This Row],[is_ups_overcharge]]="ups overcharged",Table1[[#This Row],[ups ship charge]]-Table1[[#This Row],[ada ship charge]],0)</f>
        <v>0</v>
      </c>
    </row>
    <row r="4532" spans="1:9" x14ac:dyDescent="0.2">
      <c r="A4532">
        <v>1062278</v>
      </c>
      <c r="B4532" t="s">
        <v>21</v>
      </c>
      <c r="C4532">
        <v>12.75</v>
      </c>
      <c r="D4532">
        <v>12.8</v>
      </c>
      <c r="E4532">
        <v>39.950000000000003</v>
      </c>
      <c r="F4532" t="s">
        <v>9</v>
      </c>
      <c r="G45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32">
        <f>IF(Table1[[#This Row],[is_ups_overcharge]]="ups overcharged",Table1[[#This Row],[ups ship charge]]-Table1[[#This Row],[ada ship charge]],0)</f>
        <v>0</v>
      </c>
    </row>
    <row r="4533" spans="1:9" x14ac:dyDescent="0.2">
      <c r="A4533">
        <v>1062287</v>
      </c>
      <c r="B4533" t="s">
        <v>21</v>
      </c>
      <c r="C4533">
        <v>15.33</v>
      </c>
      <c r="D4533">
        <v>15.38</v>
      </c>
      <c r="E4533">
        <v>32.4</v>
      </c>
      <c r="F4533" t="s">
        <v>12</v>
      </c>
      <c r="G45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33">
        <f>IF(Table1[[#This Row],[is_ups_overcharge]]="ups overcharged",Table1[[#This Row],[ups ship charge]]-Table1[[#This Row],[ada ship charge]],0)</f>
        <v>0</v>
      </c>
    </row>
    <row r="4534" spans="1:9" x14ac:dyDescent="0.2">
      <c r="A4534">
        <v>1062288</v>
      </c>
      <c r="B4534" t="s">
        <v>21</v>
      </c>
      <c r="C4534">
        <v>13.64</v>
      </c>
      <c r="D4534">
        <v>13.84</v>
      </c>
      <c r="E4534">
        <v>107.7</v>
      </c>
      <c r="F4534" t="s">
        <v>9</v>
      </c>
      <c r="G45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34">
        <f>IF(Table1[[#This Row],[is_ups_overcharge]]="ups overcharged",Table1[[#This Row],[ups ship charge]]-Table1[[#This Row],[ada ship charge]],0)</f>
        <v>0</v>
      </c>
    </row>
    <row r="4535" spans="1:9" x14ac:dyDescent="0.2">
      <c r="A4535">
        <v>1062306</v>
      </c>
      <c r="B4535" t="s">
        <v>21</v>
      </c>
      <c r="C4535">
        <v>66.98</v>
      </c>
      <c r="D4535">
        <v>67.02</v>
      </c>
      <c r="E4535">
        <v>55.2</v>
      </c>
      <c r="F4535" t="s">
        <v>8</v>
      </c>
      <c r="G45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35">
        <f>IF(Table1[[#This Row],[is_ups_overcharge]]="ups overcharged",Table1[[#This Row],[ups ship charge]]-Table1[[#This Row],[ada ship charge]],0)</f>
        <v>0</v>
      </c>
    </row>
    <row r="4536" spans="1:9" x14ac:dyDescent="0.2">
      <c r="A4536">
        <v>1062312</v>
      </c>
      <c r="B4536" t="s">
        <v>21</v>
      </c>
      <c r="C4536">
        <v>13.64</v>
      </c>
      <c r="D4536">
        <v>13.69</v>
      </c>
      <c r="E4536">
        <v>28.4</v>
      </c>
      <c r="F4536" t="s">
        <v>9</v>
      </c>
      <c r="G45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36">
        <f>IF(Table1[[#This Row],[is_ups_overcharge]]="ups overcharged",Table1[[#This Row],[ups ship charge]]-Table1[[#This Row],[ada ship charge]],0)</f>
        <v>0</v>
      </c>
    </row>
    <row r="4537" spans="1:9" x14ac:dyDescent="0.2">
      <c r="A4537">
        <v>1062343</v>
      </c>
      <c r="B4537" t="s">
        <v>21</v>
      </c>
      <c r="C4537">
        <v>12.75</v>
      </c>
      <c r="D4537">
        <v>12.8</v>
      </c>
      <c r="E4537">
        <v>35</v>
      </c>
      <c r="F4537" t="s">
        <v>9</v>
      </c>
      <c r="G45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37">
        <f>IF(Table1[[#This Row],[is_ups_overcharge]]="ups overcharged",Table1[[#This Row],[ups ship charge]]-Table1[[#This Row],[ada ship charge]],0)</f>
        <v>0</v>
      </c>
    </row>
    <row r="4538" spans="1:9" x14ac:dyDescent="0.2">
      <c r="A4538">
        <v>1062347</v>
      </c>
      <c r="B4538" t="s">
        <v>21</v>
      </c>
      <c r="C4538">
        <v>12.75</v>
      </c>
      <c r="D4538">
        <v>12.8</v>
      </c>
      <c r="E4538">
        <v>39.9</v>
      </c>
      <c r="F4538" t="s">
        <v>9</v>
      </c>
      <c r="G45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38">
        <f>IF(Table1[[#This Row],[is_ups_overcharge]]="ups overcharged",Table1[[#This Row],[ups ship charge]]-Table1[[#This Row],[ada ship charge]],0)</f>
        <v>0</v>
      </c>
    </row>
    <row r="4539" spans="1:9" x14ac:dyDescent="0.2">
      <c r="A4539">
        <v>1062352</v>
      </c>
      <c r="B4539" t="s">
        <v>21</v>
      </c>
      <c r="C4539">
        <v>10.94</v>
      </c>
      <c r="D4539">
        <v>15.38</v>
      </c>
      <c r="E4539">
        <v>66.349999999999994</v>
      </c>
      <c r="F4539" t="s">
        <v>14</v>
      </c>
      <c r="G45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39">
        <f>IF(Table1[[#This Row],[is_ups_overcharge]]="ups overcharged",Table1[[#This Row],[ups ship charge]]-Table1[[#This Row],[ada ship charge]],0)</f>
        <v>0</v>
      </c>
    </row>
    <row r="4540" spans="1:9" x14ac:dyDescent="0.2">
      <c r="A4540">
        <v>1062353</v>
      </c>
      <c r="B4540" t="s">
        <v>21</v>
      </c>
      <c r="C4540">
        <v>12.75</v>
      </c>
      <c r="D4540">
        <v>12.8</v>
      </c>
      <c r="E4540">
        <v>85</v>
      </c>
      <c r="F4540" t="s">
        <v>9</v>
      </c>
      <c r="G45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40">
        <f>IF(Table1[[#This Row],[is_ups_overcharge]]="ups overcharged",Table1[[#This Row],[ups ship charge]]-Table1[[#This Row],[ada ship charge]],0)</f>
        <v>0</v>
      </c>
    </row>
    <row r="4541" spans="1:9" x14ac:dyDescent="0.2">
      <c r="A4541">
        <v>1062360</v>
      </c>
      <c r="B4541" t="s">
        <v>21</v>
      </c>
      <c r="C4541">
        <v>15.02</v>
      </c>
      <c r="D4541">
        <v>15.07</v>
      </c>
      <c r="E4541">
        <v>13.9</v>
      </c>
      <c r="F4541" t="s">
        <v>12</v>
      </c>
      <c r="G45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41">
        <f>IF(Table1[[#This Row],[is_ups_overcharge]]="ups overcharged",Table1[[#This Row],[ups ship charge]]-Table1[[#This Row],[ada ship charge]],0)</f>
        <v>0</v>
      </c>
    </row>
    <row r="4542" spans="1:9" x14ac:dyDescent="0.2">
      <c r="A4542">
        <v>1062374</v>
      </c>
      <c r="B4542" t="s">
        <v>21</v>
      </c>
      <c r="C4542">
        <v>12.26</v>
      </c>
      <c r="D4542">
        <v>12.31</v>
      </c>
      <c r="E4542">
        <v>83.7</v>
      </c>
      <c r="F4542" t="s">
        <v>13</v>
      </c>
      <c r="G45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42">
        <f>IF(Table1[[#This Row],[is_ups_overcharge]]="ups overcharged",Table1[[#This Row],[ups ship charge]]-Table1[[#This Row],[ada ship charge]],0)</f>
        <v>0</v>
      </c>
    </row>
    <row r="4543" spans="1:9" x14ac:dyDescent="0.2">
      <c r="A4543">
        <v>1062377</v>
      </c>
      <c r="B4543" t="s">
        <v>21</v>
      </c>
      <c r="C4543">
        <v>9.65</v>
      </c>
      <c r="D4543">
        <v>9.6999999999999993</v>
      </c>
      <c r="E4543">
        <v>99.95</v>
      </c>
      <c r="F4543" t="s">
        <v>6</v>
      </c>
      <c r="G45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43">
        <f>IF(Table1[[#This Row],[is_ups_overcharge]]="ups overcharged",Table1[[#This Row],[ups ship charge]]-Table1[[#This Row],[ada ship charge]],0)</f>
        <v>0</v>
      </c>
    </row>
    <row r="4544" spans="1:9" x14ac:dyDescent="0.2">
      <c r="A4544">
        <v>1062384</v>
      </c>
      <c r="B4544" t="s">
        <v>21</v>
      </c>
      <c r="C4544">
        <v>12.75</v>
      </c>
      <c r="D4544">
        <v>12.8</v>
      </c>
      <c r="E4544">
        <v>14.95</v>
      </c>
      <c r="F4544" t="s">
        <v>9</v>
      </c>
      <c r="G45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44">
        <f>IF(Table1[[#This Row],[is_ups_overcharge]]="ups overcharged",Table1[[#This Row],[ups ship charge]]-Table1[[#This Row],[ada ship charge]],0)</f>
        <v>0</v>
      </c>
    </row>
    <row r="4545" spans="1:9" x14ac:dyDescent="0.2">
      <c r="A4545">
        <v>1062387</v>
      </c>
      <c r="B4545" t="s">
        <v>21</v>
      </c>
      <c r="C4545">
        <v>13.64</v>
      </c>
      <c r="D4545">
        <v>13.69</v>
      </c>
      <c r="E4545">
        <v>30.15</v>
      </c>
      <c r="F4545" t="s">
        <v>9</v>
      </c>
      <c r="G45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45">
        <f>IF(Table1[[#This Row],[is_ups_overcharge]]="ups overcharged",Table1[[#This Row],[ups ship charge]]-Table1[[#This Row],[ada ship charge]],0)</f>
        <v>0</v>
      </c>
    </row>
    <row r="4546" spans="1:9" x14ac:dyDescent="0.2">
      <c r="A4546">
        <v>1062419</v>
      </c>
      <c r="B4546" t="s">
        <v>21</v>
      </c>
      <c r="C4546">
        <v>30.75</v>
      </c>
      <c r="D4546">
        <v>28.73</v>
      </c>
      <c r="E4546">
        <v>334.8</v>
      </c>
      <c r="F4546" t="s">
        <v>15</v>
      </c>
      <c r="G45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46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4546">
        <f>IF(Table1[[#This Row],[is_ups_overcharge]]="ups overcharged",Table1[[#This Row],[ups ship charge]]-Table1[[#This Row],[ada ship charge]],0)</f>
        <v>2.0199999999999996</v>
      </c>
    </row>
    <row r="4547" spans="1:9" x14ac:dyDescent="0.2">
      <c r="A4547">
        <v>1062429</v>
      </c>
      <c r="B4547" t="s">
        <v>21</v>
      </c>
      <c r="C4547">
        <v>12.75</v>
      </c>
      <c r="D4547">
        <v>12.8</v>
      </c>
      <c r="E4547">
        <v>64.7</v>
      </c>
      <c r="F4547" t="s">
        <v>9</v>
      </c>
      <c r="G45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47">
        <f>IF(Table1[[#This Row],[is_ups_overcharge]]="ups overcharged",Table1[[#This Row],[ups ship charge]]-Table1[[#This Row],[ada ship charge]],0)</f>
        <v>0</v>
      </c>
    </row>
    <row r="4548" spans="1:9" x14ac:dyDescent="0.2">
      <c r="A4548">
        <v>1062435</v>
      </c>
      <c r="B4548" t="s">
        <v>21</v>
      </c>
      <c r="C4548">
        <v>12.75</v>
      </c>
      <c r="D4548">
        <v>12.8</v>
      </c>
      <c r="E4548">
        <v>16.899999999999999</v>
      </c>
      <c r="F4548" t="s">
        <v>9</v>
      </c>
      <c r="G45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48">
        <f>IF(Table1[[#This Row],[is_ups_overcharge]]="ups overcharged",Table1[[#This Row],[ups ship charge]]-Table1[[#This Row],[ada ship charge]],0)</f>
        <v>0</v>
      </c>
    </row>
    <row r="4549" spans="1:9" x14ac:dyDescent="0.2">
      <c r="A4549">
        <v>1062436</v>
      </c>
      <c r="B4549" t="s">
        <v>21</v>
      </c>
      <c r="C4549">
        <v>12.26</v>
      </c>
      <c r="D4549">
        <v>12.31</v>
      </c>
      <c r="E4549">
        <v>187.8</v>
      </c>
      <c r="F4549" t="s">
        <v>13</v>
      </c>
      <c r="G45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49">
        <f>IF(Table1[[#This Row],[is_ups_overcharge]]="ups overcharged",Table1[[#This Row],[ups ship charge]]-Table1[[#This Row],[ada ship charge]],0)</f>
        <v>0</v>
      </c>
    </row>
    <row r="4550" spans="1:9" x14ac:dyDescent="0.2">
      <c r="A4550">
        <v>1062481</v>
      </c>
      <c r="B4550" t="s">
        <v>21</v>
      </c>
      <c r="C4550">
        <v>12.26</v>
      </c>
      <c r="D4550">
        <v>14.19</v>
      </c>
      <c r="E4550">
        <v>53.7</v>
      </c>
      <c r="F4550" t="s">
        <v>13</v>
      </c>
      <c r="G45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50">
        <f>IF(Table1[[#This Row],[is_ups_overcharge]]="ups overcharged",Table1[[#This Row],[ups ship charge]]-Table1[[#This Row],[ada ship charge]],0)</f>
        <v>0</v>
      </c>
    </row>
    <row r="4551" spans="1:9" x14ac:dyDescent="0.2">
      <c r="A4551">
        <v>1062488</v>
      </c>
      <c r="B4551" t="s">
        <v>21</v>
      </c>
      <c r="C4551">
        <v>13.64</v>
      </c>
      <c r="D4551">
        <v>13.69</v>
      </c>
      <c r="E4551">
        <v>20.95</v>
      </c>
      <c r="F4551" t="s">
        <v>9</v>
      </c>
      <c r="G45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51">
        <f>IF(Table1[[#This Row],[is_ups_overcharge]]="ups overcharged",Table1[[#This Row],[ups ship charge]]-Table1[[#This Row],[ada ship charge]],0)</f>
        <v>0</v>
      </c>
    </row>
    <row r="4552" spans="1:9" x14ac:dyDescent="0.2">
      <c r="A4552">
        <v>1062493</v>
      </c>
      <c r="B4552" t="s">
        <v>21</v>
      </c>
      <c r="C4552">
        <v>13.64</v>
      </c>
      <c r="D4552">
        <v>13.69</v>
      </c>
      <c r="E4552">
        <v>99.95</v>
      </c>
      <c r="F4552" t="s">
        <v>9</v>
      </c>
      <c r="G45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52">
        <f>IF(Table1[[#This Row],[is_ups_overcharge]]="ups overcharged",Table1[[#This Row],[ups ship charge]]-Table1[[#This Row],[ada ship charge]],0)</f>
        <v>0</v>
      </c>
    </row>
    <row r="4553" spans="1:9" x14ac:dyDescent="0.2">
      <c r="A4553">
        <v>1062560</v>
      </c>
      <c r="B4553" t="s">
        <v>21</v>
      </c>
      <c r="C4553">
        <v>9.65</v>
      </c>
      <c r="D4553">
        <v>9.6999999999999993</v>
      </c>
      <c r="E4553">
        <v>79.900000000000006</v>
      </c>
      <c r="F4553" t="s">
        <v>6</v>
      </c>
      <c r="G45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53">
        <f>IF(Table1[[#This Row],[is_ups_overcharge]]="ups overcharged",Table1[[#This Row],[ups ship charge]]-Table1[[#This Row],[ada ship charge]],0)</f>
        <v>0</v>
      </c>
    </row>
    <row r="4554" spans="1:9" x14ac:dyDescent="0.2">
      <c r="A4554">
        <v>1062581</v>
      </c>
      <c r="B4554" t="s">
        <v>21</v>
      </c>
      <c r="C4554">
        <v>9.65</v>
      </c>
      <c r="D4554">
        <v>9.6999999999999993</v>
      </c>
      <c r="E4554">
        <v>7.95</v>
      </c>
      <c r="F4554" t="s">
        <v>6</v>
      </c>
      <c r="G45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54">
        <f>IF(Table1[[#This Row],[is_ups_overcharge]]="ups overcharged",Table1[[#This Row],[ups ship charge]]-Table1[[#This Row],[ada ship charge]],0)</f>
        <v>0</v>
      </c>
    </row>
    <row r="4555" spans="1:9" x14ac:dyDescent="0.2">
      <c r="A4555">
        <v>1062604</v>
      </c>
      <c r="B4555" t="s">
        <v>21</v>
      </c>
      <c r="C4555">
        <v>9.65</v>
      </c>
      <c r="D4555">
        <v>13.69</v>
      </c>
      <c r="E4555">
        <v>47.9</v>
      </c>
      <c r="F4555" t="s">
        <v>6</v>
      </c>
      <c r="G45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55">
        <f>IF(Table1[[#This Row],[is_ups_overcharge]]="ups overcharged",Table1[[#This Row],[ups ship charge]]-Table1[[#This Row],[ada ship charge]],0)</f>
        <v>0</v>
      </c>
    </row>
    <row r="4556" spans="1:9" x14ac:dyDescent="0.2">
      <c r="A4556">
        <v>1062606</v>
      </c>
      <c r="B4556" t="s">
        <v>21</v>
      </c>
      <c r="C4556">
        <v>12.75</v>
      </c>
      <c r="D4556">
        <v>14.21</v>
      </c>
      <c r="E4556">
        <v>99.95</v>
      </c>
      <c r="F4556" t="s">
        <v>9</v>
      </c>
      <c r="G45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56">
        <f>IF(Table1[[#This Row],[is_ups_overcharge]]="ups overcharged",Table1[[#This Row],[ups ship charge]]-Table1[[#This Row],[ada ship charge]],0)</f>
        <v>0</v>
      </c>
    </row>
    <row r="4557" spans="1:9" x14ac:dyDescent="0.2">
      <c r="A4557">
        <v>1062643</v>
      </c>
      <c r="B4557" t="s">
        <v>21</v>
      </c>
      <c r="C4557">
        <v>13.64</v>
      </c>
      <c r="D4557">
        <v>13.69</v>
      </c>
      <c r="E4557">
        <v>24.85</v>
      </c>
      <c r="F4557" t="s">
        <v>9</v>
      </c>
      <c r="G45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57">
        <f>IF(Table1[[#This Row],[is_ups_overcharge]]="ups overcharged",Table1[[#This Row],[ups ship charge]]-Table1[[#This Row],[ada ship charge]],0)</f>
        <v>0</v>
      </c>
    </row>
    <row r="4558" spans="1:9" x14ac:dyDescent="0.2">
      <c r="A4558">
        <v>1062647</v>
      </c>
      <c r="B4558" t="s">
        <v>21</v>
      </c>
      <c r="C4558">
        <v>9.65</v>
      </c>
      <c r="D4558">
        <v>9.6999999999999993</v>
      </c>
      <c r="E4558">
        <v>39.9</v>
      </c>
      <c r="F4558" t="s">
        <v>6</v>
      </c>
      <c r="G45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58">
        <f>IF(Table1[[#This Row],[is_ups_overcharge]]="ups overcharged",Table1[[#This Row],[ups ship charge]]-Table1[[#This Row],[ada ship charge]],0)</f>
        <v>0</v>
      </c>
    </row>
    <row r="4559" spans="1:9" x14ac:dyDescent="0.2">
      <c r="A4559">
        <v>1062648</v>
      </c>
      <c r="B4559" t="s">
        <v>21</v>
      </c>
      <c r="C4559">
        <v>9.66</v>
      </c>
      <c r="D4559">
        <v>9.7100000000000009</v>
      </c>
      <c r="E4559">
        <v>199.95</v>
      </c>
      <c r="F4559" t="s">
        <v>6</v>
      </c>
      <c r="G45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59">
        <f>IF(Table1[[#This Row],[is_ups_overcharge]]="ups overcharged",Table1[[#This Row],[ups ship charge]]-Table1[[#This Row],[ada ship charge]],0)</f>
        <v>0</v>
      </c>
    </row>
    <row r="4560" spans="1:9" x14ac:dyDescent="0.2">
      <c r="A4560">
        <v>1062677</v>
      </c>
      <c r="B4560" t="s">
        <v>21</v>
      </c>
      <c r="C4560">
        <v>13.64</v>
      </c>
      <c r="D4560">
        <v>13.69</v>
      </c>
      <c r="E4560">
        <v>29.3</v>
      </c>
      <c r="F4560" t="s">
        <v>9</v>
      </c>
      <c r="G45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60">
        <f>IF(Table1[[#This Row],[is_ups_overcharge]]="ups overcharged",Table1[[#This Row],[ups ship charge]]-Table1[[#This Row],[ada ship charge]],0)</f>
        <v>0</v>
      </c>
    </row>
    <row r="4561" spans="1:9" x14ac:dyDescent="0.2">
      <c r="A4561">
        <v>1062690</v>
      </c>
      <c r="B4561" t="s">
        <v>21</v>
      </c>
      <c r="C4561">
        <v>9.66</v>
      </c>
      <c r="D4561">
        <v>13.69</v>
      </c>
      <c r="E4561">
        <v>181.6</v>
      </c>
      <c r="F4561" t="s">
        <v>6</v>
      </c>
      <c r="G45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61">
        <f>IF(Table1[[#This Row],[is_ups_overcharge]]="ups overcharged",Table1[[#This Row],[ups ship charge]]-Table1[[#This Row],[ada ship charge]],0)</f>
        <v>0</v>
      </c>
    </row>
    <row r="4562" spans="1:9" x14ac:dyDescent="0.2">
      <c r="A4562">
        <v>1062695</v>
      </c>
      <c r="B4562" t="s">
        <v>21</v>
      </c>
      <c r="C4562">
        <v>13.64</v>
      </c>
      <c r="D4562">
        <v>13.69</v>
      </c>
      <c r="E4562">
        <v>21.4</v>
      </c>
      <c r="F4562" t="s">
        <v>9</v>
      </c>
      <c r="G45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62">
        <f>IF(Table1[[#This Row],[is_ups_overcharge]]="ups overcharged",Table1[[#This Row],[ups ship charge]]-Table1[[#This Row],[ada ship charge]],0)</f>
        <v>0</v>
      </c>
    </row>
    <row r="4563" spans="1:9" x14ac:dyDescent="0.2">
      <c r="A4563">
        <v>1062721</v>
      </c>
      <c r="B4563" t="s">
        <v>21</v>
      </c>
      <c r="C4563">
        <v>16.440000000000001</v>
      </c>
      <c r="D4563">
        <v>16.489999999999998</v>
      </c>
      <c r="E4563">
        <v>14.4</v>
      </c>
      <c r="F4563" t="s">
        <v>10</v>
      </c>
      <c r="G45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63">
        <f>IF(Table1[[#This Row],[is_ups_overcharge]]="ups overcharged",Table1[[#This Row],[ups ship charge]]-Table1[[#This Row],[ada ship charge]],0)</f>
        <v>0</v>
      </c>
    </row>
    <row r="4564" spans="1:9" x14ac:dyDescent="0.2">
      <c r="A4564">
        <v>1062757</v>
      </c>
      <c r="B4564" t="s">
        <v>21</v>
      </c>
      <c r="C4564">
        <v>12.36</v>
      </c>
      <c r="D4564">
        <v>14.25</v>
      </c>
      <c r="E4564">
        <v>206.1</v>
      </c>
      <c r="F4564" t="s">
        <v>13</v>
      </c>
      <c r="G45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64">
        <f>IF(Table1[[#This Row],[is_ups_overcharge]]="ups overcharged",Table1[[#This Row],[ups ship charge]]-Table1[[#This Row],[ada ship charge]],0)</f>
        <v>0</v>
      </c>
    </row>
    <row r="4565" spans="1:9" x14ac:dyDescent="0.2">
      <c r="A4565">
        <v>1062779</v>
      </c>
      <c r="B4565" t="s">
        <v>21</v>
      </c>
      <c r="C4565">
        <v>12.75</v>
      </c>
      <c r="D4565">
        <v>12.8</v>
      </c>
      <c r="E4565">
        <v>46.8</v>
      </c>
      <c r="F4565" t="s">
        <v>9</v>
      </c>
      <c r="G45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65">
        <f>IF(Table1[[#This Row],[is_ups_overcharge]]="ups overcharged",Table1[[#This Row],[ups ship charge]]-Table1[[#This Row],[ada ship charge]],0)</f>
        <v>0</v>
      </c>
    </row>
    <row r="4566" spans="1:9" x14ac:dyDescent="0.2">
      <c r="A4566">
        <v>1062787</v>
      </c>
      <c r="B4566" t="s">
        <v>21</v>
      </c>
      <c r="C4566">
        <v>12.75</v>
      </c>
      <c r="D4566">
        <v>12.8</v>
      </c>
      <c r="E4566">
        <v>113.7</v>
      </c>
      <c r="F4566" t="s">
        <v>9</v>
      </c>
      <c r="G45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66">
        <f>IF(Table1[[#This Row],[is_ups_overcharge]]="ups overcharged",Table1[[#This Row],[ups ship charge]]-Table1[[#This Row],[ada ship charge]],0)</f>
        <v>0</v>
      </c>
    </row>
    <row r="4567" spans="1:9" x14ac:dyDescent="0.2">
      <c r="A4567">
        <v>1062795</v>
      </c>
      <c r="B4567" t="s">
        <v>21</v>
      </c>
      <c r="C4567">
        <v>12.75</v>
      </c>
      <c r="D4567">
        <v>12.8</v>
      </c>
      <c r="E4567">
        <v>79.900000000000006</v>
      </c>
      <c r="F4567" t="s">
        <v>9</v>
      </c>
      <c r="G45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67">
        <f>IF(Table1[[#This Row],[is_ups_overcharge]]="ups overcharged",Table1[[#This Row],[ups ship charge]]-Table1[[#This Row],[ada ship charge]],0)</f>
        <v>0</v>
      </c>
    </row>
    <row r="4568" spans="1:9" x14ac:dyDescent="0.2">
      <c r="A4568">
        <v>1062810</v>
      </c>
      <c r="B4568" t="s">
        <v>21</v>
      </c>
      <c r="C4568">
        <v>15.02</v>
      </c>
      <c r="D4568">
        <v>15.12</v>
      </c>
      <c r="E4568">
        <v>99.95</v>
      </c>
      <c r="F4568" t="s">
        <v>12</v>
      </c>
      <c r="G45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68">
        <f>IF(Table1[[#This Row],[is_ups_overcharge]]="ups overcharged",Table1[[#This Row],[ups ship charge]]-Table1[[#This Row],[ada ship charge]],0)</f>
        <v>0</v>
      </c>
    </row>
    <row r="4569" spans="1:9" x14ac:dyDescent="0.2">
      <c r="A4569">
        <v>1062824</v>
      </c>
      <c r="B4569" t="s">
        <v>21</v>
      </c>
      <c r="C4569">
        <v>13.64</v>
      </c>
      <c r="D4569">
        <v>13.68</v>
      </c>
      <c r="E4569">
        <v>83.6</v>
      </c>
      <c r="F4569" t="s">
        <v>9</v>
      </c>
      <c r="G45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69">
        <f>IF(Table1[[#This Row],[is_ups_overcharge]]="ups overcharged",Table1[[#This Row],[ups ship charge]]-Table1[[#This Row],[ada ship charge]],0)</f>
        <v>0</v>
      </c>
    </row>
    <row r="4570" spans="1:9" x14ac:dyDescent="0.2">
      <c r="A4570">
        <v>1062850</v>
      </c>
      <c r="B4570" t="s">
        <v>21</v>
      </c>
      <c r="C4570">
        <v>12.75</v>
      </c>
      <c r="D4570">
        <v>12.8</v>
      </c>
      <c r="E4570">
        <v>59.9</v>
      </c>
      <c r="F4570" t="s">
        <v>9</v>
      </c>
      <c r="G45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70">
        <f>IF(Table1[[#This Row],[is_ups_overcharge]]="ups overcharged",Table1[[#This Row],[ups ship charge]]-Table1[[#This Row],[ada ship charge]],0)</f>
        <v>0</v>
      </c>
    </row>
    <row r="4571" spans="1:9" x14ac:dyDescent="0.2">
      <c r="A4571">
        <v>1062886</v>
      </c>
      <c r="B4571" t="s">
        <v>21</v>
      </c>
      <c r="C4571">
        <v>12.75</v>
      </c>
      <c r="D4571">
        <v>12.8</v>
      </c>
      <c r="E4571">
        <v>7.8</v>
      </c>
      <c r="F4571" t="s">
        <v>9</v>
      </c>
      <c r="G45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71">
        <f>IF(Table1[[#This Row],[is_ups_overcharge]]="ups overcharged",Table1[[#This Row],[ups ship charge]]-Table1[[#This Row],[ada ship charge]],0)</f>
        <v>0</v>
      </c>
    </row>
    <row r="4572" spans="1:9" x14ac:dyDescent="0.2">
      <c r="A4572">
        <v>1062887</v>
      </c>
      <c r="B4572" t="s">
        <v>21</v>
      </c>
      <c r="C4572">
        <v>13.64</v>
      </c>
      <c r="D4572">
        <v>13.69</v>
      </c>
      <c r="E4572">
        <v>5.9</v>
      </c>
      <c r="F4572" t="s">
        <v>9</v>
      </c>
      <c r="G45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72">
        <f>IF(Table1[[#This Row],[is_ups_overcharge]]="ups overcharged",Table1[[#This Row],[ups ship charge]]-Table1[[#This Row],[ada ship charge]],0)</f>
        <v>0</v>
      </c>
    </row>
    <row r="4573" spans="1:9" x14ac:dyDescent="0.2">
      <c r="A4573">
        <v>1062910</v>
      </c>
      <c r="B4573" t="s">
        <v>21</v>
      </c>
      <c r="C4573">
        <v>13.64</v>
      </c>
      <c r="D4573">
        <v>13.69</v>
      </c>
      <c r="E4573">
        <v>15.05</v>
      </c>
      <c r="F4573" t="s">
        <v>9</v>
      </c>
      <c r="G45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73">
        <f>IF(Table1[[#This Row],[is_ups_overcharge]]="ups overcharged",Table1[[#This Row],[ups ship charge]]-Table1[[#This Row],[ada ship charge]],0)</f>
        <v>0</v>
      </c>
    </row>
    <row r="4574" spans="1:9" x14ac:dyDescent="0.2">
      <c r="A4574">
        <v>1062938</v>
      </c>
      <c r="B4574" t="s">
        <v>21</v>
      </c>
      <c r="C4574">
        <v>15.33</v>
      </c>
      <c r="D4574">
        <v>15.38</v>
      </c>
      <c r="E4574">
        <v>12.95</v>
      </c>
      <c r="F4574" t="s">
        <v>12</v>
      </c>
      <c r="G45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74">
        <f>IF(Table1[[#This Row],[is_ups_overcharge]]="ups overcharged",Table1[[#This Row],[ups ship charge]]-Table1[[#This Row],[ada ship charge]],0)</f>
        <v>0</v>
      </c>
    </row>
    <row r="4575" spans="1:9" x14ac:dyDescent="0.2">
      <c r="A4575">
        <v>1062959</v>
      </c>
      <c r="B4575" t="s">
        <v>21</v>
      </c>
      <c r="C4575">
        <v>12.75</v>
      </c>
      <c r="D4575">
        <v>12.8</v>
      </c>
      <c r="E4575">
        <v>23.8</v>
      </c>
      <c r="F4575" t="s">
        <v>9</v>
      </c>
      <c r="G45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75">
        <f>IF(Table1[[#This Row],[is_ups_overcharge]]="ups overcharged",Table1[[#This Row],[ups ship charge]]-Table1[[#This Row],[ada ship charge]],0)</f>
        <v>0</v>
      </c>
    </row>
    <row r="4576" spans="1:9" x14ac:dyDescent="0.2">
      <c r="A4576">
        <v>1062967</v>
      </c>
      <c r="B4576" t="s">
        <v>21</v>
      </c>
      <c r="C4576">
        <v>13.64</v>
      </c>
      <c r="D4576">
        <v>13.69</v>
      </c>
      <c r="E4576">
        <v>24.95</v>
      </c>
      <c r="F4576" t="s">
        <v>9</v>
      </c>
      <c r="G45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76">
        <f>IF(Table1[[#This Row],[is_ups_overcharge]]="ups overcharged",Table1[[#This Row],[ups ship charge]]-Table1[[#This Row],[ada ship charge]],0)</f>
        <v>0</v>
      </c>
    </row>
    <row r="4577" spans="1:9" x14ac:dyDescent="0.2">
      <c r="A4577">
        <v>1062970</v>
      </c>
      <c r="B4577" t="s">
        <v>21</v>
      </c>
      <c r="C4577">
        <v>20.309999999999999</v>
      </c>
      <c r="D4577">
        <v>22.9</v>
      </c>
      <c r="E4577">
        <v>476</v>
      </c>
      <c r="F4577" t="s">
        <v>16</v>
      </c>
      <c r="G45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77">
        <f>IF(Table1[[#This Row],[is_ups_overcharge]]="ups overcharged",Table1[[#This Row],[ups ship charge]]-Table1[[#This Row],[ada ship charge]],0)</f>
        <v>0</v>
      </c>
    </row>
    <row r="4578" spans="1:9" x14ac:dyDescent="0.2">
      <c r="A4578">
        <v>1062981</v>
      </c>
      <c r="B4578" t="s">
        <v>21</v>
      </c>
      <c r="C4578">
        <v>12.75</v>
      </c>
      <c r="D4578">
        <v>12.8</v>
      </c>
      <c r="E4578">
        <v>38.700000000000003</v>
      </c>
      <c r="F4578" t="s">
        <v>9</v>
      </c>
      <c r="G45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78">
        <f>IF(Table1[[#This Row],[is_ups_overcharge]]="ups overcharged",Table1[[#This Row],[ups ship charge]]-Table1[[#This Row],[ada ship charge]],0)</f>
        <v>0</v>
      </c>
    </row>
    <row r="4579" spans="1:9" x14ac:dyDescent="0.2">
      <c r="A4579">
        <v>1062983</v>
      </c>
      <c r="B4579" t="s">
        <v>21</v>
      </c>
      <c r="C4579">
        <v>12.75</v>
      </c>
      <c r="D4579">
        <v>12.8</v>
      </c>
      <c r="E4579">
        <v>83.9</v>
      </c>
      <c r="F4579" t="s">
        <v>9</v>
      </c>
      <c r="G45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79">
        <f>IF(Table1[[#This Row],[is_ups_overcharge]]="ups overcharged",Table1[[#This Row],[ups ship charge]]-Table1[[#This Row],[ada ship charge]],0)</f>
        <v>0</v>
      </c>
    </row>
    <row r="4580" spans="1:9" x14ac:dyDescent="0.2">
      <c r="A4580">
        <v>1062994</v>
      </c>
      <c r="B4580" t="s">
        <v>21</v>
      </c>
      <c r="C4580">
        <v>12.75</v>
      </c>
      <c r="D4580">
        <v>12.8</v>
      </c>
      <c r="E4580">
        <v>67.8</v>
      </c>
      <c r="F4580" t="s">
        <v>9</v>
      </c>
      <c r="G45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80">
        <f>IF(Table1[[#This Row],[is_ups_overcharge]]="ups overcharged",Table1[[#This Row],[ups ship charge]]-Table1[[#This Row],[ada ship charge]],0)</f>
        <v>0</v>
      </c>
    </row>
    <row r="4581" spans="1:9" x14ac:dyDescent="0.2">
      <c r="A4581">
        <v>1062996</v>
      </c>
      <c r="B4581" t="s">
        <v>21</v>
      </c>
      <c r="C4581">
        <v>13.64</v>
      </c>
      <c r="D4581">
        <v>13.69</v>
      </c>
      <c r="E4581">
        <v>0.75</v>
      </c>
      <c r="F4581" t="s">
        <v>9</v>
      </c>
      <c r="G45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81">
        <f>IF(Table1[[#This Row],[is_ups_overcharge]]="ups overcharged",Table1[[#This Row],[ups ship charge]]-Table1[[#This Row],[ada ship charge]],0)</f>
        <v>0</v>
      </c>
    </row>
    <row r="4582" spans="1:9" x14ac:dyDescent="0.2">
      <c r="A4582">
        <v>1063008</v>
      </c>
      <c r="B4582" t="s">
        <v>21</v>
      </c>
      <c r="C4582">
        <v>12.75</v>
      </c>
      <c r="D4582">
        <v>13.2</v>
      </c>
      <c r="E4582">
        <v>109.9</v>
      </c>
      <c r="F4582" t="s">
        <v>9</v>
      </c>
      <c r="G45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82">
        <f>IF(Table1[[#This Row],[is_ups_overcharge]]="ups overcharged",Table1[[#This Row],[ups ship charge]]-Table1[[#This Row],[ada ship charge]],0)</f>
        <v>0</v>
      </c>
    </row>
    <row r="4583" spans="1:9" x14ac:dyDescent="0.2">
      <c r="A4583">
        <v>1063023</v>
      </c>
      <c r="B4583" t="s">
        <v>21</v>
      </c>
      <c r="C4583">
        <v>66.98</v>
      </c>
      <c r="D4583">
        <v>67.02</v>
      </c>
      <c r="E4583">
        <v>70.2</v>
      </c>
      <c r="F4583" t="s">
        <v>8</v>
      </c>
      <c r="G45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83">
        <f>IF(Table1[[#This Row],[is_ups_overcharge]]="ups overcharged",Table1[[#This Row],[ups ship charge]]-Table1[[#This Row],[ada ship charge]],0)</f>
        <v>0</v>
      </c>
    </row>
    <row r="4584" spans="1:9" x14ac:dyDescent="0.2">
      <c r="A4584">
        <v>1063032</v>
      </c>
      <c r="B4584" t="s">
        <v>21</v>
      </c>
      <c r="C4584">
        <v>9.66</v>
      </c>
      <c r="D4584">
        <v>9.7100000000000009</v>
      </c>
      <c r="E4584">
        <v>65.45</v>
      </c>
      <c r="F4584" t="s">
        <v>6</v>
      </c>
      <c r="G45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84">
        <f>IF(Table1[[#This Row],[is_ups_overcharge]]="ups overcharged",Table1[[#This Row],[ups ship charge]]-Table1[[#This Row],[ada ship charge]],0)</f>
        <v>0</v>
      </c>
    </row>
    <row r="4585" spans="1:9" x14ac:dyDescent="0.2">
      <c r="A4585">
        <v>1063041</v>
      </c>
      <c r="B4585" t="s">
        <v>21</v>
      </c>
      <c r="C4585">
        <v>9.66</v>
      </c>
      <c r="D4585">
        <v>9.7100000000000009</v>
      </c>
      <c r="E4585">
        <v>4.95</v>
      </c>
      <c r="F4585" t="s">
        <v>6</v>
      </c>
      <c r="G45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85">
        <f>IF(Table1[[#This Row],[is_ups_overcharge]]="ups overcharged",Table1[[#This Row],[ups ship charge]]-Table1[[#This Row],[ada ship charge]],0)</f>
        <v>0</v>
      </c>
    </row>
    <row r="4586" spans="1:9" x14ac:dyDescent="0.2">
      <c r="A4586">
        <v>1063048</v>
      </c>
      <c r="B4586" t="s">
        <v>21</v>
      </c>
      <c r="C4586">
        <v>12.75</v>
      </c>
      <c r="D4586">
        <v>12.8</v>
      </c>
      <c r="E4586">
        <v>84.75</v>
      </c>
      <c r="F4586" t="s">
        <v>9</v>
      </c>
      <c r="G45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86">
        <f>IF(Table1[[#This Row],[is_ups_overcharge]]="ups overcharged",Table1[[#This Row],[ups ship charge]]-Table1[[#This Row],[ada ship charge]],0)</f>
        <v>0</v>
      </c>
    </row>
    <row r="4587" spans="1:9" x14ac:dyDescent="0.2">
      <c r="A4587">
        <v>1063056</v>
      </c>
      <c r="B4587" t="s">
        <v>21</v>
      </c>
      <c r="C4587">
        <v>13.64</v>
      </c>
      <c r="D4587">
        <v>13.69</v>
      </c>
      <c r="E4587">
        <v>38.85</v>
      </c>
      <c r="F4587" t="s">
        <v>9</v>
      </c>
      <c r="G45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87">
        <f>IF(Table1[[#This Row],[is_ups_overcharge]]="ups overcharged",Table1[[#This Row],[ups ship charge]]-Table1[[#This Row],[ada ship charge]],0)</f>
        <v>0</v>
      </c>
    </row>
    <row r="4588" spans="1:9" x14ac:dyDescent="0.2">
      <c r="A4588">
        <v>1063071</v>
      </c>
      <c r="B4588" t="s">
        <v>21</v>
      </c>
      <c r="C4588">
        <v>13.63</v>
      </c>
      <c r="D4588">
        <v>14.14</v>
      </c>
      <c r="E4588">
        <v>106.6</v>
      </c>
      <c r="F4588" t="s">
        <v>9</v>
      </c>
      <c r="G45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88">
        <f>IF(Table1[[#This Row],[is_ups_overcharge]]="ups overcharged",Table1[[#This Row],[ups ship charge]]-Table1[[#This Row],[ada ship charge]],0)</f>
        <v>0</v>
      </c>
    </row>
    <row r="4589" spans="1:9" x14ac:dyDescent="0.2">
      <c r="A4589">
        <v>1063094</v>
      </c>
      <c r="B4589" t="s">
        <v>21</v>
      </c>
      <c r="C4589">
        <v>13.64</v>
      </c>
      <c r="D4589">
        <v>13.69</v>
      </c>
      <c r="E4589">
        <v>67.8</v>
      </c>
      <c r="F4589" t="s">
        <v>9</v>
      </c>
      <c r="G45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89">
        <f>IF(Table1[[#This Row],[is_ups_overcharge]]="ups overcharged",Table1[[#This Row],[ups ship charge]]-Table1[[#This Row],[ada ship charge]],0)</f>
        <v>0</v>
      </c>
    </row>
    <row r="4590" spans="1:9" x14ac:dyDescent="0.2">
      <c r="A4590">
        <v>1063112</v>
      </c>
      <c r="B4590" t="s">
        <v>21</v>
      </c>
      <c r="C4590">
        <v>12.75</v>
      </c>
      <c r="D4590">
        <v>12.8</v>
      </c>
      <c r="E4590">
        <v>85</v>
      </c>
      <c r="F4590" t="s">
        <v>9</v>
      </c>
      <c r="G45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90">
        <f>IF(Table1[[#This Row],[is_ups_overcharge]]="ups overcharged",Table1[[#This Row],[ups ship charge]]-Table1[[#This Row],[ada ship charge]],0)</f>
        <v>0</v>
      </c>
    </row>
    <row r="4591" spans="1:9" x14ac:dyDescent="0.2">
      <c r="A4591">
        <v>1063117</v>
      </c>
      <c r="B4591" t="s">
        <v>21</v>
      </c>
      <c r="C4591">
        <v>9.66</v>
      </c>
      <c r="D4591">
        <v>9.7100000000000009</v>
      </c>
      <c r="E4591">
        <v>19.899999999999999</v>
      </c>
      <c r="F4591" t="s">
        <v>6</v>
      </c>
      <c r="G45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91">
        <f>IF(Table1[[#This Row],[is_ups_overcharge]]="ups overcharged",Table1[[#This Row],[ups ship charge]]-Table1[[#This Row],[ada ship charge]],0)</f>
        <v>0</v>
      </c>
    </row>
    <row r="4592" spans="1:9" x14ac:dyDescent="0.2">
      <c r="A4592">
        <v>1063126</v>
      </c>
      <c r="B4592" t="s">
        <v>21</v>
      </c>
      <c r="C4592">
        <v>13.64</v>
      </c>
      <c r="D4592">
        <v>13.69</v>
      </c>
      <c r="E4592">
        <v>19.899999999999999</v>
      </c>
      <c r="F4592" t="s">
        <v>9</v>
      </c>
      <c r="G45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92">
        <f>IF(Table1[[#This Row],[is_ups_overcharge]]="ups overcharged",Table1[[#This Row],[ups ship charge]]-Table1[[#This Row],[ada ship charge]],0)</f>
        <v>0</v>
      </c>
    </row>
    <row r="4593" spans="1:9" x14ac:dyDescent="0.2">
      <c r="A4593">
        <v>1063169</v>
      </c>
      <c r="B4593" t="s">
        <v>21</v>
      </c>
      <c r="C4593">
        <v>12.75</v>
      </c>
      <c r="D4593">
        <v>12.8</v>
      </c>
      <c r="E4593">
        <v>47.95</v>
      </c>
      <c r="F4593" t="s">
        <v>9</v>
      </c>
      <c r="G45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93">
        <f>IF(Table1[[#This Row],[is_ups_overcharge]]="ups overcharged",Table1[[#This Row],[ups ship charge]]-Table1[[#This Row],[ada ship charge]],0)</f>
        <v>0</v>
      </c>
    </row>
    <row r="4594" spans="1:9" x14ac:dyDescent="0.2">
      <c r="A4594">
        <v>1063173</v>
      </c>
      <c r="B4594" t="s">
        <v>21</v>
      </c>
      <c r="C4594">
        <v>12.75</v>
      </c>
      <c r="D4594">
        <v>12.8</v>
      </c>
      <c r="E4594">
        <v>119.6</v>
      </c>
      <c r="F4594" t="s">
        <v>9</v>
      </c>
      <c r="G45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94">
        <f>IF(Table1[[#This Row],[is_ups_overcharge]]="ups overcharged",Table1[[#This Row],[ups ship charge]]-Table1[[#This Row],[ada ship charge]],0)</f>
        <v>0</v>
      </c>
    </row>
    <row r="4595" spans="1:9" x14ac:dyDescent="0.2">
      <c r="A4595">
        <v>1063184</v>
      </c>
      <c r="B4595" t="s">
        <v>21</v>
      </c>
      <c r="C4595">
        <v>9.66</v>
      </c>
      <c r="D4595">
        <v>9.7100000000000009</v>
      </c>
      <c r="E4595">
        <v>26.6</v>
      </c>
      <c r="F4595" t="s">
        <v>6</v>
      </c>
      <c r="G45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95">
        <f>IF(Table1[[#This Row],[is_ups_overcharge]]="ups overcharged",Table1[[#This Row],[ups ship charge]]-Table1[[#This Row],[ada ship charge]],0)</f>
        <v>0</v>
      </c>
    </row>
    <row r="4596" spans="1:9" x14ac:dyDescent="0.2">
      <c r="A4596">
        <v>1063188</v>
      </c>
      <c r="B4596" t="s">
        <v>21</v>
      </c>
      <c r="C4596">
        <v>13.64</v>
      </c>
      <c r="D4596">
        <v>13.69</v>
      </c>
      <c r="E4596">
        <v>149.75</v>
      </c>
      <c r="F4596" t="s">
        <v>9</v>
      </c>
      <c r="G45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96">
        <f>IF(Table1[[#This Row],[is_ups_overcharge]]="ups overcharged",Table1[[#This Row],[ups ship charge]]-Table1[[#This Row],[ada ship charge]],0)</f>
        <v>0</v>
      </c>
    </row>
    <row r="4597" spans="1:9" x14ac:dyDescent="0.2">
      <c r="A4597">
        <v>1063189</v>
      </c>
      <c r="B4597" t="s">
        <v>21</v>
      </c>
      <c r="C4597">
        <v>16.34</v>
      </c>
      <c r="D4597">
        <v>16.39</v>
      </c>
      <c r="E4597">
        <v>28.4</v>
      </c>
      <c r="F4597" t="s">
        <v>10</v>
      </c>
      <c r="G45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97">
        <f>IF(Table1[[#This Row],[is_ups_overcharge]]="ups overcharged",Table1[[#This Row],[ups ship charge]]-Table1[[#This Row],[ada ship charge]],0)</f>
        <v>0</v>
      </c>
    </row>
    <row r="4598" spans="1:9" x14ac:dyDescent="0.2">
      <c r="A4598">
        <v>1063209</v>
      </c>
      <c r="B4598" t="s">
        <v>21</v>
      </c>
      <c r="C4598">
        <v>13.64</v>
      </c>
      <c r="D4598">
        <v>13.69</v>
      </c>
      <c r="E4598">
        <v>19.95</v>
      </c>
      <c r="F4598" t="s">
        <v>9</v>
      </c>
      <c r="G45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9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98">
        <f>IF(Table1[[#This Row],[is_ups_overcharge]]="ups overcharged",Table1[[#This Row],[ups ship charge]]-Table1[[#This Row],[ada ship charge]],0)</f>
        <v>0</v>
      </c>
    </row>
    <row r="4599" spans="1:9" x14ac:dyDescent="0.2">
      <c r="A4599">
        <v>1063210</v>
      </c>
      <c r="B4599" t="s">
        <v>21</v>
      </c>
      <c r="C4599">
        <v>12.75</v>
      </c>
      <c r="D4599">
        <v>12.8</v>
      </c>
      <c r="E4599">
        <v>194.6</v>
      </c>
      <c r="F4599" t="s">
        <v>9</v>
      </c>
      <c r="G45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59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599">
        <f>IF(Table1[[#This Row],[is_ups_overcharge]]="ups overcharged",Table1[[#This Row],[ups ship charge]]-Table1[[#This Row],[ada ship charge]],0)</f>
        <v>0</v>
      </c>
    </row>
    <row r="4600" spans="1:9" x14ac:dyDescent="0.2">
      <c r="A4600">
        <v>1063216</v>
      </c>
      <c r="B4600" t="s">
        <v>21</v>
      </c>
      <c r="C4600">
        <v>15.35</v>
      </c>
      <c r="D4600">
        <v>17.72</v>
      </c>
      <c r="E4600">
        <v>18.95</v>
      </c>
      <c r="F4600" t="s">
        <v>12</v>
      </c>
      <c r="G46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0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00">
        <f>IF(Table1[[#This Row],[is_ups_overcharge]]="ups overcharged",Table1[[#This Row],[ups ship charge]]-Table1[[#This Row],[ada ship charge]],0)</f>
        <v>0</v>
      </c>
    </row>
    <row r="4601" spans="1:9" x14ac:dyDescent="0.2">
      <c r="A4601">
        <v>1063228</v>
      </c>
      <c r="B4601" t="s">
        <v>21</v>
      </c>
      <c r="C4601">
        <v>12.75</v>
      </c>
      <c r="D4601">
        <v>12.8</v>
      </c>
      <c r="E4601">
        <v>7.4</v>
      </c>
      <c r="F4601" t="s">
        <v>9</v>
      </c>
      <c r="G46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0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01">
        <f>IF(Table1[[#This Row],[is_ups_overcharge]]="ups overcharged",Table1[[#This Row],[ups ship charge]]-Table1[[#This Row],[ada ship charge]],0)</f>
        <v>0</v>
      </c>
    </row>
    <row r="4602" spans="1:9" x14ac:dyDescent="0.2">
      <c r="A4602">
        <v>1063237</v>
      </c>
      <c r="B4602" t="s">
        <v>21</v>
      </c>
      <c r="C4602">
        <v>12.75</v>
      </c>
      <c r="D4602">
        <v>12.8</v>
      </c>
      <c r="E4602">
        <v>28.35</v>
      </c>
      <c r="F4602" t="s">
        <v>9</v>
      </c>
      <c r="G46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0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02">
        <f>IF(Table1[[#This Row],[is_ups_overcharge]]="ups overcharged",Table1[[#This Row],[ups ship charge]]-Table1[[#This Row],[ada ship charge]],0)</f>
        <v>0</v>
      </c>
    </row>
    <row r="4603" spans="1:9" x14ac:dyDescent="0.2">
      <c r="A4603">
        <v>1063255</v>
      </c>
      <c r="B4603" t="s">
        <v>21</v>
      </c>
      <c r="C4603">
        <v>16.440000000000001</v>
      </c>
      <c r="D4603">
        <v>16.489999999999998</v>
      </c>
      <c r="E4603">
        <v>84.75</v>
      </c>
      <c r="F4603" t="s">
        <v>10</v>
      </c>
      <c r="G46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0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03">
        <f>IF(Table1[[#This Row],[is_ups_overcharge]]="ups overcharged",Table1[[#This Row],[ups ship charge]]-Table1[[#This Row],[ada ship charge]],0)</f>
        <v>0</v>
      </c>
    </row>
    <row r="4604" spans="1:9" x14ac:dyDescent="0.2">
      <c r="A4604">
        <v>1063261</v>
      </c>
      <c r="B4604" t="s">
        <v>21</v>
      </c>
      <c r="C4604">
        <v>13.64</v>
      </c>
      <c r="D4604">
        <v>13.69</v>
      </c>
      <c r="E4604">
        <v>65.55</v>
      </c>
      <c r="F4604" t="s">
        <v>9</v>
      </c>
      <c r="G46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0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04">
        <f>IF(Table1[[#This Row],[is_ups_overcharge]]="ups overcharged",Table1[[#This Row],[ups ship charge]]-Table1[[#This Row],[ada ship charge]],0)</f>
        <v>0</v>
      </c>
    </row>
    <row r="4605" spans="1:9" x14ac:dyDescent="0.2">
      <c r="A4605">
        <v>1063267</v>
      </c>
      <c r="B4605" t="s">
        <v>21</v>
      </c>
      <c r="C4605">
        <v>13.64</v>
      </c>
      <c r="D4605">
        <v>13.69</v>
      </c>
      <c r="E4605">
        <v>99.95</v>
      </c>
      <c r="F4605" t="s">
        <v>9</v>
      </c>
      <c r="G46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0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05">
        <f>IF(Table1[[#This Row],[is_ups_overcharge]]="ups overcharged",Table1[[#This Row],[ups ship charge]]-Table1[[#This Row],[ada ship charge]],0)</f>
        <v>0</v>
      </c>
    </row>
    <row r="4606" spans="1:9" x14ac:dyDescent="0.2">
      <c r="A4606">
        <v>1063269</v>
      </c>
      <c r="B4606" t="s">
        <v>21</v>
      </c>
      <c r="C4606">
        <v>13.64</v>
      </c>
      <c r="D4606">
        <v>13.69</v>
      </c>
      <c r="E4606">
        <v>39.950000000000003</v>
      </c>
      <c r="F4606" t="s">
        <v>9</v>
      </c>
      <c r="G46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0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06">
        <f>IF(Table1[[#This Row],[is_ups_overcharge]]="ups overcharged",Table1[[#This Row],[ups ship charge]]-Table1[[#This Row],[ada ship charge]],0)</f>
        <v>0</v>
      </c>
    </row>
    <row r="4607" spans="1:9" x14ac:dyDescent="0.2">
      <c r="A4607">
        <v>1063290</v>
      </c>
      <c r="B4607" t="s">
        <v>21</v>
      </c>
      <c r="C4607">
        <v>13.64</v>
      </c>
      <c r="D4607">
        <v>13.69</v>
      </c>
      <c r="E4607">
        <v>49.6</v>
      </c>
      <c r="F4607" t="s">
        <v>9</v>
      </c>
      <c r="G46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0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07">
        <f>IF(Table1[[#This Row],[is_ups_overcharge]]="ups overcharged",Table1[[#This Row],[ups ship charge]]-Table1[[#This Row],[ada ship charge]],0)</f>
        <v>0</v>
      </c>
    </row>
    <row r="4608" spans="1:9" x14ac:dyDescent="0.2">
      <c r="A4608">
        <v>1063291</v>
      </c>
      <c r="B4608" t="s">
        <v>21</v>
      </c>
      <c r="C4608">
        <v>13.64</v>
      </c>
      <c r="D4608">
        <v>13.69</v>
      </c>
      <c r="E4608">
        <v>43.85</v>
      </c>
      <c r="F4608" t="s">
        <v>9</v>
      </c>
      <c r="G46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0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08">
        <f>IF(Table1[[#This Row],[is_ups_overcharge]]="ups overcharged",Table1[[#This Row],[ups ship charge]]-Table1[[#This Row],[ada ship charge]],0)</f>
        <v>0</v>
      </c>
    </row>
    <row r="4609" spans="1:9" x14ac:dyDescent="0.2">
      <c r="A4609">
        <v>1063296</v>
      </c>
      <c r="B4609" t="s">
        <v>21</v>
      </c>
      <c r="C4609">
        <v>15.33</v>
      </c>
      <c r="D4609">
        <v>15.38</v>
      </c>
      <c r="E4609">
        <v>2.5</v>
      </c>
      <c r="F4609" t="s">
        <v>12</v>
      </c>
      <c r="G46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0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09">
        <f>IF(Table1[[#This Row],[is_ups_overcharge]]="ups overcharged",Table1[[#This Row],[ups ship charge]]-Table1[[#This Row],[ada ship charge]],0)</f>
        <v>0</v>
      </c>
    </row>
    <row r="4610" spans="1:9" x14ac:dyDescent="0.2">
      <c r="A4610">
        <v>1063305</v>
      </c>
      <c r="B4610" t="s">
        <v>21</v>
      </c>
      <c r="C4610">
        <v>12.75</v>
      </c>
      <c r="D4610">
        <v>12.8</v>
      </c>
      <c r="E4610">
        <v>107.7</v>
      </c>
      <c r="F4610" t="s">
        <v>9</v>
      </c>
      <c r="G46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1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10">
        <f>IF(Table1[[#This Row],[is_ups_overcharge]]="ups overcharged",Table1[[#This Row],[ups ship charge]]-Table1[[#This Row],[ada ship charge]],0)</f>
        <v>0</v>
      </c>
    </row>
    <row r="4611" spans="1:9" x14ac:dyDescent="0.2">
      <c r="A4611">
        <v>1063313</v>
      </c>
      <c r="B4611" t="s">
        <v>21</v>
      </c>
      <c r="C4611">
        <v>15.02</v>
      </c>
      <c r="D4611">
        <v>15.07</v>
      </c>
      <c r="E4611">
        <v>67.349999999999994</v>
      </c>
      <c r="F4611" t="s">
        <v>12</v>
      </c>
      <c r="G46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1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11">
        <f>IF(Table1[[#This Row],[is_ups_overcharge]]="ups overcharged",Table1[[#This Row],[ups ship charge]]-Table1[[#This Row],[ada ship charge]],0)</f>
        <v>0</v>
      </c>
    </row>
    <row r="4612" spans="1:9" x14ac:dyDescent="0.2">
      <c r="A4612">
        <v>1063345</v>
      </c>
      <c r="B4612" t="s">
        <v>21</v>
      </c>
      <c r="C4612">
        <v>12.75</v>
      </c>
      <c r="D4612">
        <v>12.8</v>
      </c>
      <c r="E4612">
        <v>92.85</v>
      </c>
      <c r="F4612" t="s">
        <v>9</v>
      </c>
      <c r="G46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1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12">
        <f>IF(Table1[[#This Row],[is_ups_overcharge]]="ups overcharged",Table1[[#This Row],[ups ship charge]]-Table1[[#This Row],[ada ship charge]],0)</f>
        <v>0</v>
      </c>
    </row>
    <row r="4613" spans="1:9" x14ac:dyDescent="0.2">
      <c r="A4613">
        <v>1063348</v>
      </c>
      <c r="B4613" t="s">
        <v>21</v>
      </c>
      <c r="C4613">
        <v>12.75</v>
      </c>
      <c r="D4613">
        <v>12.8</v>
      </c>
      <c r="E4613">
        <v>35.950000000000003</v>
      </c>
      <c r="F4613" t="s">
        <v>9</v>
      </c>
      <c r="G46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1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13">
        <f>IF(Table1[[#This Row],[is_ups_overcharge]]="ups overcharged",Table1[[#This Row],[ups ship charge]]-Table1[[#This Row],[ada ship charge]],0)</f>
        <v>0</v>
      </c>
    </row>
    <row r="4614" spans="1:9" x14ac:dyDescent="0.2">
      <c r="A4614">
        <v>1063349</v>
      </c>
      <c r="B4614" t="s">
        <v>21</v>
      </c>
      <c r="C4614">
        <v>13.64</v>
      </c>
      <c r="D4614">
        <v>13.69</v>
      </c>
      <c r="E4614">
        <v>39.9</v>
      </c>
      <c r="F4614" t="s">
        <v>9</v>
      </c>
      <c r="G46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1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14">
        <f>IF(Table1[[#This Row],[is_ups_overcharge]]="ups overcharged",Table1[[#This Row],[ups ship charge]]-Table1[[#This Row],[ada ship charge]],0)</f>
        <v>0</v>
      </c>
    </row>
    <row r="4615" spans="1:9" x14ac:dyDescent="0.2">
      <c r="A4615">
        <v>1063364</v>
      </c>
      <c r="B4615" t="s">
        <v>21</v>
      </c>
      <c r="C4615">
        <v>12.75</v>
      </c>
      <c r="D4615">
        <v>12.8</v>
      </c>
      <c r="E4615">
        <v>29.85</v>
      </c>
      <c r="F4615" t="s">
        <v>9</v>
      </c>
      <c r="G46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1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15">
        <f>IF(Table1[[#This Row],[is_ups_overcharge]]="ups overcharged",Table1[[#This Row],[ups ship charge]]-Table1[[#This Row],[ada ship charge]],0)</f>
        <v>0</v>
      </c>
    </row>
    <row r="4616" spans="1:9" x14ac:dyDescent="0.2">
      <c r="A4616">
        <v>1063365</v>
      </c>
      <c r="B4616" t="s">
        <v>21</v>
      </c>
      <c r="C4616">
        <v>12.75</v>
      </c>
      <c r="D4616">
        <v>13.25</v>
      </c>
      <c r="E4616">
        <v>5.9</v>
      </c>
      <c r="F4616" t="s">
        <v>9</v>
      </c>
      <c r="G46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1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16">
        <f>IF(Table1[[#This Row],[is_ups_overcharge]]="ups overcharged",Table1[[#This Row],[ups ship charge]]-Table1[[#This Row],[ada ship charge]],0)</f>
        <v>0</v>
      </c>
    </row>
    <row r="4617" spans="1:9" x14ac:dyDescent="0.2">
      <c r="A4617">
        <v>1063410</v>
      </c>
      <c r="B4617" t="s">
        <v>21</v>
      </c>
      <c r="C4617">
        <v>12.75</v>
      </c>
      <c r="D4617">
        <v>12.8</v>
      </c>
      <c r="E4617">
        <v>83.7</v>
      </c>
      <c r="F4617" t="s">
        <v>9</v>
      </c>
      <c r="G46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1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17">
        <f>IF(Table1[[#This Row],[is_ups_overcharge]]="ups overcharged",Table1[[#This Row],[ups ship charge]]-Table1[[#This Row],[ada ship charge]],0)</f>
        <v>0</v>
      </c>
    </row>
    <row r="4618" spans="1:9" x14ac:dyDescent="0.2">
      <c r="A4618">
        <v>1063415</v>
      </c>
      <c r="B4618" t="s">
        <v>21</v>
      </c>
      <c r="C4618">
        <v>13.63</v>
      </c>
      <c r="D4618">
        <v>13.68</v>
      </c>
      <c r="E4618">
        <v>61.85</v>
      </c>
      <c r="F4618" t="s">
        <v>9</v>
      </c>
      <c r="G46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1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18">
        <f>IF(Table1[[#This Row],[is_ups_overcharge]]="ups overcharged",Table1[[#This Row],[ups ship charge]]-Table1[[#This Row],[ada ship charge]],0)</f>
        <v>0</v>
      </c>
    </row>
    <row r="4619" spans="1:9" x14ac:dyDescent="0.2">
      <c r="A4619">
        <v>1063461</v>
      </c>
      <c r="B4619" t="s">
        <v>21</v>
      </c>
      <c r="C4619">
        <v>12.75</v>
      </c>
      <c r="D4619">
        <v>12.8</v>
      </c>
      <c r="E4619">
        <v>82.45</v>
      </c>
      <c r="F4619" t="s">
        <v>9</v>
      </c>
      <c r="G46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1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19">
        <f>IF(Table1[[#This Row],[is_ups_overcharge]]="ups overcharged",Table1[[#This Row],[ups ship charge]]-Table1[[#This Row],[ada ship charge]],0)</f>
        <v>0</v>
      </c>
    </row>
    <row r="4620" spans="1:9" x14ac:dyDescent="0.2">
      <c r="A4620">
        <v>1063491</v>
      </c>
      <c r="B4620" t="s">
        <v>21</v>
      </c>
      <c r="C4620">
        <v>12.75</v>
      </c>
      <c r="D4620">
        <v>12.8</v>
      </c>
      <c r="E4620">
        <v>34.549999999999997</v>
      </c>
      <c r="F4620" t="s">
        <v>9</v>
      </c>
      <c r="G46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2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20">
        <f>IF(Table1[[#This Row],[is_ups_overcharge]]="ups overcharged",Table1[[#This Row],[ups ship charge]]-Table1[[#This Row],[ada ship charge]],0)</f>
        <v>0</v>
      </c>
    </row>
    <row r="4621" spans="1:9" x14ac:dyDescent="0.2">
      <c r="A4621">
        <v>1063508</v>
      </c>
      <c r="B4621" t="s">
        <v>21</v>
      </c>
      <c r="C4621">
        <v>12.26</v>
      </c>
      <c r="D4621">
        <v>12.31</v>
      </c>
      <c r="E4621">
        <v>79.8</v>
      </c>
      <c r="F4621" t="s">
        <v>13</v>
      </c>
      <c r="G46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2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21">
        <f>IF(Table1[[#This Row],[is_ups_overcharge]]="ups overcharged",Table1[[#This Row],[ups ship charge]]-Table1[[#This Row],[ada ship charge]],0)</f>
        <v>0</v>
      </c>
    </row>
    <row r="4622" spans="1:9" x14ac:dyDescent="0.2">
      <c r="A4622">
        <v>1063528</v>
      </c>
      <c r="B4622" t="s">
        <v>21</v>
      </c>
      <c r="C4622">
        <v>12.75</v>
      </c>
      <c r="D4622">
        <v>12.8</v>
      </c>
      <c r="E4622">
        <v>7.9</v>
      </c>
      <c r="F4622" t="s">
        <v>9</v>
      </c>
      <c r="G46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2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22">
        <f>IF(Table1[[#This Row],[is_ups_overcharge]]="ups overcharged",Table1[[#This Row],[ups ship charge]]-Table1[[#This Row],[ada ship charge]],0)</f>
        <v>0</v>
      </c>
    </row>
    <row r="4623" spans="1:9" x14ac:dyDescent="0.2">
      <c r="A4623">
        <v>1063530</v>
      </c>
      <c r="B4623" t="s">
        <v>21</v>
      </c>
      <c r="C4623">
        <v>16.34</v>
      </c>
      <c r="D4623">
        <v>16.39</v>
      </c>
      <c r="E4623">
        <v>58.7</v>
      </c>
      <c r="F4623" t="s">
        <v>10</v>
      </c>
      <c r="G46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2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23">
        <f>IF(Table1[[#This Row],[is_ups_overcharge]]="ups overcharged",Table1[[#This Row],[ups ship charge]]-Table1[[#This Row],[ada ship charge]],0)</f>
        <v>0</v>
      </c>
    </row>
    <row r="4624" spans="1:9" x14ac:dyDescent="0.2">
      <c r="A4624">
        <v>1063549</v>
      </c>
      <c r="B4624" t="s">
        <v>21</v>
      </c>
      <c r="C4624">
        <v>13.64</v>
      </c>
      <c r="D4624">
        <v>13.69</v>
      </c>
      <c r="E4624">
        <v>25.85</v>
      </c>
      <c r="F4624" t="s">
        <v>9</v>
      </c>
      <c r="G46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2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24">
        <f>IF(Table1[[#This Row],[is_ups_overcharge]]="ups overcharged",Table1[[#This Row],[ups ship charge]]-Table1[[#This Row],[ada ship charge]],0)</f>
        <v>0</v>
      </c>
    </row>
    <row r="4625" spans="1:9" x14ac:dyDescent="0.2">
      <c r="A4625">
        <v>1063580</v>
      </c>
      <c r="B4625" t="s">
        <v>21</v>
      </c>
      <c r="C4625">
        <v>16.649999999999999</v>
      </c>
      <c r="D4625">
        <v>16.7</v>
      </c>
      <c r="E4625">
        <v>67.5</v>
      </c>
      <c r="F4625" t="s">
        <v>10</v>
      </c>
      <c r="G46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2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25">
        <f>IF(Table1[[#This Row],[is_ups_overcharge]]="ups overcharged",Table1[[#This Row],[ups ship charge]]-Table1[[#This Row],[ada ship charge]],0)</f>
        <v>0</v>
      </c>
    </row>
    <row r="4626" spans="1:9" x14ac:dyDescent="0.2">
      <c r="A4626">
        <v>1063593</v>
      </c>
      <c r="B4626" t="s">
        <v>21</v>
      </c>
      <c r="C4626">
        <v>12.75</v>
      </c>
      <c r="D4626">
        <v>12.8</v>
      </c>
      <c r="E4626">
        <v>16.399999999999999</v>
      </c>
      <c r="F4626" t="s">
        <v>9</v>
      </c>
      <c r="G46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2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26">
        <f>IF(Table1[[#This Row],[is_ups_overcharge]]="ups overcharged",Table1[[#This Row],[ups ship charge]]-Table1[[#This Row],[ada ship charge]],0)</f>
        <v>0</v>
      </c>
    </row>
    <row r="4627" spans="1:9" x14ac:dyDescent="0.2">
      <c r="A4627">
        <v>1063646</v>
      </c>
      <c r="B4627" t="s">
        <v>21</v>
      </c>
      <c r="C4627">
        <v>12.26</v>
      </c>
      <c r="D4627">
        <v>16.7</v>
      </c>
      <c r="E4627">
        <v>26.8</v>
      </c>
      <c r="F4627" t="s">
        <v>13</v>
      </c>
      <c r="G46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2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27">
        <f>IF(Table1[[#This Row],[is_ups_overcharge]]="ups overcharged",Table1[[#This Row],[ups ship charge]]-Table1[[#This Row],[ada ship charge]],0)</f>
        <v>0</v>
      </c>
    </row>
    <row r="4628" spans="1:9" x14ac:dyDescent="0.2">
      <c r="A4628">
        <v>1063715</v>
      </c>
      <c r="B4628" t="s">
        <v>21</v>
      </c>
      <c r="C4628">
        <v>9.66</v>
      </c>
      <c r="D4628">
        <v>0</v>
      </c>
      <c r="E4628">
        <v>89.85</v>
      </c>
      <c r="F4628" t="s">
        <v>6</v>
      </c>
      <c r="G46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28" t="str">
        <f>IF(Table1[[#This Row],[is_free_shipping?]]="free shipping","free shipping",IF(Table1[[#This Row],[ada ship charge]]&lt;Table1[[#This Row],[ups ship charge]],"ups overcharged","ups did not overcharge"))</f>
        <v>ups overcharged</v>
      </c>
      <c r="I4628">
        <f>IF(Table1[[#This Row],[is_ups_overcharge]]="ups overcharged",Table1[[#This Row],[ups ship charge]]-Table1[[#This Row],[ada ship charge]],0)</f>
        <v>9.66</v>
      </c>
    </row>
    <row r="4629" spans="1:9" x14ac:dyDescent="0.2">
      <c r="A4629">
        <v>1063739</v>
      </c>
      <c r="B4629" t="s">
        <v>21</v>
      </c>
      <c r="C4629">
        <v>16.649999999999999</v>
      </c>
      <c r="D4629">
        <v>16.7</v>
      </c>
      <c r="E4629">
        <v>82.45</v>
      </c>
      <c r="F4629" t="s">
        <v>10</v>
      </c>
      <c r="G46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2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29">
        <f>IF(Table1[[#This Row],[is_ups_overcharge]]="ups overcharged",Table1[[#This Row],[ups ship charge]]-Table1[[#This Row],[ada ship charge]],0)</f>
        <v>0</v>
      </c>
    </row>
    <row r="4630" spans="1:9" x14ac:dyDescent="0.2">
      <c r="A4630">
        <v>1063757</v>
      </c>
      <c r="B4630" t="s">
        <v>21</v>
      </c>
      <c r="C4630">
        <v>12.75</v>
      </c>
      <c r="D4630">
        <v>12.8</v>
      </c>
      <c r="E4630">
        <v>64.8</v>
      </c>
      <c r="F4630" t="s">
        <v>9</v>
      </c>
      <c r="G46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3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30">
        <f>IF(Table1[[#This Row],[is_ups_overcharge]]="ups overcharged",Table1[[#This Row],[ups ship charge]]-Table1[[#This Row],[ada ship charge]],0)</f>
        <v>0</v>
      </c>
    </row>
    <row r="4631" spans="1:9" x14ac:dyDescent="0.2">
      <c r="A4631">
        <v>1063806</v>
      </c>
      <c r="B4631" t="s">
        <v>21</v>
      </c>
      <c r="C4631">
        <v>13.64</v>
      </c>
      <c r="D4631">
        <v>13.69</v>
      </c>
      <c r="E4631">
        <v>34.950000000000003</v>
      </c>
      <c r="F4631" t="s">
        <v>9</v>
      </c>
      <c r="G46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3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31">
        <f>IF(Table1[[#This Row],[is_ups_overcharge]]="ups overcharged",Table1[[#This Row],[ups ship charge]]-Table1[[#This Row],[ada ship charge]],0)</f>
        <v>0</v>
      </c>
    </row>
    <row r="4632" spans="1:9" x14ac:dyDescent="0.2">
      <c r="A4632">
        <v>1063807</v>
      </c>
      <c r="B4632" t="s">
        <v>21</v>
      </c>
      <c r="C4632">
        <v>9.66</v>
      </c>
      <c r="D4632">
        <v>9.7100000000000009</v>
      </c>
      <c r="E4632">
        <v>130.9</v>
      </c>
      <c r="F4632" t="s">
        <v>6</v>
      </c>
      <c r="G46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3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32">
        <f>IF(Table1[[#This Row],[is_ups_overcharge]]="ups overcharged",Table1[[#This Row],[ups ship charge]]-Table1[[#This Row],[ada ship charge]],0)</f>
        <v>0</v>
      </c>
    </row>
    <row r="4633" spans="1:9" x14ac:dyDescent="0.2">
      <c r="A4633">
        <v>1063825</v>
      </c>
      <c r="B4633" t="s">
        <v>21</v>
      </c>
      <c r="C4633">
        <v>13.64</v>
      </c>
      <c r="D4633">
        <v>13.69</v>
      </c>
      <c r="E4633">
        <v>119.85</v>
      </c>
      <c r="F4633" t="s">
        <v>9</v>
      </c>
      <c r="G46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3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33">
        <f>IF(Table1[[#This Row],[is_ups_overcharge]]="ups overcharged",Table1[[#This Row],[ups ship charge]]-Table1[[#This Row],[ada ship charge]],0)</f>
        <v>0</v>
      </c>
    </row>
    <row r="4634" spans="1:9" x14ac:dyDescent="0.2">
      <c r="A4634">
        <v>1063828</v>
      </c>
      <c r="B4634" t="s">
        <v>21</v>
      </c>
      <c r="C4634">
        <v>12.75</v>
      </c>
      <c r="D4634">
        <v>12.8</v>
      </c>
      <c r="E4634">
        <v>70.849999999999994</v>
      </c>
      <c r="F4634" t="s">
        <v>9</v>
      </c>
      <c r="G46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3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34">
        <f>IF(Table1[[#This Row],[is_ups_overcharge]]="ups overcharged",Table1[[#This Row],[ups ship charge]]-Table1[[#This Row],[ada ship charge]],0)</f>
        <v>0</v>
      </c>
    </row>
    <row r="4635" spans="1:9" x14ac:dyDescent="0.2">
      <c r="A4635">
        <v>1063840</v>
      </c>
      <c r="B4635" t="s">
        <v>21</v>
      </c>
      <c r="C4635">
        <v>21.39</v>
      </c>
      <c r="D4635">
        <v>21.44</v>
      </c>
      <c r="E4635">
        <v>35</v>
      </c>
      <c r="F4635" t="s">
        <v>15</v>
      </c>
      <c r="G46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3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35">
        <f>IF(Table1[[#This Row],[is_ups_overcharge]]="ups overcharged",Table1[[#This Row],[ups ship charge]]-Table1[[#This Row],[ada ship charge]],0)</f>
        <v>0</v>
      </c>
    </row>
    <row r="4636" spans="1:9" x14ac:dyDescent="0.2">
      <c r="A4636">
        <v>1063852</v>
      </c>
      <c r="B4636" t="s">
        <v>21</v>
      </c>
      <c r="C4636">
        <v>10.94</v>
      </c>
      <c r="D4636">
        <v>10.99</v>
      </c>
      <c r="E4636">
        <v>34.5</v>
      </c>
      <c r="F4636" t="s">
        <v>14</v>
      </c>
      <c r="G46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3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36">
        <f>IF(Table1[[#This Row],[is_ups_overcharge]]="ups overcharged",Table1[[#This Row],[ups ship charge]]-Table1[[#This Row],[ada ship charge]],0)</f>
        <v>0</v>
      </c>
    </row>
    <row r="4637" spans="1:9" x14ac:dyDescent="0.2">
      <c r="A4637">
        <v>1063857</v>
      </c>
      <c r="B4637" t="s">
        <v>21</v>
      </c>
      <c r="C4637">
        <v>13.64</v>
      </c>
      <c r="D4637">
        <v>13.69</v>
      </c>
      <c r="E4637">
        <v>68.650000000000006</v>
      </c>
      <c r="F4637" t="s">
        <v>9</v>
      </c>
      <c r="G46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3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37">
        <f>IF(Table1[[#This Row],[is_ups_overcharge]]="ups overcharged",Table1[[#This Row],[ups ship charge]]-Table1[[#This Row],[ada ship charge]],0)</f>
        <v>0</v>
      </c>
    </row>
    <row r="4638" spans="1:9" x14ac:dyDescent="0.2">
      <c r="A4638">
        <v>1063863</v>
      </c>
      <c r="B4638" t="s">
        <v>21</v>
      </c>
      <c r="C4638">
        <v>17.579999999999998</v>
      </c>
      <c r="D4638">
        <v>17.63</v>
      </c>
      <c r="E4638">
        <v>40.950000000000003</v>
      </c>
      <c r="F4638" t="s">
        <v>15</v>
      </c>
      <c r="G46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3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38">
        <f>IF(Table1[[#This Row],[is_ups_overcharge]]="ups overcharged",Table1[[#This Row],[ups ship charge]]-Table1[[#This Row],[ada ship charge]],0)</f>
        <v>0</v>
      </c>
    </row>
    <row r="4639" spans="1:9" x14ac:dyDescent="0.2">
      <c r="A4639">
        <v>1063864</v>
      </c>
      <c r="B4639" t="s">
        <v>21</v>
      </c>
      <c r="C4639">
        <v>12.26</v>
      </c>
      <c r="D4639">
        <v>12.31</v>
      </c>
      <c r="E4639">
        <v>29.9</v>
      </c>
      <c r="F4639" t="s">
        <v>13</v>
      </c>
      <c r="G46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3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39">
        <f>IF(Table1[[#This Row],[is_ups_overcharge]]="ups overcharged",Table1[[#This Row],[ups ship charge]]-Table1[[#This Row],[ada ship charge]],0)</f>
        <v>0</v>
      </c>
    </row>
    <row r="4640" spans="1:9" x14ac:dyDescent="0.2">
      <c r="A4640">
        <v>1063876</v>
      </c>
      <c r="B4640" t="s">
        <v>21</v>
      </c>
      <c r="C4640">
        <v>10.94</v>
      </c>
      <c r="D4640">
        <v>10.99</v>
      </c>
      <c r="E4640">
        <v>49.7</v>
      </c>
      <c r="F4640" t="s">
        <v>14</v>
      </c>
      <c r="G46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4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40">
        <f>IF(Table1[[#This Row],[is_ups_overcharge]]="ups overcharged",Table1[[#This Row],[ups ship charge]]-Table1[[#This Row],[ada ship charge]],0)</f>
        <v>0</v>
      </c>
    </row>
    <row r="4641" spans="1:9" x14ac:dyDescent="0.2">
      <c r="A4641">
        <v>1063878</v>
      </c>
      <c r="B4641" t="s">
        <v>21</v>
      </c>
      <c r="C4641">
        <v>12.75</v>
      </c>
      <c r="D4641">
        <v>12.8</v>
      </c>
      <c r="E4641">
        <v>14.95</v>
      </c>
      <c r="F4641" t="s">
        <v>9</v>
      </c>
      <c r="G46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4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41">
        <f>IF(Table1[[#This Row],[is_ups_overcharge]]="ups overcharged",Table1[[#This Row],[ups ship charge]]-Table1[[#This Row],[ada ship charge]],0)</f>
        <v>0</v>
      </c>
    </row>
    <row r="4642" spans="1:9" x14ac:dyDescent="0.2">
      <c r="A4642">
        <v>1063879</v>
      </c>
      <c r="B4642" t="s">
        <v>21</v>
      </c>
      <c r="C4642">
        <v>16.34</v>
      </c>
      <c r="D4642">
        <v>16.39</v>
      </c>
      <c r="E4642">
        <v>19.95</v>
      </c>
      <c r="F4642" t="s">
        <v>10</v>
      </c>
      <c r="G46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4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42">
        <f>IF(Table1[[#This Row],[is_ups_overcharge]]="ups overcharged",Table1[[#This Row],[ups ship charge]]-Table1[[#This Row],[ada ship charge]],0)</f>
        <v>0</v>
      </c>
    </row>
    <row r="4643" spans="1:9" x14ac:dyDescent="0.2">
      <c r="A4643">
        <v>1063892</v>
      </c>
      <c r="B4643" t="s">
        <v>21</v>
      </c>
      <c r="C4643">
        <v>13.64</v>
      </c>
      <c r="D4643">
        <v>13.69</v>
      </c>
      <c r="E4643">
        <v>66.7</v>
      </c>
      <c r="F4643" t="s">
        <v>9</v>
      </c>
      <c r="G46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4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43">
        <f>IF(Table1[[#This Row],[is_ups_overcharge]]="ups overcharged",Table1[[#This Row],[ups ship charge]]-Table1[[#This Row],[ada ship charge]],0)</f>
        <v>0</v>
      </c>
    </row>
    <row r="4644" spans="1:9" x14ac:dyDescent="0.2">
      <c r="A4644">
        <v>1063899</v>
      </c>
      <c r="B4644" t="s">
        <v>21</v>
      </c>
      <c r="C4644">
        <v>13.64</v>
      </c>
      <c r="D4644">
        <v>13.69</v>
      </c>
      <c r="E4644">
        <v>56.85</v>
      </c>
      <c r="F4644" t="s">
        <v>9</v>
      </c>
      <c r="G46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4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44">
        <f>IF(Table1[[#This Row],[is_ups_overcharge]]="ups overcharged",Table1[[#This Row],[ups ship charge]]-Table1[[#This Row],[ada ship charge]],0)</f>
        <v>0</v>
      </c>
    </row>
    <row r="4645" spans="1:9" x14ac:dyDescent="0.2">
      <c r="A4645">
        <v>1063920</v>
      </c>
      <c r="B4645" t="s">
        <v>21</v>
      </c>
      <c r="C4645">
        <v>13.64</v>
      </c>
      <c r="D4645">
        <v>13.69</v>
      </c>
      <c r="E4645">
        <v>34.950000000000003</v>
      </c>
      <c r="F4645" t="s">
        <v>9</v>
      </c>
      <c r="G46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4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45">
        <f>IF(Table1[[#This Row],[is_ups_overcharge]]="ups overcharged",Table1[[#This Row],[ups ship charge]]-Table1[[#This Row],[ada ship charge]],0)</f>
        <v>0</v>
      </c>
    </row>
    <row r="4646" spans="1:9" x14ac:dyDescent="0.2">
      <c r="A4646">
        <v>1063928</v>
      </c>
      <c r="B4646" t="s">
        <v>21</v>
      </c>
      <c r="C4646">
        <v>12.75</v>
      </c>
      <c r="D4646">
        <v>12.8</v>
      </c>
      <c r="E4646">
        <v>47.9</v>
      </c>
      <c r="F4646" t="s">
        <v>9</v>
      </c>
      <c r="G46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4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46">
        <f>IF(Table1[[#This Row],[is_ups_overcharge]]="ups overcharged",Table1[[#This Row],[ups ship charge]]-Table1[[#This Row],[ada ship charge]],0)</f>
        <v>0</v>
      </c>
    </row>
    <row r="4647" spans="1:9" x14ac:dyDescent="0.2">
      <c r="A4647">
        <v>1063941</v>
      </c>
      <c r="B4647" t="s">
        <v>21</v>
      </c>
      <c r="C4647">
        <v>9.66</v>
      </c>
      <c r="D4647">
        <v>9.7100000000000009</v>
      </c>
      <c r="E4647">
        <v>4.95</v>
      </c>
      <c r="F4647" t="s">
        <v>6</v>
      </c>
      <c r="G46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4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47">
        <f>IF(Table1[[#This Row],[is_ups_overcharge]]="ups overcharged",Table1[[#This Row],[ups ship charge]]-Table1[[#This Row],[ada ship charge]],0)</f>
        <v>0</v>
      </c>
    </row>
    <row r="4648" spans="1:9" x14ac:dyDescent="0.2">
      <c r="A4648">
        <v>1063946</v>
      </c>
      <c r="B4648" t="s">
        <v>21</v>
      </c>
      <c r="C4648">
        <v>13.64</v>
      </c>
      <c r="D4648">
        <v>13.69</v>
      </c>
      <c r="E4648">
        <v>31.8</v>
      </c>
      <c r="F4648" t="s">
        <v>9</v>
      </c>
      <c r="G46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4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48">
        <f>IF(Table1[[#This Row],[is_ups_overcharge]]="ups overcharged",Table1[[#This Row],[ups ship charge]]-Table1[[#This Row],[ada ship charge]],0)</f>
        <v>0</v>
      </c>
    </row>
    <row r="4649" spans="1:9" x14ac:dyDescent="0.2">
      <c r="A4649">
        <v>1063959</v>
      </c>
      <c r="B4649" t="s">
        <v>21</v>
      </c>
      <c r="C4649">
        <v>9.65</v>
      </c>
      <c r="D4649">
        <v>13.25</v>
      </c>
      <c r="E4649">
        <v>75.7</v>
      </c>
      <c r="F4649" t="s">
        <v>6</v>
      </c>
      <c r="G46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4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49">
        <f>IF(Table1[[#This Row],[is_ups_overcharge]]="ups overcharged",Table1[[#This Row],[ups ship charge]]-Table1[[#This Row],[ada ship charge]],0)</f>
        <v>0</v>
      </c>
    </row>
    <row r="4650" spans="1:9" x14ac:dyDescent="0.2">
      <c r="A4650">
        <v>1063980</v>
      </c>
      <c r="B4650" t="s">
        <v>21</v>
      </c>
      <c r="C4650">
        <v>13.64</v>
      </c>
      <c r="D4650">
        <v>13.69</v>
      </c>
      <c r="E4650">
        <v>95.05</v>
      </c>
      <c r="F4650" t="s">
        <v>9</v>
      </c>
      <c r="G46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5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50">
        <f>IF(Table1[[#This Row],[is_ups_overcharge]]="ups overcharged",Table1[[#This Row],[ups ship charge]]-Table1[[#This Row],[ada ship charge]],0)</f>
        <v>0</v>
      </c>
    </row>
    <row r="4651" spans="1:9" x14ac:dyDescent="0.2">
      <c r="A4651">
        <v>1063996</v>
      </c>
      <c r="B4651" t="s">
        <v>21</v>
      </c>
      <c r="C4651">
        <v>13.64</v>
      </c>
      <c r="D4651">
        <v>13.69</v>
      </c>
      <c r="E4651">
        <v>70.3</v>
      </c>
      <c r="F4651" t="s">
        <v>9</v>
      </c>
      <c r="G46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5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51">
        <f>IF(Table1[[#This Row],[is_ups_overcharge]]="ups overcharged",Table1[[#This Row],[ups ship charge]]-Table1[[#This Row],[ada ship charge]],0)</f>
        <v>0</v>
      </c>
    </row>
    <row r="4652" spans="1:9" x14ac:dyDescent="0.2">
      <c r="A4652">
        <v>1063997</v>
      </c>
      <c r="B4652" t="s">
        <v>21</v>
      </c>
      <c r="C4652">
        <v>13.64</v>
      </c>
      <c r="D4652">
        <v>13.68</v>
      </c>
      <c r="E4652">
        <v>29.9</v>
      </c>
      <c r="F4652" t="s">
        <v>9</v>
      </c>
      <c r="G46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5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52">
        <f>IF(Table1[[#This Row],[is_ups_overcharge]]="ups overcharged",Table1[[#This Row],[ups ship charge]]-Table1[[#This Row],[ada ship charge]],0)</f>
        <v>0</v>
      </c>
    </row>
    <row r="4653" spans="1:9" x14ac:dyDescent="0.2">
      <c r="A4653">
        <v>1064000</v>
      </c>
      <c r="B4653" t="s">
        <v>21</v>
      </c>
      <c r="C4653">
        <v>10.94</v>
      </c>
      <c r="D4653">
        <v>13.39</v>
      </c>
      <c r="E4653">
        <v>447.4</v>
      </c>
      <c r="F4653" t="s">
        <v>14</v>
      </c>
      <c r="G46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5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53">
        <f>IF(Table1[[#This Row],[is_ups_overcharge]]="ups overcharged",Table1[[#This Row],[ups ship charge]]-Table1[[#This Row],[ada ship charge]],0)</f>
        <v>0</v>
      </c>
    </row>
    <row r="4654" spans="1:9" x14ac:dyDescent="0.2">
      <c r="A4654">
        <v>1064007</v>
      </c>
      <c r="B4654" t="s">
        <v>21</v>
      </c>
      <c r="C4654">
        <v>10.210000000000001</v>
      </c>
      <c r="D4654">
        <v>10.26</v>
      </c>
      <c r="E4654">
        <v>67</v>
      </c>
      <c r="F4654" t="s">
        <v>6</v>
      </c>
      <c r="G46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5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54">
        <f>IF(Table1[[#This Row],[is_ups_overcharge]]="ups overcharged",Table1[[#This Row],[ups ship charge]]-Table1[[#This Row],[ada ship charge]],0)</f>
        <v>0</v>
      </c>
    </row>
    <row r="4655" spans="1:9" x14ac:dyDescent="0.2">
      <c r="A4655">
        <v>1064015</v>
      </c>
      <c r="B4655" t="s">
        <v>21</v>
      </c>
      <c r="C4655">
        <v>12.26</v>
      </c>
      <c r="D4655">
        <v>12.31</v>
      </c>
      <c r="E4655">
        <v>22.9</v>
      </c>
      <c r="F4655" t="s">
        <v>13</v>
      </c>
      <c r="G46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5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55">
        <f>IF(Table1[[#This Row],[is_ups_overcharge]]="ups overcharged",Table1[[#This Row],[ups ship charge]]-Table1[[#This Row],[ada ship charge]],0)</f>
        <v>0</v>
      </c>
    </row>
    <row r="4656" spans="1:9" x14ac:dyDescent="0.2">
      <c r="A4656">
        <v>1064026</v>
      </c>
      <c r="B4656" t="s">
        <v>21</v>
      </c>
      <c r="C4656">
        <v>13.64</v>
      </c>
      <c r="D4656">
        <v>13.69</v>
      </c>
      <c r="E4656">
        <v>109.75</v>
      </c>
      <c r="F4656" t="s">
        <v>9</v>
      </c>
      <c r="G46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5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56">
        <f>IF(Table1[[#This Row],[is_ups_overcharge]]="ups overcharged",Table1[[#This Row],[ups ship charge]]-Table1[[#This Row],[ada ship charge]],0)</f>
        <v>0</v>
      </c>
    </row>
    <row r="4657" spans="1:9" x14ac:dyDescent="0.2">
      <c r="A4657">
        <v>1064037</v>
      </c>
      <c r="B4657" t="s">
        <v>21</v>
      </c>
      <c r="C4657">
        <v>15.33</v>
      </c>
      <c r="D4657">
        <v>15.38</v>
      </c>
      <c r="E4657">
        <v>13.9</v>
      </c>
      <c r="F4657" t="s">
        <v>12</v>
      </c>
      <c r="G46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5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57">
        <f>IF(Table1[[#This Row],[is_ups_overcharge]]="ups overcharged",Table1[[#This Row],[ups ship charge]]-Table1[[#This Row],[ada ship charge]],0)</f>
        <v>0</v>
      </c>
    </row>
    <row r="4658" spans="1:9" x14ac:dyDescent="0.2">
      <c r="A4658">
        <v>1064051</v>
      </c>
      <c r="B4658" t="s">
        <v>21</v>
      </c>
      <c r="C4658">
        <v>18.02</v>
      </c>
      <c r="D4658">
        <v>18.07</v>
      </c>
      <c r="E4658">
        <v>6.95</v>
      </c>
      <c r="F4658" t="s">
        <v>15</v>
      </c>
      <c r="G46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5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58">
        <f>IF(Table1[[#This Row],[is_ups_overcharge]]="ups overcharged",Table1[[#This Row],[ups ship charge]]-Table1[[#This Row],[ada ship charge]],0)</f>
        <v>0</v>
      </c>
    </row>
    <row r="4659" spans="1:9" x14ac:dyDescent="0.2">
      <c r="A4659">
        <v>1064062</v>
      </c>
      <c r="B4659" t="s">
        <v>21</v>
      </c>
      <c r="C4659">
        <v>15.33</v>
      </c>
      <c r="D4659">
        <v>15.38</v>
      </c>
      <c r="E4659">
        <v>29.95</v>
      </c>
      <c r="F4659" t="s">
        <v>12</v>
      </c>
      <c r="G46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5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59">
        <f>IF(Table1[[#This Row],[is_ups_overcharge]]="ups overcharged",Table1[[#This Row],[ups ship charge]]-Table1[[#This Row],[ada ship charge]],0)</f>
        <v>0</v>
      </c>
    </row>
    <row r="4660" spans="1:9" x14ac:dyDescent="0.2">
      <c r="A4660">
        <v>1064070</v>
      </c>
      <c r="B4660" t="s">
        <v>21</v>
      </c>
      <c r="C4660">
        <v>12.75</v>
      </c>
      <c r="D4660">
        <v>12.8</v>
      </c>
      <c r="E4660">
        <v>18.8</v>
      </c>
      <c r="F4660" t="s">
        <v>9</v>
      </c>
      <c r="G46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6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60">
        <f>IF(Table1[[#This Row],[is_ups_overcharge]]="ups overcharged",Table1[[#This Row],[ups ship charge]]-Table1[[#This Row],[ada ship charge]],0)</f>
        <v>0</v>
      </c>
    </row>
    <row r="4661" spans="1:9" x14ac:dyDescent="0.2">
      <c r="A4661">
        <v>1064086</v>
      </c>
      <c r="B4661" t="s">
        <v>21</v>
      </c>
      <c r="C4661">
        <v>12.75</v>
      </c>
      <c r="D4661">
        <v>12.84</v>
      </c>
      <c r="E4661">
        <v>59.35</v>
      </c>
      <c r="F4661" t="s">
        <v>9</v>
      </c>
      <c r="G46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6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61">
        <f>IF(Table1[[#This Row],[is_ups_overcharge]]="ups overcharged",Table1[[#This Row],[ups ship charge]]-Table1[[#This Row],[ada ship charge]],0)</f>
        <v>0</v>
      </c>
    </row>
    <row r="4662" spans="1:9" x14ac:dyDescent="0.2">
      <c r="A4662">
        <v>1064092</v>
      </c>
      <c r="B4662" t="s">
        <v>21</v>
      </c>
      <c r="C4662">
        <v>15.02</v>
      </c>
      <c r="D4662">
        <v>15.07</v>
      </c>
      <c r="E4662">
        <v>62.15</v>
      </c>
      <c r="F4662" t="s">
        <v>12</v>
      </c>
      <c r="G46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6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62">
        <f>IF(Table1[[#This Row],[is_ups_overcharge]]="ups overcharged",Table1[[#This Row],[ups ship charge]]-Table1[[#This Row],[ada ship charge]],0)</f>
        <v>0</v>
      </c>
    </row>
    <row r="4663" spans="1:9" x14ac:dyDescent="0.2">
      <c r="A4663">
        <v>1064112</v>
      </c>
      <c r="B4663" t="s">
        <v>21</v>
      </c>
      <c r="C4663">
        <v>9.65</v>
      </c>
      <c r="D4663">
        <v>9.6999999999999993</v>
      </c>
      <c r="E4663">
        <v>70.8</v>
      </c>
      <c r="F4663" t="s">
        <v>6</v>
      </c>
      <c r="G46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6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63">
        <f>IF(Table1[[#This Row],[is_ups_overcharge]]="ups overcharged",Table1[[#This Row],[ups ship charge]]-Table1[[#This Row],[ada ship charge]],0)</f>
        <v>0</v>
      </c>
    </row>
    <row r="4664" spans="1:9" x14ac:dyDescent="0.2">
      <c r="A4664">
        <v>1064144</v>
      </c>
      <c r="B4664" t="s">
        <v>21</v>
      </c>
      <c r="C4664">
        <v>9.65</v>
      </c>
      <c r="D4664">
        <v>13.69</v>
      </c>
      <c r="E4664">
        <v>7.5</v>
      </c>
      <c r="F4664" t="s">
        <v>6</v>
      </c>
      <c r="G46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6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64">
        <f>IF(Table1[[#This Row],[is_ups_overcharge]]="ups overcharged",Table1[[#This Row],[ups ship charge]]-Table1[[#This Row],[ada ship charge]],0)</f>
        <v>0</v>
      </c>
    </row>
    <row r="4665" spans="1:9" x14ac:dyDescent="0.2">
      <c r="A4665">
        <v>1064164</v>
      </c>
      <c r="B4665" t="s">
        <v>21</v>
      </c>
      <c r="C4665">
        <v>12.75</v>
      </c>
      <c r="D4665">
        <v>12.8</v>
      </c>
      <c r="E4665">
        <v>57.4</v>
      </c>
      <c r="F4665" t="s">
        <v>9</v>
      </c>
      <c r="G46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6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65">
        <f>IF(Table1[[#This Row],[is_ups_overcharge]]="ups overcharged",Table1[[#This Row],[ups ship charge]]-Table1[[#This Row],[ada ship charge]],0)</f>
        <v>0</v>
      </c>
    </row>
    <row r="4666" spans="1:9" x14ac:dyDescent="0.2">
      <c r="A4666">
        <v>1064179</v>
      </c>
      <c r="B4666" t="s">
        <v>21</v>
      </c>
      <c r="C4666">
        <v>12.75</v>
      </c>
      <c r="D4666">
        <v>12.8</v>
      </c>
      <c r="E4666">
        <v>66.849999999999994</v>
      </c>
      <c r="F4666" t="s">
        <v>9</v>
      </c>
      <c r="G46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6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66">
        <f>IF(Table1[[#This Row],[is_ups_overcharge]]="ups overcharged",Table1[[#This Row],[ups ship charge]]-Table1[[#This Row],[ada ship charge]],0)</f>
        <v>0</v>
      </c>
    </row>
    <row r="4667" spans="1:9" x14ac:dyDescent="0.2">
      <c r="A4667">
        <v>1064212</v>
      </c>
      <c r="B4667" t="s">
        <v>21</v>
      </c>
      <c r="C4667">
        <v>9.66</v>
      </c>
      <c r="D4667">
        <v>9.7100000000000009</v>
      </c>
      <c r="E4667">
        <v>44.95</v>
      </c>
      <c r="F4667" t="s">
        <v>6</v>
      </c>
      <c r="G46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6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67">
        <f>IF(Table1[[#This Row],[is_ups_overcharge]]="ups overcharged",Table1[[#This Row],[ups ship charge]]-Table1[[#This Row],[ada ship charge]],0)</f>
        <v>0</v>
      </c>
    </row>
    <row r="4668" spans="1:9" x14ac:dyDescent="0.2">
      <c r="A4668">
        <v>1064214</v>
      </c>
      <c r="B4668" t="s">
        <v>21</v>
      </c>
      <c r="C4668">
        <v>12.75</v>
      </c>
      <c r="D4668">
        <v>12.8</v>
      </c>
      <c r="E4668">
        <v>54.7</v>
      </c>
      <c r="F4668" t="s">
        <v>9</v>
      </c>
      <c r="G46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6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68">
        <f>IF(Table1[[#This Row],[is_ups_overcharge]]="ups overcharged",Table1[[#This Row],[ups ship charge]]-Table1[[#This Row],[ada ship charge]],0)</f>
        <v>0</v>
      </c>
    </row>
    <row r="4669" spans="1:9" x14ac:dyDescent="0.2">
      <c r="A4669">
        <v>1064223</v>
      </c>
      <c r="B4669" t="s">
        <v>21</v>
      </c>
      <c r="C4669">
        <v>15.32</v>
      </c>
      <c r="D4669">
        <v>15.38</v>
      </c>
      <c r="E4669">
        <v>122.45</v>
      </c>
      <c r="F4669" t="s">
        <v>12</v>
      </c>
      <c r="G46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6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69">
        <f>IF(Table1[[#This Row],[is_ups_overcharge]]="ups overcharged",Table1[[#This Row],[ups ship charge]]-Table1[[#This Row],[ada ship charge]],0)</f>
        <v>0</v>
      </c>
    </row>
    <row r="4670" spans="1:9" x14ac:dyDescent="0.2">
      <c r="A4670">
        <v>1064229</v>
      </c>
      <c r="B4670" t="s">
        <v>21</v>
      </c>
      <c r="C4670">
        <v>12.75</v>
      </c>
      <c r="D4670">
        <v>12.8</v>
      </c>
      <c r="E4670">
        <v>73.349999999999994</v>
      </c>
      <c r="F4670" t="s">
        <v>9</v>
      </c>
      <c r="G46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7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70">
        <f>IF(Table1[[#This Row],[is_ups_overcharge]]="ups overcharged",Table1[[#This Row],[ups ship charge]]-Table1[[#This Row],[ada ship charge]],0)</f>
        <v>0</v>
      </c>
    </row>
    <row r="4671" spans="1:9" x14ac:dyDescent="0.2">
      <c r="A4671">
        <v>1064234</v>
      </c>
      <c r="B4671" t="s">
        <v>21</v>
      </c>
      <c r="C4671">
        <v>12.75</v>
      </c>
      <c r="D4671">
        <v>12.8</v>
      </c>
      <c r="E4671">
        <v>47.9</v>
      </c>
      <c r="F4671" t="s">
        <v>9</v>
      </c>
      <c r="G46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7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71">
        <f>IF(Table1[[#This Row],[is_ups_overcharge]]="ups overcharged",Table1[[#This Row],[ups ship charge]]-Table1[[#This Row],[ada ship charge]],0)</f>
        <v>0</v>
      </c>
    </row>
    <row r="4672" spans="1:9" x14ac:dyDescent="0.2">
      <c r="A4672">
        <v>1064235</v>
      </c>
      <c r="B4672" t="s">
        <v>21</v>
      </c>
      <c r="C4672">
        <v>18.79</v>
      </c>
      <c r="D4672">
        <v>20.78</v>
      </c>
      <c r="E4672">
        <v>99.95</v>
      </c>
      <c r="F4672" t="s">
        <v>15</v>
      </c>
      <c r="G46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7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72">
        <f>IF(Table1[[#This Row],[is_ups_overcharge]]="ups overcharged",Table1[[#This Row],[ups ship charge]]-Table1[[#This Row],[ada ship charge]],0)</f>
        <v>0</v>
      </c>
    </row>
    <row r="4673" spans="1:9" x14ac:dyDescent="0.2">
      <c r="A4673">
        <v>1064273</v>
      </c>
      <c r="B4673" t="s">
        <v>21</v>
      </c>
      <c r="C4673">
        <v>13.64</v>
      </c>
      <c r="D4673">
        <v>13.69</v>
      </c>
      <c r="E4673">
        <v>49.95</v>
      </c>
      <c r="F4673" t="s">
        <v>9</v>
      </c>
      <c r="G46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7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73">
        <f>IF(Table1[[#This Row],[is_ups_overcharge]]="ups overcharged",Table1[[#This Row],[ups ship charge]]-Table1[[#This Row],[ada ship charge]],0)</f>
        <v>0</v>
      </c>
    </row>
    <row r="4674" spans="1:9" x14ac:dyDescent="0.2">
      <c r="A4674">
        <v>1064288</v>
      </c>
      <c r="B4674" t="s">
        <v>21</v>
      </c>
      <c r="C4674">
        <v>13.64</v>
      </c>
      <c r="D4674">
        <v>13.69</v>
      </c>
      <c r="E4674">
        <v>47.55</v>
      </c>
      <c r="F4674" t="s">
        <v>9</v>
      </c>
      <c r="G46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7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74">
        <f>IF(Table1[[#This Row],[is_ups_overcharge]]="ups overcharged",Table1[[#This Row],[ups ship charge]]-Table1[[#This Row],[ada ship charge]],0)</f>
        <v>0</v>
      </c>
    </row>
    <row r="4675" spans="1:9" x14ac:dyDescent="0.2">
      <c r="A4675">
        <v>1064308</v>
      </c>
      <c r="B4675" t="s">
        <v>21</v>
      </c>
      <c r="C4675">
        <v>16.34</v>
      </c>
      <c r="D4675">
        <v>16.39</v>
      </c>
      <c r="E4675">
        <v>65.25</v>
      </c>
      <c r="F4675" t="s">
        <v>10</v>
      </c>
      <c r="G46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7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75">
        <f>IF(Table1[[#This Row],[is_ups_overcharge]]="ups overcharged",Table1[[#This Row],[ups ship charge]]-Table1[[#This Row],[ada ship charge]],0)</f>
        <v>0</v>
      </c>
    </row>
    <row r="4676" spans="1:9" x14ac:dyDescent="0.2">
      <c r="A4676">
        <v>1064310</v>
      </c>
      <c r="B4676" t="s">
        <v>21</v>
      </c>
      <c r="C4676">
        <v>13.63</v>
      </c>
      <c r="D4676">
        <v>15.1</v>
      </c>
      <c r="E4676">
        <v>99.95</v>
      </c>
      <c r="F4676" t="s">
        <v>9</v>
      </c>
      <c r="G46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7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76">
        <f>IF(Table1[[#This Row],[is_ups_overcharge]]="ups overcharged",Table1[[#This Row],[ups ship charge]]-Table1[[#This Row],[ada ship charge]],0)</f>
        <v>0</v>
      </c>
    </row>
    <row r="4677" spans="1:9" x14ac:dyDescent="0.2">
      <c r="A4677">
        <v>1064344</v>
      </c>
      <c r="B4677" t="s">
        <v>21</v>
      </c>
      <c r="C4677">
        <v>13.64</v>
      </c>
      <c r="D4677">
        <v>13.69</v>
      </c>
      <c r="E4677">
        <v>47.9</v>
      </c>
      <c r="F4677" t="s">
        <v>9</v>
      </c>
      <c r="G46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7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77">
        <f>IF(Table1[[#This Row],[is_ups_overcharge]]="ups overcharged",Table1[[#This Row],[ups ship charge]]-Table1[[#This Row],[ada ship charge]],0)</f>
        <v>0</v>
      </c>
    </row>
    <row r="4678" spans="1:9" x14ac:dyDescent="0.2">
      <c r="A4678">
        <v>1064382</v>
      </c>
      <c r="B4678" t="s">
        <v>21</v>
      </c>
      <c r="C4678">
        <v>12.75</v>
      </c>
      <c r="D4678">
        <v>12.8</v>
      </c>
      <c r="E4678">
        <v>17.899999999999999</v>
      </c>
      <c r="F4678" t="s">
        <v>9</v>
      </c>
      <c r="G46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7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78">
        <f>IF(Table1[[#This Row],[is_ups_overcharge]]="ups overcharged",Table1[[#This Row],[ups ship charge]]-Table1[[#This Row],[ada ship charge]],0)</f>
        <v>0</v>
      </c>
    </row>
    <row r="4679" spans="1:9" x14ac:dyDescent="0.2">
      <c r="A4679">
        <v>1064408</v>
      </c>
      <c r="B4679" t="s">
        <v>21</v>
      </c>
      <c r="C4679">
        <v>13.64</v>
      </c>
      <c r="D4679">
        <v>13.69</v>
      </c>
      <c r="E4679">
        <v>5.7</v>
      </c>
      <c r="F4679" t="s">
        <v>9</v>
      </c>
      <c r="G46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7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79">
        <f>IF(Table1[[#This Row],[is_ups_overcharge]]="ups overcharged",Table1[[#This Row],[ups ship charge]]-Table1[[#This Row],[ada ship charge]],0)</f>
        <v>0</v>
      </c>
    </row>
    <row r="4680" spans="1:9" x14ac:dyDescent="0.2">
      <c r="A4680">
        <v>1064410</v>
      </c>
      <c r="B4680" t="s">
        <v>21</v>
      </c>
      <c r="C4680">
        <v>13.64</v>
      </c>
      <c r="D4680">
        <v>13.69</v>
      </c>
      <c r="E4680">
        <v>58.8</v>
      </c>
      <c r="F4680" t="s">
        <v>9</v>
      </c>
      <c r="G46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8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80">
        <f>IF(Table1[[#This Row],[is_ups_overcharge]]="ups overcharged",Table1[[#This Row],[ups ship charge]]-Table1[[#This Row],[ada ship charge]],0)</f>
        <v>0</v>
      </c>
    </row>
    <row r="4681" spans="1:9" x14ac:dyDescent="0.2">
      <c r="A4681">
        <v>1064414</v>
      </c>
      <c r="B4681" t="s">
        <v>21</v>
      </c>
      <c r="C4681">
        <v>12.75</v>
      </c>
      <c r="D4681">
        <v>12.8</v>
      </c>
      <c r="E4681">
        <v>42.75</v>
      </c>
      <c r="F4681" t="s">
        <v>9</v>
      </c>
      <c r="G46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8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81">
        <f>IF(Table1[[#This Row],[is_ups_overcharge]]="ups overcharged",Table1[[#This Row],[ups ship charge]]-Table1[[#This Row],[ada ship charge]],0)</f>
        <v>0</v>
      </c>
    </row>
    <row r="4682" spans="1:9" x14ac:dyDescent="0.2">
      <c r="A4682">
        <v>1064416</v>
      </c>
      <c r="B4682" t="s">
        <v>21</v>
      </c>
      <c r="C4682">
        <v>13.64</v>
      </c>
      <c r="D4682">
        <v>13.69</v>
      </c>
      <c r="E4682">
        <v>14.95</v>
      </c>
      <c r="F4682" t="s">
        <v>9</v>
      </c>
      <c r="G46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8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82">
        <f>IF(Table1[[#This Row],[is_ups_overcharge]]="ups overcharged",Table1[[#This Row],[ups ship charge]]-Table1[[#This Row],[ada ship charge]],0)</f>
        <v>0</v>
      </c>
    </row>
    <row r="4683" spans="1:9" x14ac:dyDescent="0.2">
      <c r="A4683">
        <v>1064423</v>
      </c>
      <c r="B4683" t="s">
        <v>21</v>
      </c>
      <c r="C4683">
        <v>12.75</v>
      </c>
      <c r="D4683">
        <v>13.25</v>
      </c>
      <c r="E4683">
        <v>103.4</v>
      </c>
      <c r="F4683" t="s">
        <v>9</v>
      </c>
      <c r="G46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8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83">
        <f>IF(Table1[[#This Row],[is_ups_overcharge]]="ups overcharged",Table1[[#This Row],[ups ship charge]]-Table1[[#This Row],[ada ship charge]],0)</f>
        <v>0</v>
      </c>
    </row>
    <row r="4684" spans="1:9" x14ac:dyDescent="0.2">
      <c r="A4684">
        <v>1064470</v>
      </c>
      <c r="B4684" t="s">
        <v>21</v>
      </c>
      <c r="C4684">
        <v>15.02</v>
      </c>
      <c r="D4684">
        <v>15.07</v>
      </c>
      <c r="E4684">
        <v>57.3</v>
      </c>
      <c r="F4684" t="s">
        <v>12</v>
      </c>
      <c r="G46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8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84">
        <f>IF(Table1[[#This Row],[is_ups_overcharge]]="ups overcharged",Table1[[#This Row],[ups ship charge]]-Table1[[#This Row],[ada ship charge]],0)</f>
        <v>0</v>
      </c>
    </row>
    <row r="4685" spans="1:9" x14ac:dyDescent="0.2">
      <c r="A4685">
        <v>1064471</v>
      </c>
      <c r="B4685" t="s">
        <v>21</v>
      </c>
      <c r="C4685">
        <v>13.64</v>
      </c>
      <c r="D4685">
        <v>13.69</v>
      </c>
      <c r="E4685">
        <v>30.65</v>
      </c>
      <c r="F4685" t="s">
        <v>9</v>
      </c>
      <c r="G46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8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85">
        <f>IF(Table1[[#This Row],[is_ups_overcharge]]="ups overcharged",Table1[[#This Row],[ups ship charge]]-Table1[[#This Row],[ada ship charge]],0)</f>
        <v>0</v>
      </c>
    </row>
    <row r="4686" spans="1:9" x14ac:dyDescent="0.2">
      <c r="A4686">
        <v>1064491</v>
      </c>
      <c r="B4686" t="s">
        <v>21</v>
      </c>
      <c r="C4686">
        <v>13.64</v>
      </c>
      <c r="D4686">
        <v>13.69</v>
      </c>
      <c r="E4686">
        <v>27</v>
      </c>
      <c r="F4686" t="s">
        <v>9</v>
      </c>
      <c r="G46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8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86">
        <f>IF(Table1[[#This Row],[is_ups_overcharge]]="ups overcharged",Table1[[#This Row],[ups ship charge]]-Table1[[#This Row],[ada ship charge]],0)</f>
        <v>0</v>
      </c>
    </row>
    <row r="4687" spans="1:9" x14ac:dyDescent="0.2">
      <c r="A4687">
        <v>1064527</v>
      </c>
      <c r="B4687" t="s">
        <v>21</v>
      </c>
      <c r="C4687">
        <v>25.62</v>
      </c>
      <c r="D4687">
        <v>25.66</v>
      </c>
      <c r="E4687">
        <v>238.8</v>
      </c>
      <c r="F4687" t="s">
        <v>10</v>
      </c>
      <c r="G46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8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87">
        <f>IF(Table1[[#This Row],[is_ups_overcharge]]="ups overcharged",Table1[[#This Row],[ups ship charge]]-Table1[[#This Row],[ada ship charge]],0)</f>
        <v>0</v>
      </c>
    </row>
    <row r="4688" spans="1:9" x14ac:dyDescent="0.2">
      <c r="A4688">
        <v>1064529</v>
      </c>
      <c r="B4688" t="s">
        <v>21</v>
      </c>
      <c r="C4688">
        <v>13.64</v>
      </c>
      <c r="D4688">
        <v>13.69</v>
      </c>
      <c r="E4688">
        <v>41.8</v>
      </c>
      <c r="F4688" t="s">
        <v>9</v>
      </c>
      <c r="G46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88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88">
        <f>IF(Table1[[#This Row],[is_ups_overcharge]]="ups overcharged",Table1[[#This Row],[ups ship charge]]-Table1[[#This Row],[ada ship charge]],0)</f>
        <v>0</v>
      </c>
    </row>
    <row r="4689" spans="1:9" x14ac:dyDescent="0.2">
      <c r="A4689">
        <v>1064558</v>
      </c>
      <c r="B4689" t="s">
        <v>21</v>
      </c>
      <c r="C4689">
        <v>13.64</v>
      </c>
      <c r="D4689">
        <v>13.69</v>
      </c>
      <c r="E4689">
        <v>39.9</v>
      </c>
      <c r="F4689" t="s">
        <v>9</v>
      </c>
      <c r="G46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89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89">
        <f>IF(Table1[[#This Row],[is_ups_overcharge]]="ups overcharged",Table1[[#This Row],[ups ship charge]]-Table1[[#This Row],[ada ship charge]],0)</f>
        <v>0</v>
      </c>
    </row>
    <row r="4690" spans="1:9" x14ac:dyDescent="0.2">
      <c r="A4690">
        <v>1064579</v>
      </c>
      <c r="B4690" t="s">
        <v>21</v>
      </c>
      <c r="C4690">
        <v>12.75</v>
      </c>
      <c r="D4690">
        <v>13.25</v>
      </c>
      <c r="E4690">
        <v>82.45</v>
      </c>
      <c r="F4690" t="s">
        <v>9</v>
      </c>
      <c r="G46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90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90">
        <f>IF(Table1[[#This Row],[is_ups_overcharge]]="ups overcharged",Table1[[#This Row],[ups ship charge]]-Table1[[#This Row],[ada ship charge]],0)</f>
        <v>0</v>
      </c>
    </row>
    <row r="4691" spans="1:9" x14ac:dyDescent="0.2">
      <c r="A4691">
        <v>1064685</v>
      </c>
      <c r="B4691" t="s">
        <v>21</v>
      </c>
      <c r="C4691">
        <v>12.75</v>
      </c>
      <c r="D4691">
        <v>13.2</v>
      </c>
      <c r="E4691">
        <v>87.95</v>
      </c>
      <c r="F4691" t="s">
        <v>9</v>
      </c>
      <c r="G46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91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91">
        <f>IF(Table1[[#This Row],[is_ups_overcharge]]="ups overcharged",Table1[[#This Row],[ups ship charge]]-Table1[[#This Row],[ada ship charge]],0)</f>
        <v>0</v>
      </c>
    </row>
    <row r="4692" spans="1:9" x14ac:dyDescent="0.2">
      <c r="A4692">
        <v>1064692</v>
      </c>
      <c r="B4692" t="s">
        <v>21</v>
      </c>
      <c r="C4692">
        <v>12.75</v>
      </c>
      <c r="D4692">
        <v>12.8</v>
      </c>
      <c r="E4692">
        <v>147.9</v>
      </c>
      <c r="F4692" t="s">
        <v>9</v>
      </c>
      <c r="G46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92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92">
        <f>IF(Table1[[#This Row],[is_ups_overcharge]]="ups overcharged",Table1[[#This Row],[ups ship charge]]-Table1[[#This Row],[ada ship charge]],0)</f>
        <v>0</v>
      </c>
    </row>
    <row r="4693" spans="1:9" x14ac:dyDescent="0.2">
      <c r="A4693">
        <v>1064707</v>
      </c>
      <c r="B4693" t="s">
        <v>21</v>
      </c>
      <c r="C4693">
        <v>19.079999999999998</v>
      </c>
      <c r="D4693">
        <v>19.13</v>
      </c>
      <c r="E4693">
        <v>45.75</v>
      </c>
      <c r="F4693" t="s">
        <v>16</v>
      </c>
      <c r="G46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93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93">
        <f>IF(Table1[[#This Row],[is_ups_overcharge]]="ups overcharged",Table1[[#This Row],[ups ship charge]]-Table1[[#This Row],[ada ship charge]],0)</f>
        <v>0</v>
      </c>
    </row>
    <row r="4694" spans="1:9" x14ac:dyDescent="0.2">
      <c r="A4694">
        <v>1064767</v>
      </c>
      <c r="B4694" t="s">
        <v>21</v>
      </c>
      <c r="C4694">
        <v>12.75</v>
      </c>
      <c r="D4694">
        <v>12.8</v>
      </c>
      <c r="E4694">
        <v>71.3</v>
      </c>
      <c r="F4694" t="s">
        <v>9</v>
      </c>
      <c r="G46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94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94">
        <f>IF(Table1[[#This Row],[is_ups_overcharge]]="ups overcharged",Table1[[#This Row],[ups ship charge]]-Table1[[#This Row],[ada ship charge]],0)</f>
        <v>0</v>
      </c>
    </row>
    <row r="4695" spans="1:9" x14ac:dyDescent="0.2">
      <c r="A4695">
        <v>1064800</v>
      </c>
      <c r="B4695" t="s">
        <v>21</v>
      </c>
      <c r="C4695">
        <v>12.75</v>
      </c>
      <c r="D4695">
        <v>12.8</v>
      </c>
      <c r="E4695">
        <v>99.95</v>
      </c>
      <c r="F4695" t="s">
        <v>9</v>
      </c>
      <c r="G46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95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95">
        <f>IF(Table1[[#This Row],[is_ups_overcharge]]="ups overcharged",Table1[[#This Row],[ups ship charge]]-Table1[[#This Row],[ada ship charge]],0)</f>
        <v>0</v>
      </c>
    </row>
    <row r="4696" spans="1:9" x14ac:dyDescent="0.2">
      <c r="A4696">
        <v>1064817</v>
      </c>
      <c r="B4696" t="s">
        <v>21</v>
      </c>
      <c r="C4696">
        <v>9.66</v>
      </c>
      <c r="D4696">
        <v>9.7100000000000009</v>
      </c>
      <c r="E4696">
        <v>50.91</v>
      </c>
      <c r="F4696" t="s">
        <v>6</v>
      </c>
      <c r="G46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96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96">
        <f>IF(Table1[[#This Row],[is_ups_overcharge]]="ups overcharged",Table1[[#This Row],[ups ship charge]]-Table1[[#This Row],[ada ship charge]],0)</f>
        <v>0</v>
      </c>
    </row>
    <row r="4697" spans="1:9" x14ac:dyDescent="0.2">
      <c r="A4697">
        <v>1064820</v>
      </c>
      <c r="B4697" t="s">
        <v>21</v>
      </c>
      <c r="C4697">
        <v>12.75</v>
      </c>
      <c r="D4697">
        <v>12.8</v>
      </c>
      <c r="E4697">
        <v>127.8</v>
      </c>
      <c r="F4697" t="s">
        <v>9</v>
      </c>
      <c r="G46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not free shipping</v>
      </c>
      <c r="H4697" t="str">
        <f>IF(Table1[[#This Row],[is_free_shipping?]]="free shipping","free shipping",IF(Table1[[#This Row],[ada ship charge]]&lt;Table1[[#This Row],[ups ship charge]],"ups overcharged","ups did not overcharge"))</f>
        <v>ups did not overcharge</v>
      </c>
      <c r="I4697">
        <f>IF(Table1[[#This Row],[is_ups_overcharge]]="ups overcharged",Table1[[#This Row],[ups ship charge]]-Table1[[#This Row],[ada ship charge]],0)</f>
        <v>0</v>
      </c>
    </row>
    <row r="4698" spans="1:9" x14ac:dyDescent="0.2">
      <c r="A4698">
        <v>995884</v>
      </c>
      <c r="B4698" t="s">
        <v>21</v>
      </c>
      <c r="C4698">
        <v>9.65</v>
      </c>
      <c r="D4698">
        <v>0</v>
      </c>
      <c r="E4698">
        <v>226.9</v>
      </c>
      <c r="F4698" t="s">
        <v>6</v>
      </c>
      <c r="G46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69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698">
        <f>IF(Table1[[#This Row],[is_ups_overcharge]]="ups overcharged",Table1[[#This Row],[ups ship charge]]-Table1[[#This Row],[ada ship charge]],0)</f>
        <v>0</v>
      </c>
    </row>
    <row r="4699" spans="1:9" x14ac:dyDescent="0.2">
      <c r="A4699">
        <v>1020145</v>
      </c>
      <c r="B4699" t="s">
        <v>21</v>
      </c>
      <c r="C4699">
        <v>13.04</v>
      </c>
      <c r="D4699">
        <v>0</v>
      </c>
      <c r="E4699">
        <v>4200</v>
      </c>
      <c r="F4699" t="s">
        <v>6</v>
      </c>
      <c r="G46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69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699">
        <f>IF(Table1[[#This Row],[is_ups_overcharge]]="ups overcharged",Table1[[#This Row],[ups ship charge]]-Table1[[#This Row],[ada ship charge]],0)</f>
        <v>0</v>
      </c>
    </row>
    <row r="4700" spans="1:9" x14ac:dyDescent="0.2">
      <c r="A4700">
        <v>1020764</v>
      </c>
      <c r="B4700" t="s">
        <v>21</v>
      </c>
      <c r="C4700">
        <v>27.44</v>
      </c>
      <c r="D4700">
        <v>0</v>
      </c>
      <c r="E4700">
        <v>6512.99</v>
      </c>
      <c r="F4700" t="s">
        <v>6</v>
      </c>
      <c r="G47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0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00">
        <f>IF(Table1[[#This Row],[is_ups_overcharge]]="ups overcharged",Table1[[#This Row],[ups ship charge]]-Table1[[#This Row],[ada ship charge]],0)</f>
        <v>0</v>
      </c>
    </row>
    <row r="4701" spans="1:9" x14ac:dyDescent="0.2">
      <c r="A4701">
        <v>1023263</v>
      </c>
      <c r="B4701" t="s">
        <v>21</v>
      </c>
      <c r="C4701">
        <v>12.65</v>
      </c>
      <c r="D4701">
        <v>0</v>
      </c>
      <c r="E4701">
        <v>1480.5</v>
      </c>
      <c r="F4701" t="s">
        <v>6</v>
      </c>
      <c r="G47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0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01">
        <f>IF(Table1[[#This Row],[is_ups_overcharge]]="ups overcharged",Table1[[#This Row],[ups ship charge]]-Table1[[#This Row],[ada ship charge]],0)</f>
        <v>0</v>
      </c>
    </row>
    <row r="4702" spans="1:9" x14ac:dyDescent="0.2">
      <c r="A4702">
        <v>1026867</v>
      </c>
      <c r="B4702" t="s">
        <v>21</v>
      </c>
      <c r="C4702">
        <v>12.51</v>
      </c>
      <c r="D4702">
        <v>0</v>
      </c>
      <c r="E4702">
        <v>1830</v>
      </c>
      <c r="F4702" t="s">
        <v>6</v>
      </c>
      <c r="G47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0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02">
        <f>IF(Table1[[#This Row],[is_ups_overcharge]]="ups overcharged",Table1[[#This Row],[ups ship charge]]-Table1[[#This Row],[ada ship charge]],0)</f>
        <v>0</v>
      </c>
    </row>
    <row r="4703" spans="1:9" x14ac:dyDescent="0.2">
      <c r="A4703">
        <v>1029215</v>
      </c>
      <c r="B4703" t="s">
        <v>21</v>
      </c>
      <c r="C4703">
        <v>9.6999999999999993</v>
      </c>
      <c r="D4703">
        <v>0</v>
      </c>
      <c r="E4703">
        <v>470.21</v>
      </c>
      <c r="F4703" t="s">
        <v>6</v>
      </c>
      <c r="G47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0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03">
        <f>IF(Table1[[#This Row],[is_ups_overcharge]]="ups overcharged",Table1[[#This Row],[ups ship charge]]-Table1[[#This Row],[ada ship charge]],0)</f>
        <v>0</v>
      </c>
    </row>
    <row r="4704" spans="1:9" x14ac:dyDescent="0.2">
      <c r="A4704">
        <v>1029545</v>
      </c>
      <c r="B4704" t="s">
        <v>21</v>
      </c>
      <c r="C4704">
        <v>12.55</v>
      </c>
      <c r="D4704">
        <v>0</v>
      </c>
      <c r="E4704">
        <v>798.7</v>
      </c>
      <c r="F4704" t="s">
        <v>6</v>
      </c>
      <c r="G47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0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04">
        <f>IF(Table1[[#This Row],[is_ups_overcharge]]="ups overcharged",Table1[[#This Row],[ups ship charge]]-Table1[[#This Row],[ada ship charge]],0)</f>
        <v>0</v>
      </c>
    </row>
    <row r="4705" spans="1:9" x14ac:dyDescent="0.2">
      <c r="A4705">
        <v>1029561</v>
      </c>
      <c r="B4705" t="s">
        <v>21</v>
      </c>
      <c r="C4705">
        <v>12.55</v>
      </c>
      <c r="D4705">
        <v>0</v>
      </c>
      <c r="E4705">
        <v>1880.5</v>
      </c>
      <c r="F4705" t="s">
        <v>6</v>
      </c>
      <c r="G47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0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05">
        <f>IF(Table1[[#This Row],[is_ups_overcharge]]="ups overcharged",Table1[[#This Row],[ups ship charge]]-Table1[[#This Row],[ada ship charge]],0)</f>
        <v>0</v>
      </c>
    </row>
    <row r="4706" spans="1:9" x14ac:dyDescent="0.2">
      <c r="A4706">
        <v>1030326</v>
      </c>
      <c r="B4706" t="s">
        <v>21</v>
      </c>
      <c r="C4706">
        <v>9.66</v>
      </c>
      <c r="D4706">
        <v>0</v>
      </c>
      <c r="E4706">
        <v>269.85000000000002</v>
      </c>
      <c r="F4706" t="s">
        <v>6</v>
      </c>
      <c r="G47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0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06">
        <f>IF(Table1[[#This Row],[is_ups_overcharge]]="ups overcharged",Table1[[#This Row],[ups ship charge]]-Table1[[#This Row],[ada ship charge]],0)</f>
        <v>0</v>
      </c>
    </row>
    <row r="4707" spans="1:9" x14ac:dyDescent="0.2">
      <c r="A4707">
        <v>1031178</v>
      </c>
      <c r="B4707" t="s">
        <v>21</v>
      </c>
      <c r="C4707">
        <v>14.09</v>
      </c>
      <c r="D4707">
        <v>0</v>
      </c>
      <c r="E4707">
        <v>233.45</v>
      </c>
      <c r="F4707" t="s">
        <v>9</v>
      </c>
      <c r="G47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0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07">
        <f>IF(Table1[[#This Row],[is_ups_overcharge]]="ups overcharged",Table1[[#This Row],[ups ship charge]]-Table1[[#This Row],[ada ship charge]],0)</f>
        <v>0</v>
      </c>
    </row>
    <row r="4708" spans="1:9" x14ac:dyDescent="0.2">
      <c r="A4708">
        <v>1031631</v>
      </c>
      <c r="B4708" t="s">
        <v>21</v>
      </c>
      <c r="C4708">
        <v>16.73</v>
      </c>
      <c r="D4708">
        <v>0</v>
      </c>
      <c r="E4708">
        <v>3266.95</v>
      </c>
      <c r="F4708" t="s">
        <v>6</v>
      </c>
      <c r="G47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0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08">
        <f>IF(Table1[[#This Row],[is_ups_overcharge]]="ups overcharged",Table1[[#This Row],[ups ship charge]]-Table1[[#This Row],[ada ship charge]],0)</f>
        <v>0</v>
      </c>
    </row>
    <row r="4709" spans="1:9" x14ac:dyDescent="0.2">
      <c r="A4709">
        <v>1031715</v>
      </c>
      <c r="B4709" t="s">
        <v>21</v>
      </c>
      <c r="C4709">
        <v>12.69</v>
      </c>
      <c r="D4709">
        <v>0</v>
      </c>
      <c r="E4709">
        <v>563.29999999999995</v>
      </c>
      <c r="F4709" t="s">
        <v>6</v>
      </c>
      <c r="G47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0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09">
        <f>IF(Table1[[#This Row],[is_ups_overcharge]]="ups overcharged",Table1[[#This Row],[ups ship charge]]-Table1[[#This Row],[ada ship charge]],0)</f>
        <v>0</v>
      </c>
    </row>
    <row r="4710" spans="1:9" x14ac:dyDescent="0.2">
      <c r="A4710">
        <v>1031969</v>
      </c>
      <c r="B4710" t="s">
        <v>21</v>
      </c>
      <c r="C4710">
        <v>15.66</v>
      </c>
      <c r="D4710">
        <v>0</v>
      </c>
      <c r="E4710">
        <v>547.25</v>
      </c>
      <c r="F4710" t="s">
        <v>9</v>
      </c>
      <c r="G47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1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10">
        <f>IF(Table1[[#This Row],[is_ups_overcharge]]="ups overcharged",Table1[[#This Row],[ups ship charge]]-Table1[[#This Row],[ada ship charge]],0)</f>
        <v>0</v>
      </c>
    </row>
    <row r="4711" spans="1:9" x14ac:dyDescent="0.2">
      <c r="A4711">
        <v>1032374</v>
      </c>
      <c r="B4711" t="s">
        <v>21</v>
      </c>
      <c r="C4711">
        <v>9.65</v>
      </c>
      <c r="D4711">
        <v>0</v>
      </c>
      <c r="E4711">
        <v>218</v>
      </c>
      <c r="F4711" t="s">
        <v>6</v>
      </c>
      <c r="G47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1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11">
        <f>IF(Table1[[#This Row],[is_ups_overcharge]]="ups overcharged",Table1[[#This Row],[ups ship charge]]-Table1[[#This Row],[ada ship charge]],0)</f>
        <v>0</v>
      </c>
    </row>
    <row r="4712" spans="1:9" x14ac:dyDescent="0.2">
      <c r="A4712">
        <v>1032648</v>
      </c>
      <c r="B4712" t="s">
        <v>21</v>
      </c>
      <c r="C4712">
        <v>9.66</v>
      </c>
      <c r="D4712">
        <v>0</v>
      </c>
      <c r="E4712">
        <v>260.55</v>
      </c>
      <c r="F4712" t="s">
        <v>6</v>
      </c>
      <c r="G47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1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12">
        <f>IF(Table1[[#This Row],[is_ups_overcharge]]="ups overcharged",Table1[[#This Row],[ups ship charge]]-Table1[[#This Row],[ada ship charge]],0)</f>
        <v>0</v>
      </c>
    </row>
    <row r="4713" spans="1:9" x14ac:dyDescent="0.2">
      <c r="A4713">
        <v>1032714</v>
      </c>
      <c r="B4713" t="s">
        <v>21</v>
      </c>
      <c r="C4713">
        <v>13.7</v>
      </c>
      <c r="D4713">
        <v>0</v>
      </c>
      <c r="E4713">
        <v>204.55</v>
      </c>
      <c r="F4713" t="s">
        <v>9</v>
      </c>
      <c r="G47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1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13">
        <f>IF(Table1[[#This Row],[is_ups_overcharge]]="ups overcharged",Table1[[#This Row],[ups ship charge]]-Table1[[#This Row],[ada ship charge]],0)</f>
        <v>0</v>
      </c>
    </row>
    <row r="4714" spans="1:9" x14ac:dyDescent="0.2">
      <c r="A4714">
        <v>1033114</v>
      </c>
      <c r="B4714" t="s">
        <v>21</v>
      </c>
      <c r="C4714">
        <v>9.6999999999999993</v>
      </c>
      <c r="D4714">
        <v>0</v>
      </c>
      <c r="E4714">
        <v>251.7</v>
      </c>
      <c r="F4714" t="s">
        <v>6</v>
      </c>
      <c r="G47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1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14">
        <f>IF(Table1[[#This Row],[is_ups_overcharge]]="ups overcharged",Table1[[#This Row],[ups ship charge]]-Table1[[#This Row],[ada ship charge]],0)</f>
        <v>0</v>
      </c>
    </row>
    <row r="4715" spans="1:9" x14ac:dyDescent="0.2">
      <c r="A4715">
        <v>1033179</v>
      </c>
      <c r="B4715" t="s">
        <v>21</v>
      </c>
      <c r="C4715">
        <v>28.7</v>
      </c>
      <c r="D4715">
        <v>0</v>
      </c>
      <c r="E4715">
        <v>985.7</v>
      </c>
      <c r="F4715" t="s">
        <v>9</v>
      </c>
      <c r="G47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1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15">
        <f>IF(Table1[[#This Row],[is_ups_overcharge]]="ups overcharged",Table1[[#This Row],[ups ship charge]]-Table1[[#This Row],[ada ship charge]],0)</f>
        <v>0</v>
      </c>
    </row>
    <row r="4716" spans="1:9" x14ac:dyDescent="0.2">
      <c r="A4716">
        <v>1033257</v>
      </c>
      <c r="B4716" t="s">
        <v>21</v>
      </c>
      <c r="C4716">
        <v>13.7</v>
      </c>
      <c r="D4716">
        <v>0</v>
      </c>
      <c r="E4716">
        <v>203.65</v>
      </c>
      <c r="F4716" t="s">
        <v>9</v>
      </c>
      <c r="G47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1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16">
        <f>IF(Table1[[#This Row],[is_ups_overcharge]]="ups overcharged",Table1[[#This Row],[ups ship charge]]-Table1[[#This Row],[ada ship charge]],0)</f>
        <v>0</v>
      </c>
    </row>
    <row r="4717" spans="1:9" x14ac:dyDescent="0.2">
      <c r="A4717">
        <v>1033330</v>
      </c>
      <c r="B4717" t="s">
        <v>21</v>
      </c>
      <c r="C4717">
        <v>12.81</v>
      </c>
      <c r="D4717">
        <v>0</v>
      </c>
      <c r="E4717">
        <v>209.7</v>
      </c>
      <c r="F4717" t="s">
        <v>9</v>
      </c>
      <c r="G47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1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17">
        <f>IF(Table1[[#This Row],[is_ups_overcharge]]="ups overcharged",Table1[[#This Row],[ups ship charge]]-Table1[[#This Row],[ada ship charge]],0)</f>
        <v>0</v>
      </c>
    </row>
    <row r="4718" spans="1:9" x14ac:dyDescent="0.2">
      <c r="A4718">
        <v>1033338</v>
      </c>
      <c r="B4718" t="s">
        <v>21</v>
      </c>
      <c r="C4718">
        <v>12.55</v>
      </c>
      <c r="D4718">
        <v>0</v>
      </c>
      <c r="E4718">
        <v>1384.45</v>
      </c>
      <c r="F4718" t="s">
        <v>6</v>
      </c>
      <c r="G47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1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18">
        <f>IF(Table1[[#This Row],[is_ups_overcharge]]="ups overcharged",Table1[[#This Row],[ups ship charge]]-Table1[[#This Row],[ada ship charge]],0)</f>
        <v>0</v>
      </c>
    </row>
    <row r="4719" spans="1:9" x14ac:dyDescent="0.2">
      <c r="A4719">
        <v>1033497</v>
      </c>
      <c r="B4719" t="s">
        <v>21</v>
      </c>
      <c r="C4719">
        <v>10.23</v>
      </c>
      <c r="D4719">
        <v>0</v>
      </c>
      <c r="E4719">
        <v>302.8</v>
      </c>
      <c r="F4719" t="s">
        <v>6</v>
      </c>
      <c r="G47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1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19">
        <f>IF(Table1[[#This Row],[is_ups_overcharge]]="ups overcharged",Table1[[#This Row],[ups ship charge]]-Table1[[#This Row],[ada ship charge]],0)</f>
        <v>0</v>
      </c>
    </row>
    <row r="4720" spans="1:9" x14ac:dyDescent="0.2">
      <c r="A4720">
        <v>1033551</v>
      </c>
      <c r="B4720" t="s">
        <v>21</v>
      </c>
      <c r="C4720">
        <v>16.55</v>
      </c>
      <c r="D4720">
        <v>0</v>
      </c>
      <c r="E4720">
        <v>646.08000000000004</v>
      </c>
      <c r="F4720" t="s">
        <v>9</v>
      </c>
      <c r="G47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2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20">
        <f>IF(Table1[[#This Row],[is_ups_overcharge]]="ups overcharged",Table1[[#This Row],[ups ship charge]]-Table1[[#This Row],[ada ship charge]],0)</f>
        <v>0</v>
      </c>
    </row>
    <row r="4721" spans="1:9" x14ac:dyDescent="0.2">
      <c r="A4721">
        <v>1033599</v>
      </c>
      <c r="B4721" t="s">
        <v>21</v>
      </c>
      <c r="C4721">
        <v>9.6999999999999993</v>
      </c>
      <c r="D4721">
        <v>0</v>
      </c>
      <c r="E4721">
        <v>291.35000000000002</v>
      </c>
      <c r="F4721" t="s">
        <v>6</v>
      </c>
      <c r="G47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2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21">
        <f>IF(Table1[[#This Row],[is_ups_overcharge]]="ups overcharged",Table1[[#This Row],[ups ship charge]]-Table1[[#This Row],[ada ship charge]],0)</f>
        <v>0</v>
      </c>
    </row>
    <row r="4722" spans="1:9" x14ac:dyDescent="0.2">
      <c r="A4722">
        <v>1033861</v>
      </c>
      <c r="B4722" t="s">
        <v>21</v>
      </c>
      <c r="C4722">
        <v>9.6999999999999993</v>
      </c>
      <c r="D4722">
        <v>0</v>
      </c>
      <c r="E4722">
        <v>277.33999999999997</v>
      </c>
      <c r="F4722" t="s">
        <v>6</v>
      </c>
      <c r="G47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2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22">
        <f>IF(Table1[[#This Row],[is_ups_overcharge]]="ups overcharged",Table1[[#This Row],[ups ship charge]]-Table1[[#This Row],[ada ship charge]],0)</f>
        <v>0</v>
      </c>
    </row>
    <row r="4723" spans="1:9" x14ac:dyDescent="0.2">
      <c r="A4723">
        <v>1034087</v>
      </c>
      <c r="B4723" t="s">
        <v>21</v>
      </c>
      <c r="C4723">
        <v>12.55</v>
      </c>
      <c r="D4723">
        <v>0</v>
      </c>
      <c r="E4723">
        <v>592.86</v>
      </c>
      <c r="F4723" t="s">
        <v>6</v>
      </c>
      <c r="G47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2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23">
        <f>IF(Table1[[#This Row],[is_ups_overcharge]]="ups overcharged",Table1[[#This Row],[ups ship charge]]-Table1[[#This Row],[ada ship charge]],0)</f>
        <v>0</v>
      </c>
    </row>
    <row r="4724" spans="1:9" x14ac:dyDescent="0.2">
      <c r="A4724">
        <v>1034103</v>
      </c>
      <c r="B4724" t="s">
        <v>21</v>
      </c>
      <c r="C4724">
        <v>13.1</v>
      </c>
      <c r="D4724">
        <v>0</v>
      </c>
      <c r="E4724">
        <v>837</v>
      </c>
      <c r="F4724" t="s">
        <v>6</v>
      </c>
      <c r="G47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2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24">
        <f>IF(Table1[[#This Row],[is_ups_overcharge]]="ups overcharged",Table1[[#This Row],[ups ship charge]]-Table1[[#This Row],[ada ship charge]],0)</f>
        <v>0</v>
      </c>
    </row>
    <row r="4725" spans="1:9" x14ac:dyDescent="0.2">
      <c r="A4725">
        <v>1034539</v>
      </c>
      <c r="B4725" t="s">
        <v>21</v>
      </c>
      <c r="C4725">
        <v>9.6999999999999993</v>
      </c>
      <c r="D4725">
        <v>0</v>
      </c>
      <c r="E4725">
        <v>259.5</v>
      </c>
      <c r="F4725" t="s">
        <v>6</v>
      </c>
      <c r="G47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2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25">
        <f>IF(Table1[[#This Row],[is_ups_overcharge]]="ups overcharged",Table1[[#This Row],[ups ship charge]]-Table1[[#This Row],[ada ship charge]],0)</f>
        <v>0</v>
      </c>
    </row>
    <row r="4726" spans="1:9" x14ac:dyDescent="0.2">
      <c r="A4726">
        <v>1034723</v>
      </c>
      <c r="B4726" t="s">
        <v>21</v>
      </c>
      <c r="C4726">
        <v>12.56</v>
      </c>
      <c r="D4726">
        <v>0</v>
      </c>
      <c r="E4726">
        <v>807.35</v>
      </c>
      <c r="F4726" t="s">
        <v>6</v>
      </c>
      <c r="G47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2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26">
        <f>IF(Table1[[#This Row],[is_ups_overcharge]]="ups overcharged",Table1[[#This Row],[ups ship charge]]-Table1[[#This Row],[ada ship charge]],0)</f>
        <v>0</v>
      </c>
    </row>
    <row r="4727" spans="1:9" x14ac:dyDescent="0.2">
      <c r="A4727">
        <v>1035067</v>
      </c>
      <c r="B4727" t="s">
        <v>21</v>
      </c>
      <c r="C4727">
        <v>12.56</v>
      </c>
      <c r="D4727">
        <v>0</v>
      </c>
      <c r="E4727">
        <v>849.84</v>
      </c>
      <c r="F4727" t="s">
        <v>6</v>
      </c>
      <c r="G47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2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27">
        <f>IF(Table1[[#This Row],[is_ups_overcharge]]="ups overcharged",Table1[[#This Row],[ups ship charge]]-Table1[[#This Row],[ada ship charge]],0)</f>
        <v>0</v>
      </c>
    </row>
    <row r="4728" spans="1:9" x14ac:dyDescent="0.2">
      <c r="A4728">
        <v>1035580</v>
      </c>
      <c r="B4728" t="s">
        <v>21</v>
      </c>
      <c r="C4728">
        <v>12.56</v>
      </c>
      <c r="D4728">
        <v>0</v>
      </c>
      <c r="E4728">
        <v>598.5</v>
      </c>
      <c r="F4728" t="s">
        <v>6</v>
      </c>
      <c r="G47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2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28">
        <f>IF(Table1[[#This Row],[is_ups_overcharge]]="ups overcharged",Table1[[#This Row],[ups ship charge]]-Table1[[#This Row],[ada ship charge]],0)</f>
        <v>0</v>
      </c>
    </row>
    <row r="4729" spans="1:9" x14ac:dyDescent="0.2">
      <c r="A4729">
        <v>1035615</v>
      </c>
      <c r="B4729" t="s">
        <v>21</v>
      </c>
      <c r="C4729">
        <v>12.55</v>
      </c>
      <c r="D4729">
        <v>0</v>
      </c>
      <c r="E4729">
        <v>790</v>
      </c>
      <c r="F4729" t="s">
        <v>6</v>
      </c>
      <c r="G47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2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29">
        <f>IF(Table1[[#This Row],[is_ups_overcharge]]="ups overcharged",Table1[[#This Row],[ups ship charge]]-Table1[[#This Row],[ada ship charge]],0)</f>
        <v>0</v>
      </c>
    </row>
    <row r="4730" spans="1:9" x14ac:dyDescent="0.2">
      <c r="A4730">
        <v>1035620</v>
      </c>
      <c r="B4730" t="s">
        <v>21</v>
      </c>
      <c r="C4730">
        <v>9.6999999999999993</v>
      </c>
      <c r="D4730">
        <v>0</v>
      </c>
      <c r="E4730">
        <v>252</v>
      </c>
      <c r="F4730" t="s">
        <v>6</v>
      </c>
      <c r="G47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3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30">
        <f>IF(Table1[[#This Row],[is_ups_overcharge]]="ups overcharged",Table1[[#This Row],[ups ship charge]]-Table1[[#This Row],[ada ship charge]],0)</f>
        <v>0</v>
      </c>
    </row>
    <row r="4731" spans="1:9" x14ac:dyDescent="0.2">
      <c r="A4731">
        <v>1035689</v>
      </c>
      <c r="B4731" t="s">
        <v>21</v>
      </c>
      <c r="C4731">
        <v>12.55</v>
      </c>
      <c r="D4731">
        <v>0</v>
      </c>
      <c r="E4731">
        <v>614.26</v>
      </c>
      <c r="F4731" t="s">
        <v>6</v>
      </c>
      <c r="G47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3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31">
        <f>IF(Table1[[#This Row],[is_ups_overcharge]]="ups overcharged",Table1[[#This Row],[ups ship charge]]-Table1[[#This Row],[ada ship charge]],0)</f>
        <v>0</v>
      </c>
    </row>
    <row r="4732" spans="1:9" x14ac:dyDescent="0.2">
      <c r="A4732">
        <v>1035723</v>
      </c>
      <c r="B4732" t="s">
        <v>21</v>
      </c>
      <c r="C4732">
        <v>12.55</v>
      </c>
      <c r="D4732">
        <v>0</v>
      </c>
      <c r="E4732">
        <v>2388</v>
      </c>
      <c r="F4732" t="s">
        <v>6</v>
      </c>
      <c r="G47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3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32">
        <f>IF(Table1[[#This Row],[is_ups_overcharge]]="ups overcharged",Table1[[#This Row],[ups ship charge]]-Table1[[#This Row],[ada ship charge]],0)</f>
        <v>0</v>
      </c>
    </row>
    <row r="4733" spans="1:9" x14ac:dyDescent="0.2">
      <c r="A4733">
        <v>1035894</v>
      </c>
      <c r="B4733" t="s">
        <v>21</v>
      </c>
      <c r="C4733">
        <v>12.81</v>
      </c>
      <c r="D4733">
        <v>0</v>
      </c>
      <c r="E4733">
        <v>216.3</v>
      </c>
      <c r="F4733" t="s">
        <v>9</v>
      </c>
      <c r="G47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3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33">
        <f>IF(Table1[[#This Row],[is_ups_overcharge]]="ups overcharged",Table1[[#This Row],[ups ship charge]]-Table1[[#This Row],[ada ship charge]],0)</f>
        <v>0</v>
      </c>
    </row>
    <row r="4734" spans="1:9" x14ac:dyDescent="0.2">
      <c r="A4734">
        <v>1036004</v>
      </c>
      <c r="B4734" t="s">
        <v>21</v>
      </c>
      <c r="C4734">
        <v>12.81</v>
      </c>
      <c r="D4734">
        <v>0</v>
      </c>
      <c r="E4734">
        <v>204.44</v>
      </c>
      <c r="F4734" t="s">
        <v>9</v>
      </c>
      <c r="G47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3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34">
        <f>IF(Table1[[#This Row],[is_ups_overcharge]]="ups overcharged",Table1[[#This Row],[ups ship charge]]-Table1[[#This Row],[ada ship charge]],0)</f>
        <v>0</v>
      </c>
    </row>
    <row r="4735" spans="1:9" x14ac:dyDescent="0.2">
      <c r="A4735">
        <v>1036074</v>
      </c>
      <c r="B4735" t="s">
        <v>21</v>
      </c>
      <c r="C4735">
        <v>12.81</v>
      </c>
      <c r="D4735">
        <v>0</v>
      </c>
      <c r="E4735">
        <v>216.6</v>
      </c>
      <c r="F4735" t="s">
        <v>9</v>
      </c>
      <c r="G47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3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35">
        <f>IF(Table1[[#This Row],[is_ups_overcharge]]="ups overcharged",Table1[[#This Row],[ups ship charge]]-Table1[[#This Row],[ada ship charge]],0)</f>
        <v>0</v>
      </c>
    </row>
    <row r="4736" spans="1:9" x14ac:dyDescent="0.2">
      <c r="A4736">
        <v>1036437</v>
      </c>
      <c r="B4736" t="s">
        <v>21</v>
      </c>
      <c r="C4736">
        <v>10.07</v>
      </c>
      <c r="D4736">
        <v>0</v>
      </c>
      <c r="E4736">
        <v>337.75</v>
      </c>
      <c r="F4736" t="s">
        <v>6</v>
      </c>
      <c r="G47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3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36">
        <f>IF(Table1[[#This Row],[is_ups_overcharge]]="ups overcharged",Table1[[#This Row],[ups ship charge]]-Table1[[#This Row],[ada ship charge]],0)</f>
        <v>0</v>
      </c>
    </row>
    <row r="4737" spans="1:9" x14ac:dyDescent="0.2">
      <c r="A4737">
        <v>1036790</v>
      </c>
      <c r="B4737" t="s">
        <v>21</v>
      </c>
      <c r="C4737">
        <v>12.51</v>
      </c>
      <c r="D4737">
        <v>0</v>
      </c>
      <c r="E4737">
        <v>568.45000000000005</v>
      </c>
      <c r="F4737" t="s">
        <v>6</v>
      </c>
      <c r="G47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3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37">
        <f>IF(Table1[[#This Row],[is_ups_overcharge]]="ups overcharged",Table1[[#This Row],[ups ship charge]]-Table1[[#This Row],[ada ship charge]],0)</f>
        <v>0</v>
      </c>
    </row>
    <row r="4738" spans="1:9" x14ac:dyDescent="0.2">
      <c r="A4738">
        <v>1036835</v>
      </c>
      <c r="B4738" t="s">
        <v>21</v>
      </c>
      <c r="C4738">
        <v>9.66</v>
      </c>
      <c r="D4738">
        <v>0</v>
      </c>
      <c r="E4738">
        <v>225.6</v>
      </c>
      <c r="F4738" t="s">
        <v>6</v>
      </c>
      <c r="G47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3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38">
        <f>IF(Table1[[#This Row],[is_ups_overcharge]]="ups overcharged",Table1[[#This Row],[ups ship charge]]-Table1[[#This Row],[ada ship charge]],0)</f>
        <v>0</v>
      </c>
    </row>
    <row r="4739" spans="1:9" x14ac:dyDescent="0.2">
      <c r="A4739">
        <v>1036889</v>
      </c>
      <c r="B4739" t="s">
        <v>21</v>
      </c>
      <c r="C4739">
        <v>13.7</v>
      </c>
      <c r="D4739">
        <v>0</v>
      </c>
      <c r="E4739">
        <v>229.8</v>
      </c>
      <c r="F4739" t="s">
        <v>9</v>
      </c>
      <c r="G47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3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39">
        <f>IF(Table1[[#This Row],[is_ups_overcharge]]="ups overcharged",Table1[[#This Row],[ups ship charge]]-Table1[[#This Row],[ada ship charge]],0)</f>
        <v>0</v>
      </c>
    </row>
    <row r="4740" spans="1:9" x14ac:dyDescent="0.2">
      <c r="A4740">
        <v>1037138</v>
      </c>
      <c r="B4740" t="s">
        <v>21</v>
      </c>
      <c r="C4740">
        <v>12.75</v>
      </c>
      <c r="D4740">
        <v>0</v>
      </c>
      <c r="E4740">
        <v>201.9</v>
      </c>
      <c r="F4740" t="s">
        <v>9</v>
      </c>
      <c r="G47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4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40">
        <f>IF(Table1[[#This Row],[is_ups_overcharge]]="ups overcharged",Table1[[#This Row],[ups ship charge]]-Table1[[#This Row],[ada ship charge]],0)</f>
        <v>0</v>
      </c>
    </row>
    <row r="4741" spans="1:9" x14ac:dyDescent="0.2">
      <c r="A4741">
        <v>1037512</v>
      </c>
      <c r="B4741" t="s">
        <v>21</v>
      </c>
      <c r="C4741">
        <v>12.75</v>
      </c>
      <c r="D4741">
        <v>0</v>
      </c>
      <c r="E4741">
        <v>201</v>
      </c>
      <c r="F4741" t="s">
        <v>9</v>
      </c>
      <c r="G47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4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41">
        <f>IF(Table1[[#This Row],[is_ups_overcharge]]="ups overcharged",Table1[[#This Row],[ups ship charge]]-Table1[[#This Row],[ada ship charge]],0)</f>
        <v>0</v>
      </c>
    </row>
    <row r="4742" spans="1:9" x14ac:dyDescent="0.2">
      <c r="A4742">
        <v>1037668</v>
      </c>
      <c r="B4742" t="s">
        <v>21</v>
      </c>
      <c r="C4742">
        <v>12.96</v>
      </c>
      <c r="D4742">
        <v>0</v>
      </c>
      <c r="E4742">
        <v>206.1</v>
      </c>
      <c r="F4742" t="s">
        <v>9</v>
      </c>
      <c r="G47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4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42">
        <f>IF(Table1[[#This Row],[is_ups_overcharge]]="ups overcharged",Table1[[#This Row],[ups ship charge]]-Table1[[#This Row],[ada ship charge]],0)</f>
        <v>0</v>
      </c>
    </row>
    <row r="4743" spans="1:9" x14ac:dyDescent="0.2">
      <c r="A4743">
        <v>1037687</v>
      </c>
      <c r="B4743" t="s">
        <v>21</v>
      </c>
      <c r="C4743">
        <v>9.65</v>
      </c>
      <c r="D4743">
        <v>0</v>
      </c>
      <c r="E4743">
        <v>205.85</v>
      </c>
      <c r="F4743" t="s">
        <v>6</v>
      </c>
      <c r="G47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4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43">
        <f>IF(Table1[[#This Row],[is_ups_overcharge]]="ups overcharged",Table1[[#This Row],[ups ship charge]]-Table1[[#This Row],[ada ship charge]],0)</f>
        <v>0</v>
      </c>
    </row>
    <row r="4744" spans="1:9" x14ac:dyDescent="0.2">
      <c r="A4744">
        <v>1038146</v>
      </c>
      <c r="B4744" t="s">
        <v>21</v>
      </c>
      <c r="C4744">
        <v>13.64</v>
      </c>
      <c r="D4744">
        <v>0</v>
      </c>
      <c r="E4744">
        <v>229.8</v>
      </c>
      <c r="F4744" t="s">
        <v>9</v>
      </c>
      <c r="G47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4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44">
        <f>IF(Table1[[#This Row],[is_ups_overcharge]]="ups overcharged",Table1[[#This Row],[ups ship charge]]-Table1[[#This Row],[ada ship charge]],0)</f>
        <v>0</v>
      </c>
    </row>
    <row r="4745" spans="1:9" x14ac:dyDescent="0.2">
      <c r="A4745">
        <v>1038380</v>
      </c>
      <c r="B4745" t="s">
        <v>21</v>
      </c>
      <c r="C4745">
        <v>14.6</v>
      </c>
      <c r="D4745">
        <v>0</v>
      </c>
      <c r="E4745">
        <v>320.3</v>
      </c>
      <c r="F4745" t="s">
        <v>9</v>
      </c>
      <c r="G47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4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45">
        <f>IF(Table1[[#This Row],[is_ups_overcharge]]="ups overcharged",Table1[[#This Row],[ups ship charge]]-Table1[[#This Row],[ada ship charge]],0)</f>
        <v>0</v>
      </c>
    </row>
    <row r="4746" spans="1:9" x14ac:dyDescent="0.2">
      <c r="A4746">
        <v>1038647</v>
      </c>
      <c r="B4746" t="s">
        <v>21</v>
      </c>
      <c r="C4746">
        <v>16.489999999999998</v>
      </c>
      <c r="D4746">
        <v>0</v>
      </c>
      <c r="E4746">
        <v>584.6</v>
      </c>
      <c r="F4746" t="s">
        <v>9</v>
      </c>
      <c r="G47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4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46">
        <f>IF(Table1[[#This Row],[is_ups_overcharge]]="ups overcharged",Table1[[#This Row],[ups ship charge]]-Table1[[#This Row],[ada ship charge]],0)</f>
        <v>0</v>
      </c>
    </row>
    <row r="4747" spans="1:9" x14ac:dyDescent="0.2">
      <c r="A4747">
        <v>1039223</v>
      </c>
      <c r="B4747" t="s">
        <v>21</v>
      </c>
      <c r="C4747">
        <v>15.5</v>
      </c>
      <c r="D4747">
        <v>0</v>
      </c>
      <c r="E4747">
        <v>811.39</v>
      </c>
      <c r="F4747" t="s">
        <v>6</v>
      </c>
      <c r="G47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4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47">
        <f>IF(Table1[[#This Row],[is_ups_overcharge]]="ups overcharged",Table1[[#This Row],[ups ship charge]]-Table1[[#This Row],[ada ship charge]],0)</f>
        <v>0</v>
      </c>
    </row>
    <row r="4748" spans="1:9" x14ac:dyDescent="0.2">
      <c r="A4748">
        <v>1039324</v>
      </c>
      <c r="B4748" t="s">
        <v>21</v>
      </c>
      <c r="C4748">
        <v>12.75</v>
      </c>
      <c r="D4748">
        <v>0</v>
      </c>
      <c r="E4748">
        <v>215.5</v>
      </c>
      <c r="F4748" t="s">
        <v>9</v>
      </c>
      <c r="G47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4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48">
        <f>IF(Table1[[#This Row],[is_ups_overcharge]]="ups overcharged",Table1[[#This Row],[ups ship charge]]-Table1[[#This Row],[ada ship charge]],0)</f>
        <v>0</v>
      </c>
    </row>
    <row r="4749" spans="1:9" x14ac:dyDescent="0.2">
      <c r="A4749">
        <v>1039524</v>
      </c>
      <c r="B4749" t="s">
        <v>21</v>
      </c>
      <c r="C4749">
        <v>9.66</v>
      </c>
      <c r="D4749">
        <v>0</v>
      </c>
      <c r="E4749">
        <v>258.39</v>
      </c>
      <c r="F4749" t="s">
        <v>6</v>
      </c>
      <c r="G47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4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49">
        <f>IF(Table1[[#This Row],[is_ups_overcharge]]="ups overcharged",Table1[[#This Row],[ups ship charge]]-Table1[[#This Row],[ada ship charge]],0)</f>
        <v>0</v>
      </c>
    </row>
    <row r="4750" spans="1:9" x14ac:dyDescent="0.2">
      <c r="A4750">
        <v>1039551</v>
      </c>
      <c r="B4750" t="s">
        <v>21</v>
      </c>
      <c r="C4750">
        <v>13.64</v>
      </c>
      <c r="D4750">
        <v>0</v>
      </c>
      <c r="E4750">
        <v>234.5</v>
      </c>
      <c r="F4750" t="s">
        <v>9</v>
      </c>
      <c r="G47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5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50">
        <f>IF(Table1[[#This Row],[is_ups_overcharge]]="ups overcharged",Table1[[#This Row],[ups ship charge]]-Table1[[#This Row],[ada ship charge]],0)</f>
        <v>0</v>
      </c>
    </row>
    <row r="4751" spans="1:9" x14ac:dyDescent="0.2">
      <c r="A4751">
        <v>1039579</v>
      </c>
      <c r="B4751" t="s">
        <v>21</v>
      </c>
      <c r="C4751">
        <v>10.58</v>
      </c>
      <c r="D4751">
        <v>0</v>
      </c>
      <c r="E4751">
        <v>487.7</v>
      </c>
      <c r="F4751" t="s">
        <v>6</v>
      </c>
      <c r="G47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5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51">
        <f>IF(Table1[[#This Row],[is_ups_overcharge]]="ups overcharged",Table1[[#This Row],[ups ship charge]]-Table1[[#This Row],[ada ship charge]],0)</f>
        <v>0</v>
      </c>
    </row>
    <row r="4752" spans="1:9" x14ac:dyDescent="0.2">
      <c r="A4752">
        <v>1039613</v>
      </c>
      <c r="B4752" t="s">
        <v>21</v>
      </c>
      <c r="C4752">
        <v>10.85</v>
      </c>
      <c r="D4752">
        <v>0</v>
      </c>
      <c r="E4752">
        <v>255.02</v>
      </c>
      <c r="F4752" t="s">
        <v>6</v>
      </c>
      <c r="G47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5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52">
        <f>IF(Table1[[#This Row],[is_ups_overcharge]]="ups overcharged",Table1[[#This Row],[ups ship charge]]-Table1[[#This Row],[ada ship charge]],0)</f>
        <v>0</v>
      </c>
    </row>
    <row r="4753" spans="1:9" x14ac:dyDescent="0.2">
      <c r="A4753">
        <v>1039819</v>
      </c>
      <c r="B4753" t="s">
        <v>21</v>
      </c>
      <c r="C4753">
        <v>13.63</v>
      </c>
      <c r="D4753">
        <v>0</v>
      </c>
      <c r="E4753">
        <v>206.25</v>
      </c>
      <c r="F4753" t="s">
        <v>9</v>
      </c>
      <c r="G47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5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53">
        <f>IF(Table1[[#This Row],[is_ups_overcharge]]="ups overcharged",Table1[[#This Row],[ups ship charge]]-Table1[[#This Row],[ada ship charge]],0)</f>
        <v>0</v>
      </c>
    </row>
    <row r="4754" spans="1:9" x14ac:dyDescent="0.2">
      <c r="A4754">
        <v>1040273</v>
      </c>
      <c r="B4754" t="s">
        <v>21</v>
      </c>
      <c r="C4754">
        <v>12.51</v>
      </c>
      <c r="D4754">
        <v>0</v>
      </c>
      <c r="E4754">
        <v>910.9</v>
      </c>
      <c r="F4754" t="s">
        <v>6</v>
      </c>
      <c r="G47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5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54">
        <f>IF(Table1[[#This Row],[is_ups_overcharge]]="ups overcharged",Table1[[#This Row],[ups ship charge]]-Table1[[#This Row],[ada ship charge]],0)</f>
        <v>0</v>
      </c>
    </row>
    <row r="4755" spans="1:9" x14ac:dyDescent="0.2">
      <c r="A4755">
        <v>1040286</v>
      </c>
      <c r="B4755" t="s">
        <v>21</v>
      </c>
      <c r="C4755">
        <v>13.63</v>
      </c>
      <c r="D4755">
        <v>0</v>
      </c>
      <c r="E4755">
        <v>449.95</v>
      </c>
      <c r="F4755" t="s">
        <v>9</v>
      </c>
      <c r="G47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5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55">
        <f>IF(Table1[[#This Row],[is_ups_overcharge]]="ups overcharged",Table1[[#This Row],[ups ship charge]]-Table1[[#This Row],[ada ship charge]],0)</f>
        <v>0</v>
      </c>
    </row>
    <row r="4756" spans="1:9" x14ac:dyDescent="0.2">
      <c r="A4756">
        <v>1040450</v>
      </c>
      <c r="B4756" t="s">
        <v>21</v>
      </c>
      <c r="C4756">
        <v>9.65</v>
      </c>
      <c r="D4756">
        <v>0</v>
      </c>
      <c r="E4756">
        <v>326.10000000000002</v>
      </c>
      <c r="F4756" t="s">
        <v>6</v>
      </c>
      <c r="G47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5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56">
        <f>IF(Table1[[#This Row],[is_ups_overcharge]]="ups overcharged",Table1[[#This Row],[ups ship charge]]-Table1[[#This Row],[ada ship charge]],0)</f>
        <v>0</v>
      </c>
    </row>
    <row r="4757" spans="1:9" x14ac:dyDescent="0.2">
      <c r="A4757">
        <v>1040647</v>
      </c>
      <c r="B4757" t="s">
        <v>21</v>
      </c>
      <c r="C4757">
        <v>14.65</v>
      </c>
      <c r="D4757">
        <v>0</v>
      </c>
      <c r="E4757">
        <v>322.7</v>
      </c>
      <c r="F4757" t="s">
        <v>9</v>
      </c>
      <c r="G47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5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57">
        <f>IF(Table1[[#This Row],[is_ups_overcharge]]="ups overcharged",Table1[[#This Row],[ups ship charge]]-Table1[[#This Row],[ada ship charge]],0)</f>
        <v>0</v>
      </c>
    </row>
    <row r="4758" spans="1:9" x14ac:dyDescent="0.2">
      <c r="A4758">
        <v>1040893</v>
      </c>
      <c r="B4758" t="s">
        <v>21</v>
      </c>
      <c r="C4758">
        <v>13.64</v>
      </c>
      <c r="D4758">
        <v>0</v>
      </c>
      <c r="E4758">
        <v>209.7</v>
      </c>
      <c r="F4758" t="s">
        <v>9</v>
      </c>
      <c r="G47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5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58">
        <f>IF(Table1[[#This Row],[is_ups_overcharge]]="ups overcharged",Table1[[#This Row],[ups ship charge]]-Table1[[#This Row],[ada ship charge]],0)</f>
        <v>0</v>
      </c>
    </row>
    <row r="4759" spans="1:9" x14ac:dyDescent="0.2">
      <c r="A4759">
        <v>1040938</v>
      </c>
      <c r="B4759" t="s">
        <v>21</v>
      </c>
      <c r="C4759">
        <v>13.63</v>
      </c>
      <c r="D4759">
        <v>0</v>
      </c>
      <c r="E4759">
        <v>229.85</v>
      </c>
      <c r="F4759" t="s">
        <v>9</v>
      </c>
      <c r="G47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5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59">
        <f>IF(Table1[[#This Row],[is_ups_overcharge]]="ups overcharged",Table1[[#This Row],[ups ship charge]]-Table1[[#This Row],[ada ship charge]],0)</f>
        <v>0</v>
      </c>
    </row>
    <row r="4760" spans="1:9" x14ac:dyDescent="0.2">
      <c r="A4760">
        <v>1041104</v>
      </c>
      <c r="B4760" t="s">
        <v>21</v>
      </c>
      <c r="C4760">
        <v>13.64</v>
      </c>
      <c r="D4760">
        <v>0</v>
      </c>
      <c r="E4760">
        <v>217.65</v>
      </c>
      <c r="F4760" t="s">
        <v>9</v>
      </c>
      <c r="G47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6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60">
        <f>IF(Table1[[#This Row],[is_ups_overcharge]]="ups overcharged",Table1[[#This Row],[ups ship charge]]-Table1[[#This Row],[ada ship charge]],0)</f>
        <v>0</v>
      </c>
    </row>
    <row r="4761" spans="1:9" x14ac:dyDescent="0.2">
      <c r="A4761">
        <v>1041154</v>
      </c>
      <c r="B4761" t="s">
        <v>21</v>
      </c>
      <c r="C4761">
        <v>13.64</v>
      </c>
      <c r="D4761">
        <v>0</v>
      </c>
      <c r="E4761">
        <v>333.4</v>
      </c>
      <c r="F4761" t="s">
        <v>9</v>
      </c>
      <c r="G47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6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61">
        <f>IF(Table1[[#This Row],[is_ups_overcharge]]="ups overcharged",Table1[[#This Row],[ups ship charge]]-Table1[[#This Row],[ada ship charge]],0)</f>
        <v>0</v>
      </c>
    </row>
    <row r="4762" spans="1:9" x14ac:dyDescent="0.2">
      <c r="A4762">
        <v>1041443</v>
      </c>
      <c r="B4762" t="s">
        <v>21</v>
      </c>
      <c r="C4762">
        <v>13.64</v>
      </c>
      <c r="D4762">
        <v>0</v>
      </c>
      <c r="E4762">
        <v>202.85</v>
      </c>
      <c r="F4762" t="s">
        <v>9</v>
      </c>
      <c r="G47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6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62">
        <f>IF(Table1[[#This Row],[is_ups_overcharge]]="ups overcharged",Table1[[#This Row],[ups ship charge]]-Table1[[#This Row],[ada ship charge]],0)</f>
        <v>0</v>
      </c>
    </row>
    <row r="4763" spans="1:9" x14ac:dyDescent="0.2">
      <c r="A4763">
        <v>1041520</v>
      </c>
      <c r="B4763" t="s">
        <v>21</v>
      </c>
      <c r="C4763">
        <v>10.25</v>
      </c>
      <c r="D4763">
        <v>0</v>
      </c>
      <c r="E4763">
        <v>467.2</v>
      </c>
      <c r="F4763" t="s">
        <v>6</v>
      </c>
      <c r="G47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6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63">
        <f>IF(Table1[[#This Row],[is_ups_overcharge]]="ups overcharged",Table1[[#This Row],[ups ship charge]]-Table1[[#This Row],[ada ship charge]],0)</f>
        <v>0</v>
      </c>
    </row>
    <row r="4764" spans="1:9" x14ac:dyDescent="0.2">
      <c r="A4764">
        <v>1041578</v>
      </c>
      <c r="B4764" t="s">
        <v>21</v>
      </c>
      <c r="C4764">
        <v>13.87</v>
      </c>
      <c r="D4764">
        <v>0</v>
      </c>
      <c r="E4764">
        <v>325</v>
      </c>
      <c r="F4764" t="s">
        <v>9</v>
      </c>
      <c r="G47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6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64">
        <f>IF(Table1[[#This Row],[is_ups_overcharge]]="ups overcharged",Table1[[#This Row],[ups ship charge]]-Table1[[#This Row],[ada ship charge]],0)</f>
        <v>0</v>
      </c>
    </row>
    <row r="4765" spans="1:9" x14ac:dyDescent="0.2">
      <c r="A4765">
        <v>1041582</v>
      </c>
      <c r="B4765" t="s">
        <v>21</v>
      </c>
      <c r="C4765">
        <v>9.65</v>
      </c>
      <c r="D4765">
        <v>0</v>
      </c>
      <c r="E4765">
        <v>233.65</v>
      </c>
      <c r="F4765" t="s">
        <v>6</v>
      </c>
      <c r="G47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6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65">
        <f>IF(Table1[[#This Row],[is_ups_overcharge]]="ups overcharged",Table1[[#This Row],[ups ship charge]]-Table1[[#This Row],[ada ship charge]],0)</f>
        <v>0</v>
      </c>
    </row>
    <row r="4766" spans="1:9" x14ac:dyDescent="0.2">
      <c r="A4766">
        <v>1041631</v>
      </c>
      <c r="B4766" t="s">
        <v>21</v>
      </c>
      <c r="C4766">
        <v>13.42</v>
      </c>
      <c r="D4766">
        <v>0</v>
      </c>
      <c r="E4766">
        <v>517.64</v>
      </c>
      <c r="F4766" t="s">
        <v>6</v>
      </c>
      <c r="G47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6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66">
        <f>IF(Table1[[#This Row],[is_ups_overcharge]]="ups overcharged",Table1[[#This Row],[ups ship charge]]-Table1[[#This Row],[ada ship charge]],0)</f>
        <v>0</v>
      </c>
    </row>
    <row r="4767" spans="1:9" x14ac:dyDescent="0.2">
      <c r="A4767">
        <v>1041827</v>
      </c>
      <c r="B4767" t="s">
        <v>21</v>
      </c>
      <c r="C4767">
        <v>10.85</v>
      </c>
      <c r="D4767">
        <v>0</v>
      </c>
      <c r="E4767">
        <v>256.82</v>
      </c>
      <c r="F4767" t="s">
        <v>6</v>
      </c>
      <c r="G47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6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67">
        <f>IF(Table1[[#This Row],[is_ups_overcharge]]="ups overcharged",Table1[[#This Row],[ups ship charge]]-Table1[[#This Row],[ada ship charge]],0)</f>
        <v>0</v>
      </c>
    </row>
    <row r="4768" spans="1:9" x14ac:dyDescent="0.2">
      <c r="A4768">
        <v>1042092</v>
      </c>
      <c r="B4768" t="s">
        <v>21</v>
      </c>
      <c r="C4768">
        <v>9.66</v>
      </c>
      <c r="D4768">
        <v>0</v>
      </c>
      <c r="E4768">
        <v>403</v>
      </c>
      <c r="F4768" t="s">
        <v>6</v>
      </c>
      <c r="G47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6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68">
        <f>IF(Table1[[#This Row],[is_ups_overcharge]]="ups overcharged",Table1[[#This Row],[ups ship charge]]-Table1[[#This Row],[ada ship charge]],0)</f>
        <v>0</v>
      </c>
    </row>
    <row r="4769" spans="1:9" x14ac:dyDescent="0.2">
      <c r="A4769">
        <v>1042228</v>
      </c>
      <c r="B4769" t="s">
        <v>21</v>
      </c>
      <c r="C4769">
        <v>53.82</v>
      </c>
      <c r="D4769">
        <v>0</v>
      </c>
      <c r="E4769">
        <v>5072.75</v>
      </c>
      <c r="F4769" t="s">
        <v>6</v>
      </c>
      <c r="G47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6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69">
        <f>IF(Table1[[#This Row],[is_ups_overcharge]]="ups overcharged",Table1[[#This Row],[ups ship charge]]-Table1[[#This Row],[ada ship charge]],0)</f>
        <v>0</v>
      </c>
    </row>
    <row r="4770" spans="1:9" x14ac:dyDescent="0.2">
      <c r="A4770">
        <v>1042260</v>
      </c>
      <c r="B4770" t="s">
        <v>21</v>
      </c>
      <c r="C4770">
        <v>13.1</v>
      </c>
      <c r="D4770">
        <v>0</v>
      </c>
      <c r="E4770">
        <v>1663.65</v>
      </c>
      <c r="F4770" t="s">
        <v>6</v>
      </c>
      <c r="G47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7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70">
        <f>IF(Table1[[#This Row],[is_ups_overcharge]]="ups overcharged",Table1[[#This Row],[ups ship charge]]-Table1[[#This Row],[ada ship charge]],0)</f>
        <v>0</v>
      </c>
    </row>
    <row r="4771" spans="1:9" x14ac:dyDescent="0.2">
      <c r="A4771">
        <v>1042314</v>
      </c>
      <c r="B4771" t="s">
        <v>21</v>
      </c>
      <c r="C4771">
        <v>12.75</v>
      </c>
      <c r="D4771">
        <v>0</v>
      </c>
      <c r="E4771">
        <v>382.6</v>
      </c>
      <c r="F4771" t="s">
        <v>9</v>
      </c>
      <c r="G47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7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71">
        <f>IF(Table1[[#This Row],[is_ups_overcharge]]="ups overcharged",Table1[[#This Row],[ups ship charge]]-Table1[[#This Row],[ada ship charge]],0)</f>
        <v>0</v>
      </c>
    </row>
    <row r="4772" spans="1:9" x14ac:dyDescent="0.2">
      <c r="A4772">
        <v>1042328</v>
      </c>
      <c r="B4772" t="s">
        <v>21</v>
      </c>
      <c r="C4772">
        <v>12.75</v>
      </c>
      <c r="D4772">
        <v>0</v>
      </c>
      <c r="E4772">
        <v>200.25</v>
      </c>
      <c r="F4772" t="s">
        <v>9</v>
      </c>
      <c r="G47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7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72">
        <f>IF(Table1[[#This Row],[is_ups_overcharge]]="ups overcharged",Table1[[#This Row],[ups ship charge]]-Table1[[#This Row],[ada ship charge]],0)</f>
        <v>0</v>
      </c>
    </row>
    <row r="4773" spans="1:9" x14ac:dyDescent="0.2">
      <c r="A4773">
        <v>1042492</v>
      </c>
      <c r="B4773" t="s">
        <v>21</v>
      </c>
      <c r="C4773">
        <v>13.63</v>
      </c>
      <c r="D4773">
        <v>0</v>
      </c>
      <c r="E4773">
        <v>209.85</v>
      </c>
      <c r="F4773" t="s">
        <v>9</v>
      </c>
      <c r="G47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7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73">
        <f>IF(Table1[[#This Row],[is_ups_overcharge]]="ups overcharged",Table1[[#This Row],[ups ship charge]]-Table1[[#This Row],[ada ship charge]],0)</f>
        <v>0</v>
      </c>
    </row>
    <row r="4774" spans="1:9" x14ac:dyDescent="0.2">
      <c r="A4774">
        <v>1042718</v>
      </c>
      <c r="B4774" t="s">
        <v>21</v>
      </c>
      <c r="C4774">
        <v>12.5</v>
      </c>
      <c r="D4774">
        <v>0</v>
      </c>
      <c r="E4774">
        <v>1486.4</v>
      </c>
      <c r="F4774" t="s">
        <v>6</v>
      </c>
      <c r="G47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7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74">
        <f>IF(Table1[[#This Row],[is_ups_overcharge]]="ups overcharged",Table1[[#This Row],[ups ship charge]]-Table1[[#This Row],[ada ship charge]],0)</f>
        <v>0</v>
      </c>
    </row>
    <row r="4775" spans="1:9" x14ac:dyDescent="0.2">
      <c r="A4775">
        <v>1043490</v>
      </c>
      <c r="B4775" t="s">
        <v>21</v>
      </c>
      <c r="C4775">
        <v>12.75</v>
      </c>
      <c r="D4775">
        <v>0</v>
      </c>
      <c r="E4775">
        <v>207.25</v>
      </c>
      <c r="F4775" t="s">
        <v>9</v>
      </c>
      <c r="G47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7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75">
        <f>IF(Table1[[#This Row],[is_ups_overcharge]]="ups overcharged",Table1[[#This Row],[ups ship charge]]-Table1[[#This Row],[ada ship charge]],0)</f>
        <v>0</v>
      </c>
    </row>
    <row r="4776" spans="1:9" x14ac:dyDescent="0.2">
      <c r="A4776">
        <v>1043497</v>
      </c>
      <c r="B4776" t="s">
        <v>21</v>
      </c>
      <c r="C4776">
        <v>15.6</v>
      </c>
      <c r="D4776">
        <v>0</v>
      </c>
      <c r="E4776">
        <v>641.82000000000005</v>
      </c>
      <c r="F4776" t="s">
        <v>9</v>
      </c>
      <c r="G47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7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76">
        <f>IF(Table1[[#This Row],[is_ups_overcharge]]="ups overcharged",Table1[[#This Row],[ups ship charge]]-Table1[[#This Row],[ada ship charge]],0)</f>
        <v>0</v>
      </c>
    </row>
    <row r="4777" spans="1:9" x14ac:dyDescent="0.2">
      <c r="A4777">
        <v>1043699</v>
      </c>
      <c r="B4777" t="s">
        <v>21</v>
      </c>
      <c r="C4777">
        <v>9.65</v>
      </c>
      <c r="D4777">
        <v>0</v>
      </c>
      <c r="E4777">
        <v>300</v>
      </c>
      <c r="F4777" t="s">
        <v>6</v>
      </c>
      <c r="G47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7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77">
        <f>IF(Table1[[#This Row],[is_ups_overcharge]]="ups overcharged",Table1[[#This Row],[ups ship charge]]-Table1[[#This Row],[ada ship charge]],0)</f>
        <v>0</v>
      </c>
    </row>
    <row r="4778" spans="1:9" x14ac:dyDescent="0.2">
      <c r="A4778">
        <v>1043708</v>
      </c>
      <c r="B4778" t="s">
        <v>21</v>
      </c>
      <c r="C4778">
        <v>9.65</v>
      </c>
      <c r="D4778">
        <v>0</v>
      </c>
      <c r="E4778">
        <v>201.9</v>
      </c>
      <c r="F4778" t="s">
        <v>6</v>
      </c>
      <c r="G47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7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78">
        <f>IF(Table1[[#This Row],[is_ups_overcharge]]="ups overcharged",Table1[[#This Row],[ups ship charge]]-Table1[[#This Row],[ada ship charge]],0)</f>
        <v>0</v>
      </c>
    </row>
    <row r="4779" spans="1:9" x14ac:dyDescent="0.2">
      <c r="A4779">
        <v>1043885</v>
      </c>
      <c r="B4779" t="s">
        <v>21</v>
      </c>
      <c r="C4779">
        <v>12.75</v>
      </c>
      <c r="D4779">
        <v>0</v>
      </c>
      <c r="E4779">
        <v>200.5</v>
      </c>
      <c r="F4779" t="s">
        <v>9</v>
      </c>
      <c r="G47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7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79">
        <f>IF(Table1[[#This Row],[is_ups_overcharge]]="ups overcharged",Table1[[#This Row],[ups ship charge]]-Table1[[#This Row],[ada ship charge]],0)</f>
        <v>0</v>
      </c>
    </row>
    <row r="4780" spans="1:9" x14ac:dyDescent="0.2">
      <c r="A4780">
        <v>1043919</v>
      </c>
      <c r="B4780" t="s">
        <v>21</v>
      </c>
      <c r="C4780">
        <v>12.5</v>
      </c>
      <c r="D4780">
        <v>0</v>
      </c>
      <c r="E4780">
        <v>592.86</v>
      </c>
      <c r="F4780" t="s">
        <v>6</v>
      </c>
      <c r="G47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8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80">
        <f>IF(Table1[[#This Row],[is_ups_overcharge]]="ups overcharged",Table1[[#This Row],[ups ship charge]]-Table1[[#This Row],[ada ship charge]],0)</f>
        <v>0</v>
      </c>
    </row>
    <row r="4781" spans="1:9" x14ac:dyDescent="0.2">
      <c r="A4781">
        <v>1044028</v>
      </c>
      <c r="B4781" t="s">
        <v>21</v>
      </c>
      <c r="C4781">
        <v>12.54</v>
      </c>
      <c r="D4781">
        <v>0</v>
      </c>
      <c r="E4781">
        <v>1402.44</v>
      </c>
      <c r="F4781" t="s">
        <v>6</v>
      </c>
      <c r="G47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8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81">
        <f>IF(Table1[[#This Row],[is_ups_overcharge]]="ups overcharged",Table1[[#This Row],[ups ship charge]]-Table1[[#This Row],[ada ship charge]],0)</f>
        <v>0</v>
      </c>
    </row>
    <row r="4782" spans="1:9" x14ac:dyDescent="0.2">
      <c r="A4782">
        <v>1044041</v>
      </c>
      <c r="B4782" t="s">
        <v>21</v>
      </c>
      <c r="C4782">
        <v>13.79</v>
      </c>
      <c r="D4782">
        <v>0</v>
      </c>
      <c r="E4782">
        <v>210.15</v>
      </c>
      <c r="F4782" t="s">
        <v>9</v>
      </c>
      <c r="G47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8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82">
        <f>IF(Table1[[#This Row],[is_ups_overcharge]]="ups overcharged",Table1[[#This Row],[ups ship charge]]-Table1[[#This Row],[ada ship charge]],0)</f>
        <v>0</v>
      </c>
    </row>
    <row r="4783" spans="1:9" x14ac:dyDescent="0.2">
      <c r="A4783">
        <v>1044170</v>
      </c>
      <c r="B4783" t="s">
        <v>21</v>
      </c>
      <c r="C4783">
        <v>9.66</v>
      </c>
      <c r="D4783">
        <v>0</v>
      </c>
      <c r="E4783">
        <v>228.85</v>
      </c>
      <c r="F4783" t="s">
        <v>6</v>
      </c>
      <c r="G47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8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83">
        <f>IF(Table1[[#This Row],[is_ups_overcharge]]="ups overcharged",Table1[[#This Row],[ups ship charge]]-Table1[[#This Row],[ada ship charge]],0)</f>
        <v>0</v>
      </c>
    </row>
    <row r="4784" spans="1:9" x14ac:dyDescent="0.2">
      <c r="A4784">
        <v>1044357</v>
      </c>
      <c r="B4784" t="s">
        <v>21</v>
      </c>
      <c r="C4784">
        <v>9.65</v>
      </c>
      <c r="D4784">
        <v>0</v>
      </c>
      <c r="E4784">
        <v>300.35000000000002</v>
      </c>
      <c r="F4784" t="s">
        <v>6</v>
      </c>
      <c r="G47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8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84">
        <f>IF(Table1[[#This Row],[is_ups_overcharge]]="ups overcharged",Table1[[#This Row],[ups ship charge]]-Table1[[#This Row],[ada ship charge]],0)</f>
        <v>0</v>
      </c>
    </row>
    <row r="4785" spans="1:9" x14ac:dyDescent="0.2">
      <c r="A4785">
        <v>1044525</v>
      </c>
      <c r="B4785" t="s">
        <v>21</v>
      </c>
      <c r="C4785">
        <v>13.85</v>
      </c>
      <c r="D4785">
        <v>0</v>
      </c>
      <c r="E4785">
        <v>225.7</v>
      </c>
      <c r="F4785" t="s">
        <v>9</v>
      </c>
      <c r="G47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8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85">
        <f>IF(Table1[[#This Row],[is_ups_overcharge]]="ups overcharged",Table1[[#This Row],[ups ship charge]]-Table1[[#This Row],[ada ship charge]],0)</f>
        <v>0</v>
      </c>
    </row>
    <row r="4786" spans="1:9" x14ac:dyDescent="0.2">
      <c r="A4786">
        <v>1044648</v>
      </c>
      <c r="B4786" t="s">
        <v>21</v>
      </c>
      <c r="C4786">
        <v>9.66</v>
      </c>
      <c r="D4786">
        <v>0</v>
      </c>
      <c r="E4786">
        <v>370</v>
      </c>
      <c r="F4786" t="s">
        <v>6</v>
      </c>
      <c r="G47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8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86">
        <f>IF(Table1[[#This Row],[is_ups_overcharge]]="ups overcharged",Table1[[#This Row],[ups ship charge]]-Table1[[#This Row],[ada ship charge]],0)</f>
        <v>0</v>
      </c>
    </row>
    <row r="4787" spans="1:9" x14ac:dyDescent="0.2">
      <c r="A4787">
        <v>1044885</v>
      </c>
      <c r="B4787" t="s">
        <v>21</v>
      </c>
      <c r="C4787">
        <v>12.75</v>
      </c>
      <c r="D4787">
        <v>0</v>
      </c>
      <c r="E4787">
        <v>257.75</v>
      </c>
      <c r="F4787" t="s">
        <v>9</v>
      </c>
      <c r="G47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8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87">
        <f>IF(Table1[[#This Row],[is_ups_overcharge]]="ups overcharged",Table1[[#This Row],[ups ship charge]]-Table1[[#This Row],[ada ship charge]],0)</f>
        <v>0</v>
      </c>
    </row>
    <row r="4788" spans="1:9" x14ac:dyDescent="0.2">
      <c r="A4788">
        <v>1044994</v>
      </c>
      <c r="B4788" t="s">
        <v>21</v>
      </c>
      <c r="C4788">
        <v>22.93</v>
      </c>
      <c r="D4788">
        <v>0</v>
      </c>
      <c r="E4788">
        <v>492.56</v>
      </c>
      <c r="F4788" t="s">
        <v>6</v>
      </c>
      <c r="G47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8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88">
        <f>IF(Table1[[#This Row],[is_ups_overcharge]]="ups overcharged",Table1[[#This Row],[ups ship charge]]-Table1[[#This Row],[ada ship charge]],0)</f>
        <v>0</v>
      </c>
    </row>
    <row r="4789" spans="1:9" x14ac:dyDescent="0.2">
      <c r="A4789">
        <v>1045011</v>
      </c>
      <c r="B4789" t="s">
        <v>21</v>
      </c>
      <c r="C4789">
        <v>12.75</v>
      </c>
      <c r="D4789">
        <v>0</v>
      </c>
      <c r="E4789">
        <v>201.4</v>
      </c>
      <c r="F4789" t="s">
        <v>9</v>
      </c>
      <c r="G47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8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89">
        <f>IF(Table1[[#This Row],[is_ups_overcharge]]="ups overcharged",Table1[[#This Row],[ups ship charge]]-Table1[[#This Row],[ada ship charge]],0)</f>
        <v>0</v>
      </c>
    </row>
    <row r="4790" spans="1:9" x14ac:dyDescent="0.2">
      <c r="A4790">
        <v>1045677</v>
      </c>
      <c r="B4790" t="s">
        <v>21</v>
      </c>
      <c r="C4790">
        <v>13.2</v>
      </c>
      <c r="D4790">
        <v>0</v>
      </c>
      <c r="E4790">
        <v>254.25</v>
      </c>
      <c r="F4790" t="s">
        <v>9</v>
      </c>
      <c r="G47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9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90">
        <f>IF(Table1[[#This Row],[is_ups_overcharge]]="ups overcharged",Table1[[#This Row],[ups ship charge]]-Table1[[#This Row],[ada ship charge]],0)</f>
        <v>0</v>
      </c>
    </row>
    <row r="4791" spans="1:9" x14ac:dyDescent="0.2">
      <c r="A4791">
        <v>1045937</v>
      </c>
      <c r="B4791" t="s">
        <v>21</v>
      </c>
      <c r="C4791">
        <v>13.2</v>
      </c>
      <c r="D4791">
        <v>0</v>
      </c>
      <c r="E4791">
        <v>211.5</v>
      </c>
      <c r="F4791" t="s">
        <v>9</v>
      </c>
      <c r="G47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9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91">
        <f>IF(Table1[[#This Row],[is_ups_overcharge]]="ups overcharged",Table1[[#This Row],[ups ship charge]]-Table1[[#This Row],[ada ship charge]],0)</f>
        <v>0</v>
      </c>
    </row>
    <row r="4792" spans="1:9" x14ac:dyDescent="0.2">
      <c r="A4792">
        <v>1045973</v>
      </c>
      <c r="B4792" t="s">
        <v>21</v>
      </c>
      <c r="C4792">
        <v>13.64</v>
      </c>
      <c r="D4792">
        <v>0</v>
      </c>
      <c r="E4792">
        <v>210.3</v>
      </c>
      <c r="F4792" t="s">
        <v>9</v>
      </c>
      <c r="G47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9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92">
        <f>IF(Table1[[#This Row],[is_ups_overcharge]]="ups overcharged",Table1[[#This Row],[ups ship charge]]-Table1[[#This Row],[ada ship charge]],0)</f>
        <v>0</v>
      </c>
    </row>
    <row r="4793" spans="1:9" x14ac:dyDescent="0.2">
      <c r="A4793">
        <v>1046044</v>
      </c>
      <c r="B4793" t="s">
        <v>21</v>
      </c>
      <c r="C4793">
        <v>9.65</v>
      </c>
      <c r="D4793">
        <v>0</v>
      </c>
      <c r="E4793">
        <v>293.39999999999998</v>
      </c>
      <c r="F4793" t="s">
        <v>6</v>
      </c>
      <c r="G47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9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93">
        <f>IF(Table1[[#This Row],[is_ups_overcharge]]="ups overcharged",Table1[[#This Row],[ups ship charge]]-Table1[[#This Row],[ada ship charge]],0)</f>
        <v>0</v>
      </c>
    </row>
    <row r="4794" spans="1:9" x14ac:dyDescent="0.2">
      <c r="A4794">
        <v>1046112</v>
      </c>
      <c r="B4794" t="s">
        <v>21</v>
      </c>
      <c r="C4794">
        <v>16.489999999999998</v>
      </c>
      <c r="D4794">
        <v>0</v>
      </c>
      <c r="E4794">
        <v>538.35</v>
      </c>
      <c r="F4794" t="s">
        <v>9</v>
      </c>
      <c r="G47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9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94">
        <f>IF(Table1[[#This Row],[is_ups_overcharge]]="ups overcharged",Table1[[#This Row],[ups ship charge]]-Table1[[#This Row],[ada ship charge]],0)</f>
        <v>0</v>
      </c>
    </row>
    <row r="4795" spans="1:9" x14ac:dyDescent="0.2">
      <c r="A4795">
        <v>1046257</v>
      </c>
      <c r="B4795" t="s">
        <v>21</v>
      </c>
      <c r="C4795">
        <v>13.64</v>
      </c>
      <c r="D4795">
        <v>0</v>
      </c>
      <c r="E4795">
        <v>264.3</v>
      </c>
      <c r="F4795" t="s">
        <v>9</v>
      </c>
      <c r="G47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9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95">
        <f>IF(Table1[[#This Row],[is_ups_overcharge]]="ups overcharged",Table1[[#This Row],[ups ship charge]]-Table1[[#This Row],[ada ship charge]],0)</f>
        <v>0</v>
      </c>
    </row>
    <row r="4796" spans="1:9" x14ac:dyDescent="0.2">
      <c r="A4796">
        <v>1046265</v>
      </c>
      <c r="B4796" t="s">
        <v>21</v>
      </c>
      <c r="C4796">
        <v>12.75</v>
      </c>
      <c r="D4796">
        <v>0</v>
      </c>
      <c r="E4796">
        <v>200.15</v>
      </c>
      <c r="F4796" t="s">
        <v>9</v>
      </c>
      <c r="G47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9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96">
        <f>IF(Table1[[#This Row],[is_ups_overcharge]]="ups overcharged",Table1[[#This Row],[ups ship charge]]-Table1[[#This Row],[ada ship charge]],0)</f>
        <v>0</v>
      </c>
    </row>
    <row r="4797" spans="1:9" x14ac:dyDescent="0.2">
      <c r="A4797">
        <v>1046381</v>
      </c>
      <c r="B4797" t="s">
        <v>21</v>
      </c>
      <c r="C4797">
        <v>9.66</v>
      </c>
      <c r="D4797">
        <v>0</v>
      </c>
      <c r="E4797">
        <v>260.33999999999997</v>
      </c>
      <c r="F4797" t="s">
        <v>6</v>
      </c>
      <c r="G47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9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97">
        <f>IF(Table1[[#This Row],[is_ups_overcharge]]="ups overcharged",Table1[[#This Row],[ups ship charge]]-Table1[[#This Row],[ada ship charge]],0)</f>
        <v>0</v>
      </c>
    </row>
    <row r="4798" spans="1:9" x14ac:dyDescent="0.2">
      <c r="A4798">
        <v>1046631</v>
      </c>
      <c r="B4798" t="s">
        <v>21</v>
      </c>
      <c r="C4798">
        <v>12.65</v>
      </c>
      <c r="D4798">
        <v>0</v>
      </c>
      <c r="E4798">
        <v>540</v>
      </c>
      <c r="F4798" t="s">
        <v>6</v>
      </c>
      <c r="G47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9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98">
        <f>IF(Table1[[#This Row],[is_ups_overcharge]]="ups overcharged",Table1[[#This Row],[ups ship charge]]-Table1[[#This Row],[ada ship charge]],0)</f>
        <v>0</v>
      </c>
    </row>
    <row r="4799" spans="1:9" x14ac:dyDescent="0.2">
      <c r="A4799">
        <v>1046879</v>
      </c>
      <c r="B4799" t="s">
        <v>21</v>
      </c>
      <c r="C4799">
        <v>13.63</v>
      </c>
      <c r="D4799">
        <v>0</v>
      </c>
      <c r="E4799">
        <v>214.75</v>
      </c>
      <c r="F4799" t="s">
        <v>9</v>
      </c>
      <c r="G47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79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799">
        <f>IF(Table1[[#This Row],[is_ups_overcharge]]="ups overcharged",Table1[[#This Row],[ups ship charge]]-Table1[[#This Row],[ada ship charge]],0)</f>
        <v>0</v>
      </c>
    </row>
    <row r="4800" spans="1:9" x14ac:dyDescent="0.2">
      <c r="A4800">
        <v>1047008</v>
      </c>
      <c r="B4800" t="s">
        <v>21</v>
      </c>
      <c r="C4800">
        <v>12.75</v>
      </c>
      <c r="D4800">
        <v>0</v>
      </c>
      <c r="E4800">
        <v>303.55</v>
      </c>
      <c r="F4800" t="s">
        <v>9</v>
      </c>
      <c r="G48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0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00">
        <f>IF(Table1[[#This Row],[is_ups_overcharge]]="ups overcharged",Table1[[#This Row],[ups ship charge]]-Table1[[#This Row],[ada ship charge]],0)</f>
        <v>0</v>
      </c>
    </row>
    <row r="4801" spans="1:9" x14ac:dyDescent="0.2">
      <c r="A4801">
        <v>1047066</v>
      </c>
      <c r="B4801" t="s">
        <v>21</v>
      </c>
      <c r="C4801">
        <v>13.64</v>
      </c>
      <c r="D4801">
        <v>0</v>
      </c>
      <c r="E4801">
        <v>208.15</v>
      </c>
      <c r="F4801" t="s">
        <v>9</v>
      </c>
      <c r="G48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0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01">
        <f>IF(Table1[[#This Row],[is_ups_overcharge]]="ups overcharged",Table1[[#This Row],[ups ship charge]]-Table1[[#This Row],[ada ship charge]],0)</f>
        <v>0</v>
      </c>
    </row>
    <row r="4802" spans="1:9" x14ac:dyDescent="0.2">
      <c r="A4802">
        <v>1047260</v>
      </c>
      <c r="B4802" t="s">
        <v>21</v>
      </c>
      <c r="C4802">
        <v>9.66</v>
      </c>
      <c r="D4802">
        <v>0</v>
      </c>
      <c r="E4802">
        <v>337.95</v>
      </c>
      <c r="F4802" t="s">
        <v>6</v>
      </c>
      <c r="G48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0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02">
        <f>IF(Table1[[#This Row],[is_ups_overcharge]]="ups overcharged",Table1[[#This Row],[ups ship charge]]-Table1[[#This Row],[ada ship charge]],0)</f>
        <v>0</v>
      </c>
    </row>
    <row r="4803" spans="1:9" x14ac:dyDescent="0.2">
      <c r="A4803">
        <v>1047281</v>
      </c>
      <c r="B4803" t="s">
        <v>21</v>
      </c>
      <c r="C4803">
        <v>9.66</v>
      </c>
      <c r="D4803">
        <v>0</v>
      </c>
      <c r="E4803">
        <v>298.75</v>
      </c>
      <c r="F4803" t="s">
        <v>6</v>
      </c>
      <c r="G48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0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03">
        <f>IF(Table1[[#This Row],[is_ups_overcharge]]="ups overcharged",Table1[[#This Row],[ups ship charge]]-Table1[[#This Row],[ada ship charge]],0)</f>
        <v>0</v>
      </c>
    </row>
    <row r="4804" spans="1:9" x14ac:dyDescent="0.2">
      <c r="A4804">
        <v>1047363</v>
      </c>
      <c r="B4804" t="s">
        <v>21</v>
      </c>
      <c r="C4804">
        <v>12.54</v>
      </c>
      <c r="D4804">
        <v>0</v>
      </c>
      <c r="E4804">
        <v>3196</v>
      </c>
      <c r="F4804" t="s">
        <v>6</v>
      </c>
      <c r="G48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0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04">
        <f>IF(Table1[[#This Row],[is_ups_overcharge]]="ups overcharged",Table1[[#This Row],[ups ship charge]]-Table1[[#This Row],[ada ship charge]],0)</f>
        <v>0</v>
      </c>
    </row>
    <row r="4805" spans="1:9" x14ac:dyDescent="0.2">
      <c r="A4805">
        <v>1047396</v>
      </c>
      <c r="B4805" t="s">
        <v>21</v>
      </c>
      <c r="C4805">
        <v>9.66</v>
      </c>
      <c r="D4805">
        <v>0</v>
      </c>
      <c r="E4805">
        <v>398.7</v>
      </c>
      <c r="F4805" t="s">
        <v>6</v>
      </c>
      <c r="G48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0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05">
        <f>IF(Table1[[#This Row],[is_ups_overcharge]]="ups overcharged",Table1[[#This Row],[ups ship charge]]-Table1[[#This Row],[ada ship charge]],0)</f>
        <v>0</v>
      </c>
    </row>
    <row r="4806" spans="1:9" x14ac:dyDescent="0.2">
      <c r="A4806">
        <v>1047573</v>
      </c>
      <c r="B4806" t="s">
        <v>21</v>
      </c>
      <c r="C4806">
        <v>9.65</v>
      </c>
      <c r="D4806">
        <v>0</v>
      </c>
      <c r="E4806">
        <v>331.9</v>
      </c>
      <c r="F4806" t="s">
        <v>6</v>
      </c>
      <c r="G48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0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06">
        <f>IF(Table1[[#This Row],[is_ups_overcharge]]="ups overcharged",Table1[[#This Row],[ups ship charge]]-Table1[[#This Row],[ada ship charge]],0)</f>
        <v>0</v>
      </c>
    </row>
    <row r="4807" spans="1:9" x14ac:dyDescent="0.2">
      <c r="A4807">
        <v>1048421</v>
      </c>
      <c r="B4807" t="s">
        <v>21</v>
      </c>
      <c r="C4807">
        <v>13.64</v>
      </c>
      <c r="D4807">
        <v>0</v>
      </c>
      <c r="E4807">
        <v>214.8</v>
      </c>
      <c r="F4807" t="s">
        <v>9</v>
      </c>
      <c r="G48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0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07">
        <f>IF(Table1[[#This Row],[is_ups_overcharge]]="ups overcharged",Table1[[#This Row],[ups ship charge]]-Table1[[#This Row],[ada ship charge]],0)</f>
        <v>0</v>
      </c>
    </row>
    <row r="4808" spans="1:9" x14ac:dyDescent="0.2">
      <c r="A4808">
        <v>1048544</v>
      </c>
      <c r="B4808" t="s">
        <v>21</v>
      </c>
      <c r="C4808">
        <v>12.75</v>
      </c>
      <c r="D4808">
        <v>0</v>
      </c>
      <c r="E4808">
        <v>200.55</v>
      </c>
      <c r="F4808" t="s">
        <v>9</v>
      </c>
      <c r="G48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0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08">
        <f>IF(Table1[[#This Row],[is_ups_overcharge]]="ups overcharged",Table1[[#This Row],[ups ship charge]]-Table1[[#This Row],[ada ship charge]],0)</f>
        <v>0</v>
      </c>
    </row>
    <row r="4809" spans="1:9" x14ac:dyDescent="0.2">
      <c r="A4809">
        <v>1048626</v>
      </c>
      <c r="B4809" t="s">
        <v>21</v>
      </c>
      <c r="C4809">
        <v>9.65</v>
      </c>
      <c r="D4809">
        <v>0</v>
      </c>
      <c r="E4809">
        <v>340.8</v>
      </c>
      <c r="F4809" t="s">
        <v>6</v>
      </c>
      <c r="G48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0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09">
        <f>IF(Table1[[#This Row],[is_ups_overcharge]]="ups overcharged",Table1[[#This Row],[ups ship charge]]-Table1[[#This Row],[ada ship charge]],0)</f>
        <v>0</v>
      </c>
    </row>
    <row r="4810" spans="1:9" x14ac:dyDescent="0.2">
      <c r="A4810">
        <v>1048717</v>
      </c>
      <c r="B4810" t="s">
        <v>21</v>
      </c>
      <c r="C4810">
        <v>10.19</v>
      </c>
      <c r="D4810">
        <v>0</v>
      </c>
      <c r="E4810">
        <v>433.6</v>
      </c>
      <c r="F4810" t="s">
        <v>6</v>
      </c>
      <c r="G48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1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10">
        <f>IF(Table1[[#This Row],[is_ups_overcharge]]="ups overcharged",Table1[[#This Row],[ups ship charge]]-Table1[[#This Row],[ada ship charge]],0)</f>
        <v>0</v>
      </c>
    </row>
    <row r="4811" spans="1:9" x14ac:dyDescent="0.2">
      <c r="A4811">
        <v>1049002</v>
      </c>
      <c r="B4811" t="s">
        <v>21</v>
      </c>
      <c r="C4811">
        <v>10.210000000000001</v>
      </c>
      <c r="D4811">
        <v>0</v>
      </c>
      <c r="E4811">
        <v>202.88</v>
      </c>
      <c r="F4811" t="s">
        <v>6</v>
      </c>
      <c r="G481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1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11">
        <f>IF(Table1[[#This Row],[is_ups_overcharge]]="ups overcharged",Table1[[#This Row],[ups ship charge]]-Table1[[#This Row],[ada ship charge]],0)</f>
        <v>0</v>
      </c>
    </row>
    <row r="4812" spans="1:9" x14ac:dyDescent="0.2">
      <c r="A4812">
        <v>1049199</v>
      </c>
      <c r="B4812" t="s">
        <v>21</v>
      </c>
      <c r="C4812">
        <v>12.51</v>
      </c>
      <c r="D4812">
        <v>0</v>
      </c>
      <c r="E4812">
        <v>525.82000000000005</v>
      </c>
      <c r="F4812" t="s">
        <v>6</v>
      </c>
      <c r="G481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1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12">
        <f>IF(Table1[[#This Row],[is_ups_overcharge]]="ups overcharged",Table1[[#This Row],[ups ship charge]]-Table1[[#This Row],[ada ship charge]],0)</f>
        <v>0</v>
      </c>
    </row>
    <row r="4813" spans="1:9" x14ac:dyDescent="0.2">
      <c r="A4813">
        <v>1049282</v>
      </c>
      <c r="B4813" t="s">
        <v>21</v>
      </c>
      <c r="C4813">
        <v>9.66</v>
      </c>
      <c r="D4813">
        <v>0</v>
      </c>
      <c r="E4813">
        <v>207.09</v>
      </c>
      <c r="F4813" t="s">
        <v>6</v>
      </c>
      <c r="G481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1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13">
        <f>IF(Table1[[#This Row],[is_ups_overcharge]]="ups overcharged",Table1[[#This Row],[ups ship charge]]-Table1[[#This Row],[ada ship charge]],0)</f>
        <v>0</v>
      </c>
    </row>
    <row r="4814" spans="1:9" x14ac:dyDescent="0.2">
      <c r="A4814">
        <v>1049753</v>
      </c>
      <c r="B4814" t="s">
        <v>21</v>
      </c>
      <c r="C4814">
        <v>13.64</v>
      </c>
      <c r="D4814">
        <v>0</v>
      </c>
      <c r="E4814">
        <v>333.45</v>
      </c>
      <c r="F4814" t="s">
        <v>9</v>
      </c>
      <c r="G481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1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14">
        <f>IF(Table1[[#This Row],[is_ups_overcharge]]="ups overcharged",Table1[[#This Row],[ups ship charge]]-Table1[[#This Row],[ada ship charge]],0)</f>
        <v>0</v>
      </c>
    </row>
    <row r="4815" spans="1:9" x14ac:dyDescent="0.2">
      <c r="A4815">
        <v>1049857</v>
      </c>
      <c r="B4815" t="s">
        <v>21</v>
      </c>
      <c r="C4815">
        <v>12.75</v>
      </c>
      <c r="D4815">
        <v>0</v>
      </c>
      <c r="E4815">
        <v>205.1</v>
      </c>
      <c r="F4815" t="s">
        <v>9</v>
      </c>
      <c r="G481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1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15">
        <f>IF(Table1[[#This Row],[is_ups_overcharge]]="ups overcharged",Table1[[#This Row],[ups ship charge]]-Table1[[#This Row],[ada ship charge]],0)</f>
        <v>0</v>
      </c>
    </row>
    <row r="4816" spans="1:9" x14ac:dyDescent="0.2">
      <c r="A4816">
        <v>1050122</v>
      </c>
      <c r="B4816" t="s">
        <v>21</v>
      </c>
      <c r="C4816">
        <v>12.5</v>
      </c>
      <c r="D4816">
        <v>0</v>
      </c>
      <c r="E4816">
        <v>1553.38</v>
      </c>
      <c r="F4816" t="s">
        <v>6</v>
      </c>
      <c r="G481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1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16">
        <f>IF(Table1[[#This Row],[is_ups_overcharge]]="ups overcharged",Table1[[#This Row],[ups ship charge]]-Table1[[#This Row],[ada ship charge]],0)</f>
        <v>0</v>
      </c>
    </row>
    <row r="4817" spans="1:9" x14ac:dyDescent="0.2">
      <c r="A4817">
        <v>1050188</v>
      </c>
      <c r="B4817" t="s">
        <v>21</v>
      </c>
      <c r="C4817">
        <v>9.66</v>
      </c>
      <c r="D4817">
        <v>0</v>
      </c>
      <c r="E4817">
        <v>210.8</v>
      </c>
      <c r="F4817" t="s">
        <v>6</v>
      </c>
      <c r="G481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1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17">
        <f>IF(Table1[[#This Row],[is_ups_overcharge]]="ups overcharged",Table1[[#This Row],[ups ship charge]]-Table1[[#This Row],[ada ship charge]],0)</f>
        <v>0</v>
      </c>
    </row>
    <row r="4818" spans="1:9" x14ac:dyDescent="0.2">
      <c r="A4818">
        <v>1050189</v>
      </c>
      <c r="B4818" t="s">
        <v>21</v>
      </c>
      <c r="C4818">
        <v>9.66</v>
      </c>
      <c r="D4818">
        <v>0</v>
      </c>
      <c r="E4818">
        <v>362.55</v>
      </c>
      <c r="F4818" t="s">
        <v>6</v>
      </c>
      <c r="G481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1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18">
        <f>IF(Table1[[#This Row],[is_ups_overcharge]]="ups overcharged",Table1[[#This Row],[ups ship charge]]-Table1[[#This Row],[ada ship charge]],0)</f>
        <v>0</v>
      </c>
    </row>
    <row r="4819" spans="1:9" x14ac:dyDescent="0.2">
      <c r="A4819">
        <v>1050249</v>
      </c>
      <c r="B4819" t="s">
        <v>21</v>
      </c>
      <c r="C4819">
        <v>11.31</v>
      </c>
      <c r="D4819">
        <v>0</v>
      </c>
      <c r="E4819">
        <v>480</v>
      </c>
      <c r="F4819" t="s">
        <v>6</v>
      </c>
      <c r="G481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1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19">
        <f>IF(Table1[[#This Row],[is_ups_overcharge]]="ups overcharged",Table1[[#This Row],[ups ship charge]]-Table1[[#This Row],[ada ship charge]],0)</f>
        <v>0</v>
      </c>
    </row>
    <row r="4820" spans="1:9" x14ac:dyDescent="0.2">
      <c r="A4820">
        <v>1050274</v>
      </c>
      <c r="B4820" t="s">
        <v>21</v>
      </c>
      <c r="C4820">
        <v>12.75</v>
      </c>
      <c r="D4820">
        <v>0</v>
      </c>
      <c r="E4820">
        <v>210.65</v>
      </c>
      <c r="F4820" t="s">
        <v>9</v>
      </c>
      <c r="G482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2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20">
        <f>IF(Table1[[#This Row],[is_ups_overcharge]]="ups overcharged",Table1[[#This Row],[ups ship charge]]-Table1[[#This Row],[ada ship charge]],0)</f>
        <v>0</v>
      </c>
    </row>
    <row r="4821" spans="1:9" x14ac:dyDescent="0.2">
      <c r="A4821">
        <v>1050433</v>
      </c>
      <c r="B4821" t="s">
        <v>21</v>
      </c>
      <c r="C4821">
        <v>9.65</v>
      </c>
      <c r="D4821">
        <v>0</v>
      </c>
      <c r="E4821">
        <v>395.56</v>
      </c>
      <c r="F4821" t="s">
        <v>6</v>
      </c>
      <c r="G482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2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21">
        <f>IF(Table1[[#This Row],[is_ups_overcharge]]="ups overcharged",Table1[[#This Row],[ups ship charge]]-Table1[[#This Row],[ada ship charge]],0)</f>
        <v>0</v>
      </c>
    </row>
    <row r="4822" spans="1:9" x14ac:dyDescent="0.2">
      <c r="A4822">
        <v>1050456</v>
      </c>
      <c r="B4822" t="s">
        <v>21</v>
      </c>
      <c r="C4822">
        <v>12.75</v>
      </c>
      <c r="D4822">
        <v>0</v>
      </c>
      <c r="E4822">
        <v>256.35000000000002</v>
      </c>
      <c r="F4822" t="s">
        <v>9</v>
      </c>
      <c r="G482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2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22">
        <f>IF(Table1[[#This Row],[is_ups_overcharge]]="ups overcharged",Table1[[#This Row],[ups ship charge]]-Table1[[#This Row],[ada ship charge]],0)</f>
        <v>0</v>
      </c>
    </row>
    <row r="4823" spans="1:9" x14ac:dyDescent="0.2">
      <c r="A4823">
        <v>1050464</v>
      </c>
      <c r="B4823" t="s">
        <v>21</v>
      </c>
      <c r="C4823">
        <v>13.1</v>
      </c>
      <c r="D4823">
        <v>0</v>
      </c>
      <c r="E4823">
        <v>1951.93</v>
      </c>
      <c r="F4823" t="s">
        <v>6</v>
      </c>
      <c r="G482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2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23">
        <f>IF(Table1[[#This Row],[is_ups_overcharge]]="ups overcharged",Table1[[#This Row],[ups ship charge]]-Table1[[#This Row],[ada ship charge]],0)</f>
        <v>0</v>
      </c>
    </row>
    <row r="4824" spans="1:9" x14ac:dyDescent="0.2">
      <c r="A4824">
        <v>1050482</v>
      </c>
      <c r="B4824" t="s">
        <v>21</v>
      </c>
      <c r="C4824">
        <v>9.66</v>
      </c>
      <c r="D4824">
        <v>0</v>
      </c>
      <c r="E4824">
        <v>205.5</v>
      </c>
      <c r="F4824" t="s">
        <v>6</v>
      </c>
      <c r="G482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2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24">
        <f>IF(Table1[[#This Row],[is_ups_overcharge]]="ups overcharged",Table1[[#This Row],[ups ship charge]]-Table1[[#This Row],[ada ship charge]],0)</f>
        <v>0</v>
      </c>
    </row>
    <row r="4825" spans="1:9" x14ac:dyDescent="0.2">
      <c r="A4825">
        <v>1050707</v>
      </c>
      <c r="B4825" t="s">
        <v>21</v>
      </c>
      <c r="C4825">
        <v>12.75</v>
      </c>
      <c r="D4825">
        <v>0</v>
      </c>
      <c r="E4825">
        <v>264.69</v>
      </c>
      <c r="F4825" t="s">
        <v>9</v>
      </c>
      <c r="G482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2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25">
        <f>IF(Table1[[#This Row],[is_ups_overcharge]]="ups overcharged",Table1[[#This Row],[ups ship charge]]-Table1[[#This Row],[ada ship charge]],0)</f>
        <v>0</v>
      </c>
    </row>
    <row r="4826" spans="1:9" x14ac:dyDescent="0.2">
      <c r="A4826">
        <v>1050847</v>
      </c>
      <c r="B4826" t="s">
        <v>21</v>
      </c>
      <c r="C4826">
        <v>12.75</v>
      </c>
      <c r="D4826">
        <v>0</v>
      </c>
      <c r="E4826">
        <v>210.3</v>
      </c>
      <c r="F4826" t="s">
        <v>9</v>
      </c>
      <c r="G482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2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26">
        <f>IF(Table1[[#This Row],[is_ups_overcharge]]="ups overcharged",Table1[[#This Row],[ups ship charge]]-Table1[[#This Row],[ada ship charge]],0)</f>
        <v>0</v>
      </c>
    </row>
    <row r="4827" spans="1:9" x14ac:dyDescent="0.2">
      <c r="A4827">
        <v>1050896</v>
      </c>
      <c r="B4827" t="s">
        <v>21</v>
      </c>
      <c r="C4827">
        <v>12.79</v>
      </c>
      <c r="D4827">
        <v>0</v>
      </c>
      <c r="E4827">
        <v>236.4</v>
      </c>
      <c r="F4827" t="s">
        <v>9</v>
      </c>
      <c r="G482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2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27">
        <f>IF(Table1[[#This Row],[is_ups_overcharge]]="ups overcharged",Table1[[#This Row],[ups ship charge]]-Table1[[#This Row],[ada ship charge]],0)</f>
        <v>0</v>
      </c>
    </row>
    <row r="4828" spans="1:9" x14ac:dyDescent="0.2">
      <c r="A4828">
        <v>1051136</v>
      </c>
      <c r="B4828" t="s">
        <v>21</v>
      </c>
      <c r="C4828">
        <v>13.63</v>
      </c>
      <c r="D4828">
        <v>0</v>
      </c>
      <c r="E4828">
        <v>265.92</v>
      </c>
      <c r="F4828" t="s">
        <v>9</v>
      </c>
      <c r="G482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2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28">
        <f>IF(Table1[[#This Row],[is_ups_overcharge]]="ups overcharged",Table1[[#This Row],[ups ship charge]]-Table1[[#This Row],[ada ship charge]],0)</f>
        <v>0</v>
      </c>
    </row>
    <row r="4829" spans="1:9" x14ac:dyDescent="0.2">
      <c r="A4829">
        <v>1051144</v>
      </c>
      <c r="B4829" t="s">
        <v>21</v>
      </c>
      <c r="C4829">
        <v>12.75</v>
      </c>
      <c r="D4829">
        <v>0</v>
      </c>
      <c r="E4829">
        <v>206.1</v>
      </c>
      <c r="F4829" t="s">
        <v>9</v>
      </c>
      <c r="G482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2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29">
        <f>IF(Table1[[#This Row],[is_ups_overcharge]]="ups overcharged",Table1[[#This Row],[ups ship charge]]-Table1[[#This Row],[ada ship charge]],0)</f>
        <v>0</v>
      </c>
    </row>
    <row r="4830" spans="1:9" x14ac:dyDescent="0.2">
      <c r="A4830">
        <v>1051251</v>
      </c>
      <c r="B4830" t="s">
        <v>21</v>
      </c>
      <c r="C4830">
        <v>18.829999999999998</v>
      </c>
      <c r="D4830">
        <v>0</v>
      </c>
      <c r="E4830">
        <v>2994.6</v>
      </c>
      <c r="F4830" t="s">
        <v>6</v>
      </c>
      <c r="G483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3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30">
        <f>IF(Table1[[#This Row],[is_ups_overcharge]]="ups overcharged",Table1[[#This Row],[ups ship charge]]-Table1[[#This Row],[ada ship charge]],0)</f>
        <v>0</v>
      </c>
    </row>
    <row r="4831" spans="1:9" x14ac:dyDescent="0.2">
      <c r="A4831">
        <v>1051269</v>
      </c>
      <c r="B4831" t="s">
        <v>21</v>
      </c>
      <c r="C4831">
        <v>22.28</v>
      </c>
      <c r="D4831">
        <v>0</v>
      </c>
      <c r="E4831">
        <v>673</v>
      </c>
      <c r="F4831" t="s">
        <v>9</v>
      </c>
      <c r="G483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3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31">
        <f>IF(Table1[[#This Row],[is_ups_overcharge]]="ups overcharged",Table1[[#This Row],[ups ship charge]]-Table1[[#This Row],[ada ship charge]],0)</f>
        <v>0</v>
      </c>
    </row>
    <row r="4832" spans="1:9" x14ac:dyDescent="0.2">
      <c r="A4832">
        <v>1051732</v>
      </c>
      <c r="B4832" t="s">
        <v>21</v>
      </c>
      <c r="C4832">
        <v>12.51</v>
      </c>
      <c r="D4832">
        <v>0</v>
      </c>
      <c r="E4832">
        <v>1990</v>
      </c>
      <c r="F4832" t="s">
        <v>6</v>
      </c>
      <c r="G483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3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32">
        <f>IF(Table1[[#This Row],[is_ups_overcharge]]="ups overcharged",Table1[[#This Row],[ups ship charge]]-Table1[[#This Row],[ada ship charge]],0)</f>
        <v>0</v>
      </c>
    </row>
    <row r="4833" spans="1:9" x14ac:dyDescent="0.2">
      <c r="A4833">
        <v>1051772</v>
      </c>
      <c r="B4833" t="s">
        <v>21</v>
      </c>
      <c r="C4833">
        <v>11.44</v>
      </c>
      <c r="D4833">
        <v>0</v>
      </c>
      <c r="E4833">
        <v>225</v>
      </c>
      <c r="F4833" t="s">
        <v>6</v>
      </c>
      <c r="G483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3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33">
        <f>IF(Table1[[#This Row],[is_ups_overcharge]]="ups overcharged",Table1[[#This Row],[ups ship charge]]-Table1[[#This Row],[ada ship charge]],0)</f>
        <v>0</v>
      </c>
    </row>
    <row r="4834" spans="1:9" x14ac:dyDescent="0.2">
      <c r="A4834">
        <v>1051806</v>
      </c>
      <c r="B4834" t="s">
        <v>21</v>
      </c>
      <c r="C4834">
        <v>9.65</v>
      </c>
      <c r="D4834">
        <v>0</v>
      </c>
      <c r="E4834">
        <v>338.9</v>
      </c>
      <c r="F4834" t="s">
        <v>6</v>
      </c>
      <c r="G483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3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34">
        <f>IF(Table1[[#This Row],[is_ups_overcharge]]="ups overcharged",Table1[[#This Row],[ups ship charge]]-Table1[[#This Row],[ada ship charge]],0)</f>
        <v>0</v>
      </c>
    </row>
    <row r="4835" spans="1:9" x14ac:dyDescent="0.2">
      <c r="A4835">
        <v>1051816</v>
      </c>
      <c r="B4835" t="s">
        <v>21</v>
      </c>
      <c r="C4835">
        <v>13.64</v>
      </c>
      <c r="D4835">
        <v>0</v>
      </c>
      <c r="E4835">
        <v>225.75</v>
      </c>
      <c r="F4835" t="s">
        <v>9</v>
      </c>
      <c r="G483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3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35">
        <f>IF(Table1[[#This Row],[is_ups_overcharge]]="ups overcharged",Table1[[#This Row],[ups ship charge]]-Table1[[#This Row],[ada ship charge]],0)</f>
        <v>0</v>
      </c>
    </row>
    <row r="4836" spans="1:9" x14ac:dyDescent="0.2">
      <c r="A4836">
        <v>1051908</v>
      </c>
      <c r="B4836" t="s">
        <v>21</v>
      </c>
      <c r="C4836">
        <v>12.75</v>
      </c>
      <c r="D4836">
        <v>0</v>
      </c>
      <c r="E4836">
        <v>204.59</v>
      </c>
      <c r="F4836" t="s">
        <v>9</v>
      </c>
      <c r="G483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3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36">
        <f>IF(Table1[[#This Row],[is_ups_overcharge]]="ups overcharged",Table1[[#This Row],[ups ship charge]]-Table1[[#This Row],[ada ship charge]],0)</f>
        <v>0</v>
      </c>
    </row>
    <row r="4837" spans="1:9" x14ac:dyDescent="0.2">
      <c r="A4837">
        <v>1052286</v>
      </c>
      <c r="B4837" t="s">
        <v>21</v>
      </c>
      <c r="C4837">
        <v>13.64</v>
      </c>
      <c r="D4837">
        <v>0</v>
      </c>
      <c r="E4837">
        <v>201.8</v>
      </c>
      <c r="F4837" t="s">
        <v>9</v>
      </c>
      <c r="G483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3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37">
        <f>IF(Table1[[#This Row],[is_ups_overcharge]]="ups overcharged",Table1[[#This Row],[ups ship charge]]-Table1[[#This Row],[ada ship charge]],0)</f>
        <v>0</v>
      </c>
    </row>
    <row r="4838" spans="1:9" x14ac:dyDescent="0.2">
      <c r="A4838">
        <v>1052606</v>
      </c>
      <c r="B4838" t="s">
        <v>21</v>
      </c>
      <c r="C4838">
        <v>13.64</v>
      </c>
      <c r="D4838">
        <v>0</v>
      </c>
      <c r="E4838">
        <v>200.2</v>
      </c>
      <c r="F4838" t="s">
        <v>9</v>
      </c>
      <c r="G483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3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38">
        <f>IF(Table1[[#This Row],[is_ups_overcharge]]="ups overcharged",Table1[[#This Row],[ups ship charge]]-Table1[[#This Row],[ada ship charge]],0)</f>
        <v>0</v>
      </c>
    </row>
    <row r="4839" spans="1:9" x14ac:dyDescent="0.2">
      <c r="A4839">
        <v>1052645</v>
      </c>
      <c r="B4839" t="s">
        <v>21</v>
      </c>
      <c r="C4839">
        <v>14.59</v>
      </c>
      <c r="D4839">
        <v>0</v>
      </c>
      <c r="E4839">
        <v>449</v>
      </c>
      <c r="F4839" t="s">
        <v>9</v>
      </c>
      <c r="G483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3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39">
        <f>IF(Table1[[#This Row],[is_ups_overcharge]]="ups overcharged",Table1[[#This Row],[ups ship charge]]-Table1[[#This Row],[ada ship charge]],0)</f>
        <v>0</v>
      </c>
    </row>
    <row r="4840" spans="1:9" x14ac:dyDescent="0.2">
      <c r="A4840">
        <v>1053009</v>
      </c>
      <c r="B4840" t="s">
        <v>21</v>
      </c>
      <c r="C4840">
        <v>9.66</v>
      </c>
      <c r="D4840">
        <v>0</v>
      </c>
      <c r="E4840">
        <v>326.85000000000002</v>
      </c>
      <c r="F4840" t="s">
        <v>6</v>
      </c>
      <c r="G484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4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40">
        <f>IF(Table1[[#This Row],[is_ups_overcharge]]="ups overcharged",Table1[[#This Row],[ups ship charge]]-Table1[[#This Row],[ada ship charge]],0)</f>
        <v>0</v>
      </c>
    </row>
    <row r="4841" spans="1:9" x14ac:dyDescent="0.2">
      <c r="A4841">
        <v>1053467</v>
      </c>
      <c r="B4841" t="s">
        <v>21</v>
      </c>
      <c r="C4841">
        <v>9.66</v>
      </c>
      <c r="D4841">
        <v>0</v>
      </c>
      <c r="E4841">
        <v>403.05</v>
      </c>
      <c r="F4841" t="s">
        <v>6</v>
      </c>
      <c r="G484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4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41">
        <f>IF(Table1[[#This Row],[is_ups_overcharge]]="ups overcharged",Table1[[#This Row],[ups ship charge]]-Table1[[#This Row],[ada ship charge]],0)</f>
        <v>0</v>
      </c>
    </row>
    <row r="4842" spans="1:9" x14ac:dyDescent="0.2">
      <c r="A4842">
        <v>1053529</v>
      </c>
      <c r="B4842" t="s">
        <v>21</v>
      </c>
      <c r="C4842">
        <v>9.65</v>
      </c>
      <c r="D4842">
        <v>0</v>
      </c>
      <c r="E4842">
        <v>316</v>
      </c>
      <c r="F4842" t="s">
        <v>6</v>
      </c>
      <c r="G484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4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42">
        <f>IF(Table1[[#This Row],[is_ups_overcharge]]="ups overcharged",Table1[[#This Row],[ups ship charge]]-Table1[[#This Row],[ada ship charge]],0)</f>
        <v>0</v>
      </c>
    </row>
    <row r="4843" spans="1:9" x14ac:dyDescent="0.2">
      <c r="A4843">
        <v>1053601</v>
      </c>
      <c r="B4843" t="s">
        <v>21</v>
      </c>
      <c r="C4843">
        <v>9.66</v>
      </c>
      <c r="D4843">
        <v>0</v>
      </c>
      <c r="E4843">
        <v>250.97</v>
      </c>
      <c r="F4843" t="s">
        <v>6</v>
      </c>
      <c r="G484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4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43">
        <f>IF(Table1[[#This Row],[is_ups_overcharge]]="ups overcharged",Table1[[#This Row],[ups ship charge]]-Table1[[#This Row],[ada ship charge]],0)</f>
        <v>0</v>
      </c>
    </row>
    <row r="4844" spans="1:9" x14ac:dyDescent="0.2">
      <c r="A4844">
        <v>1053765</v>
      </c>
      <c r="B4844" t="s">
        <v>21</v>
      </c>
      <c r="C4844">
        <v>9.65</v>
      </c>
      <c r="D4844">
        <v>0</v>
      </c>
      <c r="E4844">
        <v>251.55</v>
      </c>
      <c r="F4844" t="s">
        <v>6</v>
      </c>
      <c r="G484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4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44">
        <f>IF(Table1[[#This Row],[is_ups_overcharge]]="ups overcharged",Table1[[#This Row],[ups ship charge]]-Table1[[#This Row],[ada ship charge]],0)</f>
        <v>0</v>
      </c>
    </row>
    <row r="4845" spans="1:9" x14ac:dyDescent="0.2">
      <c r="A4845">
        <v>1053825</v>
      </c>
      <c r="B4845" t="s">
        <v>21</v>
      </c>
      <c r="C4845">
        <v>12.75</v>
      </c>
      <c r="D4845">
        <v>0</v>
      </c>
      <c r="E4845">
        <v>203.15</v>
      </c>
      <c r="F4845" t="s">
        <v>9</v>
      </c>
      <c r="G484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4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45">
        <f>IF(Table1[[#This Row],[is_ups_overcharge]]="ups overcharged",Table1[[#This Row],[ups ship charge]]-Table1[[#This Row],[ada ship charge]],0)</f>
        <v>0</v>
      </c>
    </row>
    <row r="4846" spans="1:9" x14ac:dyDescent="0.2">
      <c r="A4846">
        <v>1053895</v>
      </c>
      <c r="B4846" t="s">
        <v>21</v>
      </c>
      <c r="C4846">
        <v>13.88</v>
      </c>
      <c r="D4846">
        <v>0</v>
      </c>
      <c r="E4846">
        <v>599</v>
      </c>
      <c r="F4846" t="s">
        <v>6</v>
      </c>
      <c r="G484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4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46">
        <f>IF(Table1[[#This Row],[is_ups_overcharge]]="ups overcharged",Table1[[#This Row],[ups ship charge]]-Table1[[#This Row],[ada ship charge]],0)</f>
        <v>0</v>
      </c>
    </row>
    <row r="4847" spans="1:9" x14ac:dyDescent="0.2">
      <c r="A4847">
        <v>1053902</v>
      </c>
      <c r="B4847" t="s">
        <v>21</v>
      </c>
      <c r="C4847">
        <v>12.51</v>
      </c>
      <c r="D4847">
        <v>0</v>
      </c>
      <c r="E4847">
        <v>924.82</v>
      </c>
      <c r="F4847" t="s">
        <v>6</v>
      </c>
      <c r="G484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4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47">
        <f>IF(Table1[[#This Row],[is_ups_overcharge]]="ups overcharged",Table1[[#This Row],[ups ship charge]]-Table1[[#This Row],[ada ship charge]],0)</f>
        <v>0</v>
      </c>
    </row>
    <row r="4848" spans="1:9" x14ac:dyDescent="0.2">
      <c r="A4848">
        <v>1054089</v>
      </c>
      <c r="B4848" t="s">
        <v>21</v>
      </c>
      <c r="C4848">
        <v>12.79</v>
      </c>
      <c r="D4848">
        <v>0</v>
      </c>
      <c r="E4848">
        <v>204.75</v>
      </c>
      <c r="F4848" t="s">
        <v>9</v>
      </c>
      <c r="G484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4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48">
        <f>IF(Table1[[#This Row],[is_ups_overcharge]]="ups overcharged",Table1[[#This Row],[ups ship charge]]-Table1[[#This Row],[ada ship charge]],0)</f>
        <v>0</v>
      </c>
    </row>
    <row r="4849" spans="1:9" x14ac:dyDescent="0.2">
      <c r="A4849">
        <v>1054616</v>
      </c>
      <c r="B4849" t="s">
        <v>21</v>
      </c>
      <c r="C4849">
        <v>13.64</v>
      </c>
      <c r="D4849">
        <v>0</v>
      </c>
      <c r="E4849">
        <v>200.95</v>
      </c>
      <c r="F4849" t="s">
        <v>9</v>
      </c>
      <c r="G484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4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49">
        <f>IF(Table1[[#This Row],[is_ups_overcharge]]="ups overcharged",Table1[[#This Row],[ups ship charge]]-Table1[[#This Row],[ada ship charge]],0)</f>
        <v>0</v>
      </c>
    </row>
    <row r="4850" spans="1:9" x14ac:dyDescent="0.2">
      <c r="A4850">
        <v>1054752</v>
      </c>
      <c r="B4850" t="s">
        <v>21</v>
      </c>
      <c r="C4850">
        <v>18.82</v>
      </c>
      <c r="D4850">
        <v>0</v>
      </c>
      <c r="E4850">
        <v>534.15</v>
      </c>
      <c r="F4850" t="s">
        <v>6</v>
      </c>
      <c r="G485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5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50">
        <f>IF(Table1[[#This Row],[is_ups_overcharge]]="ups overcharged",Table1[[#This Row],[ups ship charge]]-Table1[[#This Row],[ada ship charge]],0)</f>
        <v>0</v>
      </c>
    </row>
    <row r="4851" spans="1:9" x14ac:dyDescent="0.2">
      <c r="A4851">
        <v>1054775</v>
      </c>
      <c r="B4851" t="s">
        <v>21</v>
      </c>
      <c r="C4851">
        <v>9.66</v>
      </c>
      <c r="D4851">
        <v>0</v>
      </c>
      <c r="E4851">
        <v>203.53</v>
      </c>
      <c r="F4851" t="s">
        <v>6</v>
      </c>
      <c r="G485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5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51">
        <f>IF(Table1[[#This Row],[is_ups_overcharge]]="ups overcharged",Table1[[#This Row],[ups ship charge]]-Table1[[#This Row],[ada ship charge]],0)</f>
        <v>0</v>
      </c>
    </row>
    <row r="4852" spans="1:9" x14ac:dyDescent="0.2">
      <c r="A4852">
        <v>1054896</v>
      </c>
      <c r="B4852" t="s">
        <v>21</v>
      </c>
      <c r="C4852">
        <v>12.75</v>
      </c>
      <c r="D4852">
        <v>0</v>
      </c>
      <c r="E4852">
        <v>219.65</v>
      </c>
      <c r="F4852" t="s">
        <v>9</v>
      </c>
      <c r="G485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5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52">
        <f>IF(Table1[[#This Row],[is_ups_overcharge]]="ups overcharged",Table1[[#This Row],[ups ship charge]]-Table1[[#This Row],[ada ship charge]],0)</f>
        <v>0</v>
      </c>
    </row>
    <row r="4853" spans="1:9" x14ac:dyDescent="0.2">
      <c r="A4853">
        <v>1055014</v>
      </c>
      <c r="B4853" t="s">
        <v>21</v>
      </c>
      <c r="C4853">
        <v>12.75</v>
      </c>
      <c r="D4853">
        <v>0</v>
      </c>
      <c r="E4853">
        <v>200.4</v>
      </c>
      <c r="F4853" t="s">
        <v>9</v>
      </c>
      <c r="G485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5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53">
        <f>IF(Table1[[#This Row],[is_ups_overcharge]]="ups overcharged",Table1[[#This Row],[ups ship charge]]-Table1[[#This Row],[ada ship charge]],0)</f>
        <v>0</v>
      </c>
    </row>
    <row r="4854" spans="1:9" x14ac:dyDescent="0.2">
      <c r="A4854">
        <v>1055029</v>
      </c>
      <c r="B4854" t="s">
        <v>21</v>
      </c>
      <c r="C4854">
        <v>13.2</v>
      </c>
      <c r="D4854">
        <v>0</v>
      </c>
      <c r="E4854">
        <v>223.65</v>
      </c>
      <c r="F4854" t="s">
        <v>9</v>
      </c>
      <c r="G485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5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54">
        <f>IF(Table1[[#This Row],[is_ups_overcharge]]="ups overcharged",Table1[[#This Row],[ups ship charge]]-Table1[[#This Row],[ada ship charge]],0)</f>
        <v>0</v>
      </c>
    </row>
    <row r="4855" spans="1:9" x14ac:dyDescent="0.2">
      <c r="A4855">
        <v>1055177</v>
      </c>
      <c r="B4855" t="s">
        <v>21</v>
      </c>
      <c r="C4855">
        <v>9.66</v>
      </c>
      <c r="D4855">
        <v>0</v>
      </c>
      <c r="E4855">
        <v>394.4</v>
      </c>
      <c r="F4855" t="s">
        <v>6</v>
      </c>
      <c r="G485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5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55">
        <f>IF(Table1[[#This Row],[is_ups_overcharge]]="ups overcharged",Table1[[#This Row],[ups ship charge]]-Table1[[#This Row],[ada ship charge]],0)</f>
        <v>0</v>
      </c>
    </row>
    <row r="4856" spans="1:9" x14ac:dyDescent="0.2">
      <c r="A4856">
        <v>1055225</v>
      </c>
      <c r="B4856" t="s">
        <v>21</v>
      </c>
      <c r="C4856">
        <v>12.51</v>
      </c>
      <c r="D4856">
        <v>0</v>
      </c>
      <c r="E4856">
        <v>517.35</v>
      </c>
      <c r="F4856" t="s">
        <v>6</v>
      </c>
      <c r="G485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5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56">
        <f>IF(Table1[[#This Row],[is_ups_overcharge]]="ups overcharged",Table1[[#This Row],[ups ship charge]]-Table1[[#This Row],[ada ship charge]],0)</f>
        <v>0</v>
      </c>
    </row>
    <row r="4857" spans="1:9" x14ac:dyDescent="0.2">
      <c r="A4857">
        <v>1055507</v>
      </c>
      <c r="B4857" t="s">
        <v>21</v>
      </c>
      <c r="C4857">
        <v>13.64</v>
      </c>
      <c r="D4857">
        <v>0</v>
      </c>
      <c r="E4857">
        <v>201.15</v>
      </c>
      <c r="F4857" t="s">
        <v>9</v>
      </c>
      <c r="G485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5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57">
        <f>IF(Table1[[#This Row],[is_ups_overcharge]]="ups overcharged",Table1[[#This Row],[ups ship charge]]-Table1[[#This Row],[ada ship charge]],0)</f>
        <v>0</v>
      </c>
    </row>
    <row r="4858" spans="1:9" x14ac:dyDescent="0.2">
      <c r="A4858">
        <v>1055568</v>
      </c>
      <c r="B4858" t="s">
        <v>21</v>
      </c>
      <c r="C4858">
        <v>12.51</v>
      </c>
      <c r="D4858">
        <v>0</v>
      </c>
      <c r="E4858">
        <v>960</v>
      </c>
      <c r="F4858" t="s">
        <v>6</v>
      </c>
      <c r="G485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5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58">
        <f>IF(Table1[[#This Row],[is_ups_overcharge]]="ups overcharged",Table1[[#This Row],[ups ship charge]]-Table1[[#This Row],[ada ship charge]],0)</f>
        <v>0</v>
      </c>
    </row>
    <row r="4859" spans="1:9" x14ac:dyDescent="0.2">
      <c r="A4859">
        <v>1055884</v>
      </c>
      <c r="B4859" t="s">
        <v>21</v>
      </c>
      <c r="C4859">
        <v>9.65</v>
      </c>
      <c r="D4859">
        <v>0</v>
      </c>
      <c r="E4859">
        <v>474.1</v>
      </c>
      <c r="F4859" t="s">
        <v>6</v>
      </c>
      <c r="G485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5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59">
        <f>IF(Table1[[#This Row],[is_ups_overcharge]]="ups overcharged",Table1[[#This Row],[ups ship charge]]-Table1[[#This Row],[ada ship charge]],0)</f>
        <v>0</v>
      </c>
    </row>
    <row r="4860" spans="1:9" x14ac:dyDescent="0.2">
      <c r="A4860">
        <v>1055901</v>
      </c>
      <c r="B4860" t="s">
        <v>21</v>
      </c>
      <c r="C4860">
        <v>12.75</v>
      </c>
      <c r="D4860">
        <v>0</v>
      </c>
      <c r="E4860">
        <v>219.4</v>
      </c>
      <c r="F4860" t="s">
        <v>9</v>
      </c>
      <c r="G486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6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60">
        <f>IF(Table1[[#This Row],[is_ups_overcharge]]="ups overcharged",Table1[[#This Row],[ups ship charge]]-Table1[[#This Row],[ada ship charge]],0)</f>
        <v>0</v>
      </c>
    </row>
    <row r="4861" spans="1:9" x14ac:dyDescent="0.2">
      <c r="A4861">
        <v>1055960</v>
      </c>
      <c r="B4861" t="s">
        <v>21</v>
      </c>
      <c r="C4861">
        <v>9.66</v>
      </c>
      <c r="D4861">
        <v>0</v>
      </c>
      <c r="E4861">
        <v>255.1</v>
      </c>
      <c r="F4861" t="s">
        <v>6</v>
      </c>
      <c r="G486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6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61">
        <f>IF(Table1[[#This Row],[is_ups_overcharge]]="ups overcharged",Table1[[#This Row],[ups ship charge]]-Table1[[#This Row],[ada ship charge]],0)</f>
        <v>0</v>
      </c>
    </row>
    <row r="4862" spans="1:9" x14ac:dyDescent="0.2">
      <c r="A4862">
        <v>1056472</v>
      </c>
      <c r="B4862" t="s">
        <v>21</v>
      </c>
      <c r="C4862">
        <v>9.65</v>
      </c>
      <c r="D4862">
        <v>0</v>
      </c>
      <c r="E4862">
        <v>260.79000000000002</v>
      </c>
      <c r="F4862" t="s">
        <v>6</v>
      </c>
      <c r="G486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6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62">
        <f>IF(Table1[[#This Row],[is_ups_overcharge]]="ups overcharged",Table1[[#This Row],[ups ship charge]]-Table1[[#This Row],[ada ship charge]],0)</f>
        <v>0</v>
      </c>
    </row>
    <row r="4863" spans="1:9" x14ac:dyDescent="0.2">
      <c r="A4863">
        <v>1056810</v>
      </c>
      <c r="B4863" t="s">
        <v>21</v>
      </c>
      <c r="C4863">
        <v>12.75</v>
      </c>
      <c r="D4863">
        <v>0</v>
      </c>
      <c r="E4863">
        <v>224</v>
      </c>
      <c r="F4863" t="s">
        <v>9</v>
      </c>
      <c r="G486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6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63">
        <f>IF(Table1[[#This Row],[is_ups_overcharge]]="ups overcharged",Table1[[#This Row],[ups ship charge]]-Table1[[#This Row],[ada ship charge]],0)</f>
        <v>0</v>
      </c>
    </row>
    <row r="4864" spans="1:9" x14ac:dyDescent="0.2">
      <c r="A4864">
        <v>1056855</v>
      </c>
      <c r="B4864" t="s">
        <v>21</v>
      </c>
      <c r="C4864">
        <v>12.75</v>
      </c>
      <c r="D4864">
        <v>0</v>
      </c>
      <c r="E4864">
        <v>200.55</v>
      </c>
      <c r="F4864" t="s">
        <v>9</v>
      </c>
      <c r="G486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6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64">
        <f>IF(Table1[[#This Row],[is_ups_overcharge]]="ups overcharged",Table1[[#This Row],[ups ship charge]]-Table1[[#This Row],[ada ship charge]],0)</f>
        <v>0</v>
      </c>
    </row>
    <row r="4865" spans="1:9" x14ac:dyDescent="0.2">
      <c r="A4865">
        <v>1057068</v>
      </c>
      <c r="B4865" t="s">
        <v>21</v>
      </c>
      <c r="C4865">
        <v>12.75</v>
      </c>
      <c r="D4865">
        <v>0</v>
      </c>
      <c r="E4865">
        <v>219.65</v>
      </c>
      <c r="F4865" t="s">
        <v>9</v>
      </c>
      <c r="G486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6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65">
        <f>IF(Table1[[#This Row],[is_ups_overcharge]]="ups overcharged",Table1[[#This Row],[ups ship charge]]-Table1[[#This Row],[ada ship charge]],0)</f>
        <v>0</v>
      </c>
    </row>
    <row r="4866" spans="1:9" x14ac:dyDescent="0.2">
      <c r="A4866">
        <v>1057084</v>
      </c>
      <c r="B4866" t="s">
        <v>21</v>
      </c>
      <c r="C4866">
        <v>12.75</v>
      </c>
      <c r="D4866">
        <v>0</v>
      </c>
      <c r="E4866">
        <v>216.85</v>
      </c>
      <c r="F4866" t="s">
        <v>9</v>
      </c>
      <c r="G486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6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66">
        <f>IF(Table1[[#This Row],[is_ups_overcharge]]="ups overcharged",Table1[[#This Row],[ups ship charge]]-Table1[[#This Row],[ada ship charge]],0)</f>
        <v>0</v>
      </c>
    </row>
    <row r="4867" spans="1:9" x14ac:dyDescent="0.2">
      <c r="A4867">
        <v>1057135</v>
      </c>
      <c r="B4867" t="s">
        <v>21</v>
      </c>
      <c r="C4867">
        <v>14.09</v>
      </c>
      <c r="D4867">
        <v>0</v>
      </c>
      <c r="E4867">
        <v>331.35</v>
      </c>
      <c r="F4867" t="s">
        <v>9</v>
      </c>
      <c r="G486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6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67">
        <f>IF(Table1[[#This Row],[is_ups_overcharge]]="ups overcharged",Table1[[#This Row],[ups ship charge]]-Table1[[#This Row],[ada ship charge]],0)</f>
        <v>0</v>
      </c>
    </row>
    <row r="4868" spans="1:9" x14ac:dyDescent="0.2">
      <c r="A4868">
        <v>1057264</v>
      </c>
      <c r="B4868" t="s">
        <v>21</v>
      </c>
      <c r="C4868">
        <v>12.75</v>
      </c>
      <c r="D4868">
        <v>0</v>
      </c>
      <c r="E4868">
        <v>242.05</v>
      </c>
      <c r="F4868" t="s">
        <v>9</v>
      </c>
      <c r="G486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6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68">
        <f>IF(Table1[[#This Row],[is_ups_overcharge]]="ups overcharged",Table1[[#This Row],[ups ship charge]]-Table1[[#This Row],[ada ship charge]],0)</f>
        <v>0</v>
      </c>
    </row>
    <row r="4869" spans="1:9" x14ac:dyDescent="0.2">
      <c r="A4869">
        <v>1057531</v>
      </c>
      <c r="B4869" t="s">
        <v>21</v>
      </c>
      <c r="C4869">
        <v>14.84</v>
      </c>
      <c r="D4869">
        <v>0</v>
      </c>
      <c r="E4869">
        <v>609.15</v>
      </c>
      <c r="F4869" t="s">
        <v>6</v>
      </c>
      <c r="G486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6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69">
        <f>IF(Table1[[#This Row],[is_ups_overcharge]]="ups overcharged",Table1[[#This Row],[ups ship charge]]-Table1[[#This Row],[ada ship charge]],0)</f>
        <v>0</v>
      </c>
    </row>
    <row r="4870" spans="1:9" x14ac:dyDescent="0.2">
      <c r="A4870">
        <v>1057749</v>
      </c>
      <c r="B4870" t="s">
        <v>21</v>
      </c>
      <c r="C4870">
        <v>16.98</v>
      </c>
      <c r="D4870">
        <v>0</v>
      </c>
      <c r="E4870">
        <v>1882.45</v>
      </c>
      <c r="F4870" t="s">
        <v>6</v>
      </c>
      <c r="G487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7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70">
        <f>IF(Table1[[#This Row],[is_ups_overcharge]]="ups overcharged",Table1[[#This Row],[ups ship charge]]-Table1[[#This Row],[ada ship charge]],0)</f>
        <v>0</v>
      </c>
    </row>
    <row r="4871" spans="1:9" x14ac:dyDescent="0.2">
      <c r="A4871">
        <v>1058008</v>
      </c>
      <c r="B4871" t="s">
        <v>21</v>
      </c>
      <c r="C4871">
        <v>13.2</v>
      </c>
      <c r="D4871">
        <v>0</v>
      </c>
      <c r="E4871">
        <v>217.45</v>
      </c>
      <c r="F4871" t="s">
        <v>9</v>
      </c>
      <c r="G487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7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71">
        <f>IF(Table1[[#This Row],[is_ups_overcharge]]="ups overcharged",Table1[[#This Row],[ups ship charge]]-Table1[[#This Row],[ada ship charge]],0)</f>
        <v>0</v>
      </c>
    </row>
    <row r="4872" spans="1:9" x14ac:dyDescent="0.2">
      <c r="A4872">
        <v>1058375</v>
      </c>
      <c r="B4872" t="s">
        <v>21</v>
      </c>
      <c r="C4872">
        <v>26.93</v>
      </c>
      <c r="D4872">
        <v>0</v>
      </c>
      <c r="E4872">
        <v>853.9</v>
      </c>
      <c r="F4872" t="s">
        <v>6</v>
      </c>
      <c r="G487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7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72">
        <f>IF(Table1[[#This Row],[is_ups_overcharge]]="ups overcharged",Table1[[#This Row],[ups ship charge]]-Table1[[#This Row],[ada ship charge]],0)</f>
        <v>0</v>
      </c>
    </row>
    <row r="4873" spans="1:9" x14ac:dyDescent="0.2">
      <c r="A4873">
        <v>1058405</v>
      </c>
      <c r="B4873" t="s">
        <v>21</v>
      </c>
      <c r="C4873">
        <v>9.65</v>
      </c>
      <c r="D4873">
        <v>0</v>
      </c>
      <c r="E4873">
        <v>283.54000000000002</v>
      </c>
      <c r="F4873" t="s">
        <v>6</v>
      </c>
      <c r="G487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7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73">
        <f>IF(Table1[[#This Row],[is_ups_overcharge]]="ups overcharged",Table1[[#This Row],[ups ship charge]]-Table1[[#This Row],[ada ship charge]],0)</f>
        <v>0</v>
      </c>
    </row>
    <row r="4874" spans="1:9" x14ac:dyDescent="0.2">
      <c r="A4874">
        <v>1058418</v>
      </c>
      <c r="B4874" t="s">
        <v>21</v>
      </c>
      <c r="C4874">
        <v>13.22</v>
      </c>
      <c r="D4874">
        <v>0</v>
      </c>
      <c r="E4874">
        <v>212.85</v>
      </c>
      <c r="F4874" t="s">
        <v>9</v>
      </c>
      <c r="G487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7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74">
        <f>IF(Table1[[#This Row],[is_ups_overcharge]]="ups overcharged",Table1[[#This Row],[ups ship charge]]-Table1[[#This Row],[ada ship charge]],0)</f>
        <v>0</v>
      </c>
    </row>
    <row r="4875" spans="1:9" x14ac:dyDescent="0.2">
      <c r="A4875">
        <v>1058640</v>
      </c>
      <c r="B4875" t="s">
        <v>21</v>
      </c>
      <c r="C4875">
        <v>12.75</v>
      </c>
      <c r="D4875">
        <v>0</v>
      </c>
      <c r="E4875">
        <v>225</v>
      </c>
      <c r="F4875" t="s">
        <v>9</v>
      </c>
      <c r="G487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7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75">
        <f>IF(Table1[[#This Row],[is_ups_overcharge]]="ups overcharged",Table1[[#This Row],[ups ship charge]]-Table1[[#This Row],[ada ship charge]],0)</f>
        <v>0</v>
      </c>
    </row>
    <row r="4876" spans="1:9" x14ac:dyDescent="0.2">
      <c r="A4876">
        <v>1059059</v>
      </c>
      <c r="B4876" t="s">
        <v>21</v>
      </c>
      <c r="C4876">
        <v>9.65</v>
      </c>
      <c r="D4876">
        <v>0</v>
      </c>
      <c r="E4876">
        <v>249.6</v>
      </c>
      <c r="F4876" t="s">
        <v>6</v>
      </c>
      <c r="G487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7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76">
        <f>IF(Table1[[#This Row],[is_ups_overcharge]]="ups overcharged",Table1[[#This Row],[ups ship charge]]-Table1[[#This Row],[ada ship charge]],0)</f>
        <v>0</v>
      </c>
    </row>
    <row r="4877" spans="1:9" x14ac:dyDescent="0.2">
      <c r="A4877">
        <v>1059172</v>
      </c>
      <c r="B4877" t="s">
        <v>21</v>
      </c>
      <c r="C4877">
        <v>12.51</v>
      </c>
      <c r="D4877">
        <v>0</v>
      </c>
      <c r="E4877">
        <v>713.9</v>
      </c>
      <c r="F4877" t="s">
        <v>6</v>
      </c>
      <c r="G487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7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77">
        <f>IF(Table1[[#This Row],[is_ups_overcharge]]="ups overcharged",Table1[[#This Row],[ups ship charge]]-Table1[[#This Row],[ada ship charge]],0)</f>
        <v>0</v>
      </c>
    </row>
    <row r="4878" spans="1:9" x14ac:dyDescent="0.2">
      <c r="A4878">
        <v>1059330</v>
      </c>
      <c r="B4878" t="s">
        <v>21</v>
      </c>
      <c r="C4878">
        <v>13.64</v>
      </c>
      <c r="D4878">
        <v>0</v>
      </c>
      <c r="E4878">
        <v>279.60000000000002</v>
      </c>
      <c r="F4878" t="s">
        <v>9</v>
      </c>
      <c r="G487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7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78">
        <f>IF(Table1[[#This Row],[is_ups_overcharge]]="ups overcharged",Table1[[#This Row],[ups ship charge]]-Table1[[#This Row],[ada ship charge]],0)</f>
        <v>0</v>
      </c>
    </row>
    <row r="4879" spans="1:9" x14ac:dyDescent="0.2">
      <c r="A4879">
        <v>1059436</v>
      </c>
      <c r="B4879" t="s">
        <v>21</v>
      </c>
      <c r="C4879">
        <v>16.059999999999999</v>
      </c>
      <c r="D4879">
        <v>0</v>
      </c>
      <c r="E4879">
        <v>852.7</v>
      </c>
      <c r="F4879" t="s">
        <v>6</v>
      </c>
      <c r="G487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7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79">
        <f>IF(Table1[[#This Row],[is_ups_overcharge]]="ups overcharged",Table1[[#This Row],[ups ship charge]]-Table1[[#This Row],[ada ship charge]],0)</f>
        <v>0</v>
      </c>
    </row>
    <row r="4880" spans="1:9" x14ac:dyDescent="0.2">
      <c r="A4880">
        <v>1059464</v>
      </c>
      <c r="B4880" t="s">
        <v>21</v>
      </c>
      <c r="C4880">
        <v>12.51</v>
      </c>
      <c r="D4880">
        <v>0</v>
      </c>
      <c r="E4880">
        <v>515.95000000000005</v>
      </c>
      <c r="F4880" t="s">
        <v>6</v>
      </c>
      <c r="G488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8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80">
        <f>IF(Table1[[#This Row],[is_ups_overcharge]]="ups overcharged",Table1[[#This Row],[ups ship charge]]-Table1[[#This Row],[ada ship charge]],0)</f>
        <v>0</v>
      </c>
    </row>
    <row r="4881" spans="1:9" x14ac:dyDescent="0.2">
      <c r="A4881">
        <v>1059560</v>
      </c>
      <c r="B4881" t="s">
        <v>21</v>
      </c>
      <c r="C4881">
        <v>14.93</v>
      </c>
      <c r="D4881">
        <v>0</v>
      </c>
      <c r="E4881">
        <v>201.62</v>
      </c>
      <c r="F4881" t="s">
        <v>9</v>
      </c>
      <c r="G488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8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81">
        <f>IF(Table1[[#This Row],[is_ups_overcharge]]="ups overcharged",Table1[[#This Row],[ups ship charge]]-Table1[[#This Row],[ada ship charge]],0)</f>
        <v>0</v>
      </c>
    </row>
    <row r="4882" spans="1:9" x14ac:dyDescent="0.2">
      <c r="A4882">
        <v>1059766</v>
      </c>
      <c r="B4882" t="s">
        <v>21</v>
      </c>
      <c r="C4882">
        <v>14.09</v>
      </c>
      <c r="D4882">
        <v>0</v>
      </c>
      <c r="E4882">
        <v>203.15</v>
      </c>
      <c r="F4882" t="s">
        <v>9</v>
      </c>
      <c r="G488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8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82">
        <f>IF(Table1[[#This Row],[is_ups_overcharge]]="ups overcharged",Table1[[#This Row],[ups ship charge]]-Table1[[#This Row],[ada ship charge]],0)</f>
        <v>0</v>
      </c>
    </row>
    <row r="4883" spans="1:9" x14ac:dyDescent="0.2">
      <c r="A4883">
        <v>1060074</v>
      </c>
      <c r="B4883" t="s">
        <v>21</v>
      </c>
      <c r="C4883">
        <v>13.64</v>
      </c>
      <c r="D4883">
        <v>0</v>
      </c>
      <c r="E4883">
        <v>203.15</v>
      </c>
      <c r="F4883" t="s">
        <v>9</v>
      </c>
      <c r="G488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8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83">
        <f>IF(Table1[[#This Row],[is_ups_overcharge]]="ups overcharged",Table1[[#This Row],[ups ship charge]]-Table1[[#This Row],[ada ship charge]],0)</f>
        <v>0</v>
      </c>
    </row>
    <row r="4884" spans="1:9" x14ac:dyDescent="0.2">
      <c r="A4884">
        <v>1060363</v>
      </c>
      <c r="B4884" t="s">
        <v>21</v>
      </c>
      <c r="C4884">
        <v>12.75</v>
      </c>
      <c r="D4884">
        <v>0</v>
      </c>
      <c r="E4884">
        <v>218.95</v>
      </c>
      <c r="F4884" t="s">
        <v>9</v>
      </c>
      <c r="G488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8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84">
        <f>IF(Table1[[#This Row],[is_ups_overcharge]]="ups overcharged",Table1[[#This Row],[ups ship charge]]-Table1[[#This Row],[ada ship charge]],0)</f>
        <v>0</v>
      </c>
    </row>
    <row r="4885" spans="1:9" x14ac:dyDescent="0.2">
      <c r="A4885">
        <v>1061068</v>
      </c>
      <c r="B4885" t="s">
        <v>21</v>
      </c>
      <c r="C4885">
        <v>12.75</v>
      </c>
      <c r="D4885">
        <v>0</v>
      </c>
      <c r="E4885">
        <v>205.5</v>
      </c>
      <c r="F4885" t="s">
        <v>9</v>
      </c>
      <c r="G488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8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85">
        <f>IF(Table1[[#This Row],[is_ups_overcharge]]="ups overcharged",Table1[[#This Row],[ups ship charge]]-Table1[[#This Row],[ada ship charge]],0)</f>
        <v>0</v>
      </c>
    </row>
    <row r="4886" spans="1:9" x14ac:dyDescent="0.2">
      <c r="A4886">
        <v>1061170</v>
      </c>
      <c r="B4886" t="s">
        <v>21</v>
      </c>
      <c r="C4886">
        <v>12.75</v>
      </c>
      <c r="D4886">
        <v>0</v>
      </c>
      <c r="E4886">
        <v>498.05</v>
      </c>
      <c r="F4886" t="s">
        <v>9</v>
      </c>
      <c r="G488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8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86">
        <f>IF(Table1[[#This Row],[is_ups_overcharge]]="ups overcharged",Table1[[#This Row],[ups ship charge]]-Table1[[#This Row],[ada ship charge]],0)</f>
        <v>0</v>
      </c>
    </row>
    <row r="4887" spans="1:9" x14ac:dyDescent="0.2">
      <c r="A4887">
        <v>1061411</v>
      </c>
      <c r="B4887" t="s">
        <v>21</v>
      </c>
      <c r="C4887">
        <v>9.65</v>
      </c>
      <c r="D4887">
        <v>0</v>
      </c>
      <c r="E4887">
        <v>264.3</v>
      </c>
      <c r="F4887" t="s">
        <v>6</v>
      </c>
      <c r="G488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8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87">
        <f>IF(Table1[[#This Row],[is_ups_overcharge]]="ups overcharged",Table1[[#This Row],[ups ship charge]]-Table1[[#This Row],[ada ship charge]],0)</f>
        <v>0</v>
      </c>
    </row>
    <row r="4888" spans="1:9" x14ac:dyDescent="0.2">
      <c r="A4888">
        <v>1061442</v>
      </c>
      <c r="B4888" t="s">
        <v>21</v>
      </c>
      <c r="C4888">
        <v>9.65</v>
      </c>
      <c r="D4888">
        <v>0</v>
      </c>
      <c r="E4888">
        <v>270.60000000000002</v>
      </c>
      <c r="F4888" t="s">
        <v>6</v>
      </c>
      <c r="G488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8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88">
        <f>IF(Table1[[#This Row],[is_ups_overcharge]]="ups overcharged",Table1[[#This Row],[ups ship charge]]-Table1[[#This Row],[ada ship charge]],0)</f>
        <v>0</v>
      </c>
    </row>
    <row r="4889" spans="1:9" x14ac:dyDescent="0.2">
      <c r="A4889">
        <v>1061519</v>
      </c>
      <c r="B4889" t="s">
        <v>21</v>
      </c>
      <c r="C4889">
        <v>12.75</v>
      </c>
      <c r="D4889">
        <v>0</v>
      </c>
      <c r="E4889">
        <v>255.4</v>
      </c>
      <c r="F4889" t="s">
        <v>9</v>
      </c>
      <c r="G488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8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89">
        <f>IF(Table1[[#This Row],[is_ups_overcharge]]="ups overcharged",Table1[[#This Row],[ups ship charge]]-Table1[[#This Row],[ada ship charge]],0)</f>
        <v>0</v>
      </c>
    </row>
    <row r="4890" spans="1:9" x14ac:dyDescent="0.2">
      <c r="A4890">
        <v>1061520</v>
      </c>
      <c r="B4890" t="s">
        <v>21</v>
      </c>
      <c r="C4890">
        <v>14.09</v>
      </c>
      <c r="D4890">
        <v>0</v>
      </c>
      <c r="E4890">
        <v>205.75</v>
      </c>
      <c r="F4890" t="s">
        <v>9</v>
      </c>
      <c r="G489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9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90">
        <f>IF(Table1[[#This Row],[is_ups_overcharge]]="ups overcharged",Table1[[#This Row],[ups ship charge]]-Table1[[#This Row],[ada ship charge]],0)</f>
        <v>0</v>
      </c>
    </row>
    <row r="4891" spans="1:9" x14ac:dyDescent="0.2">
      <c r="A4891">
        <v>1062049</v>
      </c>
      <c r="B4891" t="s">
        <v>21</v>
      </c>
      <c r="C4891">
        <v>14.16</v>
      </c>
      <c r="D4891">
        <v>0</v>
      </c>
      <c r="E4891">
        <v>3017.5</v>
      </c>
      <c r="F4891" t="s">
        <v>6</v>
      </c>
      <c r="G489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9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91">
        <f>IF(Table1[[#This Row],[is_ups_overcharge]]="ups overcharged",Table1[[#This Row],[ups ship charge]]-Table1[[#This Row],[ada ship charge]],0)</f>
        <v>0</v>
      </c>
    </row>
    <row r="4892" spans="1:9" x14ac:dyDescent="0.2">
      <c r="A4892">
        <v>1062398</v>
      </c>
      <c r="B4892" t="s">
        <v>21</v>
      </c>
      <c r="C4892">
        <v>9.65</v>
      </c>
      <c r="D4892">
        <v>0</v>
      </c>
      <c r="E4892">
        <v>300.05</v>
      </c>
      <c r="F4892" t="s">
        <v>6</v>
      </c>
      <c r="G489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9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92">
        <f>IF(Table1[[#This Row],[is_ups_overcharge]]="ups overcharged",Table1[[#This Row],[ups ship charge]]-Table1[[#This Row],[ada ship charge]],0)</f>
        <v>0</v>
      </c>
    </row>
    <row r="4893" spans="1:9" x14ac:dyDescent="0.2">
      <c r="A4893">
        <v>1062412</v>
      </c>
      <c r="B4893" t="s">
        <v>21</v>
      </c>
      <c r="C4893">
        <v>16.11</v>
      </c>
      <c r="D4893">
        <v>0</v>
      </c>
      <c r="E4893">
        <v>689.77</v>
      </c>
      <c r="F4893" t="s">
        <v>9</v>
      </c>
      <c r="G489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9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93">
        <f>IF(Table1[[#This Row],[is_ups_overcharge]]="ups overcharged",Table1[[#This Row],[ups ship charge]]-Table1[[#This Row],[ada ship charge]],0)</f>
        <v>0</v>
      </c>
    </row>
    <row r="4894" spans="1:9" x14ac:dyDescent="0.2">
      <c r="A4894">
        <v>1062544</v>
      </c>
      <c r="B4894" t="s">
        <v>21</v>
      </c>
      <c r="C4894">
        <v>9.66</v>
      </c>
      <c r="D4894">
        <v>0</v>
      </c>
      <c r="E4894">
        <v>499.75</v>
      </c>
      <c r="F4894" t="s">
        <v>6</v>
      </c>
      <c r="G489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9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94">
        <f>IF(Table1[[#This Row],[is_ups_overcharge]]="ups overcharged",Table1[[#This Row],[ups ship charge]]-Table1[[#This Row],[ada ship charge]],0)</f>
        <v>0</v>
      </c>
    </row>
    <row r="4895" spans="1:9" x14ac:dyDescent="0.2">
      <c r="A4895">
        <v>1062552</v>
      </c>
      <c r="B4895" t="s">
        <v>21</v>
      </c>
      <c r="C4895">
        <v>13.2</v>
      </c>
      <c r="D4895">
        <v>0</v>
      </c>
      <c r="E4895">
        <v>224.9</v>
      </c>
      <c r="F4895" t="s">
        <v>9</v>
      </c>
      <c r="G489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9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95">
        <f>IF(Table1[[#This Row],[is_ups_overcharge]]="ups overcharged",Table1[[#This Row],[ups ship charge]]-Table1[[#This Row],[ada ship charge]],0)</f>
        <v>0</v>
      </c>
    </row>
    <row r="4896" spans="1:9" x14ac:dyDescent="0.2">
      <c r="A4896">
        <v>1062592</v>
      </c>
      <c r="B4896" t="s">
        <v>21</v>
      </c>
      <c r="C4896">
        <v>12.75</v>
      </c>
      <c r="D4896">
        <v>0</v>
      </c>
      <c r="E4896">
        <v>231.6</v>
      </c>
      <c r="F4896" t="s">
        <v>9</v>
      </c>
      <c r="G489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9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96">
        <f>IF(Table1[[#This Row],[is_ups_overcharge]]="ups overcharged",Table1[[#This Row],[ups ship charge]]-Table1[[#This Row],[ada ship charge]],0)</f>
        <v>0</v>
      </c>
    </row>
    <row r="4897" spans="1:9" x14ac:dyDescent="0.2">
      <c r="A4897">
        <v>1063222</v>
      </c>
      <c r="B4897" t="s">
        <v>21</v>
      </c>
      <c r="C4897">
        <v>13.64</v>
      </c>
      <c r="D4897">
        <v>0</v>
      </c>
      <c r="E4897">
        <v>215.2</v>
      </c>
      <c r="F4897" t="s">
        <v>9</v>
      </c>
      <c r="G489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9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97">
        <f>IF(Table1[[#This Row],[is_ups_overcharge]]="ups overcharged",Table1[[#This Row],[ups ship charge]]-Table1[[#This Row],[ada ship charge]],0)</f>
        <v>0</v>
      </c>
    </row>
    <row r="4898" spans="1:9" x14ac:dyDescent="0.2">
      <c r="A4898">
        <v>1063512</v>
      </c>
      <c r="B4898" t="s">
        <v>21</v>
      </c>
      <c r="C4898">
        <v>13.64</v>
      </c>
      <c r="D4898">
        <v>0</v>
      </c>
      <c r="E4898">
        <v>219.95</v>
      </c>
      <c r="F4898" t="s">
        <v>9</v>
      </c>
      <c r="G489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9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98">
        <f>IF(Table1[[#This Row],[is_ups_overcharge]]="ups overcharged",Table1[[#This Row],[ups ship charge]]-Table1[[#This Row],[ada ship charge]],0)</f>
        <v>0</v>
      </c>
    </row>
    <row r="4899" spans="1:9" x14ac:dyDescent="0.2">
      <c r="A4899">
        <v>1063581</v>
      </c>
      <c r="B4899" t="s">
        <v>21</v>
      </c>
      <c r="C4899">
        <v>13.87</v>
      </c>
      <c r="D4899">
        <v>0</v>
      </c>
      <c r="E4899">
        <v>539.79999999999995</v>
      </c>
      <c r="F4899" t="s">
        <v>6</v>
      </c>
      <c r="G489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89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899">
        <f>IF(Table1[[#This Row],[is_ups_overcharge]]="ups overcharged",Table1[[#This Row],[ups ship charge]]-Table1[[#This Row],[ada ship charge]],0)</f>
        <v>0</v>
      </c>
    </row>
    <row r="4900" spans="1:9" x14ac:dyDescent="0.2">
      <c r="A4900">
        <v>1063588</v>
      </c>
      <c r="B4900" t="s">
        <v>21</v>
      </c>
      <c r="C4900">
        <v>12.75</v>
      </c>
      <c r="D4900">
        <v>0</v>
      </c>
      <c r="E4900">
        <v>222.95</v>
      </c>
      <c r="F4900" t="s">
        <v>9</v>
      </c>
      <c r="G490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90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900">
        <f>IF(Table1[[#This Row],[is_ups_overcharge]]="ups overcharged",Table1[[#This Row],[ups ship charge]]-Table1[[#This Row],[ada ship charge]],0)</f>
        <v>0</v>
      </c>
    </row>
    <row r="4901" spans="1:9" x14ac:dyDescent="0.2">
      <c r="A4901">
        <v>1063687</v>
      </c>
      <c r="B4901" t="s">
        <v>21</v>
      </c>
      <c r="C4901">
        <v>9.66</v>
      </c>
      <c r="D4901">
        <v>0</v>
      </c>
      <c r="E4901">
        <v>499.75</v>
      </c>
      <c r="F4901" t="s">
        <v>6</v>
      </c>
      <c r="G4901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901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901">
        <f>IF(Table1[[#This Row],[is_ups_overcharge]]="ups overcharged",Table1[[#This Row],[ups ship charge]]-Table1[[#This Row],[ada ship charge]],0)</f>
        <v>0</v>
      </c>
    </row>
    <row r="4902" spans="1:9" x14ac:dyDescent="0.2">
      <c r="A4902">
        <v>1064002</v>
      </c>
      <c r="B4902" t="s">
        <v>21</v>
      </c>
      <c r="C4902">
        <v>12.51</v>
      </c>
      <c r="D4902">
        <v>0</v>
      </c>
      <c r="E4902">
        <v>1560</v>
      </c>
      <c r="F4902" t="s">
        <v>6</v>
      </c>
      <c r="G4902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902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902">
        <f>IF(Table1[[#This Row],[is_ups_overcharge]]="ups overcharged",Table1[[#This Row],[ups ship charge]]-Table1[[#This Row],[ada ship charge]],0)</f>
        <v>0</v>
      </c>
    </row>
    <row r="4903" spans="1:9" x14ac:dyDescent="0.2">
      <c r="A4903">
        <v>1064300</v>
      </c>
      <c r="B4903" t="s">
        <v>21</v>
      </c>
      <c r="C4903">
        <v>13.64</v>
      </c>
      <c r="D4903">
        <v>0</v>
      </c>
      <c r="E4903">
        <v>498.35</v>
      </c>
      <c r="F4903" t="s">
        <v>9</v>
      </c>
      <c r="G4903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903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903">
        <f>IF(Table1[[#This Row],[is_ups_overcharge]]="ups overcharged",Table1[[#This Row],[ups ship charge]]-Table1[[#This Row],[ada ship charge]],0)</f>
        <v>0</v>
      </c>
    </row>
    <row r="4904" spans="1:9" x14ac:dyDescent="0.2">
      <c r="A4904">
        <v>1064372</v>
      </c>
      <c r="B4904" t="s">
        <v>21</v>
      </c>
      <c r="C4904">
        <v>12.75</v>
      </c>
      <c r="D4904">
        <v>0</v>
      </c>
      <c r="E4904">
        <v>242.85</v>
      </c>
      <c r="F4904" t="s">
        <v>9</v>
      </c>
      <c r="G4904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904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904">
        <f>IF(Table1[[#This Row],[is_ups_overcharge]]="ups overcharged",Table1[[#This Row],[ups ship charge]]-Table1[[#This Row],[ada ship charge]],0)</f>
        <v>0</v>
      </c>
    </row>
    <row r="4905" spans="1:9" x14ac:dyDescent="0.2">
      <c r="A4905">
        <v>1064430</v>
      </c>
      <c r="B4905" t="s">
        <v>21</v>
      </c>
      <c r="C4905">
        <v>9.66</v>
      </c>
      <c r="D4905">
        <v>0</v>
      </c>
      <c r="E4905">
        <v>220.3</v>
      </c>
      <c r="F4905" t="s">
        <v>6</v>
      </c>
      <c r="G4905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905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905">
        <f>IF(Table1[[#This Row],[is_ups_overcharge]]="ups overcharged",Table1[[#This Row],[ups ship charge]]-Table1[[#This Row],[ada ship charge]],0)</f>
        <v>0</v>
      </c>
    </row>
    <row r="4906" spans="1:9" x14ac:dyDescent="0.2">
      <c r="A4906">
        <v>1064522</v>
      </c>
      <c r="B4906" t="s">
        <v>21</v>
      </c>
      <c r="C4906">
        <v>16.100000000000001</v>
      </c>
      <c r="D4906">
        <v>0</v>
      </c>
      <c r="E4906">
        <v>616.54999999999995</v>
      </c>
      <c r="F4906" t="s">
        <v>9</v>
      </c>
      <c r="G4906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906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906">
        <f>IF(Table1[[#This Row],[is_ups_overcharge]]="ups overcharged",Table1[[#This Row],[ups ship charge]]-Table1[[#This Row],[ada ship charge]],0)</f>
        <v>0</v>
      </c>
    </row>
    <row r="4907" spans="1:9" x14ac:dyDescent="0.2">
      <c r="A4907">
        <v>1064655</v>
      </c>
      <c r="B4907" t="s">
        <v>21</v>
      </c>
      <c r="C4907">
        <v>12.75</v>
      </c>
      <c r="D4907">
        <v>0</v>
      </c>
      <c r="E4907">
        <v>207.85</v>
      </c>
      <c r="F4907" t="s">
        <v>9</v>
      </c>
      <c r="G4907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907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907">
        <f>IF(Table1[[#This Row],[is_ups_overcharge]]="ups overcharged",Table1[[#This Row],[ups ship charge]]-Table1[[#This Row],[ada ship charge]],0)</f>
        <v>0</v>
      </c>
    </row>
    <row r="4908" spans="1:9" x14ac:dyDescent="0.2">
      <c r="A4908">
        <v>1064745</v>
      </c>
      <c r="B4908" t="s">
        <v>21</v>
      </c>
      <c r="C4908">
        <v>13.64</v>
      </c>
      <c r="D4908">
        <v>0</v>
      </c>
      <c r="E4908">
        <v>204.95</v>
      </c>
      <c r="F4908" t="s">
        <v>9</v>
      </c>
      <c r="G4908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908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908">
        <f>IF(Table1[[#This Row],[is_ups_overcharge]]="ups overcharged",Table1[[#This Row],[ups ship charge]]-Table1[[#This Row],[ada ship charge]],0)</f>
        <v>0</v>
      </c>
    </row>
    <row r="4909" spans="1:9" x14ac:dyDescent="0.2">
      <c r="A4909">
        <v>1064795</v>
      </c>
      <c r="B4909" t="s">
        <v>21</v>
      </c>
      <c r="C4909">
        <v>9.65</v>
      </c>
      <c r="D4909">
        <v>0</v>
      </c>
      <c r="E4909">
        <v>408.75</v>
      </c>
      <c r="F4909" t="s">
        <v>6</v>
      </c>
      <c r="G4909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909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909">
        <f>IF(Table1[[#This Row],[is_ups_overcharge]]="ups overcharged",Table1[[#This Row],[ups ship charge]]-Table1[[#This Row],[ada ship charge]],0)</f>
        <v>0</v>
      </c>
    </row>
    <row r="4910" spans="1:9" x14ac:dyDescent="0.2">
      <c r="A4910">
        <v>1064816</v>
      </c>
      <c r="B4910" t="s">
        <v>21</v>
      </c>
      <c r="C4910">
        <v>9.65</v>
      </c>
      <c r="D4910">
        <v>0</v>
      </c>
      <c r="E4910">
        <v>211.8</v>
      </c>
      <c r="F4910" t="s">
        <v>6</v>
      </c>
      <c r="G4910" t="str">
        <f>IF(Table1[[#This Row],[charge_description]]=$L$3,IF(Table1[[#This Row],[order subtotal]]&gt;=200,"free shipping","not free shipping"),IF(Table1[[#This Row],[charge_description]]=$L$4,IF(Table1[[#This Row],[order subtotal]]&gt;=200,"free shipping","not free shipping"),"not free shipping"))</f>
        <v>free shipping</v>
      </c>
      <c r="H4910" t="str">
        <f>IF(Table1[[#This Row],[is_free_shipping?]]="free shipping","free shipping",IF(Table1[[#This Row],[ada ship charge]]&lt;Table1[[#This Row],[ups ship charge]],"ups overcharged","ups did not overcharge"))</f>
        <v>free shipping</v>
      </c>
      <c r="I4910">
        <f>IF(Table1[[#This Row],[is_ups_overcharge]]="ups overcharged",Table1[[#This Row],[ups ship charge]]-Table1[[#This Row],[ada ship charge]],0)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</vt:lpstr>
      <vt:lpstr>ada vs ups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2016-04-17T21:27:12Z</dcterms:created>
  <dcterms:modified xsi:type="dcterms:W3CDTF">2016-04-22T17:27:33Z</dcterms:modified>
</cp:coreProperties>
</file>